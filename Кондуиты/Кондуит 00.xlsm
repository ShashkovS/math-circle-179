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X:\Dropbox\ВМШ 5-6 2019-2020\Кондуиты\"/>
    </mc:Choice>
  </mc:AlternateContent>
  <xr:revisionPtr revIDLastSave="0" documentId="13_ncr:1_{40BEAF86-B4E6-4147-94EC-5C25E69DB2FB}" xr6:coauthVersionLast="43" xr6:coauthVersionMax="43" xr10:uidLastSave="{00000000-0000-0000-0000-000000000000}"/>
  <bookViews>
    <workbookView xWindow="-120" yWindow="-120" windowWidth="29040" windowHeight="15990" tabRatio="602" xr2:uid="{00000000-000D-0000-FFFF-FFFF00000000}"/>
  </bookViews>
  <sheets>
    <sheet name="Итог" sheetId="1" r:id="rId1"/>
    <sheet name="Список усл. форматирования" sheetId="7" state="hidden" r:id="rId2"/>
    <sheet name="Аудитории" sheetId="2" r:id="rId3"/>
    <sheet name="@Cords" sheetId="5" state="hidden" r:id="rId4"/>
    <sheet name="Одна ауд." sheetId="6" r:id="rId5"/>
    <sheet name="Внешние данные" sheetId="8" r:id="rId6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VP6" i="1" l="1"/>
  <c r="CVP7" i="1"/>
  <c r="CVP8" i="1"/>
  <c r="A2" i="8"/>
  <c r="CSM6" i="1" l="1"/>
  <c r="CUB6" i="1" s="1"/>
  <c r="CSN6" i="1"/>
  <c r="CUC6" i="1" s="1"/>
  <c r="CSO6" i="1"/>
  <c r="CUD6" i="1" s="1"/>
  <c r="CSP6" i="1"/>
  <c r="CUE6" i="1" s="1"/>
  <c r="CSQ6" i="1"/>
  <c r="CUF6" i="1" s="1"/>
  <c r="CSR6" i="1"/>
  <c r="CUG6" i="1" s="1"/>
  <c r="CSS6" i="1"/>
  <c r="CUH6" i="1" s="1"/>
  <c r="CST6" i="1"/>
  <c r="CUI6" i="1" s="1"/>
  <c r="CSU6" i="1"/>
  <c r="CUJ6" i="1" s="1"/>
  <c r="CSV6" i="1"/>
  <c r="CUK6" i="1" s="1"/>
  <c r="CSW6" i="1"/>
  <c r="CUL6" i="1" s="1"/>
  <c r="CSX6" i="1"/>
  <c r="CUM6" i="1" s="1"/>
  <c r="CSY6" i="1"/>
  <c r="CUN6" i="1" s="1"/>
  <c r="CSZ6" i="1"/>
  <c r="CUO6" i="1" s="1"/>
  <c r="CTA6" i="1"/>
  <c r="CUP6" i="1" s="1"/>
  <c r="CTB6" i="1"/>
  <c r="CUQ6" i="1" s="1"/>
  <c r="CTC6" i="1"/>
  <c r="CUR6" i="1" s="1"/>
  <c r="CTD6" i="1"/>
  <c r="CUS6" i="1" s="1"/>
  <c r="CTE6" i="1"/>
  <c r="CUT6" i="1" s="1"/>
  <c r="CTF6" i="1"/>
  <c r="CUU6" i="1" s="1"/>
  <c r="CTG6" i="1"/>
  <c r="CUV6" i="1" s="1"/>
  <c r="CTH6" i="1"/>
  <c r="CUW6" i="1" s="1"/>
  <c r="CTI6" i="1"/>
  <c r="CUX6" i="1" s="1"/>
  <c r="CTJ6" i="1"/>
  <c r="CUY6" i="1" s="1"/>
  <c r="CTK6" i="1"/>
  <c r="CUZ6" i="1" s="1"/>
  <c r="CTL6" i="1"/>
  <c r="CVA6" i="1" s="1"/>
  <c r="CTM6" i="1"/>
  <c r="CVB6" i="1" s="1"/>
  <c r="CTN6" i="1"/>
  <c r="CVC6" i="1" s="1"/>
  <c r="CTO6" i="1"/>
  <c r="CVD6" i="1" s="1"/>
  <c r="CTP6" i="1"/>
  <c r="CVE6" i="1" s="1"/>
  <c r="CTQ6" i="1"/>
  <c r="CVF6" i="1" s="1"/>
  <c r="CTR6" i="1"/>
  <c r="CVG6" i="1" s="1"/>
  <c r="CTS6" i="1"/>
  <c r="CVH6" i="1" s="1"/>
  <c r="CTT6" i="1"/>
  <c r="CVI6" i="1" s="1"/>
  <c r="CTU6" i="1"/>
  <c r="CVJ6" i="1" s="1"/>
  <c r="CTV6" i="1"/>
  <c r="CVK6" i="1" s="1"/>
  <c r="CTW6" i="1"/>
  <c r="CVL6" i="1" s="1"/>
  <c r="CTX6" i="1"/>
  <c r="CVM6" i="1" s="1"/>
  <c r="CTY6" i="1"/>
  <c r="CVN6" i="1" s="1"/>
  <c r="CSM7" i="1"/>
  <c r="CUB7" i="1" s="1"/>
  <c r="CSN7" i="1"/>
  <c r="CUC7" i="1" s="1"/>
  <c r="CSO7" i="1"/>
  <c r="CUD7" i="1" s="1"/>
  <c r="CSP7" i="1"/>
  <c r="CUE7" i="1" s="1"/>
  <c r="CSQ7" i="1"/>
  <c r="CUF7" i="1" s="1"/>
  <c r="CSR7" i="1"/>
  <c r="CUG7" i="1" s="1"/>
  <c r="CSS7" i="1"/>
  <c r="CUH7" i="1" s="1"/>
  <c r="CST7" i="1"/>
  <c r="CUI7" i="1" s="1"/>
  <c r="CSU7" i="1"/>
  <c r="CUJ7" i="1" s="1"/>
  <c r="CSV7" i="1"/>
  <c r="CUK7" i="1" s="1"/>
  <c r="CSW7" i="1"/>
  <c r="CUL7" i="1" s="1"/>
  <c r="CSX7" i="1"/>
  <c r="CUM7" i="1" s="1"/>
  <c r="CSY7" i="1"/>
  <c r="CUN7" i="1" s="1"/>
  <c r="CSZ7" i="1"/>
  <c r="CUO7" i="1" s="1"/>
  <c r="CTA7" i="1"/>
  <c r="CUP7" i="1" s="1"/>
  <c r="CTB7" i="1"/>
  <c r="CUQ7" i="1" s="1"/>
  <c r="CTC7" i="1"/>
  <c r="CUR7" i="1" s="1"/>
  <c r="CTD7" i="1"/>
  <c r="CUS7" i="1" s="1"/>
  <c r="CTE7" i="1"/>
  <c r="CUT7" i="1" s="1"/>
  <c r="CTF7" i="1"/>
  <c r="CUU7" i="1" s="1"/>
  <c r="CTG7" i="1"/>
  <c r="CUV7" i="1" s="1"/>
  <c r="CTH7" i="1"/>
  <c r="CUW7" i="1" s="1"/>
  <c r="CTI7" i="1"/>
  <c r="CUX7" i="1" s="1"/>
  <c r="CTJ7" i="1"/>
  <c r="CUY7" i="1" s="1"/>
  <c r="CTK7" i="1"/>
  <c r="CUZ7" i="1" s="1"/>
  <c r="CTL7" i="1"/>
  <c r="CVA7" i="1" s="1"/>
  <c r="CTM7" i="1"/>
  <c r="CVB7" i="1" s="1"/>
  <c r="CTN7" i="1"/>
  <c r="CVC7" i="1" s="1"/>
  <c r="CTO7" i="1"/>
  <c r="CVD7" i="1" s="1"/>
  <c r="CTP7" i="1"/>
  <c r="CVE7" i="1" s="1"/>
  <c r="CTQ7" i="1"/>
  <c r="CVF7" i="1" s="1"/>
  <c r="CTR7" i="1"/>
  <c r="CVG7" i="1" s="1"/>
  <c r="CTS7" i="1"/>
  <c r="CVH7" i="1" s="1"/>
  <c r="CTT7" i="1"/>
  <c r="CVI7" i="1" s="1"/>
  <c r="CTU7" i="1"/>
  <c r="CVJ7" i="1" s="1"/>
  <c r="CTV7" i="1"/>
  <c r="CVK7" i="1" s="1"/>
  <c r="CTW7" i="1"/>
  <c r="CVL7" i="1" s="1"/>
  <c r="CTX7" i="1"/>
  <c r="CVM7" i="1" s="1"/>
  <c r="CTY7" i="1"/>
  <c r="CVN7" i="1" s="1"/>
  <c r="CSM8" i="1"/>
  <c r="CUB8" i="1" s="1"/>
  <c r="CSN8" i="1"/>
  <c r="CUC8" i="1" s="1"/>
  <c r="CSO8" i="1"/>
  <c r="CUD8" i="1" s="1"/>
  <c r="CSP8" i="1"/>
  <c r="CUE8" i="1" s="1"/>
  <c r="CSQ8" i="1"/>
  <c r="CUF8" i="1" s="1"/>
  <c r="CSR8" i="1"/>
  <c r="CUG8" i="1" s="1"/>
  <c r="CSS8" i="1"/>
  <c r="CUH8" i="1" s="1"/>
  <c r="CST8" i="1"/>
  <c r="CUI8" i="1" s="1"/>
  <c r="CSU8" i="1"/>
  <c r="CUJ8" i="1" s="1"/>
  <c r="CSV8" i="1"/>
  <c r="CUK8" i="1" s="1"/>
  <c r="CSW8" i="1"/>
  <c r="CUL8" i="1" s="1"/>
  <c r="CSX8" i="1"/>
  <c r="CUM8" i="1" s="1"/>
  <c r="CSY8" i="1"/>
  <c r="CUN8" i="1" s="1"/>
  <c r="CSZ8" i="1"/>
  <c r="CUO8" i="1" s="1"/>
  <c r="CTA8" i="1"/>
  <c r="CUP8" i="1" s="1"/>
  <c r="CTB8" i="1"/>
  <c r="CUQ8" i="1" s="1"/>
  <c r="CTC8" i="1"/>
  <c r="CUR8" i="1" s="1"/>
  <c r="CTD8" i="1"/>
  <c r="CUS8" i="1" s="1"/>
  <c r="CTE8" i="1"/>
  <c r="CUT8" i="1" s="1"/>
  <c r="CTF8" i="1"/>
  <c r="CUU8" i="1" s="1"/>
  <c r="CTG8" i="1"/>
  <c r="CUV8" i="1" s="1"/>
  <c r="CTH8" i="1"/>
  <c r="CUW8" i="1" s="1"/>
  <c r="CTI8" i="1"/>
  <c r="CUX8" i="1" s="1"/>
  <c r="CTJ8" i="1"/>
  <c r="CUY8" i="1" s="1"/>
  <c r="CTK8" i="1"/>
  <c r="CUZ8" i="1" s="1"/>
  <c r="CTL8" i="1"/>
  <c r="CVA8" i="1" s="1"/>
  <c r="CTM8" i="1"/>
  <c r="CVB8" i="1" s="1"/>
  <c r="CTN8" i="1"/>
  <c r="CVC8" i="1" s="1"/>
  <c r="CTO8" i="1"/>
  <c r="CVD8" i="1" s="1"/>
  <c r="CTP8" i="1"/>
  <c r="CVE8" i="1" s="1"/>
  <c r="CTQ8" i="1"/>
  <c r="CVF8" i="1" s="1"/>
  <c r="CTR8" i="1"/>
  <c r="CVG8" i="1" s="1"/>
  <c r="CTS8" i="1"/>
  <c r="CVH8" i="1" s="1"/>
  <c r="CTT8" i="1"/>
  <c r="CVI8" i="1" s="1"/>
  <c r="CTU8" i="1"/>
  <c r="CVJ8" i="1" s="1"/>
  <c r="CTV8" i="1"/>
  <c r="CVK8" i="1" s="1"/>
  <c r="CTW8" i="1"/>
  <c r="CVL8" i="1" s="1"/>
  <c r="CTX8" i="1"/>
  <c r="CVM8" i="1" s="1"/>
  <c r="CTY8" i="1"/>
  <c r="CVN8" i="1" s="1"/>
  <c r="CSL7" i="1"/>
  <c r="CSL8" i="1"/>
  <c r="CSL6" i="1"/>
  <c r="CSK8" i="1"/>
  <c r="CTZ8" i="1"/>
  <c r="CVO8" i="1"/>
  <c r="CSK7" i="1"/>
  <c r="CTZ7" i="1"/>
  <c r="CVO7" i="1"/>
  <c r="BA1" i="1"/>
  <c r="I6" i="1" l="1"/>
  <c r="CUA8" i="1"/>
  <c r="I8" i="1"/>
  <c r="CUA7" i="1"/>
  <c r="I7" i="1"/>
  <c r="J8" i="1"/>
  <c r="J7" i="1"/>
  <c r="CVO6" i="1"/>
  <c r="K7" i="1" l="1"/>
  <c r="K8" i="1"/>
  <c r="H7" i="1"/>
  <c r="H8" i="1"/>
  <c r="CUA6" i="1"/>
  <c r="CTZ6" i="1"/>
  <c r="T10" i="2" l="1"/>
  <c r="U10" i="2"/>
  <c r="U3" i="2"/>
  <c r="T3" i="2"/>
  <c r="CSK6" i="1"/>
  <c r="D3" i="2" l="1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C10" i="2" l="1"/>
  <c r="CSJ4" i="1" l="1"/>
  <c r="CSI4" i="1"/>
  <c r="CSH4" i="1"/>
  <c r="CSG4" i="1"/>
  <c r="CSF4" i="1"/>
  <c r="CSE4" i="1"/>
  <c r="CSD4" i="1"/>
  <c r="CSC4" i="1"/>
  <c r="CSB4" i="1"/>
  <c r="CSA4" i="1"/>
  <c r="CRZ4" i="1"/>
  <c r="CRY4" i="1"/>
  <c r="CRX4" i="1"/>
  <c r="CRW4" i="1"/>
  <c r="CRV4" i="1"/>
  <c r="CRU4" i="1"/>
  <c r="CRT4" i="1"/>
  <c r="CRS4" i="1"/>
  <c r="CRR4" i="1"/>
  <c r="CRQ4" i="1"/>
  <c r="CRP4" i="1"/>
  <c r="CRO4" i="1"/>
  <c r="CRN4" i="1"/>
  <c r="CRM4" i="1"/>
  <c r="CRL4" i="1"/>
  <c r="CRK4" i="1"/>
  <c r="CRJ4" i="1"/>
  <c r="CRI4" i="1"/>
  <c r="CRH4" i="1"/>
  <c r="CRG4" i="1"/>
  <c r="CRF4" i="1"/>
  <c r="CSJ3" i="1" s="1"/>
  <c r="CRE4" i="1"/>
  <c r="CRD4" i="1"/>
  <c r="CRC4" i="1"/>
  <c r="CRB4" i="1"/>
  <c r="CRA4" i="1"/>
  <c r="CQZ4" i="1"/>
  <c r="CQY4" i="1"/>
  <c r="CQX4" i="1"/>
  <c r="CQW4" i="1"/>
  <c r="CQV4" i="1"/>
  <c r="CQU4" i="1"/>
  <c r="CQT4" i="1"/>
  <c r="CQS4" i="1"/>
  <c r="CQR4" i="1"/>
  <c r="CQQ4" i="1"/>
  <c r="CQP4" i="1"/>
  <c r="CQO4" i="1"/>
  <c r="CQN4" i="1"/>
  <c r="CQM4" i="1"/>
  <c r="CQL4" i="1"/>
  <c r="CQK4" i="1"/>
  <c r="CQJ4" i="1"/>
  <c r="CQI4" i="1"/>
  <c r="CQH4" i="1"/>
  <c r="CQG4" i="1"/>
  <c r="CQF4" i="1"/>
  <c r="CQE4" i="1"/>
  <c r="CQD4" i="1"/>
  <c r="CQC4" i="1"/>
  <c r="CQB4" i="1"/>
  <c r="CQA4" i="1"/>
  <c r="CQY3" i="1" s="1"/>
  <c r="CPZ4" i="1"/>
  <c r="CPY4" i="1"/>
  <c r="CPX4" i="1"/>
  <c r="CPW4" i="1"/>
  <c r="CPV4" i="1"/>
  <c r="CPU4" i="1"/>
  <c r="CPT4" i="1"/>
  <c r="CPS4" i="1"/>
  <c r="CPR4" i="1"/>
  <c r="CPQ4" i="1"/>
  <c r="CPP4" i="1"/>
  <c r="CPO4" i="1"/>
  <c r="CPN4" i="1"/>
  <c r="CPM4" i="1"/>
  <c r="CPL4" i="1"/>
  <c r="CPK4" i="1"/>
  <c r="CPJ4" i="1"/>
  <c r="CPI4" i="1"/>
  <c r="CPH4" i="1"/>
  <c r="CPG4" i="1"/>
  <c r="CPF4" i="1"/>
  <c r="CPE4" i="1"/>
  <c r="CPD4" i="1"/>
  <c r="CPC4" i="1"/>
  <c r="CPB4" i="1"/>
  <c r="CPA4" i="1"/>
  <c r="COZ4" i="1"/>
  <c r="COY4" i="1"/>
  <c r="COX4" i="1"/>
  <c r="COW4" i="1"/>
  <c r="COV4" i="1"/>
  <c r="CPS3" i="1" s="1"/>
  <c r="COU4" i="1"/>
  <c r="COT4" i="1"/>
  <c r="COS4" i="1"/>
  <c r="COR4" i="1"/>
  <c r="COQ4" i="1"/>
  <c r="COP4" i="1"/>
  <c r="COO4" i="1"/>
  <c r="CON4" i="1"/>
  <c r="COM4" i="1"/>
  <c r="COL4" i="1"/>
  <c r="COK4" i="1"/>
  <c r="COJ4" i="1"/>
  <c r="COI4" i="1"/>
  <c r="COH4" i="1"/>
  <c r="COG4" i="1"/>
  <c r="COF4" i="1"/>
  <c r="COE4" i="1"/>
  <c r="COD4" i="1"/>
  <c r="COC4" i="1"/>
  <c r="COB4" i="1"/>
  <c r="COA4" i="1"/>
  <c r="CNZ4" i="1"/>
  <c r="CNY4" i="1"/>
  <c r="CNX4" i="1"/>
  <c r="CNW4" i="1"/>
  <c r="CNV4" i="1"/>
  <c r="CNU4" i="1"/>
  <c r="CNT4" i="1"/>
  <c r="CNS4" i="1"/>
  <c r="CNR4" i="1"/>
  <c r="CNQ4" i="1"/>
  <c r="COR3" i="1" s="1"/>
  <c r="CNP4" i="1"/>
  <c r="CNO4" i="1"/>
  <c r="CNN4" i="1"/>
  <c r="CNM4" i="1"/>
  <c r="CNL4" i="1"/>
  <c r="CNK4" i="1"/>
  <c r="CNJ4" i="1"/>
  <c r="CNI4" i="1"/>
  <c r="CNH4" i="1"/>
  <c r="CNG4" i="1"/>
  <c r="CNF4" i="1"/>
  <c r="CNE4" i="1"/>
  <c r="CND4" i="1"/>
  <c r="CNC4" i="1"/>
  <c r="CNB4" i="1"/>
  <c r="CNA4" i="1"/>
  <c r="CMZ4" i="1"/>
  <c r="CMY4" i="1"/>
  <c r="CMX4" i="1"/>
  <c r="CMW4" i="1"/>
  <c r="CMV4" i="1"/>
  <c r="CMU4" i="1"/>
  <c r="CMT4" i="1"/>
  <c r="CMS4" i="1"/>
  <c r="CMR4" i="1"/>
  <c r="CMQ4" i="1"/>
  <c r="CMP4" i="1"/>
  <c r="CMO4" i="1"/>
  <c r="CMN4" i="1"/>
  <c r="CMM4" i="1"/>
  <c r="CML4" i="1"/>
  <c r="CNC3" i="1" s="1"/>
  <c r="CMK4" i="1"/>
  <c r="CMJ4" i="1"/>
  <c r="CMI4" i="1"/>
  <c r="CMH4" i="1"/>
  <c r="CMG4" i="1"/>
  <c r="CMF4" i="1"/>
  <c r="CME4" i="1"/>
  <c r="CMD4" i="1"/>
  <c r="CMC4" i="1"/>
  <c r="CMB4" i="1"/>
  <c r="CMA4" i="1"/>
  <c r="CLZ4" i="1"/>
  <c r="CLY4" i="1"/>
  <c r="CLX4" i="1"/>
  <c r="CLW4" i="1"/>
  <c r="CLV4" i="1"/>
  <c r="CLU4" i="1"/>
  <c r="CLT4" i="1"/>
  <c r="CLS4" i="1"/>
  <c r="CLR4" i="1"/>
  <c r="CLQ4" i="1"/>
  <c r="CLP4" i="1"/>
  <c r="CLO4" i="1"/>
  <c r="CLN4" i="1"/>
  <c r="CLM4" i="1"/>
  <c r="CLL4" i="1"/>
  <c r="CLK4" i="1"/>
  <c r="CLJ4" i="1"/>
  <c r="CLI4" i="1"/>
  <c r="CLH4" i="1"/>
  <c r="CLG4" i="1"/>
  <c r="CLF4" i="1"/>
  <c r="CLE4" i="1"/>
  <c r="CLD4" i="1"/>
  <c r="CLC4" i="1"/>
  <c r="CLB4" i="1"/>
  <c r="CLA4" i="1"/>
  <c r="CKZ4" i="1"/>
  <c r="CKY4" i="1"/>
  <c r="CKX4" i="1"/>
  <c r="CKW4" i="1"/>
  <c r="CKV4" i="1"/>
  <c r="CKU4" i="1"/>
  <c r="CKT4" i="1"/>
  <c r="CKS4" i="1"/>
  <c r="CKR4" i="1"/>
  <c r="CKQ4" i="1"/>
  <c r="CKP4" i="1"/>
  <c r="CKO4" i="1"/>
  <c r="CKN4" i="1"/>
  <c r="CKM4" i="1"/>
  <c r="CKL4" i="1"/>
  <c r="CKK4" i="1"/>
  <c r="CKJ4" i="1"/>
  <c r="CKI4" i="1"/>
  <c r="CKH4" i="1"/>
  <c r="CKG4" i="1"/>
  <c r="CKF4" i="1"/>
  <c r="CKE4" i="1"/>
  <c r="CKD4" i="1"/>
  <c r="CKC4" i="1"/>
  <c r="CKB4" i="1"/>
  <c r="CLB3" i="1" s="1"/>
  <c r="CKA4" i="1"/>
  <c r="CJZ4" i="1"/>
  <c r="CJY4" i="1"/>
  <c r="CJX4" i="1"/>
  <c r="CJW4" i="1"/>
  <c r="CJV4" i="1"/>
  <c r="CJU4" i="1"/>
  <c r="CJT4" i="1"/>
  <c r="CJS4" i="1"/>
  <c r="CJR4" i="1"/>
  <c r="CJQ4" i="1"/>
  <c r="CJP4" i="1"/>
  <c r="CJO4" i="1"/>
  <c r="CJN4" i="1"/>
  <c r="CJM4" i="1"/>
  <c r="CJL4" i="1"/>
  <c r="CJK4" i="1"/>
  <c r="CJJ4" i="1"/>
  <c r="CJI4" i="1"/>
  <c r="CJH4" i="1"/>
  <c r="CJG4" i="1"/>
  <c r="CJF4" i="1"/>
  <c r="CJE4" i="1"/>
  <c r="CJD4" i="1"/>
  <c r="CJC4" i="1"/>
  <c r="CJB4" i="1"/>
  <c r="CJA4" i="1"/>
  <c r="CIZ4" i="1"/>
  <c r="CIY4" i="1"/>
  <c r="CIX4" i="1"/>
  <c r="CIW4" i="1"/>
  <c r="CJV3" i="1" s="1"/>
  <c r="CIV4" i="1"/>
  <c r="CIU4" i="1"/>
  <c r="CIT4" i="1"/>
  <c r="CIS4" i="1"/>
  <c r="CIR4" i="1"/>
  <c r="CIQ4" i="1"/>
  <c r="CIP4" i="1"/>
  <c r="CIO4" i="1"/>
  <c r="CIN4" i="1"/>
  <c r="CIM4" i="1"/>
  <c r="CIL4" i="1"/>
  <c r="CIK4" i="1"/>
  <c r="CIJ4" i="1"/>
  <c r="CII4" i="1"/>
  <c r="CIH4" i="1"/>
  <c r="CIG4" i="1"/>
  <c r="CIF4" i="1"/>
  <c r="CIE4" i="1"/>
  <c r="CID4" i="1"/>
  <c r="CIC4" i="1"/>
  <c r="CIB4" i="1"/>
  <c r="CIA4" i="1"/>
  <c r="CHZ4" i="1"/>
  <c r="CHY4" i="1"/>
  <c r="CHX4" i="1"/>
  <c r="CHW4" i="1"/>
  <c r="CHV4" i="1"/>
  <c r="CHU4" i="1"/>
  <c r="CHT4" i="1"/>
  <c r="CHS4" i="1"/>
  <c r="CHR4" i="1"/>
  <c r="CIP3" i="1" s="1"/>
  <c r="CHQ4" i="1"/>
  <c r="CHP4" i="1"/>
  <c r="CHO4" i="1"/>
  <c r="CHN4" i="1"/>
  <c r="CHM4" i="1"/>
  <c r="CHL4" i="1"/>
  <c r="CHK4" i="1"/>
  <c r="CHJ4" i="1"/>
  <c r="CHI4" i="1"/>
  <c r="CHH4" i="1"/>
  <c r="CHG4" i="1"/>
  <c r="CHF4" i="1"/>
  <c r="CHE4" i="1"/>
  <c r="CHD4" i="1"/>
  <c r="CHC4" i="1"/>
  <c r="CHB4" i="1"/>
  <c r="CHA4" i="1"/>
  <c r="CGZ4" i="1"/>
  <c r="CGY4" i="1"/>
  <c r="CGX4" i="1"/>
  <c r="CGW4" i="1"/>
  <c r="CGV4" i="1"/>
  <c r="CGU4" i="1"/>
  <c r="CGT4" i="1"/>
  <c r="CGS4" i="1"/>
  <c r="CGR4" i="1"/>
  <c r="CGQ4" i="1"/>
  <c r="CGP4" i="1"/>
  <c r="CGO4" i="1"/>
  <c r="CGN4" i="1"/>
  <c r="CGM4" i="1"/>
  <c r="CGL4" i="1"/>
  <c r="CGK4" i="1"/>
  <c r="CGJ4" i="1"/>
  <c r="CGI4" i="1"/>
  <c r="CGH4" i="1"/>
  <c r="CGG4" i="1"/>
  <c r="CGF4" i="1"/>
  <c r="CGE4" i="1"/>
  <c r="CGD4" i="1"/>
  <c r="CGC4" i="1"/>
  <c r="CGB4" i="1"/>
  <c r="CGA4" i="1"/>
  <c r="CFZ4" i="1"/>
  <c r="CFY4" i="1"/>
  <c r="CFX4" i="1"/>
  <c r="CFW4" i="1"/>
  <c r="CFV4" i="1"/>
  <c r="CFU4" i="1"/>
  <c r="CFT4" i="1"/>
  <c r="CFS4" i="1"/>
  <c r="CFR4" i="1"/>
  <c r="CFQ4" i="1"/>
  <c r="CFP4" i="1"/>
  <c r="CFO4" i="1"/>
  <c r="CFN4" i="1"/>
  <c r="CFM4" i="1"/>
  <c r="CFL4" i="1"/>
  <c r="CFK4" i="1"/>
  <c r="CFJ4" i="1"/>
  <c r="CFI4" i="1"/>
  <c r="CFH4" i="1"/>
  <c r="CFG4" i="1"/>
  <c r="CFF4" i="1"/>
  <c r="CFE4" i="1"/>
  <c r="CFD4" i="1"/>
  <c r="CFC4" i="1"/>
  <c r="CFB4" i="1"/>
  <c r="CFA4" i="1"/>
  <c r="CEZ4" i="1"/>
  <c r="CEY4" i="1"/>
  <c r="CEX4" i="1"/>
  <c r="CEW4" i="1"/>
  <c r="CEV4" i="1"/>
  <c r="CEU4" i="1"/>
  <c r="CET4" i="1"/>
  <c r="CES4" i="1"/>
  <c r="CER4" i="1"/>
  <c r="CEQ4" i="1"/>
  <c r="CEP4" i="1"/>
  <c r="CEO4" i="1"/>
  <c r="CEN4" i="1"/>
  <c r="CEM4" i="1"/>
  <c r="CEL4" i="1"/>
  <c r="CEK4" i="1"/>
  <c r="CEJ4" i="1"/>
  <c r="CEI4" i="1"/>
  <c r="CEH4" i="1"/>
  <c r="CEG4" i="1"/>
  <c r="CEF4" i="1"/>
  <c r="CEE4" i="1"/>
  <c r="CED4" i="1"/>
  <c r="CEC4" i="1"/>
  <c r="CFF3" i="1" s="1"/>
  <c r="CEB4" i="1"/>
  <c r="CEA4" i="1"/>
  <c r="CDZ4" i="1"/>
  <c r="CDY4" i="1"/>
  <c r="CDX4" i="1"/>
  <c r="CDW4" i="1"/>
  <c r="CDV4" i="1"/>
  <c r="CDU4" i="1"/>
  <c r="CDT4" i="1"/>
  <c r="CDS4" i="1"/>
  <c r="CDR4" i="1"/>
  <c r="CDQ4" i="1"/>
  <c r="CDP4" i="1"/>
  <c r="CDO4" i="1"/>
  <c r="CDN4" i="1"/>
  <c r="CDM4" i="1"/>
  <c r="CDL4" i="1"/>
  <c r="CDK4" i="1"/>
  <c r="CDJ4" i="1"/>
  <c r="CDI4" i="1"/>
  <c r="CDH4" i="1"/>
  <c r="CDG4" i="1"/>
  <c r="CDF4" i="1"/>
  <c r="CDE4" i="1"/>
  <c r="CDD4" i="1"/>
  <c r="CDC4" i="1"/>
  <c r="CDB4" i="1"/>
  <c r="CDA4" i="1"/>
  <c r="CCZ4" i="1"/>
  <c r="CCY4" i="1"/>
  <c r="CCX4" i="1"/>
  <c r="CDK3" i="1" s="1"/>
  <c r="CCW4" i="1"/>
  <c r="CCV4" i="1"/>
  <c r="CCU4" i="1"/>
  <c r="CCT4" i="1"/>
  <c r="CCS4" i="1"/>
  <c r="CCR4" i="1"/>
  <c r="CCQ4" i="1"/>
  <c r="CCP4" i="1"/>
  <c r="CCO4" i="1"/>
  <c r="CCN4" i="1"/>
  <c r="CCM4" i="1"/>
  <c r="CCL4" i="1"/>
  <c r="CCK4" i="1"/>
  <c r="CCJ4" i="1"/>
  <c r="CCI4" i="1"/>
  <c r="CCH4" i="1"/>
  <c r="CCG4" i="1"/>
  <c r="CCF4" i="1"/>
  <c r="CCE4" i="1"/>
  <c r="CCD4" i="1"/>
  <c r="CCC4" i="1"/>
  <c r="CCB4" i="1"/>
  <c r="CCA4" i="1"/>
  <c r="CBZ4" i="1"/>
  <c r="CBY4" i="1"/>
  <c r="CBX4" i="1"/>
  <c r="CBW4" i="1"/>
  <c r="CBV4" i="1"/>
  <c r="CBU4" i="1"/>
  <c r="CBT4" i="1"/>
  <c r="CBS4" i="1"/>
  <c r="CCS3" i="1" s="1"/>
  <c r="CBR4" i="1"/>
  <c r="CBQ4" i="1"/>
  <c r="CBP4" i="1"/>
  <c r="CBO4" i="1"/>
  <c r="CBN4" i="1"/>
  <c r="CBM4" i="1"/>
  <c r="CBL4" i="1"/>
  <c r="CBK4" i="1"/>
  <c r="CBJ4" i="1"/>
  <c r="CBI4" i="1"/>
  <c r="CBH4" i="1"/>
  <c r="CBG4" i="1"/>
  <c r="CBF4" i="1"/>
  <c r="CBE4" i="1"/>
  <c r="CBD4" i="1"/>
  <c r="CBC4" i="1"/>
  <c r="CBB4" i="1"/>
  <c r="CBA4" i="1"/>
  <c r="CAZ4" i="1"/>
  <c r="CAY4" i="1"/>
  <c r="CAX4" i="1"/>
  <c r="CAW4" i="1"/>
  <c r="CAV4" i="1"/>
  <c r="CAU4" i="1"/>
  <c r="CAT4" i="1"/>
  <c r="CAS4" i="1"/>
  <c r="CAR4" i="1"/>
  <c r="CAQ4" i="1"/>
  <c r="CAP4" i="1"/>
  <c r="CAO4" i="1"/>
  <c r="CAN4" i="1"/>
  <c r="CAM4" i="1"/>
  <c r="CAL4" i="1"/>
  <c r="CAK4" i="1"/>
  <c r="CAJ4" i="1"/>
  <c r="CAI4" i="1"/>
  <c r="CAH4" i="1"/>
  <c r="CAG4" i="1"/>
  <c r="CAF4" i="1"/>
  <c r="CAE4" i="1"/>
  <c r="CAD4" i="1"/>
  <c r="CAC4" i="1"/>
  <c r="CAB4" i="1"/>
  <c r="CAA4" i="1"/>
  <c r="BZZ4" i="1"/>
  <c r="BZY4" i="1"/>
  <c r="BZX4" i="1"/>
  <c r="BZW4" i="1"/>
  <c r="BZV4" i="1"/>
  <c r="BZU4" i="1"/>
  <c r="BZT4" i="1"/>
  <c r="BZS4" i="1"/>
  <c r="BZR4" i="1"/>
  <c r="BZQ4" i="1"/>
  <c r="BZP4" i="1"/>
  <c r="BZO4" i="1"/>
  <c r="BZN4" i="1"/>
  <c r="BZM4" i="1"/>
  <c r="BZL4" i="1"/>
  <c r="BZK4" i="1"/>
  <c r="BZJ4" i="1"/>
  <c r="BZI4" i="1"/>
  <c r="CAH3" i="1" s="1"/>
  <c r="BZH4" i="1"/>
  <c r="BZG4" i="1"/>
  <c r="BZF4" i="1"/>
  <c r="BZE4" i="1"/>
  <c r="BZD4" i="1"/>
  <c r="BZC4" i="1"/>
  <c r="BZB4" i="1"/>
  <c r="BZA4" i="1"/>
  <c r="BYZ4" i="1"/>
  <c r="BYY4" i="1"/>
  <c r="BYX4" i="1"/>
  <c r="BYW4" i="1"/>
  <c r="BYV4" i="1"/>
  <c r="BYU4" i="1"/>
  <c r="BYT4" i="1"/>
  <c r="BYS4" i="1"/>
  <c r="BYR4" i="1"/>
  <c r="BYQ4" i="1"/>
  <c r="BYP4" i="1"/>
  <c r="BYO4" i="1"/>
  <c r="BYN4" i="1"/>
  <c r="BYM4" i="1"/>
  <c r="BYL4" i="1"/>
  <c r="BYK4" i="1"/>
  <c r="BYJ4" i="1"/>
  <c r="BYI4" i="1"/>
  <c r="BYH4" i="1"/>
  <c r="BYG4" i="1"/>
  <c r="BYF4" i="1"/>
  <c r="BYE4" i="1"/>
  <c r="BYD4" i="1"/>
  <c r="BZE3" i="1" s="1"/>
  <c r="BYC4" i="1"/>
  <c r="BYB4" i="1"/>
  <c r="BYA4" i="1"/>
  <c r="BXZ4" i="1"/>
  <c r="BXY4" i="1"/>
  <c r="BXX4" i="1"/>
  <c r="BXW4" i="1"/>
  <c r="BXV4" i="1"/>
  <c r="BXU4" i="1"/>
  <c r="BXT4" i="1"/>
  <c r="BXS4" i="1"/>
  <c r="BXR4" i="1"/>
  <c r="BXQ4" i="1"/>
  <c r="BXP4" i="1"/>
  <c r="BXO4" i="1"/>
  <c r="BXN4" i="1"/>
  <c r="BXM4" i="1"/>
  <c r="BXL4" i="1"/>
  <c r="BXK4" i="1"/>
  <c r="BXJ4" i="1"/>
  <c r="BXI4" i="1"/>
  <c r="BXH4" i="1"/>
  <c r="BXG4" i="1"/>
  <c r="BXF4" i="1"/>
  <c r="BXE4" i="1"/>
  <c r="BXD4" i="1"/>
  <c r="BXC4" i="1"/>
  <c r="BXB4" i="1"/>
  <c r="BXA4" i="1"/>
  <c r="BWZ4" i="1"/>
  <c r="BWY4" i="1"/>
  <c r="BXY3" i="1" s="1"/>
  <c r="BWX4" i="1"/>
  <c r="BWW4" i="1"/>
  <c r="BWV4" i="1"/>
  <c r="BWU4" i="1"/>
  <c r="BWT4" i="1"/>
  <c r="BWS4" i="1"/>
  <c r="BWR4" i="1"/>
  <c r="BWQ4" i="1"/>
  <c r="BWP4" i="1"/>
  <c r="BWO4" i="1"/>
  <c r="BWN4" i="1"/>
  <c r="BWM4" i="1"/>
  <c r="BWL4" i="1"/>
  <c r="BWK4" i="1"/>
  <c r="BWJ4" i="1"/>
  <c r="BWI4" i="1"/>
  <c r="BWH4" i="1"/>
  <c r="BWG4" i="1"/>
  <c r="BWF4" i="1"/>
  <c r="BWE4" i="1"/>
  <c r="BWD4" i="1"/>
  <c r="BWC4" i="1"/>
  <c r="BWB4" i="1"/>
  <c r="BWA4" i="1"/>
  <c r="BVZ4" i="1"/>
  <c r="BVY4" i="1"/>
  <c r="BVX4" i="1"/>
  <c r="BVW4" i="1"/>
  <c r="BVV4" i="1"/>
  <c r="BVU4" i="1"/>
  <c r="BVT4" i="1"/>
  <c r="BWQ3" i="1" s="1"/>
  <c r="BVS4" i="1"/>
  <c r="BVR4" i="1"/>
  <c r="BVQ4" i="1"/>
  <c r="BVP4" i="1"/>
  <c r="BVO4" i="1"/>
  <c r="BVN4" i="1"/>
  <c r="BVM4" i="1"/>
  <c r="BVL4" i="1"/>
  <c r="BVK4" i="1"/>
  <c r="BVJ4" i="1"/>
  <c r="BVI4" i="1"/>
  <c r="BVH4" i="1"/>
  <c r="BVG4" i="1"/>
  <c r="BVF4" i="1"/>
  <c r="BVE4" i="1"/>
  <c r="BVD4" i="1"/>
  <c r="BVC4" i="1"/>
  <c r="BVB4" i="1"/>
  <c r="BVA4" i="1"/>
  <c r="BUZ4" i="1"/>
  <c r="BUY4" i="1"/>
  <c r="BUX4" i="1"/>
  <c r="BUW4" i="1"/>
  <c r="BUV4" i="1"/>
  <c r="BUU4" i="1"/>
  <c r="BUT4" i="1"/>
  <c r="BUS4" i="1"/>
  <c r="BUR4" i="1"/>
  <c r="BUQ4" i="1"/>
  <c r="BUP4" i="1"/>
  <c r="BUO4" i="1"/>
  <c r="BVS3" i="1" s="1"/>
  <c r="BUN4" i="1"/>
  <c r="BUM4" i="1"/>
  <c r="BUL4" i="1"/>
  <c r="BUK4" i="1"/>
  <c r="BUJ4" i="1"/>
  <c r="BUI4" i="1"/>
  <c r="BUH4" i="1"/>
  <c r="BUG4" i="1"/>
  <c r="BUF4" i="1"/>
  <c r="BUE4" i="1"/>
  <c r="BUD4" i="1"/>
  <c r="BUC4" i="1"/>
  <c r="BUB4" i="1"/>
  <c r="BUA4" i="1"/>
  <c r="BTZ4" i="1"/>
  <c r="BTY4" i="1"/>
  <c r="BTX4" i="1"/>
  <c r="BTW4" i="1"/>
  <c r="BTV4" i="1"/>
  <c r="BTU4" i="1"/>
  <c r="BTT4" i="1"/>
  <c r="BTS4" i="1"/>
  <c r="BTR4" i="1"/>
  <c r="BTQ4" i="1"/>
  <c r="BTP4" i="1"/>
  <c r="BTO4" i="1"/>
  <c r="BTN4" i="1"/>
  <c r="BTM4" i="1"/>
  <c r="BTL4" i="1"/>
  <c r="BTK4" i="1"/>
  <c r="BTJ4" i="1"/>
  <c r="BTI4" i="1"/>
  <c r="BTH4" i="1"/>
  <c r="BTG4" i="1"/>
  <c r="BTF4" i="1"/>
  <c r="BTE4" i="1"/>
  <c r="BTD4" i="1"/>
  <c r="BTC4" i="1"/>
  <c r="BTB4" i="1"/>
  <c r="BTA4" i="1"/>
  <c r="BSZ4" i="1"/>
  <c r="BSY4" i="1"/>
  <c r="BSX4" i="1"/>
  <c r="BSW4" i="1"/>
  <c r="BSV4" i="1"/>
  <c r="BSU4" i="1"/>
  <c r="BST4" i="1"/>
  <c r="BSS4" i="1"/>
  <c r="BSR4" i="1"/>
  <c r="BSQ4" i="1"/>
  <c r="BSP4" i="1"/>
  <c r="BSO4" i="1"/>
  <c r="BSN4" i="1"/>
  <c r="BSM4" i="1"/>
  <c r="BSL4" i="1"/>
  <c r="BSK4" i="1"/>
  <c r="BSJ4" i="1"/>
  <c r="BSI4" i="1"/>
  <c r="BSH4" i="1"/>
  <c r="BSG4" i="1"/>
  <c r="BSF4" i="1"/>
  <c r="BSE4" i="1"/>
  <c r="BSD4" i="1"/>
  <c r="BSC4" i="1"/>
  <c r="BSB4" i="1"/>
  <c r="BSA4" i="1"/>
  <c r="BRZ4" i="1"/>
  <c r="BRY4" i="1"/>
  <c r="BRX4" i="1"/>
  <c r="BRW4" i="1"/>
  <c r="BRV4" i="1"/>
  <c r="BRU4" i="1"/>
  <c r="BRT4" i="1"/>
  <c r="BRS4" i="1"/>
  <c r="BRR4" i="1"/>
  <c r="BRQ4" i="1"/>
  <c r="BRP4" i="1"/>
  <c r="BRO4" i="1"/>
  <c r="BRN4" i="1"/>
  <c r="BRM4" i="1"/>
  <c r="BRL4" i="1"/>
  <c r="BRK4" i="1"/>
  <c r="BRJ4" i="1"/>
  <c r="BRI4" i="1"/>
  <c r="BRH4" i="1"/>
  <c r="BRG4" i="1"/>
  <c r="BRF4" i="1"/>
  <c r="BRE4" i="1"/>
  <c r="BRD4" i="1"/>
  <c r="BRC4" i="1"/>
  <c r="BRB4" i="1"/>
  <c r="BRA4" i="1"/>
  <c r="BQZ4" i="1"/>
  <c r="BSD3" i="1" s="1"/>
  <c r="BQY4" i="1"/>
  <c r="BQX4" i="1"/>
  <c r="BQW4" i="1"/>
  <c r="BQV4" i="1"/>
  <c r="BQU4" i="1"/>
  <c r="BQT4" i="1"/>
  <c r="BQS4" i="1"/>
  <c r="BQR4" i="1"/>
  <c r="BQQ4" i="1"/>
  <c r="BQP4" i="1"/>
  <c r="BQO4" i="1"/>
  <c r="BQN4" i="1"/>
  <c r="BQM4" i="1"/>
  <c r="BQL4" i="1"/>
  <c r="BQK4" i="1"/>
  <c r="BQJ4" i="1"/>
  <c r="BQI4" i="1"/>
  <c r="BQH4" i="1"/>
  <c r="BQG4" i="1"/>
  <c r="BQF4" i="1"/>
  <c r="BQE4" i="1"/>
  <c r="BQD4" i="1"/>
  <c r="BQC4" i="1"/>
  <c r="BQB4" i="1"/>
  <c r="BQA4" i="1"/>
  <c r="BPZ4" i="1"/>
  <c r="BPY4" i="1"/>
  <c r="BPX4" i="1"/>
  <c r="BPW4" i="1"/>
  <c r="BPV4" i="1"/>
  <c r="BPU4" i="1"/>
  <c r="BQP3" i="1" s="1"/>
  <c r="BPT4" i="1"/>
  <c r="BPS4" i="1"/>
  <c r="BPR4" i="1"/>
  <c r="BPQ4" i="1"/>
  <c r="BPP4" i="1"/>
  <c r="BPO4" i="1"/>
  <c r="BPN4" i="1"/>
  <c r="BPM4" i="1"/>
  <c r="BPL4" i="1"/>
  <c r="BPK4" i="1"/>
  <c r="BPJ4" i="1"/>
  <c r="BPI4" i="1"/>
  <c r="BPH4" i="1"/>
  <c r="BPG4" i="1"/>
  <c r="BPF4" i="1"/>
  <c r="BPE4" i="1"/>
  <c r="BPD4" i="1"/>
  <c r="BPC4" i="1"/>
  <c r="BPB4" i="1"/>
  <c r="BPA4" i="1"/>
  <c r="BOZ4" i="1"/>
  <c r="BOY4" i="1"/>
  <c r="BOX4" i="1"/>
  <c r="BOW4" i="1"/>
  <c r="BOV4" i="1"/>
  <c r="BOU4" i="1"/>
  <c r="BOT4" i="1"/>
  <c r="BOS4" i="1"/>
  <c r="BOR4" i="1"/>
  <c r="BOQ4" i="1"/>
  <c r="BOP4" i="1"/>
  <c r="BPQ3" i="1" s="1"/>
  <c r="BOO4" i="1"/>
  <c r="BON4" i="1"/>
  <c r="BOM4" i="1"/>
  <c r="BOL4" i="1"/>
  <c r="BOK4" i="1"/>
  <c r="BOJ4" i="1"/>
  <c r="BOI4" i="1"/>
  <c r="BOH4" i="1"/>
  <c r="BOG4" i="1"/>
  <c r="BOF4" i="1"/>
  <c r="BOE4" i="1"/>
  <c r="BOD4" i="1"/>
  <c r="BOC4" i="1"/>
  <c r="BOB4" i="1"/>
  <c r="BOA4" i="1"/>
  <c r="BNZ4" i="1"/>
  <c r="BNY4" i="1"/>
  <c r="BNX4" i="1"/>
  <c r="BNW4" i="1"/>
  <c r="BNV4" i="1"/>
  <c r="BNU4" i="1"/>
  <c r="BNT4" i="1"/>
  <c r="BNS4" i="1"/>
  <c r="BNR4" i="1"/>
  <c r="BNQ4" i="1"/>
  <c r="BNP4" i="1"/>
  <c r="BNO4" i="1"/>
  <c r="BNN4" i="1"/>
  <c r="BNM4" i="1"/>
  <c r="BNL4" i="1"/>
  <c r="BNK4" i="1"/>
  <c r="BOO3" i="1" s="1"/>
  <c r="BNJ4" i="1"/>
  <c r="BNI4" i="1"/>
  <c r="BNH4" i="1"/>
  <c r="BNG4" i="1"/>
  <c r="BNF4" i="1"/>
  <c r="BNE4" i="1"/>
  <c r="BND4" i="1"/>
  <c r="BNC4" i="1"/>
  <c r="BNB4" i="1"/>
  <c r="BNA4" i="1"/>
  <c r="BMZ4" i="1"/>
  <c r="BMY4" i="1"/>
  <c r="BMX4" i="1"/>
  <c r="BMW4" i="1"/>
  <c r="BMV4" i="1"/>
  <c r="BMU4" i="1"/>
  <c r="BMT4" i="1"/>
  <c r="BMS4" i="1"/>
  <c r="BMR4" i="1"/>
  <c r="BMQ4" i="1"/>
  <c r="BMP4" i="1"/>
  <c r="BMO4" i="1"/>
  <c r="BMN4" i="1"/>
  <c r="BMM4" i="1"/>
  <c r="BML4" i="1"/>
  <c r="BMK4" i="1"/>
  <c r="BMJ4" i="1"/>
  <c r="BMI4" i="1"/>
  <c r="BMH4" i="1"/>
  <c r="BMG4" i="1"/>
  <c r="BMF4" i="1"/>
  <c r="BME4" i="1"/>
  <c r="BMD4" i="1"/>
  <c r="BMC4" i="1"/>
  <c r="BMB4" i="1"/>
  <c r="BMA4" i="1"/>
  <c r="BLZ4" i="1"/>
  <c r="BLY4" i="1"/>
  <c r="BLX4" i="1"/>
  <c r="BLW4" i="1"/>
  <c r="BLV4" i="1"/>
  <c r="BLU4" i="1"/>
  <c r="BLT4" i="1"/>
  <c r="BLS4" i="1"/>
  <c r="BLR4" i="1"/>
  <c r="BLQ4" i="1"/>
  <c r="BLP4" i="1"/>
  <c r="BLO4" i="1"/>
  <c r="BLN4" i="1"/>
  <c r="BLM4" i="1"/>
  <c r="BLL4" i="1"/>
  <c r="BLK4" i="1"/>
  <c r="BLJ4" i="1"/>
  <c r="BLI4" i="1"/>
  <c r="BLH4" i="1"/>
  <c r="BLG4" i="1"/>
  <c r="BLF4" i="1"/>
  <c r="BLE4" i="1"/>
  <c r="BLD4" i="1"/>
  <c r="BLC4" i="1"/>
  <c r="BLB4" i="1"/>
  <c r="BLA4" i="1"/>
  <c r="BMD3" i="1" s="1"/>
  <c r="BKZ4" i="1"/>
  <c r="BKY4" i="1"/>
  <c r="BKX4" i="1"/>
  <c r="BKW4" i="1"/>
  <c r="BKV4" i="1"/>
  <c r="BKU4" i="1"/>
  <c r="BKT4" i="1"/>
  <c r="BKS4" i="1"/>
  <c r="BKR4" i="1"/>
  <c r="BKQ4" i="1"/>
  <c r="BKP4" i="1"/>
  <c r="BKO4" i="1"/>
  <c r="BKN4" i="1"/>
  <c r="BKM4" i="1"/>
  <c r="BKL4" i="1"/>
  <c r="BKK4" i="1"/>
  <c r="BKJ4" i="1"/>
  <c r="BKI4" i="1"/>
  <c r="BKH4" i="1"/>
  <c r="BKG4" i="1"/>
  <c r="BKF4" i="1"/>
  <c r="BKE4" i="1"/>
  <c r="BKD4" i="1"/>
  <c r="BKC4" i="1"/>
  <c r="BKB4" i="1"/>
  <c r="BKA4" i="1"/>
  <c r="BJZ4" i="1"/>
  <c r="BJY4" i="1"/>
  <c r="BJX4" i="1"/>
  <c r="BJW4" i="1"/>
  <c r="BJV4" i="1"/>
  <c r="BJU4" i="1"/>
  <c r="BJT4" i="1"/>
  <c r="BJS4" i="1"/>
  <c r="BJR4" i="1"/>
  <c r="BJQ4" i="1"/>
  <c r="BJP4" i="1"/>
  <c r="BJO4" i="1"/>
  <c r="BJN4" i="1"/>
  <c r="BJM4" i="1"/>
  <c r="BJL4" i="1"/>
  <c r="BJK4" i="1"/>
  <c r="BJJ4" i="1"/>
  <c r="BJI4" i="1"/>
  <c r="BJH4" i="1"/>
  <c r="BJG4" i="1"/>
  <c r="BJF4" i="1"/>
  <c r="BJE4" i="1"/>
  <c r="BJD4" i="1"/>
  <c r="BJC4" i="1"/>
  <c r="BJB4" i="1"/>
  <c r="BJA4" i="1"/>
  <c r="BIZ4" i="1"/>
  <c r="BIY4" i="1"/>
  <c r="BIX4" i="1"/>
  <c r="BIW4" i="1"/>
  <c r="BIV4" i="1"/>
  <c r="BIU4" i="1"/>
  <c r="BIT4" i="1"/>
  <c r="BIS4" i="1"/>
  <c r="BIR4" i="1"/>
  <c r="BIQ4" i="1"/>
  <c r="BJT3" i="1" s="1"/>
  <c r="BIP4" i="1"/>
  <c r="BIO4" i="1"/>
  <c r="BIN4" i="1"/>
  <c r="BIM4" i="1"/>
  <c r="BIL4" i="1"/>
  <c r="BIK4" i="1"/>
  <c r="BIJ4" i="1"/>
  <c r="BII4" i="1"/>
  <c r="BIH4" i="1"/>
  <c r="BIG4" i="1"/>
  <c r="BIF4" i="1"/>
  <c r="BIE4" i="1"/>
  <c r="BID4" i="1"/>
  <c r="BIC4" i="1"/>
  <c r="BIB4" i="1"/>
  <c r="BIA4" i="1"/>
  <c r="BHZ4" i="1"/>
  <c r="BHY4" i="1"/>
  <c r="BHX4" i="1"/>
  <c r="BHW4" i="1"/>
  <c r="BHV4" i="1"/>
  <c r="BHU4" i="1"/>
  <c r="BHT4" i="1"/>
  <c r="BHS4" i="1"/>
  <c r="BHR4" i="1"/>
  <c r="BHQ4" i="1"/>
  <c r="BHP4" i="1"/>
  <c r="BHO4" i="1"/>
  <c r="BHN4" i="1"/>
  <c r="BHM4" i="1"/>
  <c r="BHL4" i="1"/>
  <c r="BIM3" i="1" s="1"/>
  <c r="BHK4" i="1"/>
  <c r="BHJ4" i="1"/>
  <c r="BHI4" i="1"/>
  <c r="BHH4" i="1"/>
  <c r="BHG4" i="1"/>
  <c r="BHF4" i="1"/>
  <c r="BHE4" i="1"/>
  <c r="BHD4" i="1"/>
  <c r="BHC4" i="1"/>
  <c r="BHB4" i="1"/>
  <c r="BHA4" i="1"/>
  <c r="BGZ4" i="1"/>
  <c r="BGY4" i="1"/>
  <c r="BGX4" i="1"/>
  <c r="BGW4" i="1"/>
  <c r="BGV4" i="1"/>
  <c r="BGU4" i="1"/>
  <c r="BGT4" i="1"/>
  <c r="BGS4" i="1"/>
  <c r="BGR4" i="1"/>
  <c r="BGQ4" i="1"/>
  <c r="BGP4" i="1"/>
  <c r="BGO4" i="1"/>
  <c r="BGN4" i="1"/>
  <c r="BGM4" i="1"/>
  <c r="BGL4" i="1"/>
  <c r="BGK4" i="1"/>
  <c r="BGJ4" i="1"/>
  <c r="BGI4" i="1"/>
  <c r="BGH4" i="1"/>
  <c r="BGG4" i="1"/>
  <c r="BGF4" i="1"/>
  <c r="BGE4" i="1"/>
  <c r="BGD4" i="1"/>
  <c r="BGC4" i="1"/>
  <c r="BGB4" i="1"/>
  <c r="BGA4" i="1"/>
  <c r="BFZ4" i="1"/>
  <c r="BFY4" i="1"/>
  <c r="BFX4" i="1"/>
  <c r="BFW4" i="1"/>
  <c r="BFV4" i="1"/>
  <c r="BFU4" i="1"/>
  <c r="BFT4" i="1"/>
  <c r="BFS4" i="1"/>
  <c r="BFR4" i="1"/>
  <c r="BFQ4" i="1"/>
  <c r="BFP4" i="1"/>
  <c r="BFO4" i="1"/>
  <c r="BFN4" i="1"/>
  <c r="BFM4" i="1"/>
  <c r="BFL4" i="1"/>
  <c r="BFK4" i="1"/>
  <c r="BFJ4" i="1"/>
  <c r="BFI4" i="1"/>
  <c r="BFH4" i="1"/>
  <c r="BFG4" i="1"/>
  <c r="BFF4" i="1"/>
  <c r="BFE4" i="1"/>
  <c r="BFD4" i="1"/>
  <c r="BFC4" i="1"/>
  <c r="BFB4" i="1"/>
  <c r="BGD3" i="1" s="1"/>
  <c r="BFA4" i="1"/>
  <c r="BEZ4" i="1"/>
  <c r="BEY4" i="1"/>
  <c r="BEX4" i="1"/>
  <c r="BEW4" i="1"/>
  <c r="BEV4" i="1"/>
  <c r="BEU4" i="1"/>
  <c r="BET4" i="1"/>
  <c r="BES4" i="1"/>
  <c r="BER4" i="1"/>
  <c r="BEQ4" i="1"/>
  <c r="BEP4" i="1"/>
  <c r="BEO4" i="1"/>
  <c r="BEN4" i="1"/>
  <c r="BEM4" i="1"/>
  <c r="BEL4" i="1"/>
  <c r="BEK4" i="1"/>
  <c r="BEJ4" i="1"/>
  <c r="BEI4" i="1"/>
  <c r="BEH4" i="1"/>
  <c r="BEG4" i="1"/>
  <c r="BEF4" i="1"/>
  <c r="BEE4" i="1"/>
  <c r="BED4" i="1"/>
  <c r="BEC4" i="1"/>
  <c r="BEB4" i="1"/>
  <c r="BEA4" i="1"/>
  <c r="BDZ4" i="1"/>
  <c r="BDY4" i="1"/>
  <c r="BDX4" i="1"/>
  <c r="BDW4" i="1"/>
  <c r="BEZ3" i="1" s="1"/>
  <c r="BDV4" i="1"/>
  <c r="BDU4" i="1"/>
  <c r="BDT4" i="1"/>
  <c r="BDS4" i="1"/>
  <c r="BDR4" i="1"/>
  <c r="BDQ4" i="1"/>
  <c r="BDP4" i="1"/>
  <c r="BDO4" i="1"/>
  <c r="BDN4" i="1"/>
  <c r="BDM4" i="1"/>
  <c r="BDL4" i="1"/>
  <c r="BDK4" i="1"/>
  <c r="BDJ4" i="1"/>
  <c r="BDI4" i="1"/>
  <c r="BDH4" i="1"/>
  <c r="BDG4" i="1"/>
  <c r="BDF4" i="1"/>
  <c r="BDE4" i="1"/>
  <c r="BDD4" i="1"/>
  <c r="BDC4" i="1"/>
  <c r="BDB4" i="1"/>
  <c r="BDA4" i="1"/>
  <c r="BCZ4" i="1"/>
  <c r="BCY4" i="1"/>
  <c r="BCX4" i="1"/>
  <c r="BCW4" i="1"/>
  <c r="BCV4" i="1"/>
  <c r="BCU4" i="1"/>
  <c r="BCT4" i="1"/>
  <c r="BCS4" i="1"/>
  <c r="BCR4" i="1"/>
  <c r="BDT3" i="1" s="1"/>
  <c r="BCQ4" i="1"/>
  <c r="BCP4" i="1"/>
  <c r="BCO4" i="1"/>
  <c r="BCN4" i="1"/>
  <c r="BCM4" i="1"/>
  <c r="BCL4" i="1"/>
  <c r="BCK4" i="1"/>
  <c r="BCJ4" i="1"/>
  <c r="BCI4" i="1"/>
  <c r="BCH4" i="1"/>
  <c r="BCG4" i="1"/>
  <c r="BCF4" i="1"/>
  <c r="BCE4" i="1"/>
  <c r="BCD4" i="1"/>
  <c r="BCC4" i="1"/>
  <c r="BCB4" i="1"/>
  <c r="BCA4" i="1"/>
  <c r="BBZ4" i="1"/>
  <c r="BBY4" i="1"/>
  <c r="BBX4" i="1"/>
  <c r="BBW4" i="1"/>
  <c r="BBV4" i="1"/>
  <c r="BBU4" i="1"/>
  <c r="BBT4" i="1"/>
  <c r="BBS4" i="1"/>
  <c r="BBR4" i="1"/>
  <c r="BBQ4" i="1"/>
  <c r="BBP4" i="1"/>
  <c r="BBO4" i="1"/>
  <c r="BBN4" i="1"/>
  <c r="BBM4" i="1"/>
  <c r="BCO3" i="1" s="1"/>
  <c r="BBL4" i="1"/>
  <c r="BBK4" i="1"/>
  <c r="BBJ4" i="1"/>
  <c r="BBI4" i="1"/>
  <c r="BBH4" i="1"/>
  <c r="BBG4" i="1"/>
  <c r="BBF4" i="1"/>
  <c r="BBE4" i="1"/>
  <c r="BBD4" i="1"/>
  <c r="BBC4" i="1"/>
  <c r="BBB4" i="1"/>
  <c r="BBA4" i="1"/>
  <c r="BAZ4" i="1"/>
  <c r="BAY4" i="1"/>
  <c r="BAX4" i="1"/>
  <c r="BAW4" i="1"/>
  <c r="BAV4" i="1"/>
  <c r="BAU4" i="1"/>
  <c r="BAT4" i="1"/>
  <c r="BAS4" i="1"/>
  <c r="BAR4" i="1"/>
  <c r="BAQ4" i="1"/>
  <c r="BAP4" i="1"/>
  <c r="BAO4" i="1"/>
  <c r="BAN4" i="1"/>
  <c r="BAM4" i="1"/>
  <c r="BAL4" i="1"/>
  <c r="BAK4" i="1"/>
  <c r="BAJ4" i="1"/>
  <c r="BAI4" i="1"/>
  <c r="BAH4" i="1"/>
  <c r="BBF3" i="1" s="1"/>
  <c r="BAG4" i="1"/>
  <c r="BAF4" i="1"/>
  <c r="BAE4" i="1"/>
  <c r="BAD4" i="1"/>
  <c r="BAC4" i="1"/>
  <c r="BAB4" i="1"/>
  <c r="BAA4" i="1"/>
  <c r="AZZ4" i="1"/>
  <c r="AZY4" i="1"/>
  <c r="AZX4" i="1"/>
  <c r="AZW4" i="1"/>
  <c r="AZV4" i="1"/>
  <c r="AZU4" i="1"/>
  <c r="AZT4" i="1"/>
  <c r="AZS4" i="1"/>
  <c r="AZR4" i="1"/>
  <c r="AZQ4" i="1"/>
  <c r="AZP4" i="1"/>
  <c r="AZO4" i="1"/>
  <c r="AZN4" i="1"/>
  <c r="AZM4" i="1"/>
  <c r="AZL4" i="1"/>
  <c r="AZK4" i="1"/>
  <c r="AZJ4" i="1"/>
  <c r="AZI4" i="1"/>
  <c r="AZH4" i="1"/>
  <c r="AZG4" i="1"/>
  <c r="AZF4" i="1"/>
  <c r="AZE4" i="1"/>
  <c r="AZD4" i="1"/>
  <c r="AZC4" i="1"/>
  <c r="BAE3" i="1" s="1"/>
  <c r="AZB4" i="1"/>
  <c r="AZA4" i="1"/>
  <c r="AYZ4" i="1"/>
  <c r="AYY4" i="1"/>
  <c r="AYX4" i="1"/>
  <c r="AYW4" i="1"/>
  <c r="AYV4" i="1"/>
  <c r="AYU4" i="1"/>
  <c r="AYT4" i="1"/>
  <c r="AYS4" i="1"/>
  <c r="AYR4" i="1"/>
  <c r="AYQ4" i="1"/>
  <c r="AYP4" i="1"/>
  <c r="AYO4" i="1"/>
  <c r="AYN4" i="1"/>
  <c r="AYM4" i="1"/>
  <c r="AYL4" i="1"/>
  <c r="AYK4" i="1"/>
  <c r="AYJ4" i="1"/>
  <c r="AYI4" i="1"/>
  <c r="AYH4" i="1"/>
  <c r="AYG4" i="1"/>
  <c r="AYF4" i="1"/>
  <c r="AYE4" i="1"/>
  <c r="AYD4" i="1"/>
  <c r="AYC4" i="1"/>
  <c r="AYB4" i="1"/>
  <c r="AYA4" i="1"/>
  <c r="AXZ4" i="1"/>
  <c r="AXY4" i="1"/>
  <c r="AXX4" i="1"/>
  <c r="AZA3" i="1" s="1"/>
  <c r="AXW4" i="1"/>
  <c r="AXV4" i="1"/>
  <c r="AXU4" i="1"/>
  <c r="AXT4" i="1"/>
  <c r="AXS4" i="1"/>
  <c r="AXR4" i="1"/>
  <c r="AXQ4" i="1"/>
  <c r="AXP4" i="1"/>
  <c r="AXO4" i="1"/>
  <c r="AXN4" i="1"/>
  <c r="AXM4" i="1"/>
  <c r="AXL4" i="1"/>
  <c r="AXK4" i="1"/>
  <c r="AXJ4" i="1"/>
  <c r="AXI4" i="1"/>
  <c r="AXH4" i="1"/>
  <c r="AXG4" i="1"/>
  <c r="AXF4" i="1"/>
  <c r="AXE4" i="1"/>
  <c r="AXD4" i="1"/>
  <c r="AXC4" i="1"/>
  <c r="AXB4" i="1"/>
  <c r="AXA4" i="1"/>
  <c r="AWZ4" i="1"/>
  <c r="AWY4" i="1"/>
  <c r="AWX4" i="1"/>
  <c r="AWW4" i="1"/>
  <c r="AWV4" i="1"/>
  <c r="AWU4" i="1"/>
  <c r="AWT4" i="1"/>
  <c r="AWS4" i="1"/>
  <c r="AWX3" i="1" s="1"/>
  <c r="CRA3" i="1"/>
  <c r="CQS3" i="1"/>
  <c r="CQK3" i="1"/>
  <c r="CQC3" i="1"/>
  <c r="CPW3" i="1"/>
  <c r="CPU3" i="1"/>
  <c r="CPT3" i="1"/>
  <c r="CPO3" i="1"/>
  <c r="CPM3" i="1"/>
  <c r="CPL3" i="1"/>
  <c r="CPG3" i="1"/>
  <c r="CPE3" i="1"/>
  <c r="CPD3" i="1"/>
  <c r="COY3" i="1"/>
  <c r="COW3" i="1"/>
  <c r="COO3" i="1"/>
  <c r="COG3" i="1"/>
  <c r="CNY3" i="1"/>
  <c r="CMK3" i="1"/>
  <c r="CMJ3" i="1"/>
  <c r="CMI3" i="1"/>
  <c r="CMH3" i="1"/>
  <c r="CMG3" i="1"/>
  <c r="CMF3" i="1"/>
  <c r="CME3" i="1"/>
  <c r="CMD3" i="1"/>
  <c r="CMC3" i="1"/>
  <c r="CMB3" i="1"/>
  <c r="CMA3" i="1"/>
  <c r="CLZ3" i="1"/>
  <c r="CLY3" i="1"/>
  <c r="CLX3" i="1"/>
  <c r="CLW3" i="1"/>
  <c r="CLV3" i="1"/>
  <c r="CLU3" i="1"/>
  <c r="CLT3" i="1"/>
  <c r="CLS3" i="1"/>
  <c r="CLR3" i="1"/>
  <c r="CLQ3" i="1"/>
  <c r="CLP3" i="1"/>
  <c r="CLO3" i="1"/>
  <c r="CLN3" i="1"/>
  <c r="CLM3" i="1"/>
  <c r="CLL3" i="1"/>
  <c r="CLK3" i="1"/>
  <c r="CLJ3" i="1"/>
  <c r="CLI3" i="1"/>
  <c r="CLH3" i="1"/>
  <c r="CLD3" i="1"/>
  <c r="CKV3" i="1"/>
  <c r="CKN3" i="1"/>
  <c r="CKF3" i="1"/>
  <c r="CHQ3" i="1"/>
  <c r="CHP3" i="1"/>
  <c r="CHO3" i="1"/>
  <c r="CHN3" i="1"/>
  <c r="CHM3" i="1"/>
  <c r="CHL3" i="1"/>
  <c r="CHK3" i="1"/>
  <c r="CHJ3" i="1"/>
  <c r="CHI3" i="1"/>
  <c r="CHH3" i="1"/>
  <c r="CHG3" i="1"/>
  <c r="CHF3" i="1"/>
  <c r="CHE3" i="1"/>
  <c r="CHD3" i="1"/>
  <c r="CHC3" i="1"/>
  <c r="CHB3" i="1"/>
  <c r="CHA3" i="1"/>
  <c r="CGZ3" i="1"/>
  <c r="CGY3" i="1"/>
  <c r="CGX3" i="1"/>
  <c r="CGW3" i="1"/>
  <c r="CGV3" i="1"/>
  <c r="CGU3" i="1"/>
  <c r="CGT3" i="1"/>
  <c r="CGS3" i="1"/>
  <c r="CGR3" i="1"/>
  <c r="CGQ3" i="1"/>
  <c r="CGP3" i="1"/>
  <c r="CGO3" i="1"/>
  <c r="CGN3" i="1"/>
  <c r="CGL3" i="1"/>
  <c r="CGK3" i="1"/>
  <c r="CGJ3" i="1"/>
  <c r="CGI3" i="1"/>
  <c r="CGH3" i="1"/>
  <c r="CGG3" i="1"/>
  <c r="CGF3" i="1"/>
  <c r="CGE3" i="1"/>
  <c r="CGD3" i="1"/>
  <c r="CGC3" i="1"/>
  <c r="CGB3" i="1"/>
  <c r="CGA3" i="1"/>
  <c r="CFZ3" i="1"/>
  <c r="CFY3" i="1"/>
  <c r="CFX3" i="1"/>
  <c r="CFW3" i="1"/>
  <c r="CFV3" i="1"/>
  <c r="CFU3" i="1"/>
  <c r="CFT3" i="1"/>
  <c r="CFS3" i="1"/>
  <c r="CFR3" i="1"/>
  <c r="CFQ3" i="1"/>
  <c r="CFP3" i="1"/>
  <c r="CFO3" i="1"/>
  <c r="CFN3" i="1"/>
  <c r="CFM3" i="1"/>
  <c r="CFL3" i="1"/>
  <c r="CFK3" i="1"/>
  <c r="CFJ3" i="1"/>
  <c r="CFI3" i="1"/>
  <c r="CFC3" i="1"/>
  <c r="CEU3" i="1"/>
  <c r="CEM3" i="1"/>
  <c r="CEE3" i="1"/>
  <c r="CDS3" i="1"/>
  <c r="CCU3" i="1"/>
  <c r="CCR3" i="1"/>
  <c r="CCQ3" i="1"/>
  <c r="CCM3" i="1"/>
  <c r="CCJ3" i="1"/>
  <c r="CCI3" i="1"/>
  <c r="CCE3" i="1"/>
  <c r="CCB3" i="1"/>
  <c r="CCA3" i="1"/>
  <c r="CBW3" i="1"/>
  <c r="CBT3" i="1"/>
  <c r="CBR3" i="1"/>
  <c r="CBQ3" i="1"/>
  <c r="CBP3" i="1"/>
  <c r="CBO3" i="1"/>
  <c r="CBN3" i="1"/>
  <c r="CBM3" i="1"/>
  <c r="CBL3" i="1"/>
  <c r="CBK3" i="1"/>
  <c r="CBJ3" i="1"/>
  <c r="CBI3" i="1"/>
  <c r="CBH3" i="1"/>
  <c r="CBG3" i="1"/>
  <c r="CBF3" i="1"/>
  <c r="CBE3" i="1"/>
  <c r="CBD3" i="1"/>
  <c r="CBC3" i="1"/>
  <c r="CBB3" i="1"/>
  <c r="CBA3" i="1"/>
  <c r="CAZ3" i="1"/>
  <c r="CAY3" i="1"/>
  <c r="CAX3" i="1"/>
  <c r="CAW3" i="1"/>
  <c r="CAV3" i="1"/>
  <c r="CAU3" i="1"/>
  <c r="CAT3" i="1"/>
  <c r="CAS3" i="1"/>
  <c r="CAR3" i="1"/>
  <c r="CAQ3" i="1"/>
  <c r="CAP3" i="1"/>
  <c r="CAO3" i="1"/>
  <c r="BYJ3" i="1"/>
  <c r="BYA3" i="1"/>
  <c r="BXC3" i="1"/>
  <c r="BWX3" i="1"/>
  <c r="BWW3" i="1"/>
  <c r="BWS3" i="1"/>
  <c r="BWP3" i="1"/>
  <c r="BWO3" i="1"/>
  <c r="BWK3" i="1"/>
  <c r="BWH3" i="1"/>
  <c r="BWG3" i="1"/>
  <c r="BWC3" i="1"/>
  <c r="BVZ3" i="1"/>
  <c r="BVY3" i="1"/>
  <c r="BVU3" i="1"/>
  <c r="BVD3" i="1"/>
  <c r="BTI3" i="1"/>
  <c r="BTH3" i="1"/>
  <c r="BTG3" i="1"/>
  <c r="BTF3" i="1"/>
  <c r="BTE3" i="1"/>
  <c r="BTD3" i="1"/>
  <c r="BTC3" i="1"/>
  <c r="BTB3" i="1"/>
  <c r="BTA3" i="1"/>
  <c r="BSZ3" i="1"/>
  <c r="BSY3" i="1"/>
  <c r="BSX3" i="1"/>
  <c r="BSW3" i="1"/>
  <c r="BSV3" i="1"/>
  <c r="BSU3" i="1"/>
  <c r="BST3" i="1"/>
  <c r="BSS3" i="1"/>
  <c r="BSR3" i="1"/>
  <c r="BSQ3" i="1"/>
  <c r="BSP3" i="1"/>
  <c r="BSO3" i="1"/>
  <c r="BSN3" i="1"/>
  <c r="BSM3" i="1"/>
  <c r="BSL3" i="1"/>
  <c r="BSK3" i="1"/>
  <c r="BSJ3" i="1"/>
  <c r="BSI3" i="1"/>
  <c r="BSH3" i="1"/>
  <c r="BSG3" i="1"/>
  <c r="BSF3" i="1"/>
  <c r="BRP3" i="1"/>
  <c r="BRE3" i="1"/>
  <c r="BPC3" i="1"/>
  <c r="BOL3" i="1"/>
  <c r="BOJ3" i="1"/>
  <c r="BOA3" i="1"/>
  <c r="BNZ3" i="1"/>
  <c r="BNP3" i="1"/>
  <c r="BNO3" i="1"/>
  <c r="BNJ3" i="1"/>
  <c r="BNI3" i="1"/>
  <c r="BNH3" i="1"/>
  <c r="BNG3" i="1"/>
  <c r="BNF3" i="1"/>
  <c r="BNE3" i="1"/>
  <c r="BND3" i="1"/>
  <c r="BNC3" i="1"/>
  <c r="BNB3" i="1"/>
  <c r="BNA3" i="1"/>
  <c r="BMZ3" i="1"/>
  <c r="BMY3" i="1"/>
  <c r="BMX3" i="1"/>
  <c r="BMW3" i="1"/>
  <c r="BMV3" i="1"/>
  <c r="BMU3" i="1"/>
  <c r="BMT3" i="1"/>
  <c r="BMS3" i="1"/>
  <c r="BMR3" i="1"/>
  <c r="BMQ3" i="1"/>
  <c r="BMP3" i="1"/>
  <c r="BMO3" i="1"/>
  <c r="BMN3" i="1"/>
  <c r="BMM3" i="1"/>
  <c r="BML3" i="1"/>
  <c r="BMK3" i="1"/>
  <c r="BMJ3" i="1"/>
  <c r="BMI3" i="1"/>
  <c r="BMH3" i="1"/>
  <c r="BMG3" i="1"/>
  <c r="BMB3" i="1"/>
  <c r="BLG3" i="1"/>
  <c r="AWR4" i="1"/>
  <c r="AWQ4" i="1"/>
  <c r="AWP4" i="1"/>
  <c r="AWO4" i="1"/>
  <c r="AWN4" i="1"/>
  <c r="AWM4" i="1"/>
  <c r="AWL4" i="1"/>
  <c r="AWK4" i="1"/>
  <c r="AWJ4" i="1"/>
  <c r="AWI4" i="1"/>
  <c r="AWH4" i="1"/>
  <c r="AWG4" i="1"/>
  <c r="AWF4" i="1"/>
  <c r="AWE4" i="1"/>
  <c r="AWD4" i="1"/>
  <c r="AWC4" i="1"/>
  <c r="AWB4" i="1"/>
  <c r="AWA4" i="1"/>
  <c r="AVZ4" i="1"/>
  <c r="AVY4" i="1"/>
  <c r="AVX4" i="1"/>
  <c r="AVW4" i="1"/>
  <c r="AVV4" i="1"/>
  <c r="AVU4" i="1"/>
  <c r="AVT4" i="1"/>
  <c r="AVS4" i="1"/>
  <c r="AVR4" i="1"/>
  <c r="AVQ4" i="1"/>
  <c r="AVP4" i="1"/>
  <c r="AVO4" i="1"/>
  <c r="AVN4" i="1"/>
  <c r="AWP3" i="1" s="1"/>
  <c r="AVM4" i="1"/>
  <c r="AVL4" i="1"/>
  <c r="AVK4" i="1"/>
  <c r="AVJ4" i="1"/>
  <c r="AVI4" i="1"/>
  <c r="AVH4" i="1"/>
  <c r="AVG4" i="1"/>
  <c r="AVF4" i="1"/>
  <c r="AVE4" i="1"/>
  <c r="AVD4" i="1"/>
  <c r="AVC4" i="1"/>
  <c r="AVB4" i="1"/>
  <c r="AVA4" i="1"/>
  <c r="AUZ4" i="1"/>
  <c r="AUY4" i="1"/>
  <c r="AUX4" i="1"/>
  <c r="AUW4" i="1"/>
  <c r="AUV4" i="1"/>
  <c r="AUU4" i="1"/>
  <c r="AUT4" i="1"/>
  <c r="AUS4" i="1"/>
  <c r="AUR4" i="1"/>
  <c r="AUQ4" i="1"/>
  <c r="AUP4" i="1"/>
  <c r="AUO4" i="1"/>
  <c r="AUN4" i="1"/>
  <c r="AUM4" i="1"/>
  <c r="AUL4" i="1"/>
  <c r="AUK4" i="1"/>
  <c r="AUJ4" i="1"/>
  <c r="AUI4" i="1"/>
  <c r="AUX3" i="1" s="1"/>
  <c r="AUH4" i="1"/>
  <c r="AUG4" i="1"/>
  <c r="AUF4" i="1"/>
  <c r="AUE4" i="1"/>
  <c r="AUD4" i="1"/>
  <c r="AUC4" i="1"/>
  <c r="AUB4" i="1"/>
  <c r="AUA4" i="1"/>
  <c r="ATZ4" i="1"/>
  <c r="ATY4" i="1"/>
  <c r="ATX4" i="1"/>
  <c r="ATW4" i="1"/>
  <c r="ATV4" i="1"/>
  <c r="ATU4" i="1"/>
  <c r="ATT4" i="1"/>
  <c r="ATS4" i="1"/>
  <c r="ATR4" i="1"/>
  <c r="ATQ4" i="1"/>
  <c r="ATP4" i="1"/>
  <c r="ATO4" i="1"/>
  <c r="ATN4" i="1"/>
  <c r="ATM4" i="1"/>
  <c r="ATL4" i="1"/>
  <c r="ATK4" i="1"/>
  <c r="ATJ4" i="1"/>
  <c r="ATI4" i="1"/>
  <c r="ATH4" i="1"/>
  <c r="ATG4" i="1"/>
  <c r="ATF4" i="1"/>
  <c r="ATE4" i="1"/>
  <c r="ATD4" i="1"/>
  <c r="AUH3" i="1" s="1"/>
  <c r="ATC4" i="1"/>
  <c r="ATB4" i="1"/>
  <c r="ATA4" i="1"/>
  <c r="ASZ4" i="1"/>
  <c r="ASY4" i="1"/>
  <c r="ASX4" i="1"/>
  <c r="ASW4" i="1"/>
  <c r="ASV4" i="1"/>
  <c r="ASU4" i="1"/>
  <c r="AST4" i="1"/>
  <c r="ASS4" i="1"/>
  <c r="ASR4" i="1"/>
  <c r="ASQ4" i="1"/>
  <c r="ASP4" i="1"/>
  <c r="ASO4" i="1"/>
  <c r="ASN4" i="1"/>
  <c r="ASM4" i="1"/>
  <c r="ASL4" i="1"/>
  <c r="ASK4" i="1"/>
  <c r="ASJ4" i="1"/>
  <c r="ASI4" i="1"/>
  <c r="ASH4" i="1"/>
  <c r="ASG4" i="1"/>
  <c r="ASF4" i="1"/>
  <c r="ASE4" i="1"/>
  <c r="ASD4" i="1"/>
  <c r="ASC4" i="1"/>
  <c r="ASB4" i="1"/>
  <c r="ASA4" i="1"/>
  <c r="ARZ4" i="1"/>
  <c r="ARY4" i="1"/>
  <c r="ASZ3" i="1" s="1"/>
  <c r="ARX4" i="1"/>
  <c r="ARW4" i="1"/>
  <c r="ARV4" i="1"/>
  <c r="ARU4" i="1"/>
  <c r="ART4" i="1"/>
  <c r="ARS4" i="1"/>
  <c r="ARR4" i="1"/>
  <c r="ARQ4" i="1"/>
  <c r="ARP4" i="1"/>
  <c r="ARO4" i="1"/>
  <c r="ARN4" i="1"/>
  <c r="ARM4" i="1"/>
  <c r="ARL4" i="1"/>
  <c r="ARK4" i="1"/>
  <c r="ARJ4" i="1"/>
  <c r="ARI4" i="1"/>
  <c r="ARH4" i="1"/>
  <c r="ARG4" i="1"/>
  <c r="ARF4" i="1"/>
  <c r="ARE4" i="1"/>
  <c r="ARD4" i="1"/>
  <c r="ARC4" i="1"/>
  <c r="ARB4" i="1"/>
  <c r="ARA4" i="1"/>
  <c r="AQZ4" i="1"/>
  <c r="AQY4" i="1"/>
  <c r="AQX4" i="1"/>
  <c r="AQW4" i="1"/>
  <c r="AQV4" i="1"/>
  <c r="AQU4" i="1"/>
  <c r="AQT4" i="1"/>
  <c r="AQY3" i="1" s="1"/>
  <c r="AQS4" i="1"/>
  <c r="AQR4" i="1"/>
  <c r="AQQ4" i="1"/>
  <c r="AQP4" i="1"/>
  <c r="AQO4" i="1"/>
  <c r="AQN4" i="1"/>
  <c r="AQM4" i="1"/>
  <c r="AQL4" i="1"/>
  <c r="AQK4" i="1"/>
  <c r="AQJ4" i="1"/>
  <c r="AQI4" i="1"/>
  <c r="AQH4" i="1"/>
  <c r="AQG4" i="1"/>
  <c r="AQF4" i="1"/>
  <c r="AQE4" i="1"/>
  <c r="AQD4" i="1"/>
  <c r="AQC4" i="1"/>
  <c r="AQB4" i="1"/>
  <c r="AQA4" i="1"/>
  <c r="APZ4" i="1"/>
  <c r="APY4" i="1"/>
  <c r="APX4" i="1"/>
  <c r="APW4" i="1"/>
  <c r="APV4" i="1"/>
  <c r="APU4" i="1"/>
  <c r="APT4" i="1"/>
  <c r="APS4" i="1"/>
  <c r="APR4" i="1"/>
  <c r="APQ4" i="1"/>
  <c r="APP4" i="1"/>
  <c r="APO4" i="1"/>
  <c r="AQQ3" i="1" s="1"/>
  <c r="APN4" i="1"/>
  <c r="APM4" i="1"/>
  <c r="APL4" i="1"/>
  <c r="APK4" i="1"/>
  <c r="APJ4" i="1"/>
  <c r="API4" i="1"/>
  <c r="APH4" i="1"/>
  <c r="APG4" i="1"/>
  <c r="APF4" i="1"/>
  <c r="APE4" i="1"/>
  <c r="APD4" i="1"/>
  <c r="APC4" i="1"/>
  <c r="APB4" i="1"/>
  <c r="APA4" i="1"/>
  <c r="AOZ4" i="1"/>
  <c r="AOY4" i="1"/>
  <c r="AOX4" i="1"/>
  <c r="AOW4" i="1"/>
  <c r="AOV4" i="1"/>
  <c r="AOU4" i="1"/>
  <c r="AOT4" i="1"/>
  <c r="AOS4" i="1"/>
  <c r="AOR4" i="1"/>
  <c r="AOQ4" i="1"/>
  <c r="AOP4" i="1"/>
  <c r="AOO4" i="1"/>
  <c r="AON4" i="1"/>
  <c r="AOM4" i="1"/>
  <c r="AOL4" i="1"/>
  <c r="AOK4" i="1"/>
  <c r="AOJ4" i="1"/>
  <c r="AOT3" i="1" s="1"/>
  <c r="AOI4" i="1"/>
  <c r="AOH4" i="1"/>
  <c r="AOG4" i="1"/>
  <c r="AOF4" i="1"/>
  <c r="AOE4" i="1"/>
  <c r="AOD4" i="1"/>
  <c r="AOC4" i="1"/>
  <c r="AOB4" i="1"/>
  <c r="AOA4" i="1"/>
  <c r="ANZ4" i="1"/>
  <c r="ANY4" i="1"/>
  <c r="ANX4" i="1"/>
  <c r="ANW4" i="1"/>
  <c r="ANV4" i="1"/>
  <c r="ANU4" i="1"/>
  <c r="ANT4" i="1"/>
  <c r="ANS4" i="1"/>
  <c r="ANR4" i="1"/>
  <c r="ANQ4" i="1"/>
  <c r="ANP4" i="1"/>
  <c r="ANO4" i="1"/>
  <c r="ANN4" i="1"/>
  <c r="ANM4" i="1"/>
  <c r="ANL4" i="1"/>
  <c r="ANK4" i="1"/>
  <c r="ANJ4" i="1"/>
  <c r="ANI4" i="1"/>
  <c r="ANH4" i="1"/>
  <c r="ANG4" i="1"/>
  <c r="ANF4" i="1"/>
  <c r="ANE4" i="1"/>
  <c r="ANV3" i="1" s="1"/>
  <c r="AND4" i="1"/>
  <c r="ANC4" i="1"/>
  <c r="ANB4" i="1"/>
  <c r="ANA4" i="1"/>
  <c r="AMZ4" i="1"/>
  <c r="AMY4" i="1"/>
  <c r="AMX4" i="1"/>
  <c r="AMW4" i="1"/>
  <c r="AMV4" i="1"/>
  <c r="AMU4" i="1"/>
  <c r="AMT4" i="1"/>
  <c r="AMS4" i="1"/>
  <c r="AMR4" i="1"/>
  <c r="AMQ4" i="1"/>
  <c r="AMP4" i="1"/>
  <c r="AMO4" i="1"/>
  <c r="AMN4" i="1"/>
  <c r="AMM4" i="1"/>
  <c r="AML4" i="1"/>
  <c r="AMK4" i="1"/>
  <c r="AMJ4" i="1"/>
  <c r="AMI4" i="1"/>
  <c r="AMH4" i="1"/>
  <c r="AMG4" i="1"/>
  <c r="AMF4" i="1"/>
  <c r="AME4" i="1"/>
  <c r="AMD4" i="1"/>
  <c r="AMC4" i="1"/>
  <c r="AMB4" i="1"/>
  <c r="AMA4" i="1"/>
  <c r="ALZ4" i="1"/>
  <c r="ANA3" i="1" s="1"/>
  <c r="ALY4" i="1"/>
  <c r="ALX4" i="1"/>
  <c r="ALW4" i="1"/>
  <c r="ALV4" i="1"/>
  <c r="ALU4" i="1"/>
  <c r="ALT4" i="1"/>
  <c r="ALS4" i="1"/>
  <c r="ALR4" i="1"/>
  <c r="ALQ4" i="1"/>
  <c r="ALP4" i="1"/>
  <c r="ALO4" i="1"/>
  <c r="ALN4" i="1"/>
  <c r="ALM4" i="1"/>
  <c r="ALL4" i="1"/>
  <c r="ALK4" i="1"/>
  <c r="ALJ4" i="1"/>
  <c r="ALI4" i="1"/>
  <c r="ALH4" i="1"/>
  <c r="ALG4" i="1"/>
  <c r="ALF4" i="1"/>
  <c r="ALE4" i="1"/>
  <c r="ALD4" i="1"/>
  <c r="ALC4" i="1"/>
  <c r="ALB4" i="1"/>
  <c r="ALA4" i="1"/>
  <c r="AKZ4" i="1"/>
  <c r="AKY4" i="1"/>
  <c r="AKX4" i="1"/>
  <c r="AKW4" i="1"/>
  <c r="AKV4" i="1"/>
  <c r="AKU4" i="1"/>
  <c r="ALU3" i="1" s="1"/>
  <c r="AKT4" i="1"/>
  <c r="AKS4" i="1"/>
  <c r="AKR4" i="1"/>
  <c r="AKQ4" i="1"/>
  <c r="AKP4" i="1"/>
  <c r="AKO4" i="1"/>
  <c r="AKN4" i="1"/>
  <c r="AKM4" i="1"/>
  <c r="AKL4" i="1"/>
  <c r="AKK4" i="1"/>
  <c r="AKJ4" i="1"/>
  <c r="AKI4" i="1"/>
  <c r="AKH4" i="1"/>
  <c r="AKG4" i="1"/>
  <c r="AKF4" i="1"/>
  <c r="AKE4" i="1"/>
  <c r="AKD4" i="1"/>
  <c r="AKC4" i="1"/>
  <c r="AKB4" i="1"/>
  <c r="AKA4" i="1"/>
  <c r="AJZ4" i="1"/>
  <c r="AJY4" i="1"/>
  <c r="AJX4" i="1"/>
  <c r="AJW4" i="1"/>
  <c r="AJV4" i="1"/>
  <c r="AJU4" i="1"/>
  <c r="AJT4" i="1"/>
  <c r="AJS4" i="1"/>
  <c r="AJR4" i="1"/>
  <c r="AJQ4" i="1"/>
  <c r="AJP4" i="1"/>
  <c r="AKA3" i="1" s="1"/>
  <c r="AJO4" i="1"/>
  <c r="AJN4" i="1"/>
  <c r="AJM4" i="1"/>
  <c r="AJL4" i="1"/>
  <c r="AJK4" i="1"/>
  <c r="AJJ4" i="1"/>
  <c r="AJI4" i="1"/>
  <c r="AJH4" i="1"/>
  <c r="AJG4" i="1"/>
  <c r="AJF4" i="1"/>
  <c r="AJE4" i="1"/>
  <c r="AJD4" i="1"/>
  <c r="AJC4" i="1"/>
  <c r="AJB4" i="1"/>
  <c r="AJA4" i="1"/>
  <c r="AIZ4" i="1"/>
  <c r="AIY4" i="1"/>
  <c r="AIX4" i="1"/>
  <c r="AIW4" i="1"/>
  <c r="AIV4" i="1"/>
  <c r="AIU4" i="1"/>
  <c r="AIT4" i="1"/>
  <c r="AIS4" i="1"/>
  <c r="AIR4" i="1"/>
  <c r="AIQ4" i="1"/>
  <c r="AIP4" i="1"/>
  <c r="AIO4" i="1"/>
  <c r="AIN4" i="1"/>
  <c r="AIM4" i="1"/>
  <c r="AIL4" i="1"/>
  <c r="AIK4" i="1"/>
  <c r="AJO3" i="1" s="1"/>
  <c r="AIJ4" i="1"/>
  <c r="AII4" i="1"/>
  <c r="AIH4" i="1"/>
  <c r="AIG4" i="1"/>
  <c r="AIF4" i="1"/>
  <c r="AIE4" i="1"/>
  <c r="AID4" i="1"/>
  <c r="AIC4" i="1"/>
  <c r="AIB4" i="1"/>
  <c r="AIA4" i="1"/>
  <c r="AHZ4" i="1"/>
  <c r="AHY4" i="1"/>
  <c r="AHX4" i="1"/>
  <c r="AHW4" i="1"/>
  <c r="AHV4" i="1"/>
  <c r="AHU4" i="1"/>
  <c r="AHT4" i="1"/>
  <c r="AHS4" i="1"/>
  <c r="AHR4" i="1"/>
  <c r="AHQ4" i="1"/>
  <c r="AHP4" i="1"/>
  <c r="AHO4" i="1"/>
  <c r="AHN4" i="1"/>
  <c r="AHM4" i="1"/>
  <c r="AHL4" i="1"/>
  <c r="AHK4" i="1"/>
  <c r="AHJ4" i="1"/>
  <c r="AHI4" i="1"/>
  <c r="AHH4" i="1"/>
  <c r="AHG4" i="1"/>
  <c r="AHF4" i="1"/>
  <c r="AHE4" i="1"/>
  <c r="AHD4" i="1"/>
  <c r="AHC4" i="1"/>
  <c r="AHB4" i="1"/>
  <c r="AHA4" i="1"/>
  <c r="AGZ4" i="1"/>
  <c r="AGY4" i="1"/>
  <c r="AGX4" i="1"/>
  <c r="AGW4" i="1"/>
  <c r="AGV4" i="1"/>
  <c r="AGU4" i="1"/>
  <c r="AGT4" i="1"/>
  <c r="AGS4" i="1"/>
  <c r="AGR4" i="1"/>
  <c r="AGQ4" i="1"/>
  <c r="AGP4" i="1"/>
  <c r="AGO4" i="1"/>
  <c r="AGN4" i="1"/>
  <c r="AGM4" i="1"/>
  <c r="AGL4" i="1"/>
  <c r="AGK4" i="1"/>
  <c r="AGJ4" i="1"/>
  <c r="AGI4" i="1"/>
  <c r="AGH4" i="1"/>
  <c r="AGG4" i="1"/>
  <c r="AGF4" i="1"/>
  <c r="AGE4" i="1"/>
  <c r="AGD4" i="1"/>
  <c r="AGC4" i="1"/>
  <c r="AGB4" i="1"/>
  <c r="AGA4" i="1"/>
  <c r="AGS3" i="1" s="1"/>
  <c r="AFZ4" i="1"/>
  <c r="AFY4" i="1"/>
  <c r="AFX4" i="1"/>
  <c r="AFW4" i="1"/>
  <c r="AFV4" i="1"/>
  <c r="AFU4" i="1"/>
  <c r="AFT4" i="1"/>
  <c r="AFS4" i="1"/>
  <c r="AFR4" i="1"/>
  <c r="AFQ4" i="1"/>
  <c r="AFP4" i="1"/>
  <c r="AFO4" i="1"/>
  <c r="AFN4" i="1"/>
  <c r="AFM4" i="1"/>
  <c r="AFL4" i="1"/>
  <c r="AFK4" i="1"/>
  <c r="AFJ4" i="1"/>
  <c r="AFI4" i="1"/>
  <c r="AFH4" i="1"/>
  <c r="AFG4" i="1"/>
  <c r="AFF4" i="1"/>
  <c r="AFE4" i="1"/>
  <c r="AFD4" i="1"/>
  <c r="AFC4" i="1"/>
  <c r="AFB4" i="1"/>
  <c r="AFA4" i="1"/>
  <c r="AEZ4" i="1"/>
  <c r="AEY4" i="1"/>
  <c r="AEX4" i="1"/>
  <c r="AEW4" i="1"/>
  <c r="AEV4" i="1"/>
  <c r="AFX3" i="1" s="1"/>
  <c r="AEU4" i="1"/>
  <c r="AET4" i="1"/>
  <c r="AES4" i="1"/>
  <c r="AER4" i="1"/>
  <c r="AEQ4" i="1"/>
  <c r="AEP4" i="1"/>
  <c r="AEO4" i="1"/>
  <c r="AEN4" i="1"/>
  <c r="AEM4" i="1"/>
  <c r="AEL4" i="1"/>
  <c r="AEK4" i="1"/>
  <c r="AEJ4" i="1"/>
  <c r="AEI4" i="1"/>
  <c r="AEH4" i="1"/>
  <c r="AEG4" i="1"/>
  <c r="AEF4" i="1"/>
  <c r="AEE4" i="1"/>
  <c r="AED4" i="1"/>
  <c r="AEC4" i="1"/>
  <c r="AEB4" i="1"/>
  <c r="AEA4" i="1"/>
  <c r="ADZ4" i="1"/>
  <c r="ADY4" i="1"/>
  <c r="ADX4" i="1"/>
  <c r="ADW4" i="1"/>
  <c r="ADV4" i="1"/>
  <c r="ADU4" i="1"/>
  <c r="ADT4" i="1"/>
  <c r="ADS4" i="1"/>
  <c r="ADR4" i="1"/>
  <c r="ADQ4" i="1"/>
  <c r="ADP4" i="1"/>
  <c r="ADO4" i="1"/>
  <c r="ADN4" i="1"/>
  <c r="ADM4" i="1"/>
  <c r="ADL4" i="1"/>
  <c r="ADK4" i="1"/>
  <c r="ADJ4" i="1"/>
  <c r="ADI4" i="1"/>
  <c r="ADH4" i="1"/>
  <c r="ADG4" i="1"/>
  <c r="ADF4" i="1"/>
  <c r="ADE4" i="1"/>
  <c r="ADD4" i="1"/>
  <c r="ADC4" i="1"/>
  <c r="ADB4" i="1"/>
  <c r="ADA4" i="1"/>
  <c r="ACZ4" i="1"/>
  <c r="ACY4" i="1"/>
  <c r="ACX4" i="1"/>
  <c r="ACW4" i="1"/>
  <c r="ACV4" i="1"/>
  <c r="ACU4" i="1"/>
  <c r="ACT4" i="1"/>
  <c r="ACS4" i="1"/>
  <c r="ACR4" i="1"/>
  <c r="ACQ4" i="1"/>
  <c r="ACP4" i="1"/>
  <c r="ACO4" i="1"/>
  <c r="ACN4" i="1"/>
  <c r="ACM4" i="1"/>
  <c r="ACL4" i="1"/>
  <c r="ADJ3" i="1" s="1"/>
  <c r="ACK4" i="1"/>
  <c r="ACJ4" i="1"/>
  <c r="ACI4" i="1"/>
  <c r="ACH4" i="1"/>
  <c r="ACG4" i="1"/>
  <c r="ACF4" i="1"/>
  <c r="ACE4" i="1"/>
  <c r="ACD4" i="1"/>
  <c r="ACC4" i="1"/>
  <c r="ACB4" i="1"/>
  <c r="ACA4" i="1"/>
  <c r="ABZ4" i="1"/>
  <c r="ABY4" i="1"/>
  <c r="ABX4" i="1"/>
  <c r="ABW4" i="1"/>
  <c r="ABV4" i="1"/>
  <c r="ABU4" i="1"/>
  <c r="ABT4" i="1"/>
  <c r="ABS4" i="1"/>
  <c r="ABR4" i="1"/>
  <c r="ABQ4" i="1"/>
  <c r="ABP4" i="1"/>
  <c r="ABO4" i="1"/>
  <c r="ABN4" i="1"/>
  <c r="ABM4" i="1"/>
  <c r="ABL4" i="1"/>
  <c r="ABK4" i="1"/>
  <c r="ABJ4" i="1"/>
  <c r="ABI4" i="1"/>
  <c r="ABH4" i="1"/>
  <c r="ABG4" i="1"/>
  <c r="ACK3" i="1" s="1"/>
  <c r="ABF4" i="1"/>
  <c r="ABE4" i="1"/>
  <c r="ABD4" i="1"/>
  <c r="ABC4" i="1"/>
  <c r="ABB4" i="1"/>
  <c r="ABA4" i="1"/>
  <c r="AAZ4" i="1"/>
  <c r="AAY4" i="1"/>
  <c r="AAX4" i="1"/>
  <c r="AAW4" i="1"/>
  <c r="AAV4" i="1"/>
  <c r="AAU4" i="1"/>
  <c r="AAT4" i="1"/>
  <c r="AAS4" i="1"/>
  <c r="AAR4" i="1"/>
  <c r="AAQ4" i="1"/>
  <c r="AAP4" i="1"/>
  <c r="AAO4" i="1"/>
  <c r="AAN4" i="1"/>
  <c r="AAM4" i="1"/>
  <c r="AAL4" i="1"/>
  <c r="AAK4" i="1"/>
  <c r="AAJ4" i="1"/>
  <c r="AAI4" i="1"/>
  <c r="AAH4" i="1"/>
  <c r="AAG4" i="1"/>
  <c r="AAF4" i="1"/>
  <c r="AAE4" i="1"/>
  <c r="AAD4" i="1"/>
  <c r="AAC4" i="1"/>
  <c r="AAB4" i="1"/>
  <c r="ABD3" i="1" s="1"/>
  <c r="AAA4" i="1"/>
  <c r="ZZ4" i="1"/>
  <c r="ZY4" i="1"/>
  <c r="ZX4" i="1"/>
  <c r="ZW4" i="1"/>
  <c r="ZV4" i="1"/>
  <c r="ZU4" i="1"/>
  <c r="ZT4" i="1"/>
  <c r="ZS4" i="1"/>
  <c r="ZR4" i="1"/>
  <c r="ZQ4" i="1"/>
  <c r="ZP4" i="1"/>
  <c r="ZO4" i="1"/>
  <c r="ZN4" i="1"/>
  <c r="ZM4" i="1"/>
  <c r="ZL4" i="1"/>
  <c r="ZK4" i="1"/>
  <c r="ZJ4" i="1"/>
  <c r="ZI4" i="1"/>
  <c r="ZH4" i="1"/>
  <c r="ZG4" i="1"/>
  <c r="ZF4" i="1"/>
  <c r="ZE4" i="1"/>
  <c r="ZD4" i="1"/>
  <c r="ZC4" i="1"/>
  <c r="ZB4" i="1"/>
  <c r="ZA4" i="1"/>
  <c r="YZ4" i="1"/>
  <c r="YY4" i="1"/>
  <c r="YX4" i="1"/>
  <c r="YW4" i="1"/>
  <c r="ZZ3" i="1" s="1"/>
  <c r="YV4" i="1"/>
  <c r="YU4" i="1"/>
  <c r="YT4" i="1"/>
  <c r="YS4" i="1"/>
  <c r="YR4" i="1"/>
  <c r="YQ4" i="1"/>
  <c r="YP4" i="1"/>
  <c r="YO4" i="1"/>
  <c r="YN4" i="1"/>
  <c r="YM4" i="1"/>
  <c r="YL4" i="1"/>
  <c r="YK4" i="1"/>
  <c r="YJ4" i="1"/>
  <c r="YI4" i="1"/>
  <c r="YH4" i="1"/>
  <c r="YG4" i="1"/>
  <c r="YF4" i="1"/>
  <c r="YE4" i="1"/>
  <c r="YD4" i="1"/>
  <c r="YC4" i="1"/>
  <c r="YB4" i="1"/>
  <c r="YA4" i="1"/>
  <c r="XZ4" i="1"/>
  <c r="XY4" i="1"/>
  <c r="XX4" i="1"/>
  <c r="XW4" i="1"/>
  <c r="XV4" i="1"/>
  <c r="XU4" i="1"/>
  <c r="XT4" i="1"/>
  <c r="XS4" i="1"/>
  <c r="XR4" i="1"/>
  <c r="XQ4" i="1"/>
  <c r="XP4" i="1"/>
  <c r="XO4" i="1"/>
  <c r="XN4" i="1"/>
  <c r="XM4" i="1"/>
  <c r="XL4" i="1"/>
  <c r="XK4" i="1"/>
  <c r="XJ4" i="1"/>
  <c r="XI4" i="1"/>
  <c r="XH4" i="1"/>
  <c r="XG4" i="1"/>
  <c r="XF4" i="1"/>
  <c r="XE4" i="1"/>
  <c r="XD4" i="1"/>
  <c r="XC4" i="1"/>
  <c r="XB4" i="1"/>
  <c r="XA4" i="1"/>
  <c r="WZ4" i="1"/>
  <c r="WY4" i="1"/>
  <c r="WX4" i="1"/>
  <c r="WW4" i="1"/>
  <c r="WV4" i="1"/>
  <c r="WU4" i="1"/>
  <c r="WT4" i="1"/>
  <c r="WS4" i="1"/>
  <c r="WR4" i="1"/>
  <c r="WQ4" i="1"/>
  <c r="WP4" i="1"/>
  <c r="WO4" i="1"/>
  <c r="WN4" i="1"/>
  <c r="WM4" i="1"/>
  <c r="XQ3" i="1" s="1"/>
  <c r="WL4" i="1"/>
  <c r="WK4" i="1"/>
  <c r="WJ4" i="1"/>
  <c r="WI4" i="1"/>
  <c r="WH4" i="1"/>
  <c r="WG4" i="1"/>
  <c r="WF4" i="1"/>
  <c r="WE4" i="1"/>
  <c r="WD4" i="1"/>
  <c r="WC4" i="1"/>
  <c r="WB4" i="1"/>
  <c r="WA4" i="1"/>
  <c r="VZ4" i="1"/>
  <c r="VY4" i="1"/>
  <c r="VX4" i="1"/>
  <c r="VW4" i="1"/>
  <c r="VV4" i="1"/>
  <c r="VU4" i="1"/>
  <c r="VT4" i="1"/>
  <c r="VS4" i="1"/>
  <c r="VR4" i="1"/>
  <c r="VQ4" i="1"/>
  <c r="VP4" i="1"/>
  <c r="VO4" i="1"/>
  <c r="VN4" i="1"/>
  <c r="VM4" i="1"/>
  <c r="VL4" i="1"/>
  <c r="VK4" i="1"/>
  <c r="VJ4" i="1"/>
  <c r="VI4" i="1"/>
  <c r="VH4" i="1"/>
  <c r="WL3" i="1" s="1"/>
  <c r="VG4" i="1"/>
  <c r="VF4" i="1"/>
  <c r="VE4" i="1"/>
  <c r="VD4" i="1"/>
  <c r="VC4" i="1"/>
  <c r="VB4" i="1"/>
  <c r="VA4" i="1"/>
  <c r="UZ4" i="1"/>
  <c r="UY4" i="1"/>
  <c r="UX4" i="1"/>
  <c r="UW4" i="1"/>
  <c r="UV4" i="1"/>
  <c r="UU4" i="1"/>
  <c r="UT4" i="1"/>
  <c r="US4" i="1"/>
  <c r="UR4" i="1"/>
  <c r="UQ4" i="1"/>
  <c r="UP4" i="1"/>
  <c r="UO4" i="1"/>
  <c r="UN4" i="1"/>
  <c r="UM4" i="1"/>
  <c r="UL4" i="1"/>
  <c r="UK4" i="1"/>
  <c r="UJ4" i="1"/>
  <c r="UI4" i="1"/>
  <c r="UH4" i="1"/>
  <c r="UG4" i="1"/>
  <c r="UF4" i="1"/>
  <c r="UE4" i="1"/>
  <c r="UD4" i="1"/>
  <c r="UC4" i="1"/>
  <c r="UB4" i="1"/>
  <c r="UA4" i="1"/>
  <c r="TZ4" i="1"/>
  <c r="TY4" i="1"/>
  <c r="TX4" i="1"/>
  <c r="TW4" i="1"/>
  <c r="TV4" i="1"/>
  <c r="TU4" i="1"/>
  <c r="TT4" i="1"/>
  <c r="TS4" i="1"/>
  <c r="TR4" i="1"/>
  <c r="TQ4" i="1"/>
  <c r="TP4" i="1"/>
  <c r="TO4" i="1"/>
  <c r="TN4" i="1"/>
  <c r="TM4" i="1"/>
  <c r="TL4" i="1"/>
  <c r="TK4" i="1"/>
  <c r="TJ4" i="1"/>
  <c r="TI4" i="1"/>
  <c r="TH4" i="1"/>
  <c r="TG4" i="1"/>
  <c r="TF4" i="1"/>
  <c r="TE4" i="1"/>
  <c r="TD4" i="1"/>
  <c r="TC4" i="1"/>
  <c r="TB4" i="1"/>
  <c r="TA4" i="1"/>
  <c r="SZ4" i="1"/>
  <c r="SY4" i="1"/>
  <c r="SX4" i="1"/>
  <c r="UA3" i="1" s="1"/>
  <c r="SW4" i="1"/>
  <c r="SV4" i="1"/>
  <c r="SU4" i="1"/>
  <c r="ST4" i="1"/>
  <c r="SS4" i="1"/>
  <c r="SR4" i="1"/>
  <c r="SQ4" i="1"/>
  <c r="SP4" i="1"/>
  <c r="SO4" i="1"/>
  <c r="SN4" i="1"/>
  <c r="SM4" i="1"/>
  <c r="SL4" i="1"/>
  <c r="SK4" i="1"/>
  <c r="SJ4" i="1"/>
  <c r="SI4" i="1"/>
  <c r="SH4" i="1"/>
  <c r="SG4" i="1"/>
  <c r="SF4" i="1"/>
  <c r="SE4" i="1"/>
  <c r="SD4" i="1"/>
  <c r="SC4" i="1"/>
  <c r="SB4" i="1"/>
  <c r="SA4" i="1"/>
  <c r="RZ4" i="1"/>
  <c r="RY4" i="1"/>
  <c r="RX4" i="1"/>
  <c r="RW4" i="1"/>
  <c r="RV4" i="1"/>
  <c r="RU4" i="1"/>
  <c r="RT4" i="1"/>
  <c r="RS4" i="1"/>
  <c r="ST3" i="1" s="1"/>
  <c r="RR4" i="1"/>
  <c r="RQ4" i="1"/>
  <c r="RP4" i="1"/>
  <c r="RO4" i="1"/>
  <c r="RN4" i="1"/>
  <c r="RM4" i="1"/>
  <c r="RL4" i="1"/>
  <c r="RK4" i="1"/>
  <c r="RJ4" i="1"/>
  <c r="RI4" i="1"/>
  <c r="RH4" i="1"/>
  <c r="RG4" i="1"/>
  <c r="RF4" i="1"/>
  <c r="RE4" i="1"/>
  <c r="RD4" i="1"/>
  <c r="RC4" i="1"/>
  <c r="RB4" i="1"/>
  <c r="RA4" i="1"/>
  <c r="QZ4" i="1"/>
  <c r="QY4" i="1"/>
  <c r="QX4" i="1"/>
  <c r="QW4" i="1"/>
  <c r="QV4" i="1"/>
  <c r="QU4" i="1"/>
  <c r="QT4" i="1"/>
  <c r="QS4" i="1"/>
  <c r="QR4" i="1"/>
  <c r="QQ4" i="1"/>
  <c r="QP4" i="1"/>
  <c r="QO4" i="1"/>
  <c r="QN4" i="1"/>
  <c r="RQ3" i="1" s="1"/>
  <c r="QM4" i="1"/>
  <c r="QL4" i="1"/>
  <c r="QK4" i="1"/>
  <c r="QJ4" i="1"/>
  <c r="QI4" i="1"/>
  <c r="QH4" i="1"/>
  <c r="QG4" i="1"/>
  <c r="QF4" i="1"/>
  <c r="QE4" i="1"/>
  <c r="QD4" i="1"/>
  <c r="QC4" i="1"/>
  <c r="QB4" i="1"/>
  <c r="QA4" i="1"/>
  <c r="PZ4" i="1"/>
  <c r="PY4" i="1"/>
  <c r="PX4" i="1"/>
  <c r="PW4" i="1"/>
  <c r="PV4" i="1"/>
  <c r="PU4" i="1"/>
  <c r="PT4" i="1"/>
  <c r="PS4" i="1"/>
  <c r="PR4" i="1"/>
  <c r="PQ4" i="1"/>
  <c r="PP4" i="1"/>
  <c r="PO4" i="1"/>
  <c r="PN4" i="1"/>
  <c r="PM4" i="1"/>
  <c r="PL4" i="1"/>
  <c r="PK4" i="1"/>
  <c r="PJ4" i="1"/>
  <c r="PI4" i="1"/>
  <c r="QM3" i="1" s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PH3" i="1" s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NE4" i="1"/>
  <c r="ND4" i="1"/>
  <c r="NC4" i="1"/>
  <c r="NB4" i="1"/>
  <c r="NA4" i="1"/>
  <c r="MZ4" i="1"/>
  <c r="MY4" i="1"/>
  <c r="OB3" i="1" s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LZ4" i="1"/>
  <c r="LY4" i="1"/>
  <c r="LX4" i="1"/>
  <c r="LW4" i="1"/>
  <c r="LV4" i="1"/>
  <c r="LU4" i="1"/>
  <c r="LT4" i="1"/>
  <c r="MU3" i="1" s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KU4" i="1"/>
  <c r="KT4" i="1"/>
  <c r="KS4" i="1"/>
  <c r="KR4" i="1"/>
  <c r="KQ4" i="1"/>
  <c r="KP4" i="1"/>
  <c r="KO4" i="1"/>
  <c r="LP3" i="1" s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JP4" i="1"/>
  <c r="JO4" i="1"/>
  <c r="JN4" i="1"/>
  <c r="JM4" i="1"/>
  <c r="JL4" i="1"/>
  <c r="JK4" i="1"/>
  <c r="JJ4" i="1"/>
  <c r="KJ3" i="1" s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IK4" i="1"/>
  <c r="IJ4" i="1"/>
  <c r="II4" i="1"/>
  <c r="IH4" i="1"/>
  <c r="IG4" i="1"/>
  <c r="IF4" i="1"/>
  <c r="IE4" i="1"/>
  <c r="JF3" i="1" s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HF4" i="1"/>
  <c r="HE4" i="1"/>
  <c r="HD4" i="1"/>
  <c r="HC4" i="1"/>
  <c r="HB4" i="1"/>
  <c r="HA4" i="1"/>
  <c r="GZ4" i="1"/>
  <c r="IB3" i="1" s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GA4" i="1"/>
  <c r="FZ4" i="1"/>
  <c r="FY4" i="1"/>
  <c r="FX4" i="1"/>
  <c r="FW4" i="1"/>
  <c r="FV4" i="1"/>
  <c r="FU4" i="1"/>
  <c r="GV3" i="1" s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FB3" i="1" s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EO3" i="1" s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BA4" i="1"/>
  <c r="BDB3" i="1" l="1"/>
  <c r="BDU3" i="1"/>
  <c r="BJN3" i="1"/>
  <c r="CIR3" i="1"/>
  <c r="BYZ3" i="1"/>
  <c r="CHT3" i="1"/>
  <c r="CRN3" i="1"/>
  <c r="CIB3" i="1"/>
  <c r="CRV3" i="1"/>
  <c r="CIJ3" i="1"/>
  <c r="CSD3" i="1"/>
  <c r="BNN3" i="1"/>
  <c r="BNX3" i="1"/>
  <c r="BOI3" i="1"/>
  <c r="BOZ3" i="1"/>
  <c r="BYH3" i="1"/>
  <c r="BYX3" i="1"/>
  <c r="CHS3" i="1"/>
  <c r="CIA3" i="1"/>
  <c r="CII3" i="1"/>
  <c r="CIQ3" i="1"/>
  <c r="CRM3" i="1"/>
  <c r="CRU3" i="1"/>
  <c r="CSC3" i="1"/>
  <c r="BPF3" i="1"/>
  <c r="BYL3" i="1"/>
  <c r="BZB3" i="1"/>
  <c r="CHU3" i="1"/>
  <c r="CIC3" i="1"/>
  <c r="CIK3" i="1"/>
  <c r="CIS3" i="1"/>
  <c r="CRG3" i="1"/>
  <c r="CRO3" i="1"/>
  <c r="CRW3" i="1"/>
  <c r="CSE3" i="1"/>
  <c r="BNR3" i="1"/>
  <c r="BOB3" i="1"/>
  <c r="BOM3" i="1"/>
  <c r="BPH3" i="1"/>
  <c r="BYN3" i="1"/>
  <c r="BZD3" i="1"/>
  <c r="CHV3" i="1"/>
  <c r="CID3" i="1"/>
  <c r="CIL3" i="1"/>
  <c r="CIT3" i="1"/>
  <c r="CRH3" i="1"/>
  <c r="CRP3" i="1"/>
  <c r="CRX3" i="1"/>
  <c r="CSF3" i="1"/>
  <c r="BNS3" i="1"/>
  <c r="BOD3" i="1"/>
  <c r="BON3" i="1"/>
  <c r="BPK3" i="1"/>
  <c r="BYP3" i="1"/>
  <c r="BZF3" i="1"/>
  <c r="CHW3" i="1"/>
  <c r="CIE3" i="1"/>
  <c r="CIM3" i="1"/>
  <c r="CIU3" i="1"/>
  <c r="CRI3" i="1"/>
  <c r="CRQ3" i="1"/>
  <c r="CRY3" i="1"/>
  <c r="CSG3" i="1"/>
  <c r="BNT3" i="1"/>
  <c r="BOE3" i="1"/>
  <c r="BOR3" i="1"/>
  <c r="BPN3" i="1"/>
  <c r="BYR3" i="1"/>
  <c r="BZH3" i="1"/>
  <c r="CHX3" i="1"/>
  <c r="CIF3" i="1"/>
  <c r="CIN3" i="1"/>
  <c r="CIV3" i="1"/>
  <c r="CRJ3" i="1"/>
  <c r="CRR3" i="1"/>
  <c r="CRZ3" i="1"/>
  <c r="CSH3" i="1"/>
  <c r="BNV3" i="1"/>
  <c r="BOF3" i="1"/>
  <c r="BOU3" i="1"/>
  <c r="BPP3" i="1"/>
  <c r="BYT3" i="1"/>
  <c r="CHY3" i="1"/>
  <c r="CIG3" i="1"/>
  <c r="CIO3" i="1"/>
  <c r="CRK3" i="1"/>
  <c r="CRS3" i="1"/>
  <c r="CSA3" i="1"/>
  <c r="CSI3" i="1"/>
  <c r="BNL3" i="1"/>
  <c r="BNW3" i="1"/>
  <c r="BOH3" i="1"/>
  <c r="BOX3" i="1"/>
  <c r="BPS3" i="1"/>
  <c r="BYF3" i="1"/>
  <c r="BYV3" i="1"/>
  <c r="CHZ3" i="1"/>
  <c r="CIH3" i="1"/>
  <c r="CRL3" i="1"/>
  <c r="CRT3" i="1"/>
  <c r="CSB3" i="1"/>
  <c r="AZF3" i="1"/>
  <c r="AZY3" i="1"/>
  <c r="AZJ3" i="1"/>
  <c r="BAD3" i="1"/>
  <c r="AZN3" i="1"/>
  <c r="BAF3" i="1"/>
  <c r="AZP3" i="1"/>
  <c r="AZQ3" i="1"/>
  <c r="AWO3" i="1"/>
  <c r="AZU3" i="1"/>
  <c r="BIX3" i="1"/>
  <c r="AZD3" i="1"/>
  <c r="AZV3" i="1"/>
  <c r="BJF3" i="1"/>
  <c r="AZI3" i="1"/>
  <c r="BAB3" i="1"/>
  <c r="BLQ3" i="1"/>
  <c r="BUV3" i="1"/>
  <c r="BVL3" i="1"/>
  <c r="CEI3" i="1"/>
  <c r="CEQ3" i="1"/>
  <c r="CEY3" i="1"/>
  <c r="CFG3" i="1"/>
  <c r="CNU3" i="1"/>
  <c r="COC3" i="1"/>
  <c r="COK3" i="1"/>
  <c r="COS3" i="1"/>
  <c r="BLT3" i="1"/>
  <c r="BUX3" i="1"/>
  <c r="BVN3" i="1"/>
  <c r="CEJ3" i="1"/>
  <c r="CER3" i="1"/>
  <c r="CEZ3" i="1"/>
  <c r="CNV3" i="1"/>
  <c r="COD3" i="1"/>
  <c r="COL3" i="1"/>
  <c r="COT3" i="1"/>
  <c r="BLW3" i="1"/>
  <c r="BUZ3" i="1"/>
  <c r="BVP3" i="1"/>
  <c r="CEK3" i="1"/>
  <c r="CES3" i="1"/>
  <c r="CFA3" i="1"/>
  <c r="CNW3" i="1"/>
  <c r="COE3" i="1"/>
  <c r="COM3" i="1"/>
  <c r="COU3" i="1"/>
  <c r="BLD3" i="1"/>
  <c r="BLY3" i="1"/>
  <c r="BVB3" i="1"/>
  <c r="BVR3" i="1"/>
  <c r="CED3" i="1"/>
  <c r="CEL3" i="1"/>
  <c r="CET3" i="1"/>
  <c r="CFB3" i="1"/>
  <c r="CNX3" i="1"/>
  <c r="COF3" i="1"/>
  <c r="CON3" i="1"/>
  <c r="BBP3" i="1"/>
  <c r="BLI3" i="1"/>
  <c r="BME3" i="1"/>
  <c r="BUP3" i="1"/>
  <c r="BVF3" i="1"/>
  <c r="CEF3" i="1"/>
  <c r="CEN3" i="1"/>
  <c r="CEV3" i="1"/>
  <c r="CFD3" i="1"/>
  <c r="CNR3" i="1"/>
  <c r="CNZ3" i="1"/>
  <c r="COH3" i="1"/>
  <c r="COP3" i="1"/>
  <c r="BLL3" i="1"/>
  <c r="BUR3" i="1"/>
  <c r="BVH3" i="1"/>
  <c r="CEG3" i="1"/>
  <c r="CEO3" i="1"/>
  <c r="CEW3" i="1"/>
  <c r="CFE3" i="1"/>
  <c r="CNS3" i="1"/>
  <c r="COA3" i="1"/>
  <c r="COI3" i="1"/>
  <c r="COQ3" i="1"/>
  <c r="BLO3" i="1"/>
  <c r="BUT3" i="1"/>
  <c r="BVJ3" i="1"/>
  <c r="CEH3" i="1"/>
  <c r="CEP3" i="1"/>
  <c r="CEX3" i="1"/>
  <c r="CNT3" i="1"/>
  <c r="COB3" i="1"/>
  <c r="COJ3" i="1"/>
  <c r="ACX3" i="1"/>
  <c r="FG3" i="1"/>
  <c r="BXS3" i="1"/>
  <c r="TJ3" i="1"/>
  <c r="ABF3" i="1"/>
  <c r="BSA3" i="1"/>
  <c r="BXK3" i="1"/>
  <c r="QR3" i="1"/>
  <c r="AMT3" i="1"/>
  <c r="BHM3" i="1"/>
  <c r="QL3" i="1"/>
  <c r="IC3" i="1"/>
  <c r="AIL3" i="1"/>
  <c r="AJB3" i="1"/>
  <c r="ACI3" i="1"/>
  <c r="BRD3" i="1"/>
  <c r="BRO3" i="1"/>
  <c r="BRY3" i="1"/>
  <c r="BXB3" i="1"/>
  <c r="BXJ3" i="1"/>
  <c r="BXR3" i="1"/>
  <c r="BXZ3" i="1"/>
  <c r="CKE3" i="1"/>
  <c r="CKM3" i="1"/>
  <c r="CKU3" i="1"/>
  <c r="CLC3" i="1"/>
  <c r="CQB3" i="1"/>
  <c r="CQJ3" i="1"/>
  <c r="CQR3" i="1"/>
  <c r="CQZ3" i="1"/>
  <c r="BRG3" i="1"/>
  <c r="BRQ3" i="1"/>
  <c r="BSB3" i="1"/>
  <c r="BXD3" i="1"/>
  <c r="BXL3" i="1"/>
  <c r="BXT3" i="1"/>
  <c r="BYB3" i="1"/>
  <c r="CKG3" i="1"/>
  <c r="CKO3" i="1"/>
  <c r="CKW3" i="1"/>
  <c r="CLE3" i="1"/>
  <c r="CQD3" i="1"/>
  <c r="CQL3" i="1"/>
  <c r="CQT3" i="1"/>
  <c r="CRB3" i="1"/>
  <c r="BRH3" i="1"/>
  <c r="BRS3" i="1"/>
  <c r="BSC3" i="1"/>
  <c r="BXE3" i="1"/>
  <c r="BXM3" i="1"/>
  <c r="BXU3" i="1"/>
  <c r="BYC3" i="1"/>
  <c r="CKH3" i="1"/>
  <c r="CKP3" i="1"/>
  <c r="CKX3" i="1"/>
  <c r="CLF3" i="1"/>
  <c r="CQE3" i="1"/>
  <c r="CQM3" i="1"/>
  <c r="CQU3" i="1"/>
  <c r="CRC3" i="1"/>
  <c r="ABI3" i="1"/>
  <c r="BRI3" i="1"/>
  <c r="BRT3" i="1"/>
  <c r="BXF3" i="1"/>
  <c r="BXN3" i="1"/>
  <c r="BXV3" i="1"/>
  <c r="CKI3" i="1"/>
  <c r="CKQ3" i="1"/>
  <c r="CKY3" i="1"/>
  <c r="CQF3" i="1"/>
  <c r="CQN3" i="1"/>
  <c r="CQV3" i="1"/>
  <c r="CRD3" i="1"/>
  <c r="ABQ3" i="1"/>
  <c r="BRK3" i="1"/>
  <c r="BRU3" i="1"/>
  <c r="BXG3" i="1"/>
  <c r="BXO3" i="1"/>
  <c r="BXW3" i="1"/>
  <c r="CKJ3" i="1"/>
  <c r="CKR3" i="1"/>
  <c r="CKZ3" i="1"/>
  <c r="CQG3" i="1"/>
  <c r="CQO3" i="1"/>
  <c r="CQW3" i="1"/>
  <c r="CRE3" i="1"/>
  <c r="ABS3" i="1"/>
  <c r="BRA3" i="1"/>
  <c r="BRL3" i="1"/>
  <c r="BRW3" i="1"/>
  <c r="BWZ3" i="1"/>
  <c r="BXH3" i="1"/>
  <c r="BXP3" i="1"/>
  <c r="BXX3" i="1"/>
  <c r="CKC3" i="1"/>
  <c r="CKK3" i="1"/>
  <c r="CKS3" i="1"/>
  <c r="CLA3" i="1"/>
  <c r="CQH3" i="1"/>
  <c r="CQP3" i="1"/>
  <c r="CQX3" i="1"/>
  <c r="OA3" i="1"/>
  <c r="ABY3" i="1"/>
  <c r="BRC3" i="1"/>
  <c r="BRM3" i="1"/>
  <c r="BRX3" i="1"/>
  <c r="BXA3" i="1"/>
  <c r="BXI3" i="1"/>
  <c r="BXQ3" i="1"/>
  <c r="CKD3" i="1"/>
  <c r="CKL3" i="1"/>
  <c r="CKT3" i="1"/>
  <c r="CQI3" i="1"/>
  <c r="CQQ3" i="1"/>
  <c r="BFE3" i="1"/>
  <c r="ATG3" i="1"/>
  <c r="KK3" i="1"/>
  <c r="PQ3" i="1"/>
  <c r="ABW3" i="1"/>
  <c r="BCY3" i="1"/>
  <c r="BDR3" i="1"/>
  <c r="BIW3" i="1"/>
  <c r="BJE3" i="1"/>
  <c r="BJM3" i="1"/>
  <c r="BJU3" i="1"/>
  <c r="BWB3" i="1"/>
  <c r="BWJ3" i="1"/>
  <c r="BWR3" i="1"/>
  <c r="CBV3" i="1"/>
  <c r="CCD3" i="1"/>
  <c r="CCL3" i="1"/>
  <c r="CCT3" i="1"/>
  <c r="COX3" i="1"/>
  <c r="CPF3" i="1"/>
  <c r="CPN3" i="1"/>
  <c r="CPV3" i="1"/>
  <c r="ABK3" i="1"/>
  <c r="ACA3" i="1"/>
  <c r="BDE3" i="1"/>
  <c r="BEK3" i="1"/>
  <c r="BIY3" i="1"/>
  <c r="BJG3" i="1"/>
  <c r="BJO3" i="1"/>
  <c r="BVV3" i="1"/>
  <c r="BWD3" i="1"/>
  <c r="BWL3" i="1"/>
  <c r="BWT3" i="1"/>
  <c r="CBX3" i="1"/>
  <c r="CCF3" i="1"/>
  <c r="CCN3" i="1"/>
  <c r="CCV3" i="1"/>
  <c r="COZ3" i="1"/>
  <c r="CPH3" i="1"/>
  <c r="CPP3" i="1"/>
  <c r="CPX3" i="1"/>
  <c r="VL3" i="1"/>
  <c r="ABM3" i="1"/>
  <c r="ACD3" i="1"/>
  <c r="BDF3" i="1"/>
  <c r="BIR3" i="1"/>
  <c r="BIZ3" i="1"/>
  <c r="BJH3" i="1"/>
  <c r="BJP3" i="1"/>
  <c r="BVW3" i="1"/>
  <c r="BWE3" i="1"/>
  <c r="BWM3" i="1"/>
  <c r="BWU3" i="1"/>
  <c r="CBY3" i="1"/>
  <c r="CCG3" i="1"/>
  <c r="CCO3" i="1"/>
  <c r="CCW3" i="1"/>
  <c r="CPA3" i="1"/>
  <c r="CPI3" i="1"/>
  <c r="CPQ3" i="1"/>
  <c r="CPY3" i="1"/>
  <c r="SI3" i="1"/>
  <c r="WI3" i="1"/>
  <c r="ABO3" i="1"/>
  <c r="ACG3" i="1"/>
  <c r="BDJ3" i="1"/>
  <c r="BIS3" i="1"/>
  <c r="BJA3" i="1"/>
  <c r="BJI3" i="1"/>
  <c r="BJQ3" i="1"/>
  <c r="BVX3" i="1"/>
  <c r="BWF3" i="1"/>
  <c r="BWN3" i="1"/>
  <c r="BWV3" i="1"/>
  <c r="CBZ3" i="1"/>
  <c r="CCH3" i="1"/>
  <c r="CCP3" i="1"/>
  <c r="CPB3" i="1"/>
  <c r="CPJ3" i="1"/>
  <c r="CPR3" i="1"/>
  <c r="CPZ3" i="1"/>
  <c r="APU3" i="1"/>
  <c r="BDK3" i="1"/>
  <c r="BIT3" i="1"/>
  <c r="BJB3" i="1"/>
  <c r="BJJ3" i="1"/>
  <c r="BJR3" i="1"/>
  <c r="CPC3" i="1"/>
  <c r="CPK3" i="1"/>
  <c r="BCU3" i="1"/>
  <c r="BDM3" i="1"/>
  <c r="BIU3" i="1"/>
  <c r="BJC3" i="1"/>
  <c r="BJK3" i="1"/>
  <c r="BJS3" i="1"/>
  <c r="ABU3" i="1"/>
  <c r="ATU3" i="1"/>
  <c r="BCW3" i="1"/>
  <c r="BDQ3" i="1"/>
  <c r="BIV3" i="1"/>
  <c r="BJD3" i="1"/>
  <c r="BJL3" i="1"/>
  <c r="BWA3" i="1"/>
  <c r="BWI3" i="1"/>
  <c r="CBU3" i="1"/>
  <c r="CCC3" i="1"/>
  <c r="CCK3" i="1"/>
  <c r="ZG3" i="1"/>
  <c r="ADM3" i="1"/>
  <c r="AQB3" i="1"/>
  <c r="ATK3" i="1"/>
  <c r="ATX3" i="1"/>
  <c r="BHU3" i="1"/>
  <c r="DJ3" i="1"/>
  <c r="AQH3" i="1"/>
  <c r="ATM3" i="1"/>
  <c r="AUB3" i="1"/>
  <c r="BIC3" i="1"/>
  <c r="OT3" i="1"/>
  <c r="AQP3" i="1"/>
  <c r="ATQ3" i="1"/>
  <c r="AUF3" i="1"/>
  <c r="AYK3" i="1"/>
  <c r="BIK3" i="1"/>
  <c r="PE3" i="1"/>
  <c r="TT3" i="1"/>
  <c r="VW3" i="1"/>
  <c r="ABH3" i="1"/>
  <c r="ABL3" i="1"/>
  <c r="ABP3" i="1"/>
  <c r="ABT3" i="1"/>
  <c r="ABX3" i="1"/>
  <c r="ACC3" i="1"/>
  <c r="ACH3" i="1"/>
  <c r="AKF3" i="1"/>
  <c r="APR3" i="1"/>
  <c r="AQG3" i="1"/>
  <c r="ATE3" i="1"/>
  <c r="ATL3" i="1"/>
  <c r="ATS3" i="1"/>
  <c r="AUA3" i="1"/>
  <c r="AUG3" i="1"/>
  <c r="BZJ3" i="1"/>
  <c r="CMM3" i="1"/>
  <c r="ALH3" i="1"/>
  <c r="CJF3" i="1"/>
  <c r="OJ3" i="1"/>
  <c r="QA3" i="1"/>
  <c r="SY3" i="1"/>
  <c r="ZT3" i="1"/>
  <c r="ABJ3" i="1"/>
  <c r="ABN3" i="1"/>
  <c r="ABR3" i="1"/>
  <c r="ABV3" i="1"/>
  <c r="ABZ3" i="1"/>
  <c r="ACE3" i="1"/>
  <c r="APZ3" i="1"/>
  <c r="AQN3" i="1"/>
  <c r="ATH3" i="1"/>
  <c r="ATP3" i="1"/>
  <c r="ATW3" i="1"/>
  <c r="AUC3" i="1"/>
  <c r="AZE3" i="1"/>
  <c r="AZL3" i="1"/>
  <c r="AZT3" i="1"/>
  <c r="AZZ3" i="1"/>
  <c r="BAG3" i="1"/>
  <c r="BCT3" i="1"/>
  <c r="BDA3" i="1"/>
  <c r="BDG3" i="1"/>
  <c r="BDO3" i="1"/>
  <c r="BDV3" i="1"/>
  <c r="HA3" i="1"/>
  <c r="OO3" i="1"/>
  <c r="PK3" i="1"/>
  <c r="QG3" i="1"/>
  <c r="TD3" i="1"/>
  <c r="TZ3" i="1"/>
  <c r="ZM3" i="1"/>
  <c r="ADE3" i="1"/>
  <c r="AHD3" i="1"/>
  <c r="ALQ3" i="1"/>
  <c r="BCF3" i="1"/>
  <c r="BFU3" i="1"/>
  <c r="BLC3" i="1"/>
  <c r="BLH3" i="1"/>
  <c r="BLM3" i="1"/>
  <c r="BLS3" i="1"/>
  <c r="BLX3" i="1"/>
  <c r="BMC3" i="1"/>
  <c r="BOT3" i="1"/>
  <c r="BOY3" i="1"/>
  <c r="BPD3" i="1"/>
  <c r="BPJ3" i="1"/>
  <c r="BPO3" i="1"/>
  <c r="BPT3" i="1"/>
  <c r="BUS3" i="1"/>
  <c r="BUW3" i="1"/>
  <c r="BVA3" i="1"/>
  <c r="BVE3" i="1"/>
  <c r="BVI3" i="1"/>
  <c r="BVM3" i="1"/>
  <c r="BVQ3" i="1"/>
  <c r="BYE3" i="1"/>
  <c r="BYI3" i="1"/>
  <c r="BYM3" i="1"/>
  <c r="BYQ3" i="1"/>
  <c r="BYU3" i="1"/>
  <c r="BYY3" i="1"/>
  <c r="BZC3" i="1"/>
  <c r="BZG3" i="1"/>
  <c r="OZ3" i="1"/>
  <c r="PV3" i="1"/>
  <c r="TO3" i="1"/>
  <c r="ZA3" i="1"/>
  <c r="ACQ3" i="1"/>
  <c r="AKX3" i="1"/>
  <c r="BLE3" i="1"/>
  <c r="BLK3" i="1"/>
  <c r="BLP3" i="1"/>
  <c r="BLU3" i="1"/>
  <c r="BMA3" i="1"/>
  <c r="BOQ3" i="1"/>
  <c r="BOV3" i="1"/>
  <c r="BPB3" i="1"/>
  <c r="BPG3" i="1"/>
  <c r="BPL3" i="1"/>
  <c r="BPR3" i="1"/>
  <c r="BUQ3" i="1"/>
  <c r="BUU3" i="1"/>
  <c r="BUY3" i="1"/>
  <c r="BVC3" i="1"/>
  <c r="BVG3" i="1"/>
  <c r="BVK3" i="1"/>
  <c r="BVO3" i="1"/>
  <c r="BYG3" i="1"/>
  <c r="BYK3" i="1"/>
  <c r="BYO3" i="1"/>
  <c r="BYS3" i="1"/>
  <c r="BYW3" i="1"/>
  <c r="BZA3" i="1"/>
  <c r="VN3" i="1"/>
  <c r="VZ3" i="1"/>
  <c r="VO3" i="1"/>
  <c r="WD3" i="1"/>
  <c r="VT3" i="1"/>
  <c r="WH3" i="1"/>
  <c r="HP3" i="1"/>
  <c r="AJU3" i="1"/>
  <c r="AKG3" i="1"/>
  <c r="BZR3" i="1"/>
  <c r="CEA3" i="1"/>
  <c r="HV3" i="1"/>
  <c r="AAK3" i="1"/>
  <c r="AJW3" i="1"/>
  <c r="AKM3" i="1"/>
  <c r="BZZ3" i="1"/>
  <c r="CDC3" i="1"/>
  <c r="XM3" i="1"/>
  <c r="AAV3" i="1"/>
  <c r="ASC3" i="1"/>
  <c r="AVY3" i="1"/>
  <c r="RH3" i="1"/>
  <c r="ZC3" i="1"/>
  <c r="ZH3" i="1"/>
  <c r="ZN3" i="1"/>
  <c r="ZV3" i="1"/>
  <c r="ACS3" i="1"/>
  <c r="ACY3" i="1"/>
  <c r="ADG3" i="1"/>
  <c r="ADN3" i="1"/>
  <c r="AIP3" i="1"/>
  <c r="AJF3" i="1"/>
  <c r="AMD3" i="1"/>
  <c r="AMY3" i="1"/>
  <c r="ASH3" i="1"/>
  <c r="AWC3" i="1"/>
  <c r="YY3" i="1"/>
  <c r="ZD3" i="1"/>
  <c r="ZI3" i="1"/>
  <c r="ZQ3" i="1"/>
  <c r="ZX3" i="1"/>
  <c r="ACM3" i="1"/>
  <c r="ACT3" i="1"/>
  <c r="ADB3" i="1"/>
  <c r="ADI3" i="1"/>
  <c r="ADO3" i="1"/>
  <c r="AIT3" i="1"/>
  <c r="AJJ3" i="1"/>
  <c r="AMI3" i="1"/>
  <c r="ASS3" i="1"/>
  <c r="AVQ3" i="1"/>
  <c r="AWG3" i="1"/>
  <c r="YZ3" i="1"/>
  <c r="ZE3" i="1"/>
  <c r="ZL3" i="1"/>
  <c r="ZR3" i="1"/>
  <c r="ZY3" i="1"/>
  <c r="ACO3" i="1"/>
  <c r="ACW3" i="1"/>
  <c r="ADC3" i="1"/>
  <c r="AIX3" i="1"/>
  <c r="AJN3" i="1"/>
  <c r="AMO3" i="1"/>
  <c r="AVU3" i="1"/>
  <c r="AWK3" i="1"/>
  <c r="HH3" i="1"/>
  <c r="VS3" i="1"/>
  <c r="WB3" i="1"/>
  <c r="WJ3" i="1"/>
  <c r="AFD3" i="1"/>
  <c r="AGN3" i="1"/>
  <c r="WR3" i="1"/>
  <c r="XC3" i="1"/>
  <c r="AFU3" i="1"/>
  <c r="AGC3" i="1"/>
  <c r="APH3" i="1"/>
  <c r="JV3" i="1"/>
  <c r="KQ3" i="1"/>
  <c r="BD3" i="1"/>
  <c r="ANF3" i="1"/>
  <c r="VJ3" i="1"/>
  <c r="VR3" i="1"/>
  <c r="VX3" i="1"/>
  <c r="WE3" i="1"/>
  <c r="YX3" i="1"/>
  <c r="ZB3" i="1"/>
  <c r="ZF3" i="1"/>
  <c r="ZJ3" i="1"/>
  <c r="ZP3" i="1"/>
  <c r="ZU3" i="1"/>
  <c r="AHC3" i="1"/>
  <c r="AGZ3" i="1"/>
  <c r="AGR3" i="1"/>
  <c r="AGJ3" i="1"/>
  <c r="AGB3" i="1"/>
  <c r="AHE3" i="1"/>
  <c r="AGW3" i="1"/>
  <c r="AGO3" i="1"/>
  <c r="AGG3" i="1"/>
  <c r="AKR3" i="1"/>
  <c r="AKK3" i="1"/>
  <c r="AKE3" i="1"/>
  <c r="AJY3" i="1"/>
  <c r="AJT3" i="1"/>
  <c r="AKQ3" i="1"/>
  <c r="AKJ3" i="1"/>
  <c r="AKC3" i="1"/>
  <c r="AJX3" i="1"/>
  <c r="AJS3" i="1"/>
  <c r="DW3" i="1"/>
  <c r="SD3" i="1"/>
  <c r="ADK3" i="1"/>
  <c r="ADF3" i="1"/>
  <c r="ADA3" i="1"/>
  <c r="ACU3" i="1"/>
  <c r="ACP3" i="1"/>
  <c r="AGF3" i="1"/>
  <c r="AGV3" i="1"/>
  <c r="ARS3" i="1"/>
  <c r="ARO3" i="1"/>
  <c r="ARC3" i="1"/>
  <c r="ACJ3" i="1"/>
  <c r="ACF3" i="1"/>
  <c r="ACB3" i="1"/>
  <c r="AGK3" i="1"/>
  <c r="AHA3" i="1"/>
  <c r="AJQ3" i="1"/>
  <c r="AKB3" i="1"/>
  <c r="AKO3" i="1"/>
  <c r="AYR3" i="1"/>
  <c r="BEQ3" i="1"/>
  <c r="BHP3" i="1"/>
  <c r="BHX3" i="1"/>
  <c r="BIF3" i="1"/>
  <c r="BIN3" i="1"/>
  <c r="APP3" i="1"/>
  <c r="APV3" i="1"/>
  <c r="AQC3" i="1"/>
  <c r="AQK3" i="1"/>
  <c r="AQR3" i="1"/>
  <c r="AZB3" i="1"/>
  <c r="BEA3" i="1"/>
  <c r="BEV3" i="1"/>
  <c r="BHQ3" i="1"/>
  <c r="BHY3" i="1"/>
  <c r="BIG3" i="1"/>
  <c r="BIO3" i="1"/>
  <c r="APQ3" i="1"/>
  <c r="APX3" i="1"/>
  <c r="AQF3" i="1"/>
  <c r="AQL3" i="1"/>
  <c r="AQS3" i="1"/>
  <c r="ASX3" i="1"/>
  <c r="ATI3" i="1"/>
  <c r="ATO3" i="1"/>
  <c r="ATT3" i="1"/>
  <c r="ATY3" i="1"/>
  <c r="AUE3" i="1"/>
  <c r="AZH3" i="1"/>
  <c r="AZM3" i="1"/>
  <c r="AZR3" i="1"/>
  <c r="AZX3" i="1"/>
  <c r="BAC3" i="1"/>
  <c r="BCS3" i="1"/>
  <c r="BCX3" i="1"/>
  <c r="BDC3" i="1"/>
  <c r="BDI3" i="1"/>
  <c r="BDN3" i="1"/>
  <c r="BDS3" i="1"/>
  <c r="BEF3" i="1"/>
  <c r="BFA3" i="1"/>
  <c r="BHT3" i="1"/>
  <c r="BIB3" i="1"/>
  <c r="BIJ3" i="1"/>
  <c r="BNM3" i="1"/>
  <c r="BNQ3" i="1"/>
  <c r="BNU3" i="1"/>
  <c r="BNY3" i="1"/>
  <c r="BOC3" i="1"/>
  <c r="BOG3" i="1"/>
  <c r="BOK3" i="1"/>
  <c r="BRB3" i="1"/>
  <c r="BRF3" i="1"/>
  <c r="BRJ3" i="1"/>
  <c r="BRN3" i="1"/>
  <c r="BRR3" i="1"/>
  <c r="BRV3" i="1"/>
  <c r="BRZ3" i="1"/>
  <c r="LG3" i="1"/>
  <c r="KC3" i="1"/>
  <c r="LR3" i="1"/>
  <c r="OH3" i="1"/>
  <c r="OS3" i="1"/>
  <c r="PD3" i="1"/>
  <c r="APT3" i="1"/>
  <c r="APY3" i="1"/>
  <c r="AQD3" i="1"/>
  <c r="AQJ3" i="1"/>
  <c r="AQO3" i="1"/>
  <c r="AYD3" i="1"/>
  <c r="AZG3" i="1"/>
  <c r="AZK3" i="1"/>
  <c r="AZO3" i="1"/>
  <c r="AZS3" i="1"/>
  <c r="AZW3" i="1"/>
  <c r="BAA3" i="1"/>
  <c r="BCV3" i="1"/>
  <c r="BCZ3" i="1"/>
  <c r="BDD3" i="1"/>
  <c r="BDH3" i="1"/>
  <c r="BDL3" i="1"/>
  <c r="BDP3" i="1"/>
  <c r="JP3" i="1"/>
  <c r="LB3" i="1"/>
  <c r="ON3" i="1"/>
  <c r="OX3" i="1"/>
  <c r="HD3" i="1"/>
  <c r="HI3" i="1"/>
  <c r="HQ3" i="1"/>
  <c r="HX3" i="1"/>
  <c r="HE3" i="1"/>
  <c r="HL3" i="1"/>
  <c r="HT3" i="1"/>
  <c r="HY3" i="1"/>
  <c r="JL3" i="1"/>
  <c r="JR3" i="1"/>
  <c r="JZ3" i="1"/>
  <c r="KG3" i="1"/>
  <c r="KN3" i="1"/>
  <c r="LY3" i="1"/>
  <c r="PN3" i="1"/>
  <c r="PS3" i="1"/>
  <c r="PY3" i="1"/>
  <c r="QD3" i="1"/>
  <c r="QI3" i="1"/>
  <c r="SN3" i="1"/>
  <c r="TB3" i="1"/>
  <c r="TG3" i="1"/>
  <c r="TL3" i="1"/>
  <c r="TR3" i="1"/>
  <c r="TW3" i="1"/>
  <c r="UB3" i="1"/>
  <c r="AFE3" i="1"/>
  <c r="ALA3" i="1"/>
  <c r="ALI3" i="1"/>
  <c r="ALT3" i="1"/>
  <c r="AUL3" i="1"/>
  <c r="AXY3" i="1"/>
  <c r="AYF3" i="1"/>
  <c r="AYL3" i="1"/>
  <c r="AYT3" i="1"/>
  <c r="BEB3" i="1"/>
  <c r="BEG3" i="1"/>
  <c r="BEM3" i="1"/>
  <c r="BER3" i="1"/>
  <c r="BEW3" i="1"/>
  <c r="GF3" i="1"/>
  <c r="HF3" i="1"/>
  <c r="HM3" i="1"/>
  <c r="HU3" i="1"/>
  <c r="JM3" i="1"/>
  <c r="JU3" i="1"/>
  <c r="KB3" i="1"/>
  <c r="KH3" i="1"/>
  <c r="PJ3" i="1"/>
  <c r="PO3" i="1"/>
  <c r="PU3" i="1"/>
  <c r="PZ3" i="1"/>
  <c r="QE3" i="1"/>
  <c r="QK3" i="1"/>
  <c r="RX3" i="1"/>
  <c r="TC3" i="1"/>
  <c r="TH3" i="1"/>
  <c r="TN3" i="1"/>
  <c r="TS3" i="1"/>
  <c r="TX3" i="1"/>
  <c r="AFH3" i="1"/>
  <c r="AKV3" i="1"/>
  <c r="ALB3" i="1"/>
  <c r="ALL3" i="1"/>
  <c r="ALX3" i="1"/>
  <c r="ANR3" i="1"/>
  <c r="AVB3" i="1"/>
  <c r="AXZ3" i="1"/>
  <c r="AYG3" i="1"/>
  <c r="AYO3" i="1"/>
  <c r="AYV3" i="1"/>
  <c r="BDX3" i="1"/>
  <c r="BEC3" i="1"/>
  <c r="BEI3" i="1"/>
  <c r="BEN3" i="1"/>
  <c r="BES3" i="1"/>
  <c r="BEY3" i="1"/>
  <c r="BHN3" i="1"/>
  <c r="BHR3" i="1"/>
  <c r="BHV3" i="1"/>
  <c r="BHZ3" i="1"/>
  <c r="BID3" i="1"/>
  <c r="BIH3" i="1"/>
  <c r="BIL3" i="1"/>
  <c r="BIP3" i="1"/>
  <c r="AFT3" i="1"/>
  <c r="AKW3" i="1"/>
  <c r="ALD3" i="1"/>
  <c r="ALP3" i="1"/>
  <c r="ALY3" i="1"/>
  <c r="AOH3" i="1"/>
  <c r="AYB3" i="1"/>
  <c r="AYJ3" i="1"/>
  <c r="AYP3" i="1"/>
  <c r="AYW3" i="1"/>
  <c r="BDY3" i="1"/>
  <c r="BEE3" i="1"/>
  <c r="BEJ3" i="1"/>
  <c r="BEO3" i="1"/>
  <c r="BEU3" i="1"/>
  <c r="BHO3" i="1"/>
  <c r="BHS3" i="1"/>
  <c r="BHW3" i="1"/>
  <c r="BIA3" i="1"/>
  <c r="BIE3" i="1"/>
  <c r="BII3" i="1"/>
  <c r="JQ3" i="1"/>
  <c r="JX3" i="1"/>
  <c r="KF3" i="1"/>
  <c r="KL3" i="1"/>
  <c r="PM3" i="1"/>
  <c r="PR3" i="1"/>
  <c r="PW3" i="1"/>
  <c r="QC3" i="1"/>
  <c r="QH3" i="1"/>
  <c r="SZ3" i="1"/>
  <c r="TF3" i="1"/>
  <c r="TK3" i="1"/>
  <c r="TP3" i="1"/>
  <c r="TV3" i="1"/>
  <c r="JK3" i="1"/>
  <c r="GW3" i="1"/>
  <c r="ME3" i="1"/>
  <c r="WS3" i="1"/>
  <c r="XD3" i="1"/>
  <c r="XO3" i="1"/>
  <c r="AAD3" i="1"/>
  <c r="AAO3" i="1"/>
  <c r="AAZ3" i="1"/>
  <c r="AKT3" i="1"/>
  <c r="AKP3" i="1"/>
  <c r="AKL3" i="1"/>
  <c r="AKH3" i="1"/>
  <c r="AUP3" i="1"/>
  <c r="AVF3" i="1"/>
  <c r="DR3" i="1"/>
  <c r="MO3" i="1"/>
  <c r="WW3" i="1"/>
  <c r="XH3" i="1"/>
  <c r="AAF3" i="1"/>
  <c r="AAP3" i="1"/>
  <c r="ABA3" i="1"/>
  <c r="AFP3" i="1"/>
  <c r="AGD3" i="1"/>
  <c r="AGH3" i="1"/>
  <c r="AGL3" i="1"/>
  <c r="AGP3" i="1"/>
  <c r="AGT3" i="1"/>
  <c r="AGX3" i="1"/>
  <c r="AHB3" i="1"/>
  <c r="AJR3" i="1"/>
  <c r="AJV3" i="1"/>
  <c r="AJZ3" i="1"/>
  <c r="AKD3" i="1"/>
  <c r="AKI3" i="1"/>
  <c r="AKN3" i="1"/>
  <c r="AKS3" i="1"/>
  <c r="AUT3" i="1"/>
  <c r="AVJ3" i="1"/>
  <c r="CR3" i="1"/>
  <c r="WN3" i="1"/>
  <c r="WY3" i="1"/>
  <c r="XI3" i="1"/>
  <c r="AAJ3" i="1"/>
  <c r="AAT3" i="1"/>
  <c r="ABE3" i="1"/>
  <c r="AGE3" i="1"/>
  <c r="AGI3" i="1"/>
  <c r="AGM3" i="1"/>
  <c r="AGQ3" i="1"/>
  <c r="AGU3" i="1"/>
  <c r="AGY3" i="1"/>
  <c r="APN3" i="1"/>
  <c r="AOY3" i="1"/>
  <c r="APF3" i="1"/>
  <c r="AOR3" i="1"/>
  <c r="AOZ3" i="1"/>
  <c r="AOL3" i="1"/>
  <c r="AVK3" i="1"/>
  <c r="AVG3" i="1"/>
  <c r="AVC3" i="1"/>
  <c r="AUY3" i="1"/>
  <c r="AUU3" i="1"/>
  <c r="AUQ3" i="1"/>
  <c r="AUM3" i="1"/>
  <c r="AVM3" i="1"/>
  <c r="AVI3" i="1"/>
  <c r="AVE3" i="1"/>
  <c r="AVA3" i="1"/>
  <c r="AUW3" i="1"/>
  <c r="AUS3" i="1"/>
  <c r="AUO3" i="1"/>
  <c r="AUK3" i="1"/>
  <c r="AVL3" i="1"/>
  <c r="AVH3" i="1"/>
  <c r="AVD3" i="1"/>
  <c r="AUZ3" i="1"/>
  <c r="AUV3" i="1"/>
  <c r="AUR3" i="1"/>
  <c r="AUN3" i="1"/>
  <c r="AUJ3" i="1"/>
  <c r="BBX3" i="1"/>
  <c r="BCN3" i="1"/>
  <c r="BFM3" i="1"/>
  <c r="BGC3" i="1"/>
  <c r="BCB3" i="1"/>
  <c r="BFQ3" i="1"/>
  <c r="APS3" i="1"/>
  <c r="APW3" i="1"/>
  <c r="AQA3" i="1"/>
  <c r="AQE3" i="1"/>
  <c r="AQI3" i="1"/>
  <c r="AQM3" i="1"/>
  <c r="ASN3" i="1"/>
  <c r="ATF3" i="1"/>
  <c r="ATJ3" i="1"/>
  <c r="ATN3" i="1"/>
  <c r="ATR3" i="1"/>
  <c r="ATV3" i="1"/>
  <c r="ATZ3" i="1"/>
  <c r="AUD3" i="1"/>
  <c r="BBT3" i="1"/>
  <c r="BCJ3" i="1"/>
  <c r="BFI3" i="1"/>
  <c r="BFY3" i="1"/>
  <c r="BLB3" i="1"/>
  <c r="BLF3" i="1"/>
  <c r="BLJ3" i="1"/>
  <c r="BLN3" i="1"/>
  <c r="BLR3" i="1"/>
  <c r="BLV3" i="1"/>
  <c r="BLZ3" i="1"/>
  <c r="BOS3" i="1"/>
  <c r="BOW3" i="1"/>
  <c r="BPA3" i="1"/>
  <c r="BPE3" i="1"/>
  <c r="BPI3" i="1"/>
  <c r="BPM3" i="1"/>
  <c r="AER3" i="1"/>
  <c r="AEI3" i="1"/>
  <c r="AES3" i="1"/>
  <c r="AEC3" i="1"/>
  <c r="ADX3" i="1"/>
  <c r="AIH3" i="1"/>
  <c r="AII3" i="1"/>
  <c r="AHS3" i="1"/>
  <c r="AIA3" i="1"/>
  <c r="AIE3" i="1"/>
  <c r="AHO3" i="1"/>
  <c r="AHK3" i="1"/>
  <c r="BHI3" i="1"/>
  <c r="BHE3" i="1"/>
  <c r="BHA3" i="1"/>
  <c r="BGW3" i="1"/>
  <c r="BGS3" i="1"/>
  <c r="BGO3" i="1"/>
  <c r="BGK3" i="1"/>
  <c r="BHH3" i="1"/>
  <c r="BHD3" i="1"/>
  <c r="BGZ3" i="1"/>
  <c r="BGV3" i="1"/>
  <c r="BGR3" i="1"/>
  <c r="BGN3" i="1"/>
  <c r="BGJ3" i="1"/>
  <c r="BHK3" i="1"/>
  <c r="BHC3" i="1"/>
  <c r="BGU3" i="1"/>
  <c r="BGM3" i="1"/>
  <c r="BHJ3" i="1"/>
  <c r="BHB3" i="1"/>
  <c r="BGT3" i="1"/>
  <c r="BGL3" i="1"/>
  <c r="BHG3" i="1"/>
  <c r="BGY3" i="1"/>
  <c r="BGQ3" i="1"/>
  <c r="BGI3" i="1"/>
  <c r="BHF3" i="1"/>
  <c r="BGX3" i="1"/>
  <c r="BGP3" i="1"/>
  <c r="BKX3" i="1"/>
  <c r="BKT3" i="1"/>
  <c r="BKP3" i="1"/>
  <c r="BKL3" i="1"/>
  <c r="BKH3" i="1"/>
  <c r="BKD3" i="1"/>
  <c r="BJZ3" i="1"/>
  <c r="BKW3" i="1"/>
  <c r="BKS3" i="1"/>
  <c r="BKO3" i="1"/>
  <c r="BKK3" i="1"/>
  <c r="BKG3" i="1"/>
  <c r="BKC3" i="1"/>
  <c r="BJY3" i="1"/>
  <c r="BKV3" i="1"/>
  <c r="BKN3" i="1"/>
  <c r="BKF3" i="1"/>
  <c r="BJX3" i="1"/>
  <c r="BKU3" i="1"/>
  <c r="BKM3" i="1"/>
  <c r="BKE3" i="1"/>
  <c r="BJW3" i="1"/>
  <c r="BKZ3" i="1"/>
  <c r="BKR3" i="1"/>
  <c r="BKJ3" i="1"/>
  <c r="BKB3" i="1"/>
  <c r="BKI3" i="1"/>
  <c r="BKA3" i="1"/>
  <c r="BKY3" i="1"/>
  <c r="BQW3" i="1"/>
  <c r="BQS3" i="1"/>
  <c r="BQO3" i="1"/>
  <c r="BQK3" i="1"/>
  <c r="BQG3" i="1"/>
  <c r="BQC3" i="1"/>
  <c r="BPY3" i="1"/>
  <c r="BQV3" i="1"/>
  <c r="BQR3" i="1"/>
  <c r="BQN3" i="1"/>
  <c r="BQJ3" i="1"/>
  <c r="BQF3" i="1"/>
  <c r="BQB3" i="1"/>
  <c r="BPX3" i="1"/>
  <c r="BQU3" i="1"/>
  <c r="BQM3" i="1"/>
  <c r="BQE3" i="1"/>
  <c r="BPW3" i="1"/>
  <c r="BQT3" i="1"/>
  <c r="BQL3" i="1"/>
  <c r="BQD3" i="1"/>
  <c r="BPV3" i="1"/>
  <c r="BQY3" i="1"/>
  <c r="BQQ3" i="1"/>
  <c r="BQI3" i="1"/>
  <c r="BQA3" i="1"/>
  <c r="BQH3" i="1"/>
  <c r="BPZ3" i="1"/>
  <c r="BQX3" i="1"/>
  <c r="ADS3" i="1"/>
  <c r="MS3" i="1"/>
  <c r="MN3" i="1"/>
  <c r="MI3" i="1"/>
  <c r="MC3" i="1"/>
  <c r="LX3" i="1"/>
  <c r="MV3" i="1"/>
  <c r="MK3" i="1"/>
  <c r="MA3" i="1"/>
  <c r="MW3" i="1"/>
  <c r="MR3" i="1"/>
  <c r="MM3" i="1"/>
  <c r="MG3" i="1"/>
  <c r="MB3" i="1"/>
  <c r="LW3" i="1"/>
  <c r="MQ3" i="1"/>
  <c r="MF3" i="1"/>
  <c r="LU3" i="1"/>
  <c r="SR3" i="1"/>
  <c r="SM3" i="1"/>
  <c r="SH3" i="1"/>
  <c r="SB3" i="1"/>
  <c r="RW3" i="1"/>
  <c r="SP3" i="1"/>
  <c r="SE3" i="1"/>
  <c r="RT3" i="1"/>
  <c r="SV3" i="1"/>
  <c r="SQ3" i="1"/>
  <c r="SL3" i="1"/>
  <c r="SF3" i="1"/>
  <c r="SA3" i="1"/>
  <c r="RV3" i="1"/>
  <c r="SU3" i="1"/>
  <c r="SJ3" i="1"/>
  <c r="RZ3" i="1"/>
  <c r="AEN3" i="1"/>
  <c r="AHG3" i="1"/>
  <c r="BKQ3" i="1"/>
  <c r="AXU3" i="1"/>
  <c r="AXQ3" i="1"/>
  <c r="AXM3" i="1"/>
  <c r="AXI3" i="1"/>
  <c r="AXE3" i="1"/>
  <c r="AXA3" i="1"/>
  <c r="AWW3" i="1"/>
  <c r="AXT3" i="1"/>
  <c r="AXP3" i="1"/>
  <c r="AXL3" i="1"/>
  <c r="AXH3" i="1"/>
  <c r="AXD3" i="1"/>
  <c r="AWZ3" i="1"/>
  <c r="AWV3" i="1"/>
  <c r="AXW3" i="1"/>
  <c r="AXS3" i="1"/>
  <c r="AXO3" i="1"/>
  <c r="AXK3" i="1"/>
  <c r="AXG3" i="1"/>
  <c r="AXC3" i="1"/>
  <c r="AWY3" i="1"/>
  <c r="AWU3" i="1"/>
  <c r="AXJ3" i="1"/>
  <c r="AWT3" i="1"/>
  <c r="AXV3" i="1"/>
  <c r="AXF3" i="1"/>
  <c r="AXR3" i="1"/>
  <c r="AXB3" i="1"/>
  <c r="BBJ3" i="1"/>
  <c r="BBE3" i="1"/>
  <c r="BAY3" i="1"/>
  <c r="BAT3" i="1"/>
  <c r="BAO3" i="1"/>
  <c r="BAI3" i="1"/>
  <c r="BBI3" i="1"/>
  <c r="BBC3" i="1"/>
  <c r="BAX3" i="1"/>
  <c r="BAS3" i="1"/>
  <c r="BAM3" i="1"/>
  <c r="BBG3" i="1"/>
  <c r="BBB3" i="1"/>
  <c r="BAW3" i="1"/>
  <c r="BAQ3" i="1"/>
  <c r="BAL3" i="1"/>
  <c r="BBA3" i="1"/>
  <c r="BAP3" i="1"/>
  <c r="BAU3" i="1"/>
  <c r="BBK3" i="1"/>
  <c r="BUL3" i="1"/>
  <c r="BUH3" i="1"/>
  <c r="BUD3" i="1"/>
  <c r="BTZ3" i="1"/>
  <c r="BTV3" i="1"/>
  <c r="BTR3" i="1"/>
  <c r="BTN3" i="1"/>
  <c r="BUK3" i="1"/>
  <c r="BUG3" i="1"/>
  <c r="BUC3" i="1"/>
  <c r="BTY3" i="1"/>
  <c r="BTU3" i="1"/>
  <c r="BTQ3" i="1"/>
  <c r="BTM3" i="1"/>
  <c r="BUN3" i="1"/>
  <c r="BUF3" i="1"/>
  <c r="BTX3" i="1"/>
  <c r="BTP3" i="1"/>
  <c r="BUM3" i="1"/>
  <c r="BUE3" i="1"/>
  <c r="BTW3" i="1"/>
  <c r="BTO3" i="1"/>
  <c r="BUJ3" i="1"/>
  <c r="BUB3" i="1"/>
  <c r="BTT3" i="1"/>
  <c r="BTL3" i="1"/>
  <c r="BUI3" i="1"/>
  <c r="BUA3" i="1"/>
  <c r="BTS3" i="1"/>
  <c r="BAK3" i="1"/>
  <c r="FP3" i="1"/>
  <c r="FR3" i="1"/>
  <c r="EV3" i="1"/>
  <c r="FL3" i="1"/>
  <c r="EQ3" i="1"/>
  <c r="MJ3" i="1"/>
  <c r="AHW3" i="1"/>
  <c r="AXN3" i="1"/>
  <c r="BGH3" i="1"/>
  <c r="BTK3" i="1"/>
  <c r="JN3" i="1"/>
  <c r="JT3" i="1"/>
  <c r="JY3" i="1"/>
  <c r="KD3" i="1"/>
  <c r="KT3" i="1"/>
  <c r="LJ3" i="1"/>
  <c r="OF3" i="1"/>
  <c r="OK3" i="1"/>
  <c r="OP3" i="1"/>
  <c r="OV3" i="1"/>
  <c r="PA3" i="1"/>
  <c r="PF3" i="1"/>
  <c r="LV3" i="1"/>
  <c r="OE3" i="1"/>
  <c r="VK3" i="1"/>
  <c r="VP3" i="1"/>
  <c r="VV3" i="1"/>
  <c r="WA3" i="1"/>
  <c r="WF3" i="1"/>
  <c r="WO3" i="1"/>
  <c r="WU3" i="1"/>
  <c r="WZ3" i="1"/>
  <c r="XE3" i="1"/>
  <c r="XK3" i="1"/>
  <c r="XP3" i="1"/>
  <c r="AAG3" i="1"/>
  <c r="AAL3" i="1"/>
  <c r="AAR3" i="1"/>
  <c r="AAW3" i="1"/>
  <c r="ABB3" i="1"/>
  <c r="AEZ3" i="1"/>
  <c r="AFL3" i="1"/>
  <c r="AKZ3" i="1"/>
  <c r="ALE3" i="1"/>
  <c r="ALM3" i="1"/>
  <c r="APL3" i="1"/>
  <c r="APD3" i="1"/>
  <c r="AOX3" i="1"/>
  <c r="AOP3" i="1"/>
  <c r="APJ3" i="1"/>
  <c r="APB3" i="1"/>
  <c r="AOV3" i="1"/>
  <c r="AON3" i="1"/>
  <c r="KY3" i="1"/>
  <c r="LO3" i="1"/>
  <c r="OG3" i="1"/>
  <c r="OL3" i="1"/>
  <c r="OR3" i="1"/>
  <c r="OW3" i="1"/>
  <c r="PB3" i="1"/>
  <c r="WQ3" i="1"/>
  <c r="WV3" i="1"/>
  <c r="XA3" i="1"/>
  <c r="XG3" i="1"/>
  <c r="XL3" i="1"/>
  <c r="AAC3" i="1"/>
  <c r="AAH3" i="1"/>
  <c r="AAN3" i="1"/>
  <c r="AAS3" i="1"/>
  <c r="AAX3" i="1"/>
  <c r="ALW3" i="1"/>
  <c r="ALS3" i="1"/>
  <c r="ALO3" i="1"/>
  <c r="ALK3" i="1"/>
  <c r="ALG3" i="1"/>
  <c r="ALC3" i="1"/>
  <c r="AKY3" i="1"/>
  <c r="ALV3" i="1"/>
  <c r="ALR3" i="1"/>
  <c r="ALN3" i="1"/>
  <c r="ALJ3" i="1"/>
  <c r="ALF3" i="1"/>
  <c r="AOG3" i="1"/>
  <c r="AOD3" i="1"/>
  <c r="ANN3" i="1"/>
  <c r="ANZ3" i="1"/>
  <c r="ANJ3" i="1"/>
  <c r="ARV3" i="1"/>
  <c r="ARK3" i="1"/>
  <c r="AQU3" i="1"/>
  <c r="ARW3" i="1"/>
  <c r="ARG3" i="1"/>
  <c r="CAK3" i="1"/>
  <c r="CAG3" i="1"/>
  <c r="CAC3" i="1"/>
  <c r="BZY3" i="1"/>
  <c r="BZU3" i="1"/>
  <c r="BZQ3" i="1"/>
  <c r="BZM3" i="1"/>
  <c r="CAJ3" i="1"/>
  <c r="CAF3" i="1"/>
  <c r="CAB3" i="1"/>
  <c r="BZX3" i="1"/>
  <c r="BZT3" i="1"/>
  <c r="BZP3" i="1"/>
  <c r="BZL3" i="1"/>
  <c r="CDZ3" i="1"/>
  <c r="CDV3" i="1"/>
  <c r="CDR3" i="1"/>
  <c r="CDN3" i="1"/>
  <c r="CDJ3" i="1"/>
  <c r="CDF3" i="1"/>
  <c r="CDB3" i="1"/>
  <c r="CDY3" i="1"/>
  <c r="CDU3" i="1"/>
  <c r="CDQ3" i="1"/>
  <c r="CDM3" i="1"/>
  <c r="CDI3" i="1"/>
  <c r="CDE3" i="1"/>
  <c r="CDA3" i="1"/>
  <c r="CJY3" i="1"/>
  <c r="CJU3" i="1"/>
  <c r="CJQ3" i="1"/>
  <c r="CJM3" i="1"/>
  <c r="CJI3" i="1"/>
  <c r="CJE3" i="1"/>
  <c r="CJA3" i="1"/>
  <c r="CJX3" i="1"/>
  <c r="CJT3" i="1"/>
  <c r="CJP3" i="1"/>
  <c r="CJL3" i="1"/>
  <c r="CJH3" i="1"/>
  <c r="CJD3" i="1"/>
  <c r="CIZ3" i="1"/>
  <c r="CKA3" i="1"/>
  <c r="CJW3" i="1"/>
  <c r="CJS3" i="1"/>
  <c r="CJO3" i="1"/>
  <c r="CJK3" i="1"/>
  <c r="CJG3" i="1"/>
  <c r="CJC3" i="1"/>
  <c r="CIY3" i="1"/>
  <c r="CNN3" i="1"/>
  <c r="CNJ3" i="1"/>
  <c r="CNF3" i="1"/>
  <c r="CNB3" i="1"/>
  <c r="CMX3" i="1"/>
  <c r="CMT3" i="1"/>
  <c r="CMP3" i="1"/>
  <c r="CNM3" i="1"/>
  <c r="CNI3" i="1"/>
  <c r="CNE3" i="1"/>
  <c r="CNA3" i="1"/>
  <c r="CMW3" i="1"/>
  <c r="CMS3" i="1"/>
  <c r="CMO3" i="1"/>
  <c r="CNP3" i="1"/>
  <c r="CNL3" i="1"/>
  <c r="CNH3" i="1"/>
  <c r="CND3" i="1"/>
  <c r="CMZ3" i="1"/>
  <c r="CMV3" i="1"/>
  <c r="CMR3" i="1"/>
  <c r="CMN3" i="1"/>
  <c r="BZK3" i="1"/>
  <c r="BZS3" i="1"/>
  <c r="CAA3" i="1"/>
  <c r="CAI3" i="1"/>
  <c r="CDD3" i="1"/>
  <c r="CDL3" i="1"/>
  <c r="CDT3" i="1"/>
  <c r="CEB3" i="1"/>
  <c r="CJJ3" i="1"/>
  <c r="CJZ3" i="1"/>
  <c r="CMQ3" i="1"/>
  <c r="CNG3" i="1"/>
  <c r="BZN3" i="1"/>
  <c r="BZV3" i="1"/>
  <c r="CAD3" i="1"/>
  <c r="CAL3" i="1"/>
  <c r="CCY3" i="1"/>
  <c r="CDG3" i="1"/>
  <c r="CDO3" i="1"/>
  <c r="CDW3" i="1"/>
  <c r="CIX3" i="1"/>
  <c r="CJN3" i="1"/>
  <c r="CMU3" i="1"/>
  <c r="CNK3" i="1"/>
  <c r="BZO3" i="1"/>
  <c r="BZW3" i="1"/>
  <c r="CAE3" i="1"/>
  <c r="CAM3" i="1"/>
  <c r="CCZ3" i="1"/>
  <c r="CDH3" i="1"/>
  <c r="CDP3" i="1"/>
  <c r="CDX3" i="1"/>
  <c r="CJB3" i="1"/>
  <c r="CJR3" i="1"/>
  <c r="CMY3" i="1"/>
  <c r="CNO3" i="1"/>
  <c r="GC3" i="1"/>
  <c r="LZ3" i="1"/>
  <c r="MD3" i="1"/>
  <c r="AYC3" i="1"/>
  <c r="AYH3" i="1"/>
  <c r="AYN3" i="1"/>
  <c r="AYS3" i="1"/>
  <c r="AYX3" i="1"/>
  <c r="CI3" i="1"/>
  <c r="CW3" i="1"/>
  <c r="EH3" i="1"/>
  <c r="AYZ3" i="1"/>
  <c r="CM3" i="1"/>
  <c r="CY3" i="1"/>
  <c r="DL3" i="1"/>
  <c r="EM3" i="1"/>
  <c r="CO3" i="1"/>
  <c r="CZ3" i="1"/>
  <c r="MH3" i="1"/>
  <c r="ML3" i="1"/>
  <c r="MP3" i="1"/>
  <c r="MT3" i="1"/>
  <c r="MX3" i="1"/>
  <c r="OI3" i="1"/>
  <c r="OM3" i="1"/>
  <c r="OQ3" i="1"/>
  <c r="TA3" i="1"/>
  <c r="TE3" i="1"/>
  <c r="TI3" i="1"/>
  <c r="TM3" i="1"/>
  <c r="TQ3" i="1"/>
  <c r="TU3" i="1"/>
  <c r="TY3" i="1"/>
  <c r="ER3" i="1"/>
  <c r="EX3" i="1"/>
  <c r="FC3" i="1"/>
  <c r="FH3" i="1"/>
  <c r="FN3" i="1"/>
  <c r="FS3" i="1"/>
  <c r="AEY3" i="1"/>
  <c r="AFC3" i="1"/>
  <c r="AFG3" i="1"/>
  <c r="AFK3" i="1"/>
  <c r="AFO3" i="1"/>
  <c r="AFS3" i="1"/>
  <c r="AFW3" i="1"/>
  <c r="AOM3" i="1"/>
  <c r="AOQ3" i="1"/>
  <c r="AOU3" i="1"/>
  <c r="APC3" i="1"/>
  <c r="APG3" i="1"/>
  <c r="APK3" i="1"/>
  <c r="ET3" i="1"/>
  <c r="EY3" i="1"/>
  <c r="FD3" i="1"/>
  <c r="FJ3" i="1"/>
  <c r="FO3" i="1"/>
  <c r="FT3" i="1"/>
  <c r="JO3" i="1"/>
  <c r="JS3" i="1"/>
  <c r="JW3" i="1"/>
  <c r="KA3" i="1"/>
  <c r="KE3" i="1"/>
  <c r="KI3" i="1"/>
  <c r="KM3" i="1"/>
  <c r="AYA3" i="1"/>
  <c r="AYE3" i="1"/>
  <c r="AYI3" i="1"/>
  <c r="AYM3" i="1"/>
  <c r="AYQ3" i="1"/>
  <c r="AYU3" i="1"/>
  <c r="AYY3" i="1"/>
  <c r="BAJ3" i="1"/>
  <c r="BAN3" i="1"/>
  <c r="BAR3" i="1"/>
  <c r="BAV3" i="1"/>
  <c r="BAZ3" i="1"/>
  <c r="BBD3" i="1"/>
  <c r="BBH3" i="1"/>
  <c r="BBL3" i="1"/>
  <c r="BDZ3" i="1"/>
  <c r="BED3" i="1"/>
  <c r="BEH3" i="1"/>
  <c r="BEL3" i="1"/>
  <c r="BEP3" i="1"/>
  <c r="BET3" i="1"/>
  <c r="BEX3" i="1"/>
  <c r="EU3" i="1"/>
  <c r="EZ3" i="1"/>
  <c r="FF3" i="1"/>
  <c r="FK3" i="1"/>
  <c r="ES3" i="1"/>
  <c r="EW3" i="1"/>
  <c r="FA3" i="1"/>
  <c r="FE3" i="1"/>
  <c r="FI3" i="1"/>
  <c r="FM3" i="1"/>
  <c r="FQ3" i="1"/>
  <c r="HB3" i="1"/>
  <c r="HJ3" i="1"/>
  <c r="HN3" i="1"/>
  <c r="HR3" i="1"/>
  <c r="HZ3" i="1"/>
  <c r="ID3" i="1"/>
  <c r="IL3" i="1"/>
  <c r="UD3" i="1"/>
  <c r="UH3" i="1"/>
  <c r="YU3" i="1"/>
  <c r="YV3" i="1"/>
  <c r="YF3" i="1"/>
  <c r="XX3" i="1"/>
  <c r="CJ3" i="1"/>
  <c r="CS3" i="1"/>
  <c r="DD3" i="1"/>
  <c r="EB3" i="1"/>
  <c r="GN3" i="1"/>
  <c r="JB3" i="1"/>
  <c r="NG3" i="1"/>
  <c r="QV3" i="1"/>
  <c r="RL3" i="1"/>
  <c r="GO3" i="1"/>
  <c r="NK3" i="1"/>
  <c r="QZ3" i="1"/>
  <c r="RP3" i="1"/>
  <c r="YN3" i="1"/>
  <c r="NW3" i="1"/>
  <c r="RD3" i="1"/>
  <c r="AIN3" i="1"/>
  <c r="AIR3" i="1"/>
  <c r="AIV3" i="1"/>
  <c r="AIZ3" i="1"/>
  <c r="AJD3" i="1"/>
  <c r="AJH3" i="1"/>
  <c r="AJL3" i="1"/>
  <c r="AMA3" i="1"/>
  <c r="AMG3" i="1"/>
  <c r="AML3" i="1"/>
  <c r="AMQ3" i="1"/>
  <c r="AMW3" i="1"/>
  <c r="ANB3" i="1"/>
  <c r="ARZ3" i="1"/>
  <c r="ASF3" i="1"/>
  <c r="ASK3" i="1"/>
  <c r="ASP3" i="1"/>
  <c r="ASV3" i="1"/>
  <c r="ATA3" i="1"/>
  <c r="AVO3" i="1"/>
  <c r="AVS3" i="1"/>
  <c r="AVW3" i="1"/>
  <c r="AWA3" i="1"/>
  <c r="AWE3" i="1"/>
  <c r="AWI3" i="1"/>
  <c r="AWM3" i="1"/>
  <c r="AWQ3" i="1"/>
  <c r="BBN3" i="1"/>
  <c r="BBR3" i="1"/>
  <c r="BBV3" i="1"/>
  <c r="BBZ3" i="1"/>
  <c r="BCD3" i="1"/>
  <c r="BCH3" i="1"/>
  <c r="BCL3" i="1"/>
  <c r="BCP3" i="1"/>
  <c r="BFC3" i="1"/>
  <c r="BFG3" i="1"/>
  <c r="BFK3" i="1"/>
  <c r="BFO3" i="1"/>
  <c r="BFS3" i="1"/>
  <c r="BFW3" i="1"/>
  <c r="BGA3" i="1"/>
  <c r="BGE3" i="1"/>
  <c r="AIO3" i="1"/>
  <c r="AIS3" i="1"/>
  <c r="AIW3" i="1"/>
  <c r="AJA3" i="1"/>
  <c r="AJE3" i="1"/>
  <c r="AJI3" i="1"/>
  <c r="AJM3" i="1"/>
  <c r="AMC3" i="1"/>
  <c r="AMH3" i="1"/>
  <c r="AMM3" i="1"/>
  <c r="AMS3" i="1"/>
  <c r="AMX3" i="1"/>
  <c r="ANC3" i="1"/>
  <c r="ASB3" i="1"/>
  <c r="ASG3" i="1"/>
  <c r="ASL3" i="1"/>
  <c r="ASR3" i="1"/>
  <c r="ASW3" i="1"/>
  <c r="ATB3" i="1"/>
  <c r="AVP3" i="1"/>
  <c r="AVT3" i="1"/>
  <c r="AVX3" i="1"/>
  <c r="AWB3" i="1"/>
  <c r="AWF3" i="1"/>
  <c r="AWJ3" i="1"/>
  <c r="AWN3" i="1"/>
  <c r="AWR3" i="1"/>
  <c r="BBO3" i="1"/>
  <c r="BBS3" i="1"/>
  <c r="BBW3" i="1"/>
  <c r="BCA3" i="1"/>
  <c r="BCE3" i="1"/>
  <c r="BCI3" i="1"/>
  <c r="BCM3" i="1"/>
  <c r="BCQ3" i="1"/>
  <c r="BFD3" i="1"/>
  <c r="BFH3" i="1"/>
  <c r="BFL3" i="1"/>
  <c r="BFP3" i="1"/>
  <c r="BFT3" i="1"/>
  <c r="BFX3" i="1"/>
  <c r="BGB3" i="1"/>
  <c r="BGF3" i="1"/>
  <c r="AIM3" i="1"/>
  <c r="AIQ3" i="1"/>
  <c r="AIU3" i="1"/>
  <c r="AIY3" i="1"/>
  <c r="AJC3" i="1"/>
  <c r="AJG3" i="1"/>
  <c r="AJK3" i="1"/>
  <c r="AME3" i="1"/>
  <c r="AMK3" i="1"/>
  <c r="AMP3" i="1"/>
  <c r="AMU3" i="1"/>
  <c r="ASD3" i="1"/>
  <c r="ASJ3" i="1"/>
  <c r="ASO3" i="1"/>
  <c r="AST3" i="1"/>
  <c r="AVR3" i="1"/>
  <c r="AVV3" i="1"/>
  <c r="AVZ3" i="1"/>
  <c r="AWD3" i="1"/>
  <c r="AWH3" i="1"/>
  <c r="AWL3" i="1"/>
  <c r="BBQ3" i="1"/>
  <c r="BBU3" i="1"/>
  <c r="BBY3" i="1"/>
  <c r="BCC3" i="1"/>
  <c r="BCG3" i="1"/>
  <c r="BCK3" i="1"/>
  <c r="BFF3" i="1"/>
  <c r="BFJ3" i="1"/>
  <c r="BFN3" i="1"/>
  <c r="BFR3" i="1"/>
  <c r="BFV3" i="1"/>
  <c r="BFZ3" i="1"/>
  <c r="BQ3" i="1"/>
  <c r="CG3" i="1"/>
  <c r="CN3" i="1"/>
  <c r="CU3" i="1"/>
  <c r="DC3" i="1"/>
  <c r="DI3" i="1"/>
  <c r="DP3" i="1"/>
  <c r="DV3" i="1"/>
  <c r="EA3" i="1"/>
  <c r="EF3" i="1"/>
  <c r="EL3" i="1"/>
  <c r="IT3" i="1"/>
  <c r="AEW3" i="1"/>
  <c r="AFA3" i="1"/>
  <c r="AFI3" i="1"/>
  <c r="AFM3" i="1"/>
  <c r="AFQ3" i="1"/>
  <c r="AFY3" i="1"/>
  <c r="AMB3" i="1"/>
  <c r="AMF3" i="1"/>
  <c r="AMJ3" i="1"/>
  <c r="AMN3" i="1"/>
  <c r="AMR3" i="1"/>
  <c r="AMV3" i="1"/>
  <c r="AMZ3" i="1"/>
  <c r="AND3" i="1"/>
  <c r="AOK3" i="1"/>
  <c r="AOO3" i="1"/>
  <c r="AOS3" i="1"/>
  <c r="AOW3" i="1"/>
  <c r="APA3" i="1"/>
  <c r="APE3" i="1"/>
  <c r="API3" i="1"/>
  <c r="APM3" i="1"/>
  <c r="ASA3" i="1"/>
  <c r="ASE3" i="1"/>
  <c r="ASI3" i="1"/>
  <c r="ASM3" i="1"/>
  <c r="ASQ3" i="1"/>
  <c r="ASU3" i="1"/>
  <c r="ASY3" i="1"/>
  <c r="ATC3" i="1"/>
  <c r="CC3" i="1"/>
  <c r="BM3" i="1"/>
  <c r="IH3" i="1"/>
  <c r="IX3" i="1"/>
  <c r="OU3" i="1"/>
  <c r="OY3" i="1"/>
  <c r="PC3" i="1"/>
  <c r="PG3" i="1"/>
  <c r="PL3" i="1"/>
  <c r="PP3" i="1"/>
  <c r="PT3" i="1"/>
  <c r="PX3" i="1"/>
  <c r="QB3" i="1"/>
  <c r="QF3" i="1"/>
  <c r="QJ3" i="1"/>
  <c r="RU3" i="1"/>
  <c r="RY3" i="1"/>
  <c r="SC3" i="1"/>
  <c r="SG3" i="1"/>
  <c r="SK3" i="1"/>
  <c r="SO3" i="1"/>
  <c r="SS3" i="1"/>
  <c r="SW3" i="1"/>
  <c r="AEX3" i="1"/>
  <c r="AFB3" i="1"/>
  <c r="AFF3" i="1"/>
  <c r="AFJ3" i="1"/>
  <c r="AFN3" i="1"/>
  <c r="AFR3" i="1"/>
  <c r="AFV3" i="1"/>
  <c r="AFZ3" i="1"/>
  <c r="BY3" i="1"/>
  <c r="BI3" i="1"/>
  <c r="DE3" i="1"/>
  <c r="DN3" i="1"/>
  <c r="DS3" i="1"/>
  <c r="DX3" i="1"/>
  <c r="ED3" i="1"/>
  <c r="EI3" i="1"/>
  <c r="EN3" i="1"/>
  <c r="FX3" i="1"/>
  <c r="GG3" i="1"/>
  <c r="GS3" i="1"/>
  <c r="HC3" i="1"/>
  <c r="HG3" i="1"/>
  <c r="HK3" i="1"/>
  <c r="HO3" i="1"/>
  <c r="HS3" i="1"/>
  <c r="HW3" i="1"/>
  <c r="IA3" i="1"/>
  <c r="KU3" i="1"/>
  <c r="LC3" i="1"/>
  <c r="LK3" i="1"/>
  <c r="LS3" i="1"/>
  <c r="NO3" i="1"/>
  <c r="VI3" i="1"/>
  <c r="VM3" i="1"/>
  <c r="VQ3" i="1"/>
  <c r="VU3" i="1"/>
  <c r="VY3" i="1"/>
  <c r="WC3" i="1"/>
  <c r="WG3" i="1"/>
  <c r="WK3" i="1"/>
  <c r="WP3" i="1"/>
  <c r="WT3" i="1"/>
  <c r="WX3" i="1"/>
  <c r="XB3" i="1"/>
  <c r="XF3" i="1"/>
  <c r="XJ3" i="1"/>
  <c r="XN3" i="1"/>
  <c r="ZK3" i="1"/>
  <c r="ZO3" i="1"/>
  <c r="ZS3" i="1"/>
  <c r="ZW3" i="1"/>
  <c r="AAA3" i="1"/>
  <c r="AAE3" i="1"/>
  <c r="AAI3" i="1"/>
  <c r="AAM3" i="1"/>
  <c r="AAQ3" i="1"/>
  <c r="AAU3" i="1"/>
  <c r="AAY3" i="1"/>
  <c r="ABC3" i="1"/>
  <c r="ACN3" i="1"/>
  <c r="ACR3" i="1"/>
  <c r="ACV3" i="1"/>
  <c r="ACZ3" i="1"/>
  <c r="ADD3" i="1"/>
  <c r="ADH3" i="1"/>
  <c r="ADL3" i="1"/>
  <c r="ADP3" i="1"/>
  <c r="BU3" i="1"/>
  <c r="BE3" i="1"/>
  <c r="DH3" i="1"/>
  <c r="DO3" i="1"/>
  <c r="DT3" i="1"/>
  <c r="DZ3" i="1"/>
  <c r="EE3" i="1"/>
  <c r="EJ3" i="1"/>
  <c r="FY3" i="1"/>
  <c r="GK3" i="1"/>
  <c r="IP3" i="1"/>
  <c r="KP3" i="1"/>
  <c r="KX3" i="1"/>
  <c r="LF3" i="1"/>
  <c r="LN3" i="1"/>
  <c r="NC3" i="1"/>
  <c r="NS3" i="1"/>
  <c r="CE3" i="1"/>
  <c r="CA3" i="1"/>
  <c r="BW3" i="1"/>
  <c r="BS3" i="1"/>
  <c r="BO3" i="1"/>
  <c r="BK3" i="1"/>
  <c r="BG3" i="1"/>
  <c r="BC3" i="1"/>
  <c r="GY3" i="1"/>
  <c r="JI3" i="1"/>
  <c r="KS3" i="1"/>
  <c r="KW3" i="1"/>
  <c r="LA3" i="1"/>
  <c r="LE3" i="1"/>
  <c r="LI3" i="1"/>
  <c r="LM3" i="1"/>
  <c r="LQ3" i="1"/>
  <c r="NA3" i="1"/>
  <c r="NE3" i="1"/>
  <c r="NI3" i="1"/>
  <c r="NM3" i="1"/>
  <c r="NQ3" i="1"/>
  <c r="NU3" i="1"/>
  <c r="NY3" i="1"/>
  <c r="OC3" i="1"/>
  <c r="QP3" i="1"/>
  <c r="QT3" i="1"/>
  <c r="QX3" i="1"/>
  <c r="RB3" i="1"/>
  <c r="RF3" i="1"/>
  <c r="RJ3" i="1"/>
  <c r="RN3" i="1"/>
  <c r="RR3" i="1"/>
  <c r="UX3" i="1"/>
  <c r="XT3" i="1"/>
  <c r="YB3" i="1"/>
  <c r="YJ3" i="1"/>
  <c r="YR3" i="1"/>
  <c r="CD3" i="1"/>
  <c r="BZ3" i="1"/>
  <c r="BV3" i="1"/>
  <c r="BR3" i="1"/>
  <c r="BN3" i="1"/>
  <c r="BJ3" i="1"/>
  <c r="BF3" i="1"/>
  <c r="BB3" i="1"/>
  <c r="CK3" i="1"/>
  <c r="CQ3" i="1"/>
  <c r="CV3" i="1"/>
  <c r="DA3" i="1"/>
  <c r="DG3" i="1"/>
  <c r="FV3" i="1"/>
  <c r="FZ3" i="1"/>
  <c r="GD3" i="1"/>
  <c r="GH3" i="1"/>
  <c r="GL3" i="1"/>
  <c r="GP3" i="1"/>
  <c r="GT3" i="1"/>
  <c r="GX3" i="1"/>
  <c r="NB3" i="1"/>
  <c r="NF3" i="1"/>
  <c r="NJ3" i="1"/>
  <c r="NN3" i="1"/>
  <c r="NR3" i="1"/>
  <c r="NV3" i="1"/>
  <c r="NZ3" i="1"/>
  <c r="QQ3" i="1"/>
  <c r="QU3" i="1"/>
  <c r="QY3" i="1"/>
  <c r="RC3" i="1"/>
  <c r="RG3" i="1"/>
  <c r="RK3" i="1"/>
  <c r="RO3" i="1"/>
  <c r="XW3" i="1"/>
  <c r="YE3" i="1"/>
  <c r="YM3" i="1"/>
  <c r="VE3" i="1"/>
  <c r="VF3" i="1"/>
  <c r="UP3" i="1"/>
  <c r="VB3" i="1"/>
  <c r="UL3" i="1"/>
  <c r="YT3" i="1"/>
  <c r="YP3" i="1"/>
  <c r="YL3" i="1"/>
  <c r="YH3" i="1"/>
  <c r="YD3" i="1"/>
  <c r="XZ3" i="1"/>
  <c r="XV3" i="1"/>
  <c r="YS3" i="1"/>
  <c r="YO3" i="1"/>
  <c r="YK3" i="1"/>
  <c r="YG3" i="1"/>
  <c r="YC3" i="1"/>
  <c r="XY3" i="1"/>
  <c r="XU3" i="1"/>
  <c r="CB3" i="1"/>
  <c r="BX3" i="1"/>
  <c r="BT3" i="1"/>
  <c r="BP3" i="1"/>
  <c r="BL3" i="1"/>
  <c r="BH3" i="1"/>
  <c r="DM3" i="1"/>
  <c r="DQ3" i="1"/>
  <c r="DU3" i="1"/>
  <c r="DY3" i="1"/>
  <c r="EC3" i="1"/>
  <c r="EG3" i="1"/>
  <c r="EK3" i="1"/>
  <c r="GB3" i="1"/>
  <c r="GJ3" i="1"/>
  <c r="GR3" i="1"/>
  <c r="KR3" i="1"/>
  <c r="KV3" i="1"/>
  <c r="KZ3" i="1"/>
  <c r="LD3" i="1"/>
  <c r="LH3" i="1"/>
  <c r="LL3" i="1"/>
  <c r="MZ3" i="1"/>
  <c r="ND3" i="1"/>
  <c r="NH3" i="1"/>
  <c r="NL3" i="1"/>
  <c r="NP3" i="1"/>
  <c r="NT3" i="1"/>
  <c r="NX3" i="1"/>
  <c r="QO3" i="1"/>
  <c r="QS3" i="1"/>
  <c r="QW3" i="1"/>
  <c r="RA3" i="1"/>
  <c r="RE3" i="1"/>
  <c r="RI3" i="1"/>
  <c r="RM3" i="1"/>
  <c r="UT3" i="1"/>
  <c r="XS3" i="1"/>
  <c r="YA3" i="1"/>
  <c r="YI3" i="1"/>
  <c r="YQ3" i="1"/>
  <c r="ADT3" i="1"/>
  <c r="ADY3" i="1"/>
  <c r="AEE3" i="1"/>
  <c r="AEJ3" i="1"/>
  <c r="AEO3" i="1"/>
  <c r="AEU3" i="1"/>
  <c r="AHH3" i="1"/>
  <c r="AHL3" i="1"/>
  <c r="AHP3" i="1"/>
  <c r="AHT3" i="1"/>
  <c r="AHX3" i="1"/>
  <c r="AIB3" i="1"/>
  <c r="AIF3" i="1"/>
  <c r="AIJ3" i="1"/>
  <c r="ADR3" i="1"/>
  <c r="ADV3" i="1"/>
  <c r="ADZ3" i="1"/>
  <c r="AED3" i="1"/>
  <c r="AEH3" i="1"/>
  <c r="AEL3" i="1"/>
  <c r="AEP3" i="1"/>
  <c r="AET3" i="1"/>
  <c r="ANG3" i="1"/>
  <c r="ANK3" i="1"/>
  <c r="ANO3" i="1"/>
  <c r="ANS3" i="1"/>
  <c r="ANW3" i="1"/>
  <c r="AOA3" i="1"/>
  <c r="AOE3" i="1"/>
  <c r="AOI3" i="1"/>
  <c r="AQV3" i="1"/>
  <c r="AQZ3" i="1"/>
  <c r="ARD3" i="1"/>
  <c r="ARH3" i="1"/>
  <c r="ARL3" i="1"/>
  <c r="ARP3" i="1"/>
  <c r="ART3" i="1"/>
  <c r="ARX3" i="1"/>
  <c r="ADU3" i="1"/>
  <c r="AEA3" i="1"/>
  <c r="AEF3" i="1"/>
  <c r="AEK3" i="1"/>
  <c r="AEQ3" i="1"/>
  <c r="AHI3" i="1"/>
  <c r="AHM3" i="1"/>
  <c r="AHQ3" i="1"/>
  <c r="AHU3" i="1"/>
  <c r="AHY3" i="1"/>
  <c r="AIC3" i="1"/>
  <c r="AIG3" i="1"/>
  <c r="ANH3" i="1"/>
  <c r="ANL3" i="1"/>
  <c r="ANP3" i="1"/>
  <c r="ANT3" i="1"/>
  <c r="ANX3" i="1"/>
  <c r="AOB3" i="1"/>
  <c r="AOF3" i="1"/>
  <c r="AQW3" i="1"/>
  <c r="ARA3" i="1"/>
  <c r="ARE3" i="1"/>
  <c r="ARI3" i="1"/>
  <c r="ARM3" i="1"/>
  <c r="ARQ3" i="1"/>
  <c r="ARU3" i="1"/>
  <c r="ADW3" i="1"/>
  <c r="AEB3" i="1"/>
  <c r="AEG3" i="1"/>
  <c r="AEM3" i="1"/>
  <c r="AHJ3" i="1"/>
  <c r="AHN3" i="1"/>
  <c r="AHR3" i="1"/>
  <c r="AHV3" i="1"/>
  <c r="AHZ3" i="1"/>
  <c r="AID3" i="1"/>
  <c r="ANI3" i="1"/>
  <c r="ANM3" i="1"/>
  <c r="ANQ3" i="1"/>
  <c r="ANU3" i="1"/>
  <c r="ANY3" i="1"/>
  <c r="AOC3" i="1"/>
  <c r="AQX3" i="1"/>
  <c r="ARB3" i="1"/>
  <c r="ARF3" i="1"/>
  <c r="ARJ3" i="1"/>
  <c r="ARN3" i="1"/>
  <c r="ARR3" i="1"/>
  <c r="UE3" i="1"/>
  <c r="UI3" i="1"/>
  <c r="UM3" i="1"/>
  <c r="UQ3" i="1"/>
  <c r="UU3" i="1"/>
  <c r="UY3" i="1"/>
  <c r="VC3" i="1"/>
  <c r="VG3" i="1"/>
  <c r="UF3" i="1"/>
  <c r="UJ3" i="1"/>
  <c r="UN3" i="1"/>
  <c r="UR3" i="1"/>
  <c r="UV3" i="1"/>
  <c r="UZ3" i="1"/>
  <c r="VD3" i="1"/>
  <c r="UG3" i="1"/>
  <c r="UK3" i="1"/>
  <c r="UO3" i="1"/>
  <c r="US3" i="1"/>
  <c r="UW3" i="1"/>
  <c r="VA3" i="1"/>
  <c r="II3" i="1"/>
  <c r="IM3" i="1"/>
  <c r="IQ3" i="1"/>
  <c r="IU3" i="1"/>
  <c r="IY3" i="1"/>
  <c r="JC3" i="1"/>
  <c r="JG3" i="1"/>
  <c r="IF3" i="1"/>
  <c r="IJ3" i="1"/>
  <c r="IN3" i="1"/>
  <c r="IR3" i="1"/>
  <c r="IV3" i="1"/>
  <c r="IZ3" i="1"/>
  <c r="JD3" i="1"/>
  <c r="JH3" i="1"/>
  <c r="IG3" i="1"/>
  <c r="IK3" i="1"/>
  <c r="IO3" i="1"/>
  <c r="IS3" i="1"/>
  <c r="IW3" i="1"/>
  <c r="JA3" i="1"/>
  <c r="JE3" i="1"/>
  <c r="FW3" i="1"/>
  <c r="GA3" i="1"/>
  <c r="GE3" i="1"/>
  <c r="GI3" i="1"/>
  <c r="GM3" i="1"/>
  <c r="GQ3" i="1"/>
  <c r="GU3" i="1"/>
  <c r="CH3" i="1"/>
  <c r="CL3" i="1"/>
  <c r="CP3" i="1"/>
  <c r="CT3" i="1"/>
  <c r="CX3" i="1"/>
  <c r="DB3" i="1"/>
  <c r="DF3" i="1"/>
  <c r="E9" i="2" l="1"/>
  <c r="C3" i="2"/>
  <c r="E4" i="2" l="1"/>
  <c r="D4" i="2"/>
  <c r="D9" i="2"/>
  <c r="C9" i="2"/>
  <c r="AX4" i="1"/>
  <c r="AW4" i="1"/>
  <c r="AS4" i="1"/>
  <c r="AO4" i="1"/>
  <c r="AK4" i="1"/>
  <c r="AG4" i="1"/>
  <c r="AC4" i="1"/>
  <c r="Y4" i="1"/>
  <c r="U4" i="1"/>
  <c r="Q4" i="1"/>
  <c r="AZ4" i="1"/>
  <c r="AV4" i="1"/>
  <c r="AR4" i="1"/>
  <c r="AN4" i="1"/>
  <c r="AJ4" i="1"/>
  <c r="AF4" i="1"/>
  <c r="AB4" i="1"/>
  <c r="X4" i="1"/>
  <c r="T4" i="1"/>
  <c r="P4" i="1"/>
  <c r="AY4" i="1"/>
  <c r="AU4" i="1"/>
  <c r="AQ4" i="1"/>
  <c r="AI4" i="1"/>
  <c r="AE4" i="1"/>
  <c r="AA4" i="1"/>
  <c r="W4" i="1"/>
  <c r="S4" i="1"/>
  <c r="O4" i="1"/>
  <c r="AT4" i="1"/>
  <c r="AP4" i="1"/>
  <c r="AL4" i="1"/>
  <c r="AH4" i="1"/>
  <c r="AD4" i="1"/>
  <c r="Z4" i="1"/>
  <c r="V4" i="1"/>
  <c r="R4" i="1"/>
  <c r="N4" i="1"/>
  <c r="M4" i="1"/>
  <c r="C4" i="2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HM1" i="1"/>
  <c r="HN1" i="1"/>
  <c r="HO1" i="1"/>
  <c r="HP1" i="1"/>
  <c r="HQ1" i="1"/>
  <c r="HR1" i="1"/>
  <c r="HS1" i="1"/>
  <c r="HT1" i="1"/>
  <c r="HU1" i="1"/>
  <c r="HV1" i="1"/>
  <c r="HW1" i="1"/>
  <c r="HX1" i="1"/>
  <c r="HY1" i="1"/>
  <c r="HZ1" i="1"/>
  <c r="IA1" i="1"/>
  <c r="IB1" i="1"/>
  <c r="IC1" i="1"/>
  <c r="ID1" i="1"/>
  <c r="IE1" i="1"/>
  <c r="IF1" i="1"/>
  <c r="IG1" i="1"/>
  <c r="IH1" i="1"/>
  <c r="II1" i="1"/>
  <c r="IJ1" i="1"/>
  <c r="IK1" i="1"/>
  <c r="IL1" i="1"/>
  <c r="IM1" i="1"/>
  <c r="IN1" i="1"/>
  <c r="IO1" i="1"/>
  <c r="IP1" i="1"/>
  <c r="IQ1" i="1"/>
  <c r="IR1" i="1"/>
  <c r="IS1" i="1"/>
  <c r="IT1" i="1"/>
  <c r="IU1" i="1"/>
  <c r="IV1" i="1"/>
  <c r="IW1" i="1"/>
  <c r="IX1" i="1"/>
  <c r="IY1" i="1"/>
  <c r="IZ1" i="1"/>
  <c r="JA1" i="1"/>
  <c r="JB1" i="1"/>
  <c r="JC1" i="1"/>
  <c r="JD1" i="1"/>
  <c r="JE1" i="1"/>
  <c r="JF1" i="1"/>
  <c r="JG1" i="1"/>
  <c r="JH1" i="1"/>
  <c r="JI1" i="1"/>
  <c r="JJ1" i="1"/>
  <c r="JK1" i="1"/>
  <c r="JL1" i="1"/>
  <c r="JM1" i="1"/>
  <c r="JN1" i="1"/>
  <c r="JO1" i="1"/>
  <c r="JP1" i="1"/>
  <c r="JQ1" i="1"/>
  <c r="JR1" i="1"/>
  <c r="JS1" i="1"/>
  <c r="JT1" i="1"/>
  <c r="JU1" i="1"/>
  <c r="JV1" i="1"/>
  <c r="JW1" i="1"/>
  <c r="JX1" i="1"/>
  <c r="JY1" i="1"/>
  <c r="JZ1" i="1"/>
  <c r="KA1" i="1"/>
  <c r="KB1" i="1"/>
  <c r="KC1" i="1"/>
  <c r="KD1" i="1"/>
  <c r="KE1" i="1"/>
  <c r="KF1" i="1"/>
  <c r="KG1" i="1"/>
  <c r="KH1" i="1"/>
  <c r="KI1" i="1"/>
  <c r="KJ1" i="1"/>
  <c r="KK1" i="1"/>
  <c r="KL1" i="1"/>
  <c r="KM1" i="1"/>
  <c r="KN1" i="1"/>
  <c r="KO1" i="1"/>
  <c r="KP1" i="1"/>
  <c r="KQ1" i="1"/>
  <c r="KR1" i="1"/>
  <c r="KS1" i="1"/>
  <c r="KT1" i="1"/>
  <c r="KU1" i="1"/>
  <c r="KV1" i="1"/>
  <c r="KW1" i="1"/>
  <c r="KX1" i="1"/>
  <c r="KY1" i="1"/>
  <c r="KZ1" i="1"/>
  <c r="LA1" i="1"/>
  <c r="LB1" i="1"/>
  <c r="LC1" i="1"/>
  <c r="LD1" i="1"/>
  <c r="LE1" i="1"/>
  <c r="LF1" i="1"/>
  <c r="LG1" i="1"/>
  <c r="LH1" i="1"/>
  <c r="LI1" i="1"/>
  <c r="LJ1" i="1"/>
  <c r="LK1" i="1"/>
  <c r="LL1" i="1"/>
  <c r="LM1" i="1"/>
  <c r="LN1" i="1"/>
  <c r="LO1" i="1"/>
  <c r="LP1" i="1"/>
  <c r="LQ1" i="1"/>
  <c r="LR1" i="1"/>
  <c r="LS1" i="1"/>
  <c r="LT1" i="1"/>
  <c r="LU1" i="1"/>
  <c r="LV1" i="1"/>
  <c r="LW1" i="1"/>
  <c r="LX1" i="1"/>
  <c r="LY1" i="1"/>
  <c r="LZ1" i="1"/>
  <c r="MA1" i="1"/>
  <c r="MB1" i="1"/>
  <c r="MC1" i="1"/>
  <c r="MD1" i="1"/>
  <c r="ME1" i="1"/>
  <c r="MF1" i="1"/>
  <c r="MG1" i="1"/>
  <c r="MH1" i="1"/>
  <c r="MI1" i="1"/>
  <c r="MJ1" i="1"/>
  <c r="MK1" i="1"/>
  <c r="ML1" i="1"/>
  <c r="MM1" i="1"/>
  <c r="MN1" i="1"/>
  <c r="MO1" i="1"/>
  <c r="MP1" i="1"/>
  <c r="MQ1" i="1"/>
  <c r="MR1" i="1"/>
  <c r="MS1" i="1"/>
  <c r="MT1" i="1"/>
  <c r="MU1" i="1"/>
  <c r="MV1" i="1"/>
  <c r="MW1" i="1"/>
  <c r="MX1" i="1"/>
  <c r="MY1" i="1"/>
  <c r="MZ1" i="1"/>
  <c r="NA1" i="1"/>
  <c r="NB1" i="1"/>
  <c r="NC1" i="1"/>
  <c r="ND1" i="1"/>
  <c r="NE1" i="1"/>
  <c r="NF1" i="1"/>
  <c r="NG1" i="1"/>
  <c r="NH1" i="1"/>
  <c r="NI1" i="1"/>
  <c r="NJ1" i="1"/>
  <c r="NK1" i="1"/>
  <c r="NL1" i="1"/>
  <c r="NM1" i="1"/>
  <c r="NN1" i="1"/>
  <c r="NO1" i="1"/>
  <c r="NP1" i="1"/>
  <c r="NQ1" i="1"/>
  <c r="NR1" i="1"/>
  <c r="NS1" i="1"/>
  <c r="NT1" i="1"/>
  <c r="NU1" i="1"/>
  <c r="NV1" i="1"/>
  <c r="NW1" i="1"/>
  <c r="NX1" i="1"/>
  <c r="NY1" i="1"/>
  <c r="NZ1" i="1"/>
  <c r="OA1" i="1"/>
  <c r="OB1" i="1"/>
  <c r="OC1" i="1"/>
  <c r="OD1" i="1"/>
  <c r="OE1" i="1"/>
  <c r="OF1" i="1"/>
  <c r="OG1" i="1"/>
  <c r="OH1" i="1"/>
  <c r="OI1" i="1"/>
  <c r="OJ1" i="1"/>
  <c r="OK1" i="1"/>
  <c r="OL1" i="1"/>
  <c r="OM1" i="1"/>
  <c r="ON1" i="1"/>
  <c r="OO1" i="1"/>
  <c r="OP1" i="1"/>
  <c r="OQ1" i="1"/>
  <c r="OR1" i="1"/>
  <c r="OS1" i="1"/>
  <c r="OT1" i="1"/>
  <c r="OU1" i="1"/>
  <c r="OV1" i="1"/>
  <c r="OW1" i="1"/>
  <c r="OX1" i="1"/>
  <c r="OY1" i="1"/>
  <c r="OZ1" i="1"/>
  <c r="PA1" i="1"/>
  <c r="PB1" i="1"/>
  <c r="PC1" i="1"/>
  <c r="PD1" i="1"/>
  <c r="PE1" i="1"/>
  <c r="PF1" i="1"/>
  <c r="PG1" i="1"/>
  <c r="PH1" i="1"/>
  <c r="PI1" i="1"/>
  <c r="PJ1" i="1"/>
  <c r="PK1" i="1"/>
  <c r="PL1" i="1"/>
  <c r="PM1" i="1"/>
  <c r="PN1" i="1"/>
  <c r="PO1" i="1"/>
  <c r="PP1" i="1"/>
  <c r="PQ1" i="1"/>
  <c r="PR1" i="1"/>
  <c r="PS1" i="1"/>
  <c r="PT1" i="1"/>
  <c r="PU1" i="1"/>
  <c r="PV1" i="1"/>
  <c r="PW1" i="1"/>
  <c r="PX1" i="1"/>
  <c r="PY1" i="1"/>
  <c r="PZ1" i="1"/>
  <c r="QA1" i="1"/>
  <c r="QB1" i="1"/>
  <c r="QC1" i="1"/>
  <c r="QD1" i="1"/>
  <c r="QE1" i="1"/>
  <c r="QF1" i="1"/>
  <c r="QG1" i="1"/>
  <c r="QH1" i="1"/>
  <c r="QI1" i="1"/>
  <c r="QJ1" i="1"/>
  <c r="QK1" i="1"/>
  <c r="QL1" i="1"/>
  <c r="QM1" i="1"/>
  <c r="QN1" i="1"/>
  <c r="QO1" i="1"/>
  <c r="QP1" i="1"/>
  <c r="QQ1" i="1"/>
  <c r="QR1" i="1"/>
  <c r="QS1" i="1"/>
  <c r="QT1" i="1"/>
  <c r="QU1" i="1"/>
  <c r="QV1" i="1"/>
  <c r="QW1" i="1"/>
  <c r="QX1" i="1"/>
  <c r="QY1" i="1"/>
  <c r="QZ1" i="1"/>
  <c r="RA1" i="1"/>
  <c r="RB1" i="1"/>
  <c r="RC1" i="1"/>
  <c r="RD1" i="1"/>
  <c r="RE1" i="1"/>
  <c r="RF1" i="1"/>
  <c r="RG1" i="1"/>
  <c r="RH1" i="1"/>
  <c r="RI1" i="1"/>
  <c r="RJ1" i="1"/>
  <c r="RK1" i="1"/>
  <c r="RL1" i="1"/>
  <c r="RM1" i="1"/>
  <c r="RN1" i="1"/>
  <c r="RO1" i="1"/>
  <c r="RP1" i="1"/>
  <c r="RQ1" i="1"/>
  <c r="RR1" i="1"/>
  <c r="RS1" i="1"/>
  <c r="RT1" i="1"/>
  <c r="RU1" i="1"/>
  <c r="RV1" i="1"/>
  <c r="RW1" i="1"/>
  <c r="RX1" i="1"/>
  <c r="RY1" i="1"/>
  <c r="RZ1" i="1"/>
  <c r="SA1" i="1"/>
  <c r="SB1" i="1"/>
  <c r="SC1" i="1"/>
  <c r="SD1" i="1"/>
  <c r="SE1" i="1"/>
  <c r="SF1" i="1"/>
  <c r="SG1" i="1"/>
  <c r="SH1" i="1"/>
  <c r="SI1" i="1"/>
  <c r="SJ1" i="1"/>
  <c r="SK1" i="1"/>
  <c r="SL1" i="1"/>
  <c r="SM1" i="1"/>
  <c r="SN1" i="1"/>
  <c r="SO1" i="1"/>
  <c r="SP1" i="1"/>
  <c r="SQ1" i="1"/>
  <c r="SR1" i="1"/>
  <c r="SS1" i="1"/>
  <c r="ST1" i="1"/>
  <c r="SU1" i="1"/>
  <c r="SV1" i="1"/>
  <c r="SW1" i="1"/>
  <c r="SX1" i="1"/>
  <c r="SY1" i="1"/>
  <c r="SZ1" i="1"/>
  <c r="TA1" i="1"/>
  <c r="TB1" i="1"/>
  <c r="TC1" i="1"/>
  <c r="TD1" i="1"/>
  <c r="TE1" i="1"/>
  <c r="TF1" i="1"/>
  <c r="TG1" i="1"/>
  <c r="TH1" i="1"/>
  <c r="TI1" i="1"/>
  <c r="TJ1" i="1"/>
  <c r="TK1" i="1"/>
  <c r="TL1" i="1"/>
  <c r="TM1" i="1"/>
  <c r="TN1" i="1"/>
  <c r="TO1" i="1"/>
  <c r="TP1" i="1"/>
  <c r="TQ1" i="1"/>
  <c r="TR1" i="1"/>
  <c r="TS1" i="1"/>
  <c r="TT1" i="1"/>
  <c r="TU1" i="1"/>
  <c r="TV1" i="1"/>
  <c r="TW1" i="1"/>
  <c r="TX1" i="1"/>
  <c r="TY1" i="1"/>
  <c r="TZ1" i="1"/>
  <c r="UA1" i="1"/>
  <c r="UB1" i="1"/>
  <c r="UC1" i="1"/>
  <c r="UD1" i="1"/>
  <c r="UE1" i="1"/>
  <c r="UF1" i="1"/>
  <c r="UG1" i="1"/>
  <c r="UH1" i="1"/>
  <c r="UI1" i="1"/>
  <c r="UJ1" i="1"/>
  <c r="UK1" i="1"/>
  <c r="UL1" i="1"/>
  <c r="UM1" i="1"/>
  <c r="UN1" i="1"/>
  <c r="UO1" i="1"/>
  <c r="UP1" i="1"/>
  <c r="UQ1" i="1"/>
  <c r="UR1" i="1"/>
  <c r="US1" i="1"/>
  <c r="UT1" i="1"/>
  <c r="UU1" i="1"/>
  <c r="UV1" i="1"/>
  <c r="UW1" i="1"/>
  <c r="UX1" i="1"/>
  <c r="UY1" i="1"/>
  <c r="UZ1" i="1"/>
  <c r="VA1" i="1"/>
  <c r="VB1" i="1"/>
  <c r="VC1" i="1"/>
  <c r="VD1" i="1"/>
  <c r="VE1" i="1"/>
  <c r="VF1" i="1"/>
  <c r="VG1" i="1"/>
  <c r="VH1" i="1"/>
  <c r="VI1" i="1"/>
  <c r="VJ1" i="1"/>
  <c r="VK1" i="1"/>
  <c r="VL1" i="1"/>
  <c r="VM1" i="1"/>
  <c r="VN1" i="1"/>
  <c r="VO1" i="1"/>
  <c r="VP1" i="1"/>
  <c r="VQ1" i="1"/>
  <c r="VR1" i="1"/>
  <c r="VS1" i="1"/>
  <c r="VT1" i="1"/>
  <c r="VU1" i="1"/>
  <c r="VV1" i="1"/>
  <c r="VW1" i="1"/>
  <c r="VX1" i="1"/>
  <c r="VY1" i="1"/>
  <c r="VZ1" i="1"/>
  <c r="WA1" i="1"/>
  <c r="WB1" i="1"/>
  <c r="WC1" i="1"/>
  <c r="WD1" i="1"/>
  <c r="WE1" i="1"/>
  <c r="WF1" i="1"/>
  <c r="WG1" i="1"/>
  <c r="WH1" i="1"/>
  <c r="WI1" i="1"/>
  <c r="WJ1" i="1"/>
  <c r="WK1" i="1"/>
  <c r="WL1" i="1"/>
  <c r="WM1" i="1"/>
  <c r="WN1" i="1"/>
  <c r="WO1" i="1"/>
  <c r="WP1" i="1"/>
  <c r="WQ1" i="1"/>
  <c r="WR1" i="1"/>
  <c r="WS1" i="1"/>
  <c r="WT1" i="1"/>
  <c r="WU1" i="1"/>
  <c r="WV1" i="1"/>
  <c r="WW1" i="1"/>
  <c r="WX1" i="1"/>
  <c r="WY1" i="1"/>
  <c r="WZ1" i="1"/>
  <c r="XA1" i="1"/>
  <c r="XB1" i="1"/>
  <c r="XC1" i="1"/>
  <c r="XD1" i="1"/>
  <c r="XE1" i="1"/>
  <c r="XF1" i="1"/>
  <c r="XG1" i="1"/>
  <c r="XH1" i="1"/>
  <c r="XI1" i="1"/>
  <c r="XJ1" i="1"/>
  <c r="XK1" i="1"/>
  <c r="XL1" i="1"/>
  <c r="XM1" i="1"/>
  <c r="XN1" i="1"/>
  <c r="XO1" i="1"/>
  <c r="XP1" i="1"/>
  <c r="XQ1" i="1"/>
  <c r="XR1" i="1"/>
  <c r="XS1" i="1"/>
  <c r="XT1" i="1"/>
  <c r="XU1" i="1"/>
  <c r="XV1" i="1"/>
  <c r="XW1" i="1"/>
  <c r="XX1" i="1"/>
  <c r="XY1" i="1"/>
  <c r="XZ1" i="1"/>
  <c r="YA1" i="1"/>
  <c r="YB1" i="1"/>
  <c r="YC1" i="1"/>
  <c r="YD1" i="1"/>
  <c r="YE1" i="1"/>
  <c r="YF1" i="1"/>
  <c r="YG1" i="1"/>
  <c r="YH1" i="1"/>
  <c r="YI1" i="1"/>
  <c r="YJ1" i="1"/>
  <c r="YK1" i="1"/>
  <c r="YL1" i="1"/>
  <c r="YM1" i="1"/>
  <c r="YN1" i="1"/>
  <c r="YO1" i="1"/>
  <c r="YP1" i="1"/>
  <c r="YQ1" i="1"/>
  <c r="YR1" i="1"/>
  <c r="YS1" i="1"/>
  <c r="YT1" i="1"/>
  <c r="YU1" i="1"/>
  <c r="YV1" i="1"/>
  <c r="YW1" i="1"/>
  <c r="YX1" i="1"/>
  <c r="YY1" i="1"/>
  <c r="YZ1" i="1"/>
  <c r="ZA1" i="1"/>
  <c r="ZB1" i="1"/>
  <c r="ZC1" i="1"/>
  <c r="ZD1" i="1"/>
  <c r="ZE1" i="1"/>
  <c r="ZF1" i="1"/>
  <c r="ZG1" i="1"/>
  <c r="ZH1" i="1"/>
  <c r="ZI1" i="1"/>
  <c r="ZJ1" i="1"/>
  <c r="ZK1" i="1"/>
  <c r="ZL1" i="1"/>
  <c r="ZM1" i="1"/>
  <c r="ZN1" i="1"/>
  <c r="ZO1" i="1"/>
  <c r="ZP1" i="1"/>
  <c r="ZQ1" i="1"/>
  <c r="ZR1" i="1"/>
  <c r="ZS1" i="1"/>
  <c r="ZT1" i="1"/>
  <c r="ZU1" i="1"/>
  <c r="ZV1" i="1"/>
  <c r="ZW1" i="1"/>
  <c r="ZX1" i="1"/>
  <c r="ZY1" i="1"/>
  <c r="ZZ1" i="1"/>
  <c r="AAA1" i="1"/>
  <c r="AAB1" i="1"/>
  <c r="AAC1" i="1"/>
  <c r="AAD1" i="1"/>
  <c r="AAE1" i="1"/>
  <c r="AAF1" i="1"/>
  <c r="AAG1" i="1"/>
  <c r="AAH1" i="1"/>
  <c r="AAI1" i="1"/>
  <c r="AAJ1" i="1"/>
  <c r="AAK1" i="1"/>
  <c r="AAL1" i="1"/>
  <c r="AAM1" i="1"/>
  <c r="AAN1" i="1"/>
  <c r="AAO1" i="1"/>
  <c r="AAP1" i="1"/>
  <c r="AAQ1" i="1"/>
  <c r="AAR1" i="1"/>
  <c r="AAS1" i="1"/>
  <c r="AAT1" i="1"/>
  <c r="AAU1" i="1"/>
  <c r="AAV1" i="1"/>
  <c r="AAW1" i="1"/>
  <c r="AAX1" i="1"/>
  <c r="AAY1" i="1"/>
  <c r="AAZ1" i="1"/>
  <c r="ABA1" i="1"/>
  <c r="ABB1" i="1"/>
  <c r="ABC1" i="1"/>
  <c r="ABD1" i="1"/>
  <c r="ABE1" i="1"/>
  <c r="ABF1" i="1"/>
  <c r="ABG1" i="1"/>
  <c r="ABH1" i="1"/>
  <c r="ABI1" i="1"/>
  <c r="ABJ1" i="1"/>
  <c r="ABK1" i="1"/>
  <c r="ABL1" i="1"/>
  <c r="ABM1" i="1"/>
  <c r="ABN1" i="1"/>
  <c r="ABO1" i="1"/>
  <c r="ABP1" i="1"/>
  <c r="ABQ1" i="1"/>
  <c r="ABR1" i="1"/>
  <c r="ABS1" i="1"/>
  <c r="ABT1" i="1"/>
  <c r="ABU1" i="1"/>
  <c r="ABV1" i="1"/>
  <c r="ABW1" i="1"/>
  <c r="ABX1" i="1"/>
  <c r="ABY1" i="1"/>
  <c r="ABZ1" i="1"/>
  <c r="ACA1" i="1"/>
  <c r="ACB1" i="1"/>
  <c r="ACC1" i="1"/>
  <c r="ACD1" i="1"/>
  <c r="ACE1" i="1"/>
  <c r="ACF1" i="1"/>
  <c r="ACG1" i="1"/>
  <c r="ACH1" i="1"/>
  <c r="ACI1" i="1"/>
  <c r="ACJ1" i="1"/>
  <c r="ACK1" i="1"/>
  <c r="ACL1" i="1"/>
  <c r="ACM1" i="1"/>
  <c r="ACN1" i="1"/>
  <c r="ACO1" i="1"/>
  <c r="ACP1" i="1"/>
  <c r="ACQ1" i="1"/>
  <c r="ACR1" i="1"/>
  <c r="ACS1" i="1"/>
  <c r="ACT1" i="1"/>
  <c r="ACU1" i="1"/>
  <c r="ACV1" i="1"/>
  <c r="ACW1" i="1"/>
  <c r="ACX1" i="1"/>
  <c r="ACY1" i="1"/>
  <c r="ACZ1" i="1"/>
  <c r="ADA1" i="1"/>
  <c r="ADB1" i="1"/>
  <c r="ADC1" i="1"/>
  <c r="ADD1" i="1"/>
  <c r="ADE1" i="1"/>
  <c r="ADF1" i="1"/>
  <c r="ADG1" i="1"/>
  <c r="ADH1" i="1"/>
  <c r="ADI1" i="1"/>
  <c r="ADJ1" i="1"/>
  <c r="ADK1" i="1"/>
  <c r="ADL1" i="1"/>
  <c r="ADM1" i="1"/>
  <c r="ADN1" i="1"/>
  <c r="ADO1" i="1"/>
  <c r="ADP1" i="1"/>
  <c r="ADQ1" i="1"/>
  <c r="ADR1" i="1"/>
  <c r="ADS1" i="1"/>
  <c r="ADT1" i="1"/>
  <c r="ADU1" i="1"/>
  <c r="ADV1" i="1"/>
  <c r="ADW1" i="1"/>
  <c r="ADX1" i="1"/>
  <c r="ADY1" i="1"/>
  <c r="ADZ1" i="1"/>
  <c r="AEA1" i="1"/>
  <c r="AEB1" i="1"/>
  <c r="AEC1" i="1"/>
  <c r="AED1" i="1"/>
  <c r="AEE1" i="1"/>
  <c r="AEF1" i="1"/>
  <c r="AEG1" i="1"/>
  <c r="AEH1" i="1"/>
  <c r="AEI1" i="1"/>
  <c r="AEJ1" i="1"/>
  <c r="AEK1" i="1"/>
  <c r="AEL1" i="1"/>
  <c r="AEM1" i="1"/>
  <c r="AEN1" i="1"/>
  <c r="AEO1" i="1"/>
  <c r="AEP1" i="1"/>
  <c r="AEQ1" i="1"/>
  <c r="AER1" i="1"/>
  <c r="AES1" i="1"/>
  <c r="AET1" i="1"/>
  <c r="AEU1" i="1"/>
  <c r="AEV1" i="1"/>
  <c r="AEW1" i="1"/>
  <c r="AEX1" i="1"/>
  <c r="AEY1" i="1"/>
  <c r="AEZ1" i="1"/>
  <c r="AFA1" i="1"/>
  <c r="AFB1" i="1"/>
  <c r="AFC1" i="1"/>
  <c r="AFD1" i="1"/>
  <c r="AFE1" i="1"/>
  <c r="AFF1" i="1"/>
  <c r="AFG1" i="1"/>
  <c r="AFH1" i="1"/>
  <c r="AFI1" i="1"/>
  <c r="AFJ1" i="1"/>
  <c r="AFK1" i="1"/>
  <c r="AFL1" i="1"/>
  <c r="AFM1" i="1"/>
  <c r="AFN1" i="1"/>
  <c r="AFO1" i="1"/>
  <c r="AFP1" i="1"/>
  <c r="AFQ1" i="1"/>
  <c r="AFR1" i="1"/>
  <c r="AFS1" i="1"/>
  <c r="AFT1" i="1"/>
  <c r="AFU1" i="1"/>
  <c r="AFV1" i="1"/>
  <c r="AFW1" i="1"/>
  <c r="AFX1" i="1"/>
  <c r="AFY1" i="1"/>
  <c r="AFZ1" i="1"/>
  <c r="AGA1" i="1"/>
  <c r="AGB1" i="1"/>
  <c r="AGC1" i="1"/>
  <c r="AGD1" i="1"/>
  <c r="AGE1" i="1"/>
  <c r="AGF1" i="1"/>
  <c r="AGG1" i="1"/>
  <c r="AGH1" i="1"/>
  <c r="AGI1" i="1"/>
  <c r="AGJ1" i="1"/>
  <c r="AGK1" i="1"/>
  <c r="AGL1" i="1"/>
  <c r="AGM1" i="1"/>
  <c r="AGN1" i="1"/>
  <c r="AGO1" i="1"/>
  <c r="AGP1" i="1"/>
  <c r="AGQ1" i="1"/>
  <c r="AGR1" i="1"/>
  <c r="AGS1" i="1"/>
  <c r="AGT1" i="1"/>
  <c r="AGU1" i="1"/>
  <c r="AGV1" i="1"/>
  <c r="AGW1" i="1"/>
  <c r="AGX1" i="1"/>
  <c r="AGY1" i="1"/>
  <c r="AGZ1" i="1"/>
  <c r="AHA1" i="1"/>
  <c r="AHB1" i="1"/>
  <c r="AHC1" i="1"/>
  <c r="AHD1" i="1"/>
  <c r="AHE1" i="1"/>
  <c r="AHF1" i="1"/>
  <c r="AHG1" i="1"/>
  <c r="AHH1" i="1"/>
  <c r="AHI1" i="1"/>
  <c r="AHJ1" i="1"/>
  <c r="AHK1" i="1"/>
  <c r="AHL1" i="1"/>
  <c r="AHM1" i="1"/>
  <c r="AHN1" i="1"/>
  <c r="AHO1" i="1"/>
  <c r="AHP1" i="1"/>
  <c r="AHQ1" i="1"/>
  <c r="AHR1" i="1"/>
  <c r="AHS1" i="1"/>
  <c r="AHT1" i="1"/>
  <c r="AHU1" i="1"/>
  <c r="AHV1" i="1"/>
  <c r="AHW1" i="1"/>
  <c r="AHX1" i="1"/>
  <c r="AHY1" i="1"/>
  <c r="AHZ1" i="1"/>
  <c r="AIA1" i="1"/>
  <c r="AIB1" i="1"/>
  <c r="AIC1" i="1"/>
  <c r="AID1" i="1"/>
  <c r="AIE1" i="1"/>
  <c r="AIF1" i="1"/>
  <c r="AIG1" i="1"/>
  <c r="AIH1" i="1"/>
  <c r="AII1" i="1"/>
  <c r="AIJ1" i="1"/>
  <c r="AIK1" i="1"/>
  <c r="AIL1" i="1"/>
  <c r="AIM1" i="1"/>
  <c r="AIN1" i="1"/>
  <c r="AIO1" i="1"/>
  <c r="AIP1" i="1"/>
  <c r="AIQ1" i="1"/>
  <c r="AIR1" i="1"/>
  <c r="AIS1" i="1"/>
  <c r="AIT1" i="1"/>
  <c r="AIU1" i="1"/>
  <c r="AIV1" i="1"/>
  <c r="AIW1" i="1"/>
  <c r="AIX1" i="1"/>
  <c r="AIY1" i="1"/>
  <c r="AIZ1" i="1"/>
  <c r="AJA1" i="1"/>
  <c r="AJB1" i="1"/>
  <c r="AJC1" i="1"/>
  <c r="AJD1" i="1"/>
  <c r="AJE1" i="1"/>
  <c r="AJF1" i="1"/>
  <c r="AJG1" i="1"/>
  <c r="AJH1" i="1"/>
  <c r="AJI1" i="1"/>
  <c r="AJJ1" i="1"/>
  <c r="AJK1" i="1"/>
  <c r="AJL1" i="1"/>
  <c r="AJM1" i="1"/>
  <c r="AJN1" i="1"/>
  <c r="AJO1" i="1"/>
  <c r="AJP1" i="1"/>
  <c r="AJQ1" i="1"/>
  <c r="AJR1" i="1"/>
  <c r="AJS1" i="1"/>
  <c r="AJT1" i="1"/>
  <c r="AJU1" i="1"/>
  <c r="AJV1" i="1"/>
  <c r="AJW1" i="1"/>
  <c r="AJX1" i="1"/>
  <c r="AJY1" i="1"/>
  <c r="AJZ1" i="1"/>
  <c r="AKA1" i="1"/>
  <c r="AKB1" i="1"/>
  <c r="AKC1" i="1"/>
  <c r="AKD1" i="1"/>
  <c r="AKE1" i="1"/>
  <c r="AKF1" i="1"/>
  <c r="AKG1" i="1"/>
  <c r="AKH1" i="1"/>
  <c r="AKI1" i="1"/>
  <c r="AKJ1" i="1"/>
  <c r="AKK1" i="1"/>
  <c r="AKL1" i="1"/>
  <c r="AKM1" i="1"/>
  <c r="AKN1" i="1"/>
  <c r="AKO1" i="1"/>
  <c r="AKP1" i="1"/>
  <c r="AKQ1" i="1"/>
  <c r="AKR1" i="1"/>
  <c r="AKS1" i="1"/>
  <c r="AKT1" i="1"/>
  <c r="AKU1" i="1"/>
  <c r="AKV1" i="1"/>
  <c r="AKW1" i="1"/>
  <c r="AKX1" i="1"/>
  <c r="AKY1" i="1"/>
  <c r="AKZ1" i="1"/>
  <c r="ALA1" i="1"/>
  <c r="ALB1" i="1"/>
  <c r="ALC1" i="1"/>
  <c r="ALD1" i="1"/>
  <c r="ALE1" i="1"/>
  <c r="ALF1" i="1"/>
  <c r="ALG1" i="1"/>
  <c r="ALH1" i="1"/>
  <c r="ALI1" i="1"/>
  <c r="ALJ1" i="1"/>
  <c r="ALK1" i="1"/>
  <c r="ALL1" i="1"/>
  <c r="ALM1" i="1"/>
  <c r="ALN1" i="1"/>
  <c r="ALO1" i="1"/>
  <c r="ALP1" i="1"/>
  <c r="ALQ1" i="1"/>
  <c r="ALR1" i="1"/>
  <c r="ALS1" i="1"/>
  <c r="ALT1" i="1"/>
  <c r="ALU1" i="1"/>
  <c r="ALV1" i="1"/>
  <c r="ALW1" i="1"/>
  <c r="ALX1" i="1"/>
  <c r="ALY1" i="1"/>
  <c r="ALZ1" i="1"/>
  <c r="AMA1" i="1"/>
  <c r="AMB1" i="1"/>
  <c r="AMC1" i="1"/>
  <c r="AMD1" i="1"/>
  <c r="AME1" i="1"/>
  <c r="AMF1" i="1"/>
  <c r="AMG1" i="1"/>
  <c r="AMH1" i="1"/>
  <c r="AMI1" i="1"/>
  <c r="AMJ1" i="1"/>
  <c r="AMK1" i="1"/>
  <c r="AML1" i="1"/>
  <c r="AMM1" i="1"/>
  <c r="AMN1" i="1"/>
  <c r="AMO1" i="1"/>
  <c r="AMP1" i="1"/>
  <c r="AMQ1" i="1"/>
  <c r="AMR1" i="1"/>
  <c r="AMS1" i="1"/>
  <c r="AMT1" i="1"/>
  <c r="AMU1" i="1"/>
  <c r="AMV1" i="1"/>
  <c r="AMW1" i="1"/>
  <c r="AMX1" i="1"/>
  <c r="AMY1" i="1"/>
  <c r="AMZ1" i="1"/>
  <c r="ANA1" i="1"/>
  <c r="ANB1" i="1"/>
  <c r="ANC1" i="1"/>
  <c r="AND1" i="1"/>
  <c r="ANE1" i="1"/>
  <c r="ANF1" i="1"/>
  <c r="ANG1" i="1"/>
  <c r="ANH1" i="1"/>
  <c r="ANI1" i="1"/>
  <c r="ANJ1" i="1"/>
  <c r="ANK1" i="1"/>
  <c r="ANL1" i="1"/>
  <c r="ANM1" i="1"/>
  <c r="ANN1" i="1"/>
  <c r="ANO1" i="1"/>
  <c r="ANP1" i="1"/>
  <c r="ANQ1" i="1"/>
  <c r="ANR1" i="1"/>
  <c r="ANS1" i="1"/>
  <c r="ANT1" i="1"/>
  <c r="ANU1" i="1"/>
  <c r="ANV1" i="1"/>
  <c r="ANW1" i="1"/>
  <c r="ANX1" i="1"/>
  <c r="ANY1" i="1"/>
  <c r="ANZ1" i="1"/>
  <c r="AOA1" i="1"/>
  <c r="AOB1" i="1"/>
  <c r="AOC1" i="1"/>
  <c r="AOD1" i="1"/>
  <c r="AOE1" i="1"/>
  <c r="AOF1" i="1"/>
  <c r="AOG1" i="1"/>
  <c r="AOH1" i="1"/>
  <c r="AOI1" i="1"/>
  <c r="AOJ1" i="1"/>
  <c r="AOK1" i="1"/>
  <c r="AOL1" i="1"/>
  <c r="AOM1" i="1"/>
  <c r="AON1" i="1"/>
  <c r="AOO1" i="1"/>
  <c r="AOP1" i="1"/>
  <c r="AOQ1" i="1"/>
  <c r="AOR1" i="1"/>
  <c r="AOS1" i="1"/>
  <c r="AOT1" i="1"/>
  <c r="AOU1" i="1"/>
  <c r="AOV1" i="1"/>
  <c r="AOW1" i="1"/>
  <c r="AOX1" i="1"/>
  <c r="AOY1" i="1"/>
  <c r="AOZ1" i="1"/>
  <c r="APA1" i="1"/>
  <c r="APB1" i="1"/>
  <c r="APC1" i="1"/>
  <c r="APD1" i="1"/>
  <c r="APE1" i="1"/>
  <c r="APF1" i="1"/>
  <c r="APG1" i="1"/>
  <c r="APH1" i="1"/>
  <c r="API1" i="1"/>
  <c r="APJ1" i="1"/>
  <c r="APK1" i="1"/>
  <c r="APL1" i="1"/>
  <c r="APM1" i="1"/>
  <c r="APN1" i="1"/>
  <c r="APO1" i="1"/>
  <c r="APP1" i="1"/>
  <c r="APQ1" i="1"/>
  <c r="APR1" i="1"/>
  <c r="APS1" i="1"/>
  <c r="APT1" i="1"/>
  <c r="APU1" i="1"/>
  <c r="APV1" i="1"/>
  <c r="APW1" i="1"/>
  <c r="APX1" i="1"/>
  <c r="APY1" i="1"/>
  <c r="APZ1" i="1"/>
  <c r="AQA1" i="1"/>
  <c r="AQB1" i="1"/>
  <c r="AQC1" i="1"/>
  <c r="AQD1" i="1"/>
  <c r="AQE1" i="1"/>
  <c r="AQF1" i="1"/>
  <c r="AQG1" i="1"/>
  <c r="AQH1" i="1"/>
  <c r="AQI1" i="1"/>
  <c r="AQJ1" i="1"/>
  <c r="AQK1" i="1"/>
  <c r="AQL1" i="1"/>
  <c r="AQM1" i="1"/>
  <c r="AQN1" i="1"/>
  <c r="AQO1" i="1"/>
  <c r="AQP1" i="1"/>
  <c r="AQQ1" i="1"/>
  <c r="AQR1" i="1"/>
  <c r="AQS1" i="1"/>
  <c r="AQT1" i="1"/>
  <c r="AQU1" i="1"/>
  <c r="AQV1" i="1"/>
  <c r="AQW1" i="1"/>
  <c r="AQX1" i="1"/>
  <c r="AQY1" i="1"/>
  <c r="AQZ1" i="1"/>
  <c r="ARA1" i="1"/>
  <c r="ARB1" i="1"/>
  <c r="ARC1" i="1"/>
  <c r="ARD1" i="1"/>
  <c r="ARE1" i="1"/>
  <c r="ARF1" i="1"/>
  <c r="ARG1" i="1"/>
  <c r="ARH1" i="1"/>
  <c r="ARI1" i="1"/>
  <c r="ARJ1" i="1"/>
  <c r="ARK1" i="1"/>
  <c r="ARL1" i="1"/>
  <c r="ARM1" i="1"/>
  <c r="ARN1" i="1"/>
  <c r="ARO1" i="1"/>
  <c r="ARP1" i="1"/>
  <c r="ARQ1" i="1"/>
  <c r="ARR1" i="1"/>
  <c r="ARS1" i="1"/>
  <c r="ART1" i="1"/>
  <c r="ARU1" i="1"/>
  <c r="ARV1" i="1"/>
  <c r="ARW1" i="1"/>
  <c r="ARX1" i="1"/>
  <c r="ARY1" i="1"/>
  <c r="ARZ1" i="1"/>
  <c r="ASA1" i="1"/>
  <c r="ASB1" i="1"/>
  <c r="ASC1" i="1"/>
  <c r="ASD1" i="1"/>
  <c r="ASE1" i="1"/>
  <c r="ASF1" i="1"/>
  <c r="ASG1" i="1"/>
  <c r="ASH1" i="1"/>
  <c r="ASI1" i="1"/>
  <c r="ASJ1" i="1"/>
  <c r="ASK1" i="1"/>
  <c r="ASL1" i="1"/>
  <c r="ASM1" i="1"/>
  <c r="ASN1" i="1"/>
  <c r="ASO1" i="1"/>
  <c r="ASP1" i="1"/>
  <c r="ASQ1" i="1"/>
  <c r="ASR1" i="1"/>
  <c r="ASS1" i="1"/>
  <c r="AST1" i="1"/>
  <c r="ASU1" i="1"/>
  <c r="ASV1" i="1"/>
  <c r="ASW1" i="1"/>
  <c r="ASX1" i="1"/>
  <c r="ASY1" i="1"/>
  <c r="ASZ1" i="1"/>
  <c r="ATA1" i="1"/>
  <c r="ATB1" i="1"/>
  <c r="ATC1" i="1"/>
  <c r="ATD1" i="1"/>
  <c r="ATE1" i="1"/>
  <c r="ATF1" i="1"/>
  <c r="ATG1" i="1"/>
  <c r="ATH1" i="1"/>
  <c r="ATI1" i="1"/>
  <c r="ATJ1" i="1"/>
  <c r="ATK1" i="1"/>
  <c r="ATL1" i="1"/>
  <c r="ATM1" i="1"/>
  <c r="ATN1" i="1"/>
  <c r="ATO1" i="1"/>
  <c r="ATP1" i="1"/>
  <c r="ATQ1" i="1"/>
  <c r="ATR1" i="1"/>
  <c r="ATS1" i="1"/>
  <c r="ATT1" i="1"/>
  <c r="ATU1" i="1"/>
  <c r="ATV1" i="1"/>
  <c r="ATW1" i="1"/>
  <c r="ATX1" i="1"/>
  <c r="ATY1" i="1"/>
  <c r="ATZ1" i="1"/>
  <c r="AUA1" i="1"/>
  <c r="AUB1" i="1"/>
  <c r="AUC1" i="1"/>
  <c r="AUD1" i="1"/>
  <c r="AUE1" i="1"/>
  <c r="AUF1" i="1"/>
  <c r="AUG1" i="1"/>
  <c r="AUH1" i="1"/>
  <c r="AUI1" i="1"/>
  <c r="AUJ1" i="1"/>
  <c r="AUK1" i="1"/>
  <c r="AUL1" i="1"/>
  <c r="AUM1" i="1"/>
  <c r="AUN1" i="1"/>
  <c r="AUO1" i="1"/>
  <c r="AUP1" i="1"/>
  <c r="AUQ1" i="1"/>
  <c r="AUR1" i="1"/>
  <c r="AUS1" i="1"/>
  <c r="AUT1" i="1"/>
  <c r="AUU1" i="1"/>
  <c r="AUV1" i="1"/>
  <c r="AUW1" i="1"/>
  <c r="AUX1" i="1"/>
  <c r="AUY1" i="1"/>
  <c r="AUZ1" i="1"/>
  <c r="AVA1" i="1"/>
  <c r="AVB1" i="1"/>
  <c r="AVC1" i="1"/>
  <c r="AVD1" i="1"/>
  <c r="AVE1" i="1"/>
  <c r="AVF1" i="1"/>
  <c r="AVG1" i="1"/>
  <c r="AVH1" i="1"/>
  <c r="AVI1" i="1"/>
  <c r="AVJ1" i="1"/>
  <c r="AVK1" i="1"/>
  <c r="AVL1" i="1"/>
  <c r="AVM1" i="1"/>
  <c r="AVN1" i="1"/>
  <c r="AVO1" i="1"/>
  <c r="AVP1" i="1"/>
  <c r="AVQ1" i="1"/>
  <c r="AVR1" i="1"/>
  <c r="AVS1" i="1"/>
  <c r="AVT1" i="1"/>
  <c r="AVU1" i="1"/>
  <c r="AVV1" i="1"/>
  <c r="AVW1" i="1"/>
  <c r="AVX1" i="1"/>
  <c r="AVY1" i="1"/>
  <c r="AVZ1" i="1"/>
  <c r="AWA1" i="1"/>
  <c r="AWB1" i="1"/>
  <c r="AWC1" i="1"/>
  <c r="AWD1" i="1"/>
  <c r="AWE1" i="1"/>
  <c r="AWF1" i="1"/>
  <c r="AWG1" i="1"/>
  <c r="AWH1" i="1"/>
  <c r="AWI1" i="1"/>
  <c r="AWJ1" i="1"/>
  <c r="AWK1" i="1"/>
  <c r="AWL1" i="1"/>
  <c r="AWM1" i="1"/>
  <c r="AWN1" i="1"/>
  <c r="AWO1" i="1"/>
  <c r="AWP1" i="1"/>
  <c r="AWQ1" i="1"/>
  <c r="AWR1" i="1"/>
  <c r="AWS1" i="1"/>
  <c r="AWT1" i="1"/>
  <c r="AWU1" i="1"/>
  <c r="AWV1" i="1"/>
  <c r="AWW1" i="1"/>
  <c r="AWX1" i="1"/>
  <c r="AWY1" i="1"/>
  <c r="AWZ1" i="1"/>
  <c r="AXA1" i="1"/>
  <c r="AXB1" i="1"/>
  <c r="AXC1" i="1"/>
  <c r="AXD1" i="1"/>
  <c r="AXE1" i="1"/>
  <c r="AXF1" i="1"/>
  <c r="AXG1" i="1"/>
  <c r="AXH1" i="1"/>
  <c r="AXI1" i="1"/>
  <c r="AXJ1" i="1"/>
  <c r="AXK1" i="1"/>
  <c r="AXL1" i="1"/>
  <c r="AXM1" i="1"/>
  <c r="AXN1" i="1"/>
  <c r="AXO1" i="1"/>
  <c r="AXP1" i="1"/>
  <c r="AXQ1" i="1"/>
  <c r="AXR1" i="1"/>
  <c r="AXS1" i="1"/>
  <c r="AXT1" i="1"/>
  <c r="AXU1" i="1"/>
  <c r="AXV1" i="1"/>
  <c r="AXW1" i="1"/>
  <c r="AXX1" i="1"/>
  <c r="AXY1" i="1"/>
  <c r="AXZ1" i="1"/>
  <c r="AYA1" i="1"/>
  <c r="AYB1" i="1"/>
  <c r="AYC1" i="1"/>
  <c r="AYD1" i="1"/>
  <c r="AYE1" i="1"/>
  <c r="AYF1" i="1"/>
  <c r="AYG1" i="1"/>
  <c r="AYH1" i="1"/>
  <c r="AYI1" i="1"/>
  <c r="AYJ1" i="1"/>
  <c r="AYK1" i="1"/>
  <c r="AYL1" i="1"/>
  <c r="AYM1" i="1"/>
  <c r="AYN1" i="1"/>
  <c r="AYO1" i="1"/>
  <c r="AYP1" i="1"/>
  <c r="AYQ1" i="1"/>
  <c r="AYR1" i="1"/>
  <c r="AYS1" i="1"/>
  <c r="AYT1" i="1"/>
  <c r="AYU1" i="1"/>
  <c r="AYV1" i="1"/>
  <c r="AYW1" i="1"/>
  <c r="AYX1" i="1"/>
  <c r="AYY1" i="1"/>
  <c r="AYZ1" i="1"/>
  <c r="AZA1" i="1"/>
  <c r="AZB1" i="1"/>
  <c r="AZC1" i="1"/>
  <c r="AZD1" i="1"/>
  <c r="AZE1" i="1"/>
  <c r="AZF1" i="1"/>
  <c r="AZG1" i="1"/>
  <c r="AZH1" i="1"/>
  <c r="AZI1" i="1"/>
  <c r="AZJ1" i="1"/>
  <c r="AZK1" i="1"/>
  <c r="AZL1" i="1"/>
  <c r="AZM1" i="1"/>
  <c r="AZN1" i="1"/>
  <c r="AZO1" i="1"/>
  <c r="AZP1" i="1"/>
  <c r="AZQ1" i="1"/>
  <c r="AZR1" i="1"/>
  <c r="AZS1" i="1"/>
  <c r="AZT1" i="1"/>
  <c r="AZU1" i="1"/>
  <c r="AZV1" i="1"/>
  <c r="AZW1" i="1"/>
  <c r="AZX1" i="1"/>
  <c r="AZY1" i="1"/>
  <c r="AZZ1" i="1"/>
  <c r="BAA1" i="1"/>
  <c r="BAB1" i="1"/>
  <c r="BAC1" i="1"/>
  <c r="BAD1" i="1"/>
  <c r="BAE1" i="1"/>
  <c r="BAF1" i="1"/>
  <c r="BAG1" i="1"/>
  <c r="BAH1" i="1"/>
  <c r="BAI1" i="1"/>
  <c r="BAJ1" i="1"/>
  <c r="BAK1" i="1"/>
  <c r="BAL1" i="1"/>
  <c r="BAM1" i="1"/>
  <c r="BAN1" i="1"/>
  <c r="BAO1" i="1"/>
  <c r="BAP1" i="1"/>
  <c r="BAQ1" i="1"/>
  <c r="BAR1" i="1"/>
  <c r="BAS1" i="1"/>
  <c r="BAT1" i="1"/>
  <c r="BAU1" i="1"/>
  <c r="BAV1" i="1"/>
  <c r="BAW1" i="1"/>
  <c r="BAX1" i="1"/>
  <c r="BAY1" i="1"/>
  <c r="BAZ1" i="1"/>
  <c r="BBA1" i="1"/>
  <c r="BBB1" i="1"/>
  <c r="BBC1" i="1"/>
  <c r="BBD1" i="1"/>
  <c r="BBE1" i="1"/>
  <c r="BBF1" i="1"/>
  <c r="BBG1" i="1"/>
  <c r="BBH1" i="1"/>
  <c r="BBI1" i="1"/>
  <c r="BBJ1" i="1"/>
  <c r="BBK1" i="1"/>
  <c r="BBL1" i="1"/>
  <c r="BBM1" i="1"/>
  <c r="BBN1" i="1"/>
  <c r="BBO1" i="1"/>
  <c r="BBP1" i="1"/>
  <c r="BBQ1" i="1"/>
  <c r="BBR1" i="1"/>
  <c r="BBS1" i="1"/>
  <c r="BBT1" i="1"/>
  <c r="BBU1" i="1"/>
  <c r="BBV1" i="1"/>
  <c r="BBW1" i="1"/>
  <c r="BBX1" i="1"/>
  <c r="BBY1" i="1"/>
  <c r="BBZ1" i="1"/>
  <c r="BCA1" i="1"/>
  <c r="BCB1" i="1"/>
  <c r="BCC1" i="1"/>
  <c r="BCD1" i="1"/>
  <c r="BCE1" i="1"/>
  <c r="BCF1" i="1"/>
  <c r="BCG1" i="1"/>
  <c r="BCH1" i="1"/>
  <c r="BCI1" i="1"/>
  <c r="BCJ1" i="1"/>
  <c r="BCK1" i="1"/>
  <c r="BCL1" i="1"/>
  <c r="BCM1" i="1"/>
  <c r="BCN1" i="1"/>
  <c r="BCO1" i="1"/>
  <c r="BCP1" i="1"/>
  <c r="BCQ1" i="1"/>
  <c r="BCR1" i="1"/>
  <c r="BCS1" i="1"/>
  <c r="BCT1" i="1"/>
  <c r="BCU1" i="1"/>
  <c r="BCV1" i="1"/>
  <c r="BCW1" i="1"/>
  <c r="BCX1" i="1"/>
  <c r="BCY1" i="1"/>
  <c r="BCZ1" i="1"/>
  <c r="BDA1" i="1"/>
  <c r="BDB1" i="1"/>
  <c r="BDC1" i="1"/>
  <c r="BDD1" i="1"/>
  <c r="BDE1" i="1"/>
  <c r="BDF1" i="1"/>
  <c r="BDG1" i="1"/>
  <c r="BDH1" i="1"/>
  <c r="BDI1" i="1"/>
  <c r="BDJ1" i="1"/>
  <c r="BDK1" i="1"/>
  <c r="BDL1" i="1"/>
  <c r="BDM1" i="1"/>
  <c r="BDN1" i="1"/>
  <c r="BDO1" i="1"/>
  <c r="BDP1" i="1"/>
  <c r="BDQ1" i="1"/>
  <c r="BDR1" i="1"/>
  <c r="BDS1" i="1"/>
  <c r="BDT1" i="1"/>
  <c r="BDU1" i="1"/>
  <c r="BDV1" i="1"/>
  <c r="BDW1" i="1"/>
  <c r="BDX1" i="1"/>
  <c r="BDY1" i="1"/>
  <c r="BDZ1" i="1"/>
  <c r="BEA1" i="1"/>
  <c r="BEB1" i="1"/>
  <c r="BEC1" i="1"/>
  <c r="BED1" i="1"/>
  <c r="BEE1" i="1"/>
  <c r="BEF1" i="1"/>
  <c r="BEG1" i="1"/>
  <c r="BEH1" i="1"/>
  <c r="BEI1" i="1"/>
  <c r="BEJ1" i="1"/>
  <c r="BEK1" i="1"/>
  <c r="BEL1" i="1"/>
  <c r="BEM1" i="1"/>
  <c r="BEN1" i="1"/>
  <c r="BEO1" i="1"/>
  <c r="BEP1" i="1"/>
  <c r="BEQ1" i="1"/>
  <c r="BER1" i="1"/>
  <c r="BES1" i="1"/>
  <c r="BET1" i="1"/>
  <c r="BEU1" i="1"/>
  <c r="BEV1" i="1"/>
  <c r="BEW1" i="1"/>
  <c r="BEX1" i="1"/>
  <c r="BEY1" i="1"/>
  <c r="BEZ1" i="1"/>
  <c r="BFA1" i="1"/>
  <c r="BFB1" i="1"/>
  <c r="BFC1" i="1"/>
  <c r="BFD1" i="1"/>
  <c r="BFE1" i="1"/>
  <c r="BFF1" i="1"/>
  <c r="BFG1" i="1"/>
  <c r="BFH1" i="1"/>
  <c r="BFI1" i="1"/>
  <c r="BFJ1" i="1"/>
  <c r="BFK1" i="1"/>
  <c r="BFL1" i="1"/>
  <c r="BFM1" i="1"/>
  <c r="BFN1" i="1"/>
  <c r="BFO1" i="1"/>
  <c r="BFP1" i="1"/>
  <c r="BFQ1" i="1"/>
  <c r="BFR1" i="1"/>
  <c r="BFS1" i="1"/>
  <c r="BFT1" i="1"/>
  <c r="BFU1" i="1"/>
  <c r="BFV1" i="1"/>
  <c r="BFW1" i="1"/>
  <c r="BFX1" i="1"/>
  <c r="BFY1" i="1"/>
  <c r="BFZ1" i="1"/>
  <c r="BGA1" i="1"/>
  <c r="BGB1" i="1"/>
  <c r="BGC1" i="1"/>
  <c r="BGD1" i="1"/>
  <c r="BGE1" i="1"/>
  <c r="BGF1" i="1"/>
  <c r="BGG1" i="1"/>
  <c r="BGH1" i="1"/>
  <c r="BGI1" i="1"/>
  <c r="BGJ1" i="1"/>
  <c r="BGK1" i="1"/>
  <c r="BGL1" i="1"/>
  <c r="BGM1" i="1"/>
  <c r="BGN1" i="1"/>
  <c r="BGO1" i="1"/>
  <c r="BGP1" i="1"/>
  <c r="BGQ1" i="1"/>
  <c r="BGR1" i="1"/>
  <c r="BGS1" i="1"/>
  <c r="BGT1" i="1"/>
  <c r="BGU1" i="1"/>
  <c r="BGV1" i="1"/>
  <c r="BGW1" i="1"/>
  <c r="BGX1" i="1"/>
  <c r="BGY1" i="1"/>
  <c r="BGZ1" i="1"/>
  <c r="BHA1" i="1"/>
  <c r="BHB1" i="1"/>
  <c r="BHC1" i="1"/>
  <c r="BHD1" i="1"/>
  <c r="BHE1" i="1"/>
  <c r="BHF1" i="1"/>
  <c r="BHG1" i="1"/>
  <c r="BHH1" i="1"/>
  <c r="BHI1" i="1"/>
  <c r="BHJ1" i="1"/>
  <c r="BHK1" i="1"/>
  <c r="BHL1" i="1"/>
  <c r="BHM1" i="1"/>
  <c r="BHN1" i="1"/>
  <c r="BHO1" i="1"/>
  <c r="BHP1" i="1"/>
  <c r="BHQ1" i="1"/>
  <c r="BHR1" i="1"/>
  <c r="BHS1" i="1"/>
  <c r="BHT1" i="1"/>
  <c r="BHU1" i="1"/>
  <c r="BHV1" i="1"/>
  <c r="BHW1" i="1"/>
  <c r="BHX1" i="1"/>
  <c r="BHY1" i="1"/>
  <c r="BHZ1" i="1"/>
  <c r="BIA1" i="1"/>
  <c r="BIB1" i="1"/>
  <c r="BIC1" i="1"/>
  <c r="BID1" i="1"/>
  <c r="BIE1" i="1"/>
  <c r="BIF1" i="1"/>
  <c r="BIG1" i="1"/>
  <c r="BIH1" i="1"/>
  <c r="BII1" i="1"/>
  <c r="BIJ1" i="1"/>
  <c r="BIK1" i="1"/>
  <c r="BIL1" i="1"/>
  <c r="BIM1" i="1"/>
  <c r="BIN1" i="1"/>
  <c r="BIO1" i="1"/>
  <c r="BIP1" i="1"/>
  <c r="BIQ1" i="1"/>
  <c r="BIR1" i="1"/>
  <c r="BIS1" i="1"/>
  <c r="BIT1" i="1"/>
  <c r="BIU1" i="1"/>
  <c r="BIV1" i="1"/>
  <c r="BIW1" i="1"/>
  <c r="BIX1" i="1"/>
  <c r="BIY1" i="1"/>
  <c r="BIZ1" i="1"/>
  <c r="BJA1" i="1"/>
  <c r="BJB1" i="1"/>
  <c r="BJC1" i="1"/>
  <c r="BJD1" i="1"/>
  <c r="BJE1" i="1"/>
  <c r="BJF1" i="1"/>
  <c r="BJG1" i="1"/>
  <c r="BJH1" i="1"/>
  <c r="BJI1" i="1"/>
  <c r="BJJ1" i="1"/>
  <c r="BJK1" i="1"/>
  <c r="BJL1" i="1"/>
  <c r="BJM1" i="1"/>
  <c r="BJN1" i="1"/>
  <c r="BJO1" i="1"/>
  <c r="BJP1" i="1"/>
  <c r="BJQ1" i="1"/>
  <c r="BJR1" i="1"/>
  <c r="BJS1" i="1"/>
  <c r="BJT1" i="1"/>
  <c r="BJU1" i="1"/>
  <c r="BJV1" i="1"/>
  <c r="BJW1" i="1"/>
  <c r="BJX1" i="1"/>
  <c r="BJY1" i="1"/>
  <c r="BJZ1" i="1"/>
  <c r="BKA1" i="1"/>
  <c r="BKB1" i="1"/>
  <c r="BKC1" i="1"/>
  <c r="BKD1" i="1"/>
  <c r="BKE1" i="1"/>
  <c r="BKF1" i="1"/>
  <c r="BKG1" i="1"/>
  <c r="BKH1" i="1"/>
  <c r="BKI1" i="1"/>
  <c r="BKJ1" i="1"/>
  <c r="BKK1" i="1"/>
  <c r="BKL1" i="1"/>
  <c r="BKM1" i="1"/>
  <c r="BKN1" i="1"/>
  <c r="BKO1" i="1"/>
  <c r="BKP1" i="1"/>
  <c r="BKQ1" i="1"/>
  <c r="BKR1" i="1"/>
  <c r="BKS1" i="1"/>
  <c r="BKT1" i="1"/>
  <c r="BKU1" i="1"/>
  <c r="BKV1" i="1"/>
  <c r="BKW1" i="1"/>
  <c r="BKX1" i="1"/>
  <c r="BKY1" i="1"/>
  <c r="BKZ1" i="1"/>
  <c r="BLA1" i="1"/>
  <c r="BLB1" i="1"/>
  <c r="BLC1" i="1"/>
  <c r="BLD1" i="1"/>
  <c r="BLE1" i="1"/>
  <c r="BLF1" i="1"/>
  <c r="BLG1" i="1"/>
  <c r="BLH1" i="1"/>
  <c r="BLI1" i="1"/>
  <c r="BLJ1" i="1"/>
  <c r="BLK1" i="1"/>
  <c r="BLL1" i="1"/>
  <c r="BLM1" i="1"/>
  <c r="BLN1" i="1"/>
  <c r="BLO1" i="1"/>
  <c r="BLP1" i="1"/>
  <c r="BLQ1" i="1"/>
  <c r="BLR1" i="1"/>
  <c r="BLS1" i="1"/>
  <c r="BLT1" i="1"/>
  <c r="BLU1" i="1"/>
  <c r="BLV1" i="1"/>
  <c r="BLW1" i="1"/>
  <c r="BLX1" i="1"/>
  <c r="BLY1" i="1"/>
  <c r="BLZ1" i="1"/>
  <c r="BMA1" i="1"/>
  <c r="BMB1" i="1"/>
  <c r="BMC1" i="1"/>
  <c r="BMD1" i="1"/>
  <c r="BME1" i="1"/>
  <c r="BMF1" i="1"/>
  <c r="BMG1" i="1"/>
  <c r="BMH1" i="1"/>
  <c r="BMI1" i="1"/>
  <c r="BMJ1" i="1"/>
  <c r="BMK1" i="1"/>
  <c r="BML1" i="1"/>
  <c r="BMM1" i="1"/>
  <c r="BMN1" i="1"/>
  <c r="BMO1" i="1"/>
  <c r="BMP1" i="1"/>
  <c r="BMQ1" i="1"/>
  <c r="BMR1" i="1"/>
  <c r="BMS1" i="1"/>
  <c r="BMT1" i="1"/>
  <c r="BMU1" i="1"/>
  <c r="BMV1" i="1"/>
  <c r="BMW1" i="1"/>
  <c r="BMX1" i="1"/>
  <c r="BMY1" i="1"/>
  <c r="BMZ1" i="1"/>
  <c r="BNA1" i="1"/>
  <c r="BNB1" i="1"/>
  <c r="BNC1" i="1"/>
  <c r="BND1" i="1"/>
  <c r="BNE1" i="1"/>
  <c r="BNF1" i="1"/>
  <c r="BNG1" i="1"/>
  <c r="BNH1" i="1"/>
  <c r="BNI1" i="1"/>
  <c r="BNJ1" i="1"/>
  <c r="BNK1" i="1"/>
  <c r="BNL1" i="1"/>
  <c r="BNM1" i="1"/>
  <c r="BNN1" i="1"/>
  <c r="BNO1" i="1"/>
  <c r="BNP1" i="1"/>
  <c r="BNQ1" i="1"/>
  <c r="BNR1" i="1"/>
  <c r="BNS1" i="1"/>
  <c r="BNT1" i="1"/>
  <c r="BNU1" i="1"/>
  <c r="BNV1" i="1"/>
  <c r="BNW1" i="1"/>
  <c r="BNX1" i="1"/>
  <c r="BNY1" i="1"/>
  <c r="BNZ1" i="1"/>
  <c r="BOA1" i="1"/>
  <c r="BOB1" i="1"/>
  <c r="BOC1" i="1"/>
  <c r="BOD1" i="1"/>
  <c r="BOE1" i="1"/>
  <c r="BOF1" i="1"/>
  <c r="BOG1" i="1"/>
  <c r="BOH1" i="1"/>
  <c r="BOI1" i="1"/>
  <c r="BOJ1" i="1"/>
  <c r="BOK1" i="1"/>
  <c r="BOL1" i="1"/>
  <c r="BOM1" i="1"/>
  <c r="BON1" i="1"/>
  <c r="BOO1" i="1"/>
  <c r="BOP1" i="1"/>
  <c r="BOQ1" i="1"/>
  <c r="BOR1" i="1"/>
  <c r="BOS1" i="1"/>
  <c r="BOT1" i="1"/>
  <c r="BOU1" i="1"/>
  <c r="BOV1" i="1"/>
  <c r="BOW1" i="1"/>
  <c r="BOX1" i="1"/>
  <c r="BOY1" i="1"/>
  <c r="BOZ1" i="1"/>
  <c r="BPA1" i="1"/>
  <c r="BPB1" i="1"/>
  <c r="BPC1" i="1"/>
  <c r="BPD1" i="1"/>
  <c r="BPE1" i="1"/>
  <c r="BPF1" i="1"/>
  <c r="BPG1" i="1"/>
  <c r="BPH1" i="1"/>
  <c r="BPI1" i="1"/>
  <c r="BPJ1" i="1"/>
  <c r="BPK1" i="1"/>
  <c r="BPL1" i="1"/>
  <c r="BPM1" i="1"/>
  <c r="BPN1" i="1"/>
  <c r="BPO1" i="1"/>
  <c r="BPP1" i="1"/>
  <c r="BPQ1" i="1"/>
  <c r="BPR1" i="1"/>
  <c r="BPS1" i="1"/>
  <c r="BPT1" i="1"/>
  <c r="BPU1" i="1"/>
  <c r="BPV1" i="1"/>
  <c r="BPW1" i="1"/>
  <c r="BPX1" i="1"/>
  <c r="BPY1" i="1"/>
  <c r="BPZ1" i="1"/>
  <c r="BQA1" i="1"/>
  <c r="BQB1" i="1"/>
  <c r="BQC1" i="1"/>
  <c r="BQD1" i="1"/>
  <c r="BQE1" i="1"/>
  <c r="BQF1" i="1"/>
  <c r="BQG1" i="1"/>
  <c r="BQH1" i="1"/>
  <c r="BQI1" i="1"/>
  <c r="BQJ1" i="1"/>
  <c r="BQK1" i="1"/>
  <c r="BQL1" i="1"/>
  <c r="BQM1" i="1"/>
  <c r="BQN1" i="1"/>
  <c r="BQO1" i="1"/>
  <c r="BQP1" i="1"/>
  <c r="BQQ1" i="1"/>
  <c r="BQR1" i="1"/>
  <c r="BQS1" i="1"/>
  <c r="BQT1" i="1"/>
  <c r="BQU1" i="1"/>
  <c r="BQV1" i="1"/>
  <c r="BQW1" i="1"/>
  <c r="BQX1" i="1"/>
  <c r="BQY1" i="1"/>
  <c r="BQZ1" i="1"/>
  <c r="BRA1" i="1"/>
  <c r="BRB1" i="1"/>
  <c r="BRC1" i="1"/>
  <c r="BRD1" i="1"/>
  <c r="BRE1" i="1"/>
  <c r="BRF1" i="1"/>
  <c r="BRG1" i="1"/>
  <c r="BRH1" i="1"/>
  <c r="BRI1" i="1"/>
  <c r="BRJ1" i="1"/>
  <c r="BRK1" i="1"/>
  <c r="BRL1" i="1"/>
  <c r="BRM1" i="1"/>
  <c r="BRN1" i="1"/>
  <c r="BRO1" i="1"/>
  <c r="BRP1" i="1"/>
  <c r="BRQ1" i="1"/>
  <c r="BRR1" i="1"/>
  <c r="BRS1" i="1"/>
  <c r="BRT1" i="1"/>
  <c r="BRU1" i="1"/>
  <c r="BRV1" i="1"/>
  <c r="BRW1" i="1"/>
  <c r="BRX1" i="1"/>
  <c r="BRY1" i="1"/>
  <c r="BRZ1" i="1"/>
  <c r="BSA1" i="1"/>
  <c r="BSB1" i="1"/>
  <c r="BSC1" i="1"/>
  <c r="BSD1" i="1"/>
  <c r="BSE1" i="1"/>
  <c r="BSF1" i="1"/>
  <c r="BSG1" i="1"/>
  <c r="BSH1" i="1"/>
  <c r="BSI1" i="1"/>
  <c r="BSJ1" i="1"/>
  <c r="BSK1" i="1"/>
  <c r="BSL1" i="1"/>
  <c r="BSM1" i="1"/>
  <c r="BSN1" i="1"/>
  <c r="BSO1" i="1"/>
  <c r="BSP1" i="1"/>
  <c r="BSQ1" i="1"/>
  <c r="BSR1" i="1"/>
  <c r="BSS1" i="1"/>
  <c r="BST1" i="1"/>
  <c r="BSU1" i="1"/>
  <c r="BSV1" i="1"/>
  <c r="BSW1" i="1"/>
  <c r="BSX1" i="1"/>
  <c r="BSY1" i="1"/>
  <c r="BSZ1" i="1"/>
  <c r="BTA1" i="1"/>
  <c r="BTB1" i="1"/>
  <c r="BTC1" i="1"/>
  <c r="BTD1" i="1"/>
  <c r="BTE1" i="1"/>
  <c r="BTF1" i="1"/>
  <c r="BTG1" i="1"/>
  <c r="BTH1" i="1"/>
  <c r="BTI1" i="1"/>
  <c r="BTJ1" i="1"/>
  <c r="BTK1" i="1"/>
  <c r="BTL1" i="1"/>
  <c r="BTM1" i="1"/>
  <c r="BTN1" i="1"/>
  <c r="BTO1" i="1"/>
  <c r="BTP1" i="1"/>
  <c r="BTQ1" i="1"/>
  <c r="BTR1" i="1"/>
  <c r="BTS1" i="1"/>
  <c r="BTT1" i="1"/>
  <c r="BTU1" i="1"/>
  <c r="BTV1" i="1"/>
  <c r="BTW1" i="1"/>
  <c r="BTX1" i="1"/>
  <c r="BTY1" i="1"/>
  <c r="BTZ1" i="1"/>
  <c r="BUA1" i="1"/>
  <c r="BUB1" i="1"/>
  <c r="BUC1" i="1"/>
  <c r="BUD1" i="1"/>
  <c r="BUE1" i="1"/>
  <c r="BUF1" i="1"/>
  <c r="BUG1" i="1"/>
  <c r="BUH1" i="1"/>
  <c r="BUI1" i="1"/>
  <c r="BUJ1" i="1"/>
  <c r="BUK1" i="1"/>
  <c r="BUL1" i="1"/>
  <c r="BUM1" i="1"/>
  <c r="BUN1" i="1"/>
  <c r="BUO1" i="1"/>
  <c r="BUP1" i="1"/>
  <c r="BUQ1" i="1"/>
  <c r="BUR1" i="1"/>
  <c r="BUS1" i="1"/>
  <c r="BUT1" i="1"/>
  <c r="BUU1" i="1"/>
  <c r="BUV1" i="1"/>
  <c r="BUW1" i="1"/>
  <c r="BUX1" i="1"/>
  <c r="BUY1" i="1"/>
  <c r="BUZ1" i="1"/>
  <c r="BVA1" i="1"/>
  <c r="BVB1" i="1"/>
  <c r="BVC1" i="1"/>
  <c r="BVD1" i="1"/>
  <c r="BVE1" i="1"/>
  <c r="BVF1" i="1"/>
  <c r="BVG1" i="1"/>
  <c r="BVH1" i="1"/>
  <c r="BVI1" i="1"/>
  <c r="BVJ1" i="1"/>
  <c r="BVK1" i="1"/>
  <c r="BVL1" i="1"/>
  <c r="BVM1" i="1"/>
  <c r="BVN1" i="1"/>
  <c r="BVO1" i="1"/>
  <c r="BVP1" i="1"/>
  <c r="BVQ1" i="1"/>
  <c r="BVR1" i="1"/>
  <c r="BVS1" i="1"/>
  <c r="BVT1" i="1"/>
  <c r="BVU1" i="1"/>
  <c r="BVV1" i="1"/>
  <c r="BVW1" i="1"/>
  <c r="BVX1" i="1"/>
  <c r="BVY1" i="1"/>
  <c r="BVZ1" i="1"/>
  <c r="BWA1" i="1"/>
  <c r="BWB1" i="1"/>
  <c r="BWC1" i="1"/>
  <c r="BWD1" i="1"/>
  <c r="BWE1" i="1"/>
  <c r="BWF1" i="1"/>
  <c r="BWG1" i="1"/>
  <c r="BWH1" i="1"/>
  <c r="BWI1" i="1"/>
  <c r="BWJ1" i="1"/>
  <c r="BWK1" i="1"/>
  <c r="BWL1" i="1"/>
  <c r="BWM1" i="1"/>
  <c r="BWN1" i="1"/>
  <c r="BWO1" i="1"/>
  <c r="BWP1" i="1"/>
  <c r="BWQ1" i="1"/>
  <c r="BWR1" i="1"/>
  <c r="BWS1" i="1"/>
  <c r="BWT1" i="1"/>
  <c r="BWU1" i="1"/>
  <c r="BWV1" i="1"/>
  <c r="BWW1" i="1"/>
  <c r="BWX1" i="1"/>
  <c r="BWY1" i="1"/>
  <c r="BWZ1" i="1"/>
  <c r="BXA1" i="1"/>
  <c r="BXB1" i="1"/>
  <c r="BXC1" i="1"/>
  <c r="BXD1" i="1"/>
  <c r="BXE1" i="1"/>
  <c r="BXF1" i="1"/>
  <c r="BXG1" i="1"/>
  <c r="BXH1" i="1"/>
  <c r="BXI1" i="1"/>
  <c r="BXJ1" i="1"/>
  <c r="BXK1" i="1"/>
  <c r="BXL1" i="1"/>
  <c r="BXM1" i="1"/>
  <c r="BXN1" i="1"/>
  <c r="BXO1" i="1"/>
  <c r="BXP1" i="1"/>
  <c r="BXQ1" i="1"/>
  <c r="BXR1" i="1"/>
  <c r="BXS1" i="1"/>
  <c r="BXT1" i="1"/>
  <c r="BXU1" i="1"/>
  <c r="BXV1" i="1"/>
  <c r="BXW1" i="1"/>
  <c r="BXX1" i="1"/>
  <c r="BXY1" i="1"/>
  <c r="BXZ1" i="1"/>
  <c r="BYA1" i="1"/>
  <c r="BYB1" i="1"/>
  <c r="BYC1" i="1"/>
  <c r="BYD1" i="1"/>
  <c r="BYE1" i="1"/>
  <c r="BYF1" i="1"/>
  <c r="BYG1" i="1"/>
  <c r="BYH1" i="1"/>
  <c r="BYI1" i="1"/>
  <c r="BYJ1" i="1"/>
  <c r="BYK1" i="1"/>
  <c r="BYL1" i="1"/>
  <c r="BYM1" i="1"/>
  <c r="BYN1" i="1"/>
  <c r="BYO1" i="1"/>
  <c r="BYP1" i="1"/>
  <c r="BYQ1" i="1"/>
  <c r="BYR1" i="1"/>
  <c r="BYS1" i="1"/>
  <c r="BYT1" i="1"/>
  <c r="BYU1" i="1"/>
  <c r="BYV1" i="1"/>
  <c r="BYW1" i="1"/>
  <c r="BYX1" i="1"/>
  <c r="BYY1" i="1"/>
  <c r="BYZ1" i="1"/>
  <c r="BZA1" i="1"/>
  <c r="BZB1" i="1"/>
  <c r="BZC1" i="1"/>
  <c r="BZD1" i="1"/>
  <c r="BZE1" i="1"/>
  <c r="BZF1" i="1"/>
  <c r="BZG1" i="1"/>
  <c r="BZH1" i="1"/>
  <c r="BZI1" i="1"/>
  <c r="BZJ1" i="1"/>
  <c r="BZK1" i="1"/>
  <c r="BZL1" i="1"/>
  <c r="BZM1" i="1"/>
  <c r="BZN1" i="1"/>
  <c r="BZO1" i="1"/>
  <c r="BZP1" i="1"/>
  <c r="BZQ1" i="1"/>
  <c r="BZR1" i="1"/>
  <c r="BZS1" i="1"/>
  <c r="BZT1" i="1"/>
  <c r="BZU1" i="1"/>
  <c r="BZV1" i="1"/>
  <c r="BZW1" i="1"/>
  <c r="BZX1" i="1"/>
  <c r="BZY1" i="1"/>
  <c r="BZZ1" i="1"/>
  <c r="CAA1" i="1"/>
  <c r="CAB1" i="1"/>
  <c r="CAC1" i="1"/>
  <c r="CAD1" i="1"/>
  <c r="CAE1" i="1"/>
  <c r="CAF1" i="1"/>
  <c r="CAG1" i="1"/>
  <c r="CAH1" i="1"/>
  <c r="CAI1" i="1"/>
  <c r="CAJ1" i="1"/>
  <c r="CAK1" i="1"/>
  <c r="CAL1" i="1"/>
  <c r="CAM1" i="1"/>
  <c r="CAN1" i="1"/>
  <c r="CAO1" i="1"/>
  <c r="CAP1" i="1"/>
  <c r="CAQ1" i="1"/>
  <c r="CAR1" i="1"/>
  <c r="CAS1" i="1"/>
  <c r="CAT1" i="1"/>
  <c r="CAU1" i="1"/>
  <c r="CAV1" i="1"/>
  <c r="CAW1" i="1"/>
  <c r="CAX1" i="1"/>
  <c r="CAY1" i="1"/>
  <c r="CAZ1" i="1"/>
  <c r="CBA1" i="1"/>
  <c r="CBB1" i="1"/>
  <c r="CBC1" i="1"/>
  <c r="CBD1" i="1"/>
  <c r="CBE1" i="1"/>
  <c r="CBF1" i="1"/>
  <c r="CBG1" i="1"/>
  <c r="CBH1" i="1"/>
  <c r="CBI1" i="1"/>
  <c r="CBJ1" i="1"/>
  <c r="CBK1" i="1"/>
  <c r="CBL1" i="1"/>
  <c r="CBM1" i="1"/>
  <c r="CBN1" i="1"/>
  <c r="CBO1" i="1"/>
  <c r="CBP1" i="1"/>
  <c r="CBQ1" i="1"/>
  <c r="CBR1" i="1"/>
  <c r="CBS1" i="1"/>
  <c r="CBT1" i="1"/>
  <c r="CBU1" i="1"/>
  <c r="CBV1" i="1"/>
  <c r="CBW1" i="1"/>
  <c r="CBX1" i="1"/>
  <c r="CBY1" i="1"/>
  <c r="CBZ1" i="1"/>
  <c r="CCA1" i="1"/>
  <c r="CCB1" i="1"/>
  <c r="CCC1" i="1"/>
  <c r="CCD1" i="1"/>
  <c r="CCE1" i="1"/>
  <c r="CCF1" i="1"/>
  <c r="CCG1" i="1"/>
  <c r="CCH1" i="1"/>
  <c r="CCI1" i="1"/>
  <c r="CCJ1" i="1"/>
  <c r="CCK1" i="1"/>
  <c r="CCL1" i="1"/>
  <c r="CCM1" i="1"/>
  <c r="CCN1" i="1"/>
  <c r="CCO1" i="1"/>
  <c r="CCP1" i="1"/>
  <c r="CCQ1" i="1"/>
  <c r="CCR1" i="1"/>
  <c r="CCS1" i="1"/>
  <c r="CCT1" i="1"/>
  <c r="CCU1" i="1"/>
  <c r="CCV1" i="1"/>
  <c r="CCW1" i="1"/>
  <c r="CCX1" i="1"/>
  <c r="CCY1" i="1"/>
  <c r="CCZ1" i="1"/>
  <c r="CDA1" i="1"/>
  <c r="CDB1" i="1"/>
  <c r="CDC1" i="1"/>
  <c r="CDD1" i="1"/>
  <c r="CDE1" i="1"/>
  <c r="CDF1" i="1"/>
  <c r="CDG1" i="1"/>
  <c r="CDH1" i="1"/>
  <c r="CDI1" i="1"/>
  <c r="CDJ1" i="1"/>
  <c r="CDK1" i="1"/>
  <c r="CDL1" i="1"/>
  <c r="CDM1" i="1"/>
  <c r="CDN1" i="1"/>
  <c r="CDO1" i="1"/>
  <c r="CDP1" i="1"/>
  <c r="CDQ1" i="1"/>
  <c r="CDR1" i="1"/>
  <c r="CDS1" i="1"/>
  <c r="CDT1" i="1"/>
  <c r="CDU1" i="1"/>
  <c r="CDV1" i="1"/>
  <c r="CDW1" i="1"/>
  <c r="CDX1" i="1"/>
  <c r="CDY1" i="1"/>
  <c r="CDZ1" i="1"/>
  <c r="CEA1" i="1"/>
  <c r="CEB1" i="1"/>
  <c r="CEC1" i="1"/>
  <c r="CED1" i="1"/>
  <c r="CEE1" i="1"/>
  <c r="CEF1" i="1"/>
  <c r="CEG1" i="1"/>
  <c r="CEH1" i="1"/>
  <c r="CEI1" i="1"/>
  <c r="CEJ1" i="1"/>
  <c r="CEK1" i="1"/>
  <c r="CEL1" i="1"/>
  <c r="CEM1" i="1"/>
  <c r="CEN1" i="1"/>
  <c r="CEO1" i="1"/>
  <c r="CEP1" i="1"/>
  <c r="CEQ1" i="1"/>
  <c r="CER1" i="1"/>
  <c r="CES1" i="1"/>
  <c r="CET1" i="1"/>
  <c r="CEU1" i="1"/>
  <c r="CEV1" i="1"/>
  <c r="CEW1" i="1"/>
  <c r="CEX1" i="1"/>
  <c r="CEY1" i="1"/>
  <c r="CEZ1" i="1"/>
  <c r="CFA1" i="1"/>
  <c r="CFB1" i="1"/>
  <c r="CFC1" i="1"/>
  <c r="CFD1" i="1"/>
  <c r="CFE1" i="1"/>
  <c r="CFF1" i="1"/>
  <c r="CFG1" i="1"/>
  <c r="CFH1" i="1"/>
  <c r="CFI1" i="1"/>
  <c r="CFJ1" i="1"/>
  <c r="CFK1" i="1"/>
  <c r="CFL1" i="1"/>
  <c r="CFM1" i="1"/>
  <c r="CFN1" i="1"/>
  <c r="CFO1" i="1"/>
  <c r="CFP1" i="1"/>
  <c r="CFQ1" i="1"/>
  <c r="CFR1" i="1"/>
  <c r="CFS1" i="1"/>
  <c r="CFT1" i="1"/>
  <c r="CFU1" i="1"/>
  <c r="CFV1" i="1"/>
  <c r="CFW1" i="1"/>
  <c r="CFX1" i="1"/>
  <c r="CFY1" i="1"/>
  <c r="CFZ1" i="1"/>
  <c r="CGA1" i="1"/>
  <c r="CGB1" i="1"/>
  <c r="CGC1" i="1"/>
  <c r="CGD1" i="1"/>
  <c r="CGE1" i="1"/>
  <c r="CGF1" i="1"/>
  <c r="CGG1" i="1"/>
  <c r="CGH1" i="1"/>
  <c r="CGI1" i="1"/>
  <c r="CGJ1" i="1"/>
  <c r="CGK1" i="1"/>
  <c r="CGL1" i="1"/>
  <c r="CGM1" i="1"/>
  <c r="CGN1" i="1"/>
  <c r="CGO1" i="1"/>
  <c r="CGP1" i="1"/>
  <c r="CGQ1" i="1"/>
  <c r="CGR1" i="1"/>
  <c r="CGS1" i="1"/>
  <c r="CGT1" i="1"/>
  <c r="CGU1" i="1"/>
  <c r="CGV1" i="1"/>
  <c r="CGW1" i="1"/>
  <c r="CGX1" i="1"/>
  <c r="CGY1" i="1"/>
  <c r="CGZ1" i="1"/>
  <c r="CHA1" i="1"/>
  <c r="CHB1" i="1"/>
  <c r="CHC1" i="1"/>
  <c r="CHD1" i="1"/>
  <c r="CHE1" i="1"/>
  <c r="CHF1" i="1"/>
  <c r="CHG1" i="1"/>
  <c r="CHH1" i="1"/>
  <c r="CHI1" i="1"/>
  <c r="CHJ1" i="1"/>
  <c r="CHK1" i="1"/>
  <c r="CHL1" i="1"/>
  <c r="CHM1" i="1"/>
  <c r="CHN1" i="1"/>
  <c r="CHO1" i="1"/>
  <c r="CHP1" i="1"/>
  <c r="CHQ1" i="1"/>
  <c r="CHR1" i="1"/>
  <c r="CHS1" i="1"/>
  <c r="CHT1" i="1"/>
  <c r="CHU1" i="1"/>
  <c r="CHV1" i="1"/>
  <c r="CHW1" i="1"/>
  <c r="CHX1" i="1"/>
  <c r="CHY1" i="1"/>
  <c r="CHZ1" i="1"/>
  <c r="CIA1" i="1"/>
  <c r="CIB1" i="1"/>
  <c r="CIC1" i="1"/>
  <c r="CID1" i="1"/>
  <c r="CIE1" i="1"/>
  <c r="CIF1" i="1"/>
  <c r="CIG1" i="1"/>
  <c r="CIH1" i="1"/>
  <c r="CII1" i="1"/>
  <c r="CIJ1" i="1"/>
  <c r="CIK1" i="1"/>
  <c r="CIL1" i="1"/>
  <c r="CIM1" i="1"/>
  <c r="CIN1" i="1"/>
  <c r="CIO1" i="1"/>
  <c r="CIP1" i="1"/>
  <c r="CIQ1" i="1"/>
  <c r="CIR1" i="1"/>
  <c r="CIS1" i="1"/>
  <c r="CIT1" i="1"/>
  <c r="CIU1" i="1"/>
  <c r="CIV1" i="1"/>
  <c r="CIW1" i="1"/>
  <c r="CIX1" i="1"/>
  <c r="CIY1" i="1"/>
  <c r="CIZ1" i="1"/>
  <c r="CJA1" i="1"/>
  <c r="CJB1" i="1"/>
  <c r="CJC1" i="1"/>
  <c r="CJD1" i="1"/>
  <c r="CJE1" i="1"/>
  <c r="CJF1" i="1"/>
  <c r="CJG1" i="1"/>
  <c r="CJH1" i="1"/>
  <c r="CJI1" i="1"/>
  <c r="CJJ1" i="1"/>
  <c r="CJK1" i="1"/>
  <c r="CJL1" i="1"/>
  <c r="CJM1" i="1"/>
  <c r="CJN1" i="1"/>
  <c r="CJO1" i="1"/>
  <c r="CJP1" i="1"/>
  <c r="CJQ1" i="1"/>
  <c r="CJR1" i="1"/>
  <c r="CJS1" i="1"/>
  <c r="CJT1" i="1"/>
  <c r="CJU1" i="1"/>
  <c r="CJV1" i="1"/>
  <c r="CJW1" i="1"/>
  <c r="CJX1" i="1"/>
  <c r="CJY1" i="1"/>
  <c r="CJZ1" i="1"/>
  <c r="CKA1" i="1"/>
  <c r="CKB1" i="1"/>
  <c r="CKC1" i="1"/>
  <c r="CKD1" i="1"/>
  <c r="CKE1" i="1"/>
  <c r="CKF1" i="1"/>
  <c r="CKG1" i="1"/>
  <c r="CKH1" i="1"/>
  <c r="CKI1" i="1"/>
  <c r="CKJ1" i="1"/>
  <c r="CKK1" i="1"/>
  <c r="CKL1" i="1"/>
  <c r="CKM1" i="1"/>
  <c r="CKN1" i="1"/>
  <c r="CKO1" i="1"/>
  <c r="CKP1" i="1"/>
  <c r="CKQ1" i="1"/>
  <c r="CKR1" i="1"/>
  <c r="CKS1" i="1"/>
  <c r="CKT1" i="1"/>
  <c r="CKU1" i="1"/>
  <c r="CKV1" i="1"/>
  <c r="CKW1" i="1"/>
  <c r="CKX1" i="1"/>
  <c r="CKY1" i="1"/>
  <c r="CKZ1" i="1"/>
  <c r="CLA1" i="1"/>
  <c r="CLB1" i="1"/>
  <c r="CLC1" i="1"/>
  <c r="CLD1" i="1"/>
  <c r="CLE1" i="1"/>
  <c r="CLF1" i="1"/>
  <c r="CLG1" i="1"/>
  <c r="CLH1" i="1"/>
  <c r="CLI1" i="1"/>
  <c r="CLJ1" i="1"/>
  <c r="CLK1" i="1"/>
  <c r="CLL1" i="1"/>
  <c r="CLM1" i="1"/>
  <c r="CLN1" i="1"/>
  <c r="CLO1" i="1"/>
  <c r="CLP1" i="1"/>
  <c r="CLQ1" i="1"/>
  <c r="CLR1" i="1"/>
  <c r="CLS1" i="1"/>
  <c r="CLT1" i="1"/>
  <c r="CLU1" i="1"/>
  <c r="CLV1" i="1"/>
  <c r="CLW1" i="1"/>
  <c r="CLX1" i="1"/>
  <c r="CLY1" i="1"/>
  <c r="CLZ1" i="1"/>
  <c r="CMA1" i="1"/>
  <c r="CMB1" i="1"/>
  <c r="CMC1" i="1"/>
  <c r="CMD1" i="1"/>
  <c r="CME1" i="1"/>
  <c r="CMF1" i="1"/>
  <c r="CMG1" i="1"/>
  <c r="CMH1" i="1"/>
  <c r="CMI1" i="1"/>
  <c r="CMJ1" i="1"/>
  <c r="CMK1" i="1"/>
  <c r="CML1" i="1"/>
  <c r="CMM1" i="1"/>
  <c r="CMN1" i="1"/>
  <c r="CMO1" i="1"/>
  <c r="CMP1" i="1"/>
  <c r="CMQ1" i="1"/>
  <c r="CMR1" i="1"/>
  <c r="CMS1" i="1"/>
  <c r="CMT1" i="1"/>
  <c r="CMU1" i="1"/>
  <c r="CMV1" i="1"/>
  <c r="CMW1" i="1"/>
  <c r="CMX1" i="1"/>
  <c r="CMY1" i="1"/>
  <c r="CMZ1" i="1"/>
  <c r="CNA1" i="1"/>
  <c r="CNB1" i="1"/>
  <c r="CNC1" i="1"/>
  <c r="CND1" i="1"/>
  <c r="CNE1" i="1"/>
  <c r="CNF1" i="1"/>
  <c r="CNG1" i="1"/>
  <c r="CNH1" i="1"/>
  <c r="CNI1" i="1"/>
  <c r="CNJ1" i="1"/>
  <c r="CNK1" i="1"/>
  <c r="CNL1" i="1"/>
  <c r="CNM1" i="1"/>
  <c r="CNN1" i="1"/>
  <c r="CNO1" i="1"/>
  <c r="CNP1" i="1"/>
  <c r="CNQ1" i="1"/>
  <c r="CNR1" i="1"/>
  <c r="CNS1" i="1"/>
  <c r="CNT1" i="1"/>
  <c r="CNU1" i="1"/>
  <c r="CNV1" i="1"/>
  <c r="CNW1" i="1"/>
  <c r="CNX1" i="1"/>
  <c r="CNY1" i="1"/>
  <c r="CNZ1" i="1"/>
  <c r="COA1" i="1"/>
  <c r="COB1" i="1"/>
  <c r="COC1" i="1"/>
  <c r="COD1" i="1"/>
  <c r="COE1" i="1"/>
  <c r="COF1" i="1"/>
  <c r="COG1" i="1"/>
  <c r="COH1" i="1"/>
  <c r="COI1" i="1"/>
  <c r="COJ1" i="1"/>
  <c r="COK1" i="1"/>
  <c r="COL1" i="1"/>
  <c r="COM1" i="1"/>
  <c r="CON1" i="1"/>
  <c r="COO1" i="1"/>
  <c r="COP1" i="1"/>
  <c r="COQ1" i="1"/>
  <c r="COR1" i="1"/>
  <c r="COS1" i="1"/>
  <c r="COT1" i="1"/>
  <c r="COU1" i="1"/>
  <c r="COV1" i="1"/>
  <c r="COW1" i="1"/>
  <c r="COX1" i="1"/>
  <c r="COY1" i="1"/>
  <c r="COZ1" i="1"/>
  <c r="CPA1" i="1"/>
  <c r="CPB1" i="1"/>
  <c r="CPC1" i="1"/>
  <c r="CPD1" i="1"/>
  <c r="CPE1" i="1"/>
  <c r="CPF1" i="1"/>
  <c r="CPG1" i="1"/>
  <c r="CPH1" i="1"/>
  <c r="CPI1" i="1"/>
  <c r="CPJ1" i="1"/>
  <c r="CPK1" i="1"/>
  <c r="CPL1" i="1"/>
  <c r="CPM1" i="1"/>
  <c r="CPN1" i="1"/>
  <c r="CPO1" i="1"/>
  <c r="CPP1" i="1"/>
  <c r="CPQ1" i="1"/>
  <c r="CPR1" i="1"/>
  <c r="CPS1" i="1"/>
  <c r="CPT1" i="1"/>
  <c r="CPU1" i="1"/>
  <c r="CPV1" i="1"/>
  <c r="CPW1" i="1"/>
  <c r="CPX1" i="1"/>
  <c r="CPY1" i="1"/>
  <c r="CPZ1" i="1"/>
  <c r="CQA1" i="1"/>
  <c r="CQB1" i="1"/>
  <c r="CQC1" i="1"/>
  <c r="CQD1" i="1"/>
  <c r="CQE1" i="1"/>
  <c r="CQF1" i="1"/>
  <c r="CQG1" i="1"/>
  <c r="CQH1" i="1"/>
  <c r="CQI1" i="1"/>
  <c r="CQJ1" i="1"/>
  <c r="CQK1" i="1"/>
  <c r="CQL1" i="1"/>
  <c r="CQM1" i="1"/>
  <c r="CQN1" i="1"/>
  <c r="CQO1" i="1"/>
  <c r="CQP1" i="1"/>
  <c r="CQQ1" i="1"/>
  <c r="CQR1" i="1"/>
  <c r="CQS1" i="1"/>
  <c r="CQT1" i="1"/>
  <c r="CQU1" i="1"/>
  <c r="CQV1" i="1"/>
  <c r="CQW1" i="1"/>
  <c r="CQX1" i="1"/>
  <c r="CQY1" i="1"/>
  <c r="CQZ1" i="1"/>
  <c r="CRA1" i="1"/>
  <c r="CRB1" i="1"/>
  <c r="CRC1" i="1"/>
  <c r="CRD1" i="1"/>
  <c r="CRE1" i="1"/>
  <c r="CRF1" i="1"/>
  <c r="CRG1" i="1"/>
  <c r="CRH1" i="1"/>
  <c r="CRI1" i="1"/>
  <c r="CRJ1" i="1"/>
  <c r="CRK1" i="1"/>
  <c r="CRL1" i="1"/>
  <c r="CRM1" i="1"/>
  <c r="CRN1" i="1"/>
  <c r="CRO1" i="1"/>
  <c r="CRP1" i="1"/>
  <c r="CRQ1" i="1"/>
  <c r="CRR1" i="1"/>
  <c r="CRS1" i="1"/>
  <c r="CRT1" i="1"/>
  <c r="CRU1" i="1"/>
  <c r="CRV1" i="1"/>
  <c r="CRW1" i="1"/>
  <c r="CRX1" i="1"/>
  <c r="CRY1" i="1"/>
  <c r="CRZ1" i="1"/>
  <c r="CSA1" i="1"/>
  <c r="CSB1" i="1"/>
  <c r="CSC1" i="1"/>
  <c r="CSD1" i="1"/>
  <c r="CSE1" i="1"/>
  <c r="CSF1" i="1"/>
  <c r="CSG1" i="1"/>
  <c r="CSH1" i="1"/>
  <c r="CSI1" i="1"/>
  <c r="CSJ1" i="1"/>
  <c r="BB1" i="1"/>
  <c r="BC1" i="1"/>
  <c r="BD1" i="1"/>
  <c r="BE1" i="1"/>
  <c r="BF1" i="1"/>
  <c r="BG1" i="1"/>
  <c r="BH1" i="1"/>
  <c r="BI1" i="1"/>
  <c r="BJ1" i="1"/>
  <c r="BK1" i="1"/>
  <c r="N1" i="1" l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M1" i="1"/>
  <c r="Q4" i="2" l="1"/>
  <c r="R4" i="2"/>
  <c r="Q9" i="2"/>
  <c r="L9" i="2" l="1"/>
  <c r="U9" i="2"/>
  <c r="M9" i="2"/>
  <c r="S9" i="2"/>
  <c r="K4" i="2"/>
  <c r="P4" i="2"/>
  <c r="P9" i="2"/>
  <c r="R9" i="2"/>
  <c r="N4" i="2"/>
  <c r="K9" i="2"/>
  <c r="S4" i="2"/>
  <c r="G4" i="2"/>
  <c r="T9" i="2"/>
  <c r="J9" i="2"/>
  <c r="U4" i="2"/>
  <c r="J4" i="2"/>
  <c r="I4" i="2"/>
  <c r="L4" i="2"/>
  <c r="N9" i="2"/>
  <c r="H4" i="2"/>
  <c r="T4" i="2"/>
  <c r="O4" i="2"/>
  <c r="H9" i="2"/>
  <c r="I9" i="2"/>
  <c r="O9" i="2"/>
  <c r="M4" i="2"/>
  <c r="G9" i="2"/>
  <c r="AM4" i="1"/>
  <c r="J6" i="1"/>
  <c r="T5" i="2" l="1"/>
  <c r="P5" i="2"/>
  <c r="G5" i="2"/>
  <c r="K5" i="2"/>
  <c r="I5" i="2"/>
  <c r="S5" i="2"/>
  <c r="J5" i="2"/>
  <c r="Q5" i="2"/>
  <c r="R5" i="2"/>
  <c r="N5" i="2"/>
  <c r="H5" i="2"/>
  <c r="F5" i="2"/>
  <c r="E5" i="2"/>
  <c r="M5" i="2"/>
  <c r="D5" i="2"/>
  <c r="L5" i="2"/>
  <c r="O5" i="2"/>
  <c r="U5" i="2"/>
  <c r="C5" i="2"/>
  <c r="K6" i="1"/>
  <c r="N6" i="2" s="1"/>
  <c r="H6" i="1"/>
  <c r="F4" i="2" s="1"/>
  <c r="R7" i="2"/>
  <c r="G7" i="2"/>
  <c r="K7" i="2"/>
  <c r="C7" i="2"/>
  <c r="F7" i="2"/>
  <c r="S7" i="2"/>
  <c r="O7" i="2"/>
  <c r="U7" i="2"/>
  <c r="N7" i="2"/>
  <c r="M7" i="2"/>
  <c r="P7" i="2"/>
  <c r="L7" i="2"/>
  <c r="I7" i="2"/>
  <c r="T7" i="2"/>
  <c r="Q7" i="2"/>
  <c r="E7" i="2"/>
  <c r="F9" i="2"/>
  <c r="J7" i="2"/>
  <c r="H7" i="2"/>
  <c r="D7" i="2"/>
  <c r="S6" i="2" l="1"/>
  <c r="R6" i="2"/>
  <c r="I6" i="2"/>
  <c r="L6" i="2"/>
  <c r="H6" i="2"/>
  <c r="T6" i="2"/>
  <c r="J6" i="2"/>
  <c r="C6" i="2"/>
  <c r="M6" i="2"/>
  <c r="F6" i="2"/>
  <c r="K6" i="2"/>
  <c r="D6" i="2"/>
  <c r="G6" i="2"/>
  <c r="E6" i="2"/>
  <c r="Q6" i="2"/>
  <c r="P6" i="2"/>
  <c r="U6" i="2"/>
  <c r="O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Сергей Шашков</author>
  </authors>
  <commentList>
    <comment ref="G4" authorId="0" shapeId="0" xr:uid="{2E7B41D0-0958-4C0A-8D89-1281F163A97E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H4" authorId="0" shapeId="0" xr:uid="{E41EF53B-B74A-46CB-9520-B4FBFC995E36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Оценка доли посещённых занятий
</t>
        </r>
      </text>
    </comment>
    <comment ref="I4" authorId="0" shapeId="0" xr:uid="{E7867362-2737-4EDA-8A3F-F2A4F6CE6FB3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Число пропусков подряд</t>
        </r>
      </text>
    </comment>
    <comment ref="G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I5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Количество пропусков подряд</t>
        </r>
      </text>
    </comment>
  </commentList>
</comments>
</file>

<file path=xl/sharedStrings.xml><?xml version="1.0" encoding="utf-8"?>
<sst xmlns="http://schemas.openxmlformats.org/spreadsheetml/2006/main" count="2895" uniqueCount="2781">
  <si>
    <t>Фамилия</t>
  </si>
  <si>
    <t>Имя</t>
  </si>
  <si>
    <t>ID</t>
  </si>
  <si>
    <t>Школа</t>
  </si>
  <si>
    <t>Скрыть</t>
  </si>
  <si>
    <t>Уровень</t>
  </si>
  <si>
    <t>Ауд</t>
  </si>
  <si>
    <t>Раз</t>
  </si>
  <si>
    <t>СрЗ</t>
  </si>
  <si>
    <t>01н.Н</t>
  </si>
  <si>
    <t>01п.Н</t>
  </si>
  <si>
    <t>02н.Н</t>
  </si>
  <si>
    <t>02п.Н</t>
  </si>
  <si>
    <t>03н.Н</t>
  </si>
  <si>
    <t>03п.Н</t>
  </si>
  <si>
    <t>04н.Н</t>
  </si>
  <si>
    <t>04п.Н</t>
  </si>
  <si>
    <t>05н.Н</t>
  </si>
  <si>
    <t>05п.Н</t>
  </si>
  <si>
    <t>06н.Н</t>
  </si>
  <si>
    <t>06п.Н</t>
  </si>
  <si>
    <t>07н.Н</t>
  </si>
  <si>
    <t>07п.Н</t>
  </si>
  <si>
    <t>08н.Н</t>
  </si>
  <si>
    <t>08п.Н</t>
  </si>
  <si>
    <t>09н.Н</t>
  </si>
  <si>
    <t>09п.Н</t>
  </si>
  <si>
    <t>10н.Н</t>
  </si>
  <si>
    <t>10п.Н</t>
  </si>
  <si>
    <t>11н.Н</t>
  </si>
  <si>
    <t>11п.Н</t>
  </si>
  <si>
    <t>12н.Н</t>
  </si>
  <si>
    <t>12п.Н</t>
  </si>
  <si>
    <t>13н.Н</t>
  </si>
  <si>
    <t>13п.Н</t>
  </si>
  <si>
    <t>14н.Н</t>
  </si>
  <si>
    <t>14п.Н</t>
  </si>
  <si>
    <t>15н.Н</t>
  </si>
  <si>
    <t>15п.Н</t>
  </si>
  <si>
    <t>16н.Н</t>
  </si>
  <si>
    <t>16п.Н</t>
  </si>
  <si>
    <t>17н.Н</t>
  </si>
  <si>
    <t>17п.Н</t>
  </si>
  <si>
    <t>18н.Н</t>
  </si>
  <si>
    <t>18п.Н</t>
  </si>
  <si>
    <t>19н.Н</t>
  </si>
  <si>
    <t>19п.Н</t>
  </si>
  <si>
    <t>20н.Н</t>
  </si>
  <si>
    <t>20п.Н</t>
  </si>
  <si>
    <t>21н.Н</t>
  </si>
  <si>
    <t>21п.Н</t>
  </si>
  <si>
    <t>22н.Н</t>
  </si>
  <si>
    <t>22п.Н</t>
  </si>
  <si>
    <t>23н.Н</t>
  </si>
  <si>
    <t>23п.Н</t>
  </si>
  <si>
    <t>24н.Н</t>
  </si>
  <si>
    <t>24п.Н</t>
  </si>
  <si>
    <t>25н.Н</t>
  </si>
  <si>
    <t>25п.Н</t>
  </si>
  <si>
    <t>26н.Н</t>
  </si>
  <si>
    <t>26п.Н</t>
  </si>
  <si>
    <t>27н.Н</t>
  </si>
  <si>
    <t>27п.Н</t>
  </si>
  <si>
    <t>28н.Н</t>
  </si>
  <si>
    <t>28п.Н</t>
  </si>
  <si>
    <t>29н.Н</t>
  </si>
  <si>
    <t>29п.Н</t>
  </si>
  <si>
    <t>30н.Н</t>
  </si>
  <si>
    <t>30п.Н</t>
  </si>
  <si>
    <t>31н.Н</t>
  </si>
  <si>
    <t>31п.Н</t>
  </si>
  <si>
    <t>32н.Н</t>
  </si>
  <si>
    <t>32п.Н</t>
  </si>
  <si>
    <t>33н.Н</t>
  </si>
  <si>
    <t>33п.Н</t>
  </si>
  <si>
    <t>34н.Н</t>
  </si>
  <si>
    <t>34п.Н</t>
  </si>
  <si>
    <t>35н.Н</t>
  </si>
  <si>
    <t>35п.Н</t>
  </si>
  <si>
    <t>36н.Н</t>
  </si>
  <si>
    <t>36п.Н</t>
  </si>
  <si>
    <t>37н.Н</t>
  </si>
  <si>
    <t>37п.Н</t>
  </si>
  <si>
    <t>38н.Н</t>
  </si>
  <si>
    <t>38п.Н</t>
  </si>
  <si>
    <t>39н.Н</t>
  </si>
  <si>
    <t>39п.Н</t>
  </si>
  <si>
    <t>40н.Н</t>
  </si>
  <si>
    <t>40п.Н</t>
  </si>
  <si>
    <t>01н.19*</t>
  </si>
  <si>
    <t>01н.20*</t>
  </si>
  <si>
    <t>01н.21*</t>
  </si>
  <si>
    <t>01н.22*</t>
  </si>
  <si>
    <t>01н.23*</t>
  </si>
  <si>
    <t>01н.24*</t>
  </si>
  <si>
    <t>01н.25*</t>
  </si>
  <si>
    <t>01н.26*</t>
  </si>
  <si>
    <t>01н.27*</t>
  </si>
  <si>
    <t>01н.28*</t>
  </si>
  <si>
    <t>01н.29*</t>
  </si>
  <si>
    <t>01н.30*</t>
  </si>
  <si>
    <t>01п.17*</t>
  </si>
  <si>
    <t>01п.18*</t>
  </si>
  <si>
    <t>01п.19*</t>
  </si>
  <si>
    <t>01п.20*</t>
  </si>
  <si>
    <t>01п.21*</t>
  </si>
  <si>
    <t>01п.22*</t>
  </si>
  <si>
    <t>01п.23*</t>
  </si>
  <si>
    <t>01п.24*</t>
  </si>
  <si>
    <t>01п.25*</t>
  </si>
  <si>
    <t>01п.26*</t>
  </si>
  <si>
    <t>01п.27*</t>
  </si>
  <si>
    <t>01п.28*</t>
  </si>
  <si>
    <t>01п.29*</t>
  </si>
  <si>
    <t>01п.30*</t>
  </si>
  <si>
    <t>02н.17*</t>
  </si>
  <si>
    <t>02н.18*</t>
  </si>
  <si>
    <t>02н.19*</t>
  </si>
  <si>
    <t>02н.20*</t>
  </si>
  <si>
    <t>02н.21*</t>
  </si>
  <si>
    <t>02н.22*</t>
  </si>
  <si>
    <t>02н.23*</t>
  </si>
  <si>
    <t>02н.24*</t>
  </si>
  <si>
    <t>02н.25*</t>
  </si>
  <si>
    <t>02н.26*</t>
  </si>
  <si>
    <t>02н.27*</t>
  </si>
  <si>
    <t>02н.28*</t>
  </si>
  <si>
    <t>02н.29*</t>
  </si>
  <si>
    <t>02н.30*</t>
  </si>
  <si>
    <t>02п.17*</t>
  </si>
  <si>
    <t>02п.18*</t>
  </si>
  <si>
    <t>02п.19*</t>
  </si>
  <si>
    <t>02п.20*</t>
  </si>
  <si>
    <t>02п.21*</t>
  </si>
  <si>
    <t>02п.22*</t>
  </si>
  <si>
    <t>02п.23*</t>
  </si>
  <si>
    <t>02п.24*</t>
  </si>
  <si>
    <t>02п.25*</t>
  </si>
  <si>
    <t>02п.26*</t>
  </si>
  <si>
    <t>02п.27*</t>
  </si>
  <si>
    <t>02п.28*</t>
  </si>
  <si>
    <t>02п.29*</t>
  </si>
  <si>
    <t>02п.30*</t>
  </si>
  <si>
    <t>03н.20*</t>
  </si>
  <si>
    <t>03н.21*</t>
  </si>
  <si>
    <t>03н.22*</t>
  </si>
  <si>
    <t>03н.23*</t>
  </si>
  <si>
    <t>03н.24*</t>
  </si>
  <si>
    <t>03н.25*</t>
  </si>
  <si>
    <t>03н.26*</t>
  </si>
  <si>
    <t>03н.27*</t>
  </si>
  <si>
    <t>03н.28*</t>
  </si>
  <si>
    <t>03н.29*</t>
  </si>
  <si>
    <t>03н.30*</t>
  </si>
  <si>
    <t>03п.19*</t>
  </si>
  <si>
    <t>03п.20*</t>
  </si>
  <si>
    <t>03п.21*</t>
  </si>
  <si>
    <t>03п.22*</t>
  </si>
  <si>
    <t>03п.23*</t>
  </si>
  <si>
    <t>03п.24*</t>
  </si>
  <si>
    <t>03п.25*</t>
  </si>
  <si>
    <t>03п.26*</t>
  </si>
  <si>
    <t>03п.27*</t>
  </si>
  <si>
    <t>03п.28*</t>
  </si>
  <si>
    <t>03п.29*</t>
  </si>
  <si>
    <t>03п.30*</t>
  </si>
  <si>
    <t>04н.23*</t>
  </si>
  <si>
    <t>04н.24*</t>
  </si>
  <si>
    <t>04н.25*</t>
  </si>
  <si>
    <t>04н.26*</t>
  </si>
  <si>
    <t>04н.27*</t>
  </si>
  <si>
    <t>04н.28*</t>
  </si>
  <si>
    <t>04н.29*</t>
  </si>
  <si>
    <t>04н.30*</t>
  </si>
  <si>
    <t>04п.23*</t>
  </si>
  <si>
    <t>04п.24*</t>
  </si>
  <si>
    <t>04п.25*</t>
  </si>
  <si>
    <t>04п.26*</t>
  </si>
  <si>
    <t>04п.27*</t>
  </si>
  <si>
    <t>04п.28*</t>
  </si>
  <si>
    <t>04п.29*</t>
  </si>
  <si>
    <t>04п.30*</t>
  </si>
  <si>
    <t>05н.20*</t>
  </si>
  <si>
    <t>05н.21*</t>
  </si>
  <si>
    <t>05н.22*</t>
  </si>
  <si>
    <t>05н.23*</t>
  </si>
  <si>
    <t>05н.24*</t>
  </si>
  <si>
    <t>05н.25*</t>
  </si>
  <si>
    <t>05н.26*</t>
  </si>
  <si>
    <t>05н.27*</t>
  </si>
  <si>
    <t>05н.28*</t>
  </si>
  <si>
    <t>05н.29*</t>
  </si>
  <si>
    <t>05н.30*</t>
  </si>
  <si>
    <t>05п.18*</t>
  </si>
  <si>
    <t>05п.19*</t>
  </si>
  <si>
    <t>05п.20*</t>
  </si>
  <si>
    <t>05п.21*</t>
  </si>
  <si>
    <t>05п.22*</t>
  </si>
  <si>
    <t>05п.23*</t>
  </si>
  <si>
    <t>05п.24*</t>
  </si>
  <si>
    <t>05п.25*</t>
  </si>
  <si>
    <t>05п.26*</t>
  </si>
  <si>
    <t>05п.27*</t>
  </si>
  <si>
    <t>05п.28*</t>
  </si>
  <si>
    <t>05п.29*</t>
  </si>
  <si>
    <t>05п.30*</t>
  </si>
  <si>
    <t>06н.22*</t>
  </si>
  <si>
    <t>06н.23*</t>
  </si>
  <si>
    <t>06н.24*</t>
  </si>
  <si>
    <t>06н.25*</t>
  </si>
  <si>
    <t>06н.26*</t>
  </si>
  <si>
    <t>06н.27*</t>
  </si>
  <si>
    <t>06н.28*</t>
  </si>
  <si>
    <t>06н.29*</t>
  </si>
  <si>
    <t>06н.30*</t>
  </si>
  <si>
    <t>06п.19*</t>
  </si>
  <si>
    <t>06п.20*</t>
  </si>
  <si>
    <t>06п.21*</t>
  </si>
  <si>
    <t>06п.22*</t>
  </si>
  <si>
    <t>06п.23*</t>
  </si>
  <si>
    <t>06п.24*</t>
  </si>
  <si>
    <t>06п.25*</t>
  </si>
  <si>
    <t>06п.26*</t>
  </si>
  <si>
    <t>06п.27*</t>
  </si>
  <si>
    <t>06п.28*</t>
  </si>
  <si>
    <t>06п.29*</t>
  </si>
  <si>
    <t>06п.30*</t>
  </si>
  <si>
    <t>07н.22*</t>
  </si>
  <si>
    <t>07н.23*</t>
  </si>
  <si>
    <t>07н.24*</t>
  </si>
  <si>
    <t>07н.25*</t>
  </si>
  <si>
    <t>07н.26*</t>
  </si>
  <si>
    <t>07н.27*</t>
  </si>
  <si>
    <t>07н.28*</t>
  </si>
  <si>
    <t>07н.29*</t>
  </si>
  <si>
    <t>07н.30*</t>
  </si>
  <si>
    <t>07п.23*</t>
  </si>
  <si>
    <t>07п.24*</t>
  </si>
  <si>
    <t>07п.25*</t>
  </si>
  <si>
    <t>07п.26*</t>
  </si>
  <si>
    <t>07п.27*</t>
  </si>
  <si>
    <t>07п.28*</t>
  </si>
  <si>
    <t>07п.29*</t>
  </si>
  <si>
    <t>07п.30*</t>
  </si>
  <si>
    <t>08н.26*</t>
  </si>
  <si>
    <t>08н.27*</t>
  </si>
  <si>
    <t>08н.28*</t>
  </si>
  <si>
    <t>08н.29*</t>
  </si>
  <si>
    <t>08н.30*</t>
  </si>
  <si>
    <t>08п.17*</t>
  </si>
  <si>
    <t>08п.18*</t>
  </si>
  <si>
    <t>08п.19*</t>
  </si>
  <si>
    <t>08п.20*</t>
  </si>
  <si>
    <t>08п.21*</t>
  </si>
  <si>
    <t>08п.22*</t>
  </si>
  <si>
    <t>08п.23*</t>
  </si>
  <si>
    <t>08п.24*</t>
  </si>
  <si>
    <t>08п.25*</t>
  </si>
  <si>
    <t>08п.26*</t>
  </si>
  <si>
    <t>08п.27*</t>
  </si>
  <si>
    <t>08п.28*</t>
  </si>
  <si>
    <t>08п.29*</t>
  </si>
  <si>
    <t>08п.30*</t>
  </si>
  <si>
    <t>09н.17*</t>
  </si>
  <si>
    <t>09н.18*</t>
  </si>
  <si>
    <t>09н.19*</t>
  </si>
  <si>
    <t>09н.20*</t>
  </si>
  <si>
    <t>09н.21*</t>
  </si>
  <si>
    <t>09н.22*</t>
  </si>
  <si>
    <t>09н.23*</t>
  </si>
  <si>
    <t>09н.24*</t>
  </si>
  <si>
    <t>09н.25*</t>
  </si>
  <si>
    <t>09н.26*</t>
  </si>
  <si>
    <t>09н.27*</t>
  </si>
  <si>
    <t>09н.28*</t>
  </si>
  <si>
    <t>09н.29*</t>
  </si>
  <si>
    <t>09н.30*</t>
  </si>
  <si>
    <t>09п.18*</t>
  </si>
  <si>
    <t>09п.19*</t>
  </si>
  <si>
    <t>09п.20*</t>
  </si>
  <si>
    <t>09п.21*</t>
  </si>
  <si>
    <t>09п.22*</t>
  </si>
  <si>
    <t>09п.23*</t>
  </si>
  <si>
    <t>09п.24*</t>
  </si>
  <si>
    <t>09п.25*</t>
  </si>
  <si>
    <t>09п.26*</t>
  </si>
  <si>
    <t>09п.27*</t>
  </si>
  <si>
    <t>09п.28*</t>
  </si>
  <si>
    <t>09п.29*</t>
  </si>
  <si>
    <t>09п.30*</t>
  </si>
  <si>
    <t>10н.20*</t>
  </si>
  <si>
    <t>10н.21*</t>
  </si>
  <si>
    <t>10н.22*</t>
  </si>
  <si>
    <t>10н.23*</t>
  </si>
  <si>
    <t>10н.24*</t>
  </si>
  <si>
    <t>10н.25*</t>
  </si>
  <si>
    <t>10н.26*</t>
  </si>
  <si>
    <t>10н.27*</t>
  </si>
  <si>
    <t>10н.28*</t>
  </si>
  <si>
    <t>10н.29*</t>
  </si>
  <si>
    <t>10н.30*</t>
  </si>
  <si>
    <t>10п.18*</t>
  </si>
  <si>
    <t>10п.19*</t>
  </si>
  <si>
    <t>10п.20*</t>
  </si>
  <si>
    <t>10п.21*</t>
  </si>
  <si>
    <t>10п.22*</t>
  </si>
  <si>
    <t>10п.23*</t>
  </si>
  <si>
    <t>10п.24*</t>
  </si>
  <si>
    <t>10п.25*</t>
  </si>
  <si>
    <t>10п.26*</t>
  </si>
  <si>
    <t>10п.27*</t>
  </si>
  <si>
    <t>10п.28*</t>
  </si>
  <si>
    <t>10п.29*</t>
  </si>
  <si>
    <t>10п.30*</t>
  </si>
  <si>
    <t>11н.17*</t>
  </si>
  <si>
    <t>11н.18*</t>
  </si>
  <si>
    <t>11н.19*</t>
  </si>
  <si>
    <t>11н.20*</t>
  </si>
  <si>
    <t>11н.21*</t>
  </si>
  <si>
    <t>11н.22*</t>
  </si>
  <si>
    <t>11н.23*</t>
  </si>
  <si>
    <t>11н.24*</t>
  </si>
  <si>
    <t>11н.25*</t>
  </si>
  <si>
    <t>11н.26*</t>
  </si>
  <si>
    <t>11н.27*</t>
  </si>
  <si>
    <t>11н.28*</t>
  </si>
  <si>
    <t>11н.29*</t>
  </si>
  <si>
    <t>11н.30*</t>
  </si>
  <si>
    <t>11п.16*</t>
  </si>
  <si>
    <t>11п.17*</t>
  </si>
  <si>
    <t>11п.18*</t>
  </si>
  <si>
    <t>11п.19*</t>
  </si>
  <si>
    <t>11п.20*</t>
  </si>
  <si>
    <t>11п.21*</t>
  </si>
  <si>
    <t>11п.22*</t>
  </si>
  <si>
    <t>11п.23*</t>
  </si>
  <si>
    <t>11п.24*</t>
  </si>
  <si>
    <t>11п.25*</t>
  </si>
  <si>
    <t>11п.26*</t>
  </si>
  <si>
    <t>11п.27*</t>
  </si>
  <si>
    <t>11п.28*</t>
  </si>
  <si>
    <t>11п.29*</t>
  </si>
  <si>
    <t>11п.30*</t>
  </si>
  <si>
    <t>12н.16*</t>
  </si>
  <si>
    <t>12н.17*</t>
  </si>
  <si>
    <t>12н.18*</t>
  </si>
  <si>
    <t>12н.19*</t>
  </si>
  <si>
    <t>12н.20*</t>
  </si>
  <si>
    <t>12н.21*</t>
  </si>
  <si>
    <t>12н.22*</t>
  </si>
  <si>
    <t>12н.23*</t>
  </si>
  <si>
    <t>12н.24*</t>
  </si>
  <si>
    <t>12н.25*</t>
  </si>
  <si>
    <t>12н.26*</t>
  </si>
  <si>
    <t>12н.27*</t>
  </si>
  <si>
    <t>12н.28*</t>
  </si>
  <si>
    <t>12н.29*</t>
  </si>
  <si>
    <t>12н.30*</t>
  </si>
  <si>
    <t>12п.19*</t>
  </si>
  <si>
    <t>12п.20*</t>
  </si>
  <si>
    <t>12п.21*</t>
  </si>
  <si>
    <t>12п.22*</t>
  </si>
  <si>
    <t>12п.23*</t>
  </si>
  <si>
    <t>12п.24*</t>
  </si>
  <si>
    <t>12п.25*</t>
  </si>
  <si>
    <t>12п.26*</t>
  </si>
  <si>
    <t>12п.27*</t>
  </si>
  <si>
    <t>12п.28*</t>
  </si>
  <si>
    <t>12п.29*</t>
  </si>
  <si>
    <t>12п.30*</t>
  </si>
  <si>
    <t>13н.14*</t>
  </si>
  <si>
    <t>13н.15*</t>
  </si>
  <si>
    <t>13н.16*</t>
  </si>
  <si>
    <t>13н.17*</t>
  </si>
  <si>
    <t>13н.18*</t>
  </si>
  <si>
    <t>13н.19*</t>
  </si>
  <si>
    <t>13н.20*</t>
  </si>
  <si>
    <t>13н.21*</t>
  </si>
  <si>
    <t>13н.22*</t>
  </si>
  <si>
    <t>13н.23*</t>
  </si>
  <si>
    <t>13н.24*</t>
  </si>
  <si>
    <t>13н.25*</t>
  </si>
  <si>
    <t>13н.26*</t>
  </si>
  <si>
    <t>13н.27*</t>
  </si>
  <si>
    <t>13н.28*</t>
  </si>
  <si>
    <t>13н.29*</t>
  </si>
  <si>
    <t>13н.30*</t>
  </si>
  <si>
    <t>13п.15*</t>
  </si>
  <si>
    <t>13п.16*</t>
  </si>
  <si>
    <t>13п.17*</t>
  </si>
  <si>
    <t>13п.18*</t>
  </si>
  <si>
    <t>13п.19*</t>
  </si>
  <si>
    <t>13п.20*</t>
  </si>
  <si>
    <t>13п.21*</t>
  </si>
  <si>
    <t>13п.22*</t>
  </si>
  <si>
    <t>13п.23*</t>
  </si>
  <si>
    <t>13п.24*</t>
  </si>
  <si>
    <t>13п.25*</t>
  </si>
  <si>
    <t>13п.26*</t>
  </si>
  <si>
    <t>13п.27*</t>
  </si>
  <si>
    <t>13п.28*</t>
  </si>
  <si>
    <t>13п.29*</t>
  </si>
  <si>
    <t>13п.30*</t>
  </si>
  <si>
    <t>14н.13*</t>
  </si>
  <si>
    <t>14н.14*</t>
  </si>
  <si>
    <t>14н.15*</t>
  </si>
  <si>
    <t>14н.16*</t>
  </si>
  <si>
    <t>14н.17*</t>
  </si>
  <si>
    <t>14н.18*</t>
  </si>
  <si>
    <t>14н.19*</t>
  </si>
  <si>
    <t>14н.20*</t>
  </si>
  <si>
    <t>14н.21*</t>
  </si>
  <si>
    <t>14н.22*</t>
  </si>
  <si>
    <t>14н.23*</t>
  </si>
  <si>
    <t>14н.24*</t>
  </si>
  <si>
    <t>14н.25*</t>
  </si>
  <si>
    <t>14н.26*</t>
  </si>
  <si>
    <t>14н.27*</t>
  </si>
  <si>
    <t>14н.28*</t>
  </si>
  <si>
    <t>14н.29*</t>
  </si>
  <si>
    <t>14н.30*</t>
  </si>
  <si>
    <t>14п.15*</t>
  </si>
  <si>
    <t>14п.16*</t>
  </si>
  <si>
    <t>14п.17*</t>
  </si>
  <si>
    <t>14п.18*</t>
  </si>
  <si>
    <t>14п.19*</t>
  </si>
  <si>
    <t>14п.20*</t>
  </si>
  <si>
    <t>14п.21*</t>
  </si>
  <si>
    <t>14п.22*</t>
  </si>
  <si>
    <t>14п.23*</t>
  </si>
  <si>
    <t>14п.24*</t>
  </si>
  <si>
    <t>14п.25*</t>
  </si>
  <si>
    <t>14п.26*</t>
  </si>
  <si>
    <t>14п.27*</t>
  </si>
  <si>
    <t>14п.28*</t>
  </si>
  <si>
    <t>14п.29*</t>
  </si>
  <si>
    <t>14п.30*</t>
  </si>
  <si>
    <t>15н.14*</t>
  </si>
  <si>
    <t>15н.15*</t>
  </si>
  <si>
    <t>15н.16*</t>
  </si>
  <si>
    <t>15н.17*</t>
  </si>
  <si>
    <t>15н.18*</t>
  </si>
  <si>
    <t>15н.19*</t>
  </si>
  <si>
    <t>15н.20*</t>
  </si>
  <si>
    <t>15н.21*</t>
  </si>
  <si>
    <t>15н.22*</t>
  </si>
  <si>
    <t>15н.23*</t>
  </si>
  <si>
    <t>15н.24*</t>
  </si>
  <si>
    <t>15н.25*</t>
  </si>
  <si>
    <t>15н.26*</t>
  </si>
  <si>
    <t>15н.27*</t>
  </si>
  <si>
    <t>15н.28*</t>
  </si>
  <si>
    <t>15н.29*</t>
  </si>
  <si>
    <t>15н.30*</t>
  </si>
  <si>
    <t>15п.16*</t>
  </si>
  <si>
    <t>15п.17*</t>
  </si>
  <si>
    <t>15п.18*</t>
  </si>
  <si>
    <t>15п.19*</t>
  </si>
  <si>
    <t>15п.20*</t>
  </si>
  <si>
    <t>15п.21*</t>
  </si>
  <si>
    <t>15п.22*</t>
  </si>
  <si>
    <t>15п.23*</t>
  </si>
  <si>
    <t>15п.24*</t>
  </si>
  <si>
    <t>15п.25*</t>
  </si>
  <si>
    <t>15п.26*</t>
  </si>
  <si>
    <t>15п.27*</t>
  </si>
  <si>
    <t>15п.28*</t>
  </si>
  <si>
    <t>15п.29*</t>
  </si>
  <si>
    <t>15п.30*</t>
  </si>
  <si>
    <t>16н.14*</t>
  </si>
  <si>
    <t>16н.15*</t>
  </si>
  <si>
    <t>16н.16*</t>
  </si>
  <si>
    <t>16н.17*</t>
  </si>
  <si>
    <t>16н.18*</t>
  </si>
  <si>
    <t>16н.19*</t>
  </si>
  <si>
    <t>16н.20*</t>
  </si>
  <si>
    <t>16н.21*</t>
  </si>
  <si>
    <t>16н.22*</t>
  </si>
  <si>
    <t>16н.23*</t>
  </si>
  <si>
    <t>16н.24*</t>
  </si>
  <si>
    <t>16н.25*</t>
  </si>
  <si>
    <t>16н.26*</t>
  </si>
  <si>
    <t>16н.27*</t>
  </si>
  <si>
    <t>16н.28*</t>
  </si>
  <si>
    <t>16н.29*</t>
  </si>
  <si>
    <t>16н.30*</t>
  </si>
  <si>
    <t>16п.14*</t>
  </si>
  <si>
    <t>16п.15*</t>
  </si>
  <si>
    <t>16п.16*</t>
  </si>
  <si>
    <t>16п.17*</t>
  </si>
  <si>
    <t>16п.18*</t>
  </si>
  <si>
    <t>16п.19*</t>
  </si>
  <si>
    <t>16п.20*</t>
  </si>
  <si>
    <t>16п.21*</t>
  </si>
  <si>
    <t>16п.22*</t>
  </si>
  <si>
    <t>16п.23*</t>
  </si>
  <si>
    <t>16п.24*</t>
  </si>
  <si>
    <t>16п.25*</t>
  </si>
  <si>
    <t>16п.26*</t>
  </si>
  <si>
    <t>16п.27*</t>
  </si>
  <si>
    <t>16п.28*</t>
  </si>
  <si>
    <t>16п.29*</t>
  </si>
  <si>
    <t>16п.30*</t>
  </si>
  <si>
    <t>17н.13*</t>
  </si>
  <si>
    <t>17н.14*</t>
  </si>
  <si>
    <t>17н.15*</t>
  </si>
  <si>
    <t>17н.16*</t>
  </si>
  <si>
    <t>17н.17*</t>
  </si>
  <si>
    <t>17н.18*</t>
  </si>
  <si>
    <t>17н.19*</t>
  </si>
  <si>
    <t>17н.20*</t>
  </si>
  <si>
    <t>17н.21*</t>
  </si>
  <si>
    <t>17н.22*</t>
  </si>
  <si>
    <t>17н.23*</t>
  </si>
  <si>
    <t>17н.24*</t>
  </si>
  <si>
    <t>17н.25*</t>
  </si>
  <si>
    <t>17н.26*</t>
  </si>
  <si>
    <t>17н.27*</t>
  </si>
  <si>
    <t>17н.28*</t>
  </si>
  <si>
    <t>17н.29*</t>
  </si>
  <si>
    <t>17н.30*</t>
  </si>
  <si>
    <t>17п.14*</t>
  </si>
  <si>
    <t>17п.15*</t>
  </si>
  <si>
    <t>17п.16*</t>
  </si>
  <si>
    <t>17п.17*</t>
  </si>
  <si>
    <t>17п.18*</t>
  </si>
  <si>
    <t>17п.19*</t>
  </si>
  <si>
    <t>17п.20*</t>
  </si>
  <si>
    <t>17п.21*</t>
  </si>
  <si>
    <t>17п.22*</t>
  </si>
  <si>
    <t>17п.23*</t>
  </si>
  <si>
    <t>17п.24*</t>
  </si>
  <si>
    <t>17п.25*</t>
  </si>
  <si>
    <t>17п.26*</t>
  </si>
  <si>
    <t>17п.27*</t>
  </si>
  <si>
    <t>17п.28*</t>
  </si>
  <si>
    <t>17п.29*</t>
  </si>
  <si>
    <t>17п.30*</t>
  </si>
  <si>
    <t>18н.15*</t>
  </si>
  <si>
    <t>18н.16*</t>
  </si>
  <si>
    <t>18н.17*</t>
  </si>
  <si>
    <t>18н.18*</t>
  </si>
  <si>
    <t>18н.19*</t>
  </si>
  <si>
    <t>18н.20*</t>
  </si>
  <si>
    <t>18н.21*</t>
  </si>
  <si>
    <t>18н.22*</t>
  </si>
  <si>
    <t>18н.23*</t>
  </si>
  <si>
    <t>18н.24*</t>
  </si>
  <si>
    <t>18н.25*</t>
  </si>
  <si>
    <t>18н.26*</t>
  </si>
  <si>
    <t>18н.27*</t>
  </si>
  <si>
    <t>18н.28*</t>
  </si>
  <si>
    <t>18н.29*</t>
  </si>
  <si>
    <t>18н.30*</t>
  </si>
  <si>
    <t>18п.16*</t>
  </si>
  <si>
    <t>18п.17*</t>
  </si>
  <si>
    <t>18п.18*</t>
  </si>
  <si>
    <t>18п.19*</t>
  </si>
  <si>
    <t>18п.20*</t>
  </si>
  <si>
    <t>18п.21*</t>
  </si>
  <si>
    <t>18п.22*</t>
  </si>
  <si>
    <t>18п.23*</t>
  </si>
  <si>
    <t>18п.24*</t>
  </si>
  <si>
    <t>18п.25*</t>
  </si>
  <si>
    <t>18п.26*</t>
  </si>
  <si>
    <t>18п.27*</t>
  </si>
  <si>
    <t>18п.28*</t>
  </si>
  <si>
    <t>18п.29*</t>
  </si>
  <si>
    <t>18п.30*</t>
  </si>
  <si>
    <t>19н.14*</t>
  </si>
  <si>
    <t>19н.15*</t>
  </si>
  <si>
    <t>19н.16*</t>
  </si>
  <si>
    <t>19н.17*</t>
  </si>
  <si>
    <t>19н.18*</t>
  </si>
  <si>
    <t>19н.19*</t>
  </si>
  <si>
    <t>19н.20*</t>
  </si>
  <si>
    <t>19н.21*</t>
  </si>
  <si>
    <t>19н.22*</t>
  </si>
  <si>
    <t>19н.23*</t>
  </si>
  <si>
    <t>19н.24*</t>
  </si>
  <si>
    <t>19н.25*</t>
  </si>
  <si>
    <t>19н.26*</t>
  </si>
  <si>
    <t>19н.27*</t>
  </si>
  <si>
    <t>19н.28*</t>
  </si>
  <si>
    <t>19н.29*</t>
  </si>
  <si>
    <t>19н.30*</t>
  </si>
  <si>
    <t>19п.17*</t>
  </si>
  <si>
    <t>19п.18*</t>
  </si>
  <si>
    <t>19п.19*</t>
  </si>
  <si>
    <t>19п.20*</t>
  </si>
  <si>
    <t>19п.21*</t>
  </si>
  <si>
    <t>19п.22*</t>
  </si>
  <si>
    <t>19п.23*</t>
  </si>
  <si>
    <t>19п.24*</t>
  </si>
  <si>
    <t>19п.25*</t>
  </si>
  <si>
    <t>19п.26*</t>
  </si>
  <si>
    <t>19п.27*</t>
  </si>
  <si>
    <t>19п.28*</t>
  </si>
  <si>
    <t>19п.29*</t>
  </si>
  <si>
    <t>19п.30*</t>
  </si>
  <si>
    <t>20н.15*</t>
  </si>
  <si>
    <t>20н.16*</t>
  </si>
  <si>
    <t>20н.17*</t>
  </si>
  <si>
    <t>20н.18*</t>
  </si>
  <si>
    <t>20н.19*</t>
  </si>
  <si>
    <t>20н.20*</t>
  </si>
  <si>
    <t>20н.21*</t>
  </si>
  <si>
    <t>20н.22*</t>
  </si>
  <si>
    <t>20н.23*</t>
  </si>
  <si>
    <t>20н.24*</t>
  </si>
  <si>
    <t>20н.25*</t>
  </si>
  <si>
    <t>20н.26*</t>
  </si>
  <si>
    <t>20н.27*</t>
  </si>
  <si>
    <t>20н.28*</t>
  </si>
  <si>
    <t>20н.29*</t>
  </si>
  <si>
    <t>20н.30*</t>
  </si>
  <si>
    <t>20п.16*</t>
  </si>
  <si>
    <t>20п.17*</t>
  </si>
  <si>
    <t>20п.18*</t>
  </si>
  <si>
    <t>20п.19*</t>
  </si>
  <si>
    <t>20п.20*</t>
  </si>
  <si>
    <t>20п.21*</t>
  </si>
  <si>
    <t>20п.22*</t>
  </si>
  <si>
    <t>20п.23*</t>
  </si>
  <si>
    <t>20п.24*</t>
  </si>
  <si>
    <t>20п.25*</t>
  </si>
  <si>
    <t>20п.26*</t>
  </si>
  <si>
    <t>20п.27*</t>
  </si>
  <si>
    <t>20п.28*</t>
  </si>
  <si>
    <t>20п.29*</t>
  </si>
  <si>
    <t>20п.30*</t>
  </si>
  <si>
    <t>21н.13*</t>
  </si>
  <si>
    <t>21н.14*</t>
  </si>
  <si>
    <t>21н.15*</t>
  </si>
  <si>
    <t>21н.16*</t>
  </si>
  <si>
    <t>21н.17*</t>
  </si>
  <si>
    <t>21н.18*</t>
  </si>
  <si>
    <t>21н.19*</t>
  </si>
  <si>
    <t>21н.20*</t>
  </si>
  <si>
    <t>21н.21*</t>
  </si>
  <si>
    <t>21н.22*</t>
  </si>
  <si>
    <t>21н.23*</t>
  </si>
  <si>
    <t>21н.24*</t>
  </si>
  <si>
    <t>21н.25*</t>
  </si>
  <si>
    <t>21н.26*</t>
  </si>
  <si>
    <t>21н.27*</t>
  </si>
  <si>
    <t>21н.28*</t>
  </si>
  <si>
    <t>21н.29*</t>
  </si>
  <si>
    <t>21н.30*</t>
  </si>
  <si>
    <t>21п.17*</t>
  </si>
  <si>
    <t>21п.18*</t>
  </si>
  <si>
    <t>21п.19*</t>
  </si>
  <si>
    <t>21п.20*</t>
  </si>
  <si>
    <t>21п.21*</t>
  </si>
  <si>
    <t>21п.22*</t>
  </si>
  <si>
    <t>21п.23*</t>
  </si>
  <si>
    <t>21п.24*</t>
  </si>
  <si>
    <t>21п.25*</t>
  </si>
  <si>
    <t>21п.26*</t>
  </si>
  <si>
    <t>21п.27*</t>
  </si>
  <si>
    <t>21п.28*</t>
  </si>
  <si>
    <t>21п.29*</t>
  </si>
  <si>
    <t>21п.30*</t>
  </si>
  <si>
    <t>22н.13*</t>
  </si>
  <si>
    <t>22н.14*</t>
  </si>
  <si>
    <t>22н.15*</t>
  </si>
  <si>
    <t>22н.16*</t>
  </si>
  <si>
    <t>22н.17*</t>
  </si>
  <si>
    <t>22н.18*</t>
  </si>
  <si>
    <t>22н.19*</t>
  </si>
  <si>
    <t>22н.20*</t>
  </si>
  <si>
    <t>22н.21*</t>
  </si>
  <si>
    <t>22н.22*</t>
  </si>
  <si>
    <t>22н.23*</t>
  </si>
  <si>
    <t>22н.24*</t>
  </si>
  <si>
    <t>22н.25*</t>
  </si>
  <si>
    <t>22н.26*</t>
  </si>
  <si>
    <t>22н.27*</t>
  </si>
  <si>
    <t>22н.28*</t>
  </si>
  <si>
    <t>22н.29*</t>
  </si>
  <si>
    <t>22н.30*</t>
  </si>
  <si>
    <t>22п.15*</t>
  </si>
  <si>
    <t>22п.16*</t>
  </si>
  <si>
    <t>22п.17*</t>
  </si>
  <si>
    <t>22п.18*</t>
  </si>
  <si>
    <t>22п.19*</t>
  </si>
  <si>
    <t>22п.20*</t>
  </si>
  <si>
    <t>22п.21*</t>
  </si>
  <si>
    <t>22п.22*</t>
  </si>
  <si>
    <t>22п.23*</t>
  </si>
  <si>
    <t>22п.24*</t>
  </si>
  <si>
    <t>22п.25*</t>
  </si>
  <si>
    <t>22п.26*</t>
  </si>
  <si>
    <t>22п.27*</t>
  </si>
  <si>
    <t>22п.28*</t>
  </si>
  <si>
    <t>22п.29*</t>
  </si>
  <si>
    <t>22п.30*</t>
  </si>
  <si>
    <t>23н.17*</t>
  </si>
  <si>
    <t>23н.18*</t>
  </si>
  <si>
    <t>23н.19*</t>
  </si>
  <si>
    <t>23н.20*</t>
  </si>
  <si>
    <t>23н.21*</t>
  </si>
  <si>
    <t>23н.22*</t>
  </si>
  <si>
    <t>23н.23*</t>
  </si>
  <si>
    <t>23н.24*</t>
  </si>
  <si>
    <t>23н.25*</t>
  </si>
  <si>
    <t>23н.26*</t>
  </si>
  <si>
    <t>23н.27*</t>
  </si>
  <si>
    <t>23н.28*</t>
  </si>
  <si>
    <t>23н.29*</t>
  </si>
  <si>
    <t>23н.30*</t>
  </si>
  <si>
    <t>23п.20*</t>
  </si>
  <si>
    <t>23п.21*</t>
  </si>
  <si>
    <t>23п.22*</t>
  </si>
  <si>
    <t>23п.23*</t>
  </si>
  <si>
    <t>23п.24*</t>
  </si>
  <si>
    <t>23п.25*</t>
  </si>
  <si>
    <t>23п.26*</t>
  </si>
  <si>
    <t>23п.27*</t>
  </si>
  <si>
    <t>23п.28*</t>
  </si>
  <si>
    <t>23п.29*</t>
  </si>
  <si>
    <t>23п.30*</t>
  </si>
  <si>
    <t>24н.21*</t>
  </si>
  <si>
    <t>24н.22*</t>
  </si>
  <si>
    <t>24н.23*</t>
  </si>
  <si>
    <t>24н.24*</t>
  </si>
  <si>
    <t>24н.25*</t>
  </si>
  <si>
    <t>24н.26*</t>
  </si>
  <si>
    <t>24н.27*</t>
  </si>
  <si>
    <t>24н.28*</t>
  </si>
  <si>
    <t>24н.29*</t>
  </si>
  <si>
    <t>24н.30*</t>
  </si>
  <si>
    <t>24п.24*</t>
  </si>
  <si>
    <t>24п.25*</t>
  </si>
  <si>
    <t>24п.26*</t>
  </si>
  <si>
    <t>24п.27*</t>
  </si>
  <si>
    <t>24п.28*</t>
  </si>
  <si>
    <t>24п.29*</t>
  </si>
  <si>
    <t>24п.30*</t>
  </si>
  <si>
    <t>25н.19*</t>
  </si>
  <si>
    <t>25н.20*</t>
  </si>
  <si>
    <t>25н.21*</t>
  </si>
  <si>
    <t>25н.22*</t>
  </si>
  <si>
    <t>25н.23*</t>
  </si>
  <si>
    <t>25н.24*</t>
  </si>
  <si>
    <t>25н.25*</t>
  </si>
  <si>
    <t>25н.26*</t>
  </si>
  <si>
    <t>25н.27*</t>
  </si>
  <si>
    <t>25н.28*</t>
  </si>
  <si>
    <t>25н.29*</t>
  </si>
  <si>
    <t>25н.30*</t>
  </si>
  <si>
    <t>25п.18*</t>
  </si>
  <si>
    <t>25п.19*</t>
  </si>
  <si>
    <t>25п.20*</t>
  </si>
  <si>
    <t>25п.21*</t>
  </si>
  <si>
    <t>25п.22*</t>
  </si>
  <si>
    <t>25п.23*</t>
  </si>
  <si>
    <t>25п.24*</t>
  </si>
  <si>
    <t>25п.25*</t>
  </si>
  <si>
    <t>25п.26*</t>
  </si>
  <si>
    <t>25п.27*</t>
  </si>
  <si>
    <t>25п.28*</t>
  </si>
  <si>
    <t>25п.29*</t>
  </si>
  <si>
    <t>25п.30*</t>
  </si>
  <si>
    <t>26н.27*</t>
  </si>
  <si>
    <t>26н.28*</t>
  </si>
  <si>
    <t>26н.29*</t>
  </si>
  <si>
    <t>26н.30*</t>
  </si>
  <si>
    <t>26п.23*</t>
  </si>
  <si>
    <t>26п.24*</t>
  </si>
  <si>
    <t>26п.25*</t>
  </si>
  <si>
    <t>26п.26*</t>
  </si>
  <si>
    <t>26п.27*</t>
  </si>
  <si>
    <t>26п.28*</t>
  </si>
  <si>
    <t>26п.29*</t>
  </si>
  <si>
    <t>26п.30*</t>
  </si>
  <si>
    <t>27н.26*</t>
  </si>
  <si>
    <t>27н.27*</t>
  </si>
  <si>
    <t>27н.28*</t>
  </si>
  <si>
    <t>27н.29*</t>
  </si>
  <si>
    <t>27н.30*</t>
  </si>
  <si>
    <t>27п.19*</t>
  </si>
  <si>
    <t>27п.20*</t>
  </si>
  <si>
    <t>27п.21*</t>
  </si>
  <si>
    <t>27п.22*</t>
  </si>
  <si>
    <t>27п.23*</t>
  </si>
  <si>
    <t>27п.24*</t>
  </si>
  <si>
    <t>27п.25*</t>
  </si>
  <si>
    <t>27п.26*</t>
  </si>
  <si>
    <t>27п.27*</t>
  </si>
  <si>
    <t>27п.28*</t>
  </si>
  <si>
    <t>27п.29*</t>
  </si>
  <si>
    <t>27п.30*</t>
  </si>
  <si>
    <t>28н.15*</t>
  </si>
  <si>
    <t>28н.16*</t>
  </si>
  <si>
    <t>28н.17*</t>
  </si>
  <si>
    <t>28н.18*</t>
  </si>
  <si>
    <t>28н.19*</t>
  </si>
  <si>
    <t>28н.20*</t>
  </si>
  <si>
    <t>28н.21*</t>
  </si>
  <si>
    <t>28н.22*</t>
  </si>
  <si>
    <t>28н.23*</t>
  </si>
  <si>
    <t>28н.24*</t>
  </si>
  <si>
    <t>28н.25*</t>
  </si>
  <si>
    <t>28н.26*</t>
  </si>
  <si>
    <t>28н.27*</t>
  </si>
  <si>
    <t>28н.28*</t>
  </si>
  <si>
    <t>28н.29*</t>
  </si>
  <si>
    <t>28н.30*</t>
  </si>
  <si>
    <t>28п.18*</t>
  </si>
  <si>
    <t>28п.19*</t>
  </si>
  <si>
    <t>28п.20*</t>
  </si>
  <si>
    <t>28п.21*</t>
  </si>
  <si>
    <t>28п.22*</t>
  </si>
  <si>
    <t>28п.23*</t>
  </si>
  <si>
    <t>28п.24*</t>
  </si>
  <si>
    <t>28п.25*</t>
  </si>
  <si>
    <t>28п.26*</t>
  </si>
  <si>
    <t>28п.27*</t>
  </si>
  <si>
    <t>28п.28*</t>
  </si>
  <si>
    <t>28п.29*</t>
  </si>
  <si>
    <t>28п.30*</t>
  </si>
  <si>
    <t>29н.01*</t>
  </si>
  <si>
    <t>29н.02*</t>
  </si>
  <si>
    <t>29н.03*</t>
  </si>
  <si>
    <t>29н.04*</t>
  </si>
  <si>
    <t>29н.05*</t>
  </si>
  <si>
    <t>29н.06*</t>
  </si>
  <si>
    <t>29н.07*</t>
  </si>
  <si>
    <t>29н.08*</t>
  </si>
  <si>
    <t>29н.09*</t>
  </si>
  <si>
    <t>29н.10*</t>
  </si>
  <si>
    <t>29н.11*</t>
  </si>
  <si>
    <t>29н.12*</t>
  </si>
  <si>
    <t>29н.13*</t>
  </si>
  <si>
    <t>29н.14*</t>
  </si>
  <si>
    <t>29н.15*</t>
  </si>
  <si>
    <t>29н.16*</t>
  </si>
  <si>
    <t>29н.17*</t>
  </si>
  <si>
    <t>29н.18*</t>
  </si>
  <si>
    <t>29н.19*</t>
  </si>
  <si>
    <t>29н.20*</t>
  </si>
  <si>
    <t>29н.21*</t>
  </si>
  <si>
    <t>29н.22*</t>
  </si>
  <si>
    <t>29н.23*</t>
  </si>
  <si>
    <t>29н.24*</t>
  </si>
  <si>
    <t>29н.25*</t>
  </si>
  <si>
    <t>29н.26*</t>
  </si>
  <si>
    <t>29н.27*</t>
  </si>
  <si>
    <t>29н.28*</t>
  </si>
  <si>
    <t>29н.29*</t>
  </si>
  <si>
    <t>29н.30*</t>
  </si>
  <si>
    <t>29п.01*</t>
  </si>
  <si>
    <t>29п.02*</t>
  </si>
  <si>
    <t>29п.03*</t>
  </si>
  <si>
    <t>29п.04*</t>
  </si>
  <si>
    <t>29п.05*</t>
  </si>
  <si>
    <t>29п.06*</t>
  </si>
  <si>
    <t>29п.07*</t>
  </si>
  <si>
    <t>29п.08*</t>
  </si>
  <si>
    <t>29п.09*</t>
  </si>
  <si>
    <t>29п.10*</t>
  </si>
  <si>
    <t>29п.11*</t>
  </si>
  <si>
    <t>29п.12*</t>
  </si>
  <si>
    <t>29п.13*</t>
  </si>
  <si>
    <t>29п.14*</t>
  </si>
  <si>
    <t>29п.15*</t>
  </si>
  <si>
    <t>29п.16*</t>
  </si>
  <si>
    <t>29п.17*</t>
  </si>
  <si>
    <t>29п.18*</t>
  </si>
  <si>
    <t>29п.19*</t>
  </si>
  <si>
    <t>29п.20*</t>
  </si>
  <si>
    <t>29п.21*</t>
  </si>
  <si>
    <t>29п.22*</t>
  </si>
  <si>
    <t>29п.23*</t>
  </si>
  <si>
    <t>29п.24*</t>
  </si>
  <si>
    <t>29п.25*</t>
  </si>
  <si>
    <t>29п.26*</t>
  </si>
  <si>
    <t>29п.27*</t>
  </si>
  <si>
    <t>29п.28*</t>
  </si>
  <si>
    <t>29п.29*</t>
  </si>
  <si>
    <t>29п.30*</t>
  </si>
  <si>
    <t>30н.16*</t>
  </si>
  <si>
    <t>30н.17*</t>
  </si>
  <si>
    <t>30н.18*</t>
  </si>
  <si>
    <t>30н.19*</t>
  </si>
  <si>
    <t>30н.20*</t>
  </si>
  <si>
    <t>30н.21*</t>
  </si>
  <si>
    <t>30н.22*</t>
  </si>
  <si>
    <t>30н.23*</t>
  </si>
  <si>
    <t>30н.24*</t>
  </si>
  <si>
    <t>30н.25*</t>
  </si>
  <si>
    <t>30н.26*</t>
  </si>
  <si>
    <t>30н.27*</t>
  </si>
  <si>
    <t>30н.28*</t>
  </si>
  <si>
    <t>30н.29*</t>
  </si>
  <si>
    <t>30н.30*</t>
  </si>
  <si>
    <t>30п.19*</t>
  </si>
  <si>
    <t>30п.20*</t>
  </si>
  <si>
    <t>30п.21*</t>
  </si>
  <si>
    <t>30п.22*</t>
  </si>
  <si>
    <t>30п.23*</t>
  </si>
  <si>
    <t>30п.24*</t>
  </si>
  <si>
    <t>30п.25*</t>
  </si>
  <si>
    <t>30п.26*</t>
  </si>
  <si>
    <t>30п.27*</t>
  </si>
  <si>
    <t>30п.28*</t>
  </si>
  <si>
    <t>30п.29*</t>
  </si>
  <si>
    <t>30п.30*</t>
  </si>
  <si>
    <t>31н.15*</t>
  </si>
  <si>
    <t>31н.16*</t>
  </si>
  <si>
    <t>31н.17*</t>
  </si>
  <si>
    <t>31н.18*</t>
  </si>
  <si>
    <t>31н.19*</t>
  </si>
  <si>
    <t>31н.20*</t>
  </si>
  <si>
    <t>31н.21*</t>
  </si>
  <si>
    <t>31н.22*</t>
  </si>
  <si>
    <t>31н.23*</t>
  </si>
  <si>
    <t>31н.24*</t>
  </si>
  <si>
    <t>31н.25*</t>
  </si>
  <si>
    <t>31н.26*</t>
  </si>
  <si>
    <t>31н.27*</t>
  </si>
  <si>
    <t>31н.28*</t>
  </si>
  <si>
    <t>31н.29*</t>
  </si>
  <si>
    <t>31н.30*</t>
  </si>
  <si>
    <t>31п.17*</t>
  </si>
  <si>
    <t>31п.18*</t>
  </si>
  <si>
    <t>31п.19*</t>
  </si>
  <si>
    <t>31п.20*</t>
  </si>
  <si>
    <t>31п.21*</t>
  </si>
  <si>
    <t>31п.22*</t>
  </si>
  <si>
    <t>31п.23*</t>
  </si>
  <si>
    <t>31п.24*</t>
  </si>
  <si>
    <t>31п.25*</t>
  </si>
  <si>
    <t>31п.26*</t>
  </si>
  <si>
    <t>31п.27*</t>
  </si>
  <si>
    <t>31п.28*</t>
  </si>
  <si>
    <t>31п.29*</t>
  </si>
  <si>
    <t>31п.30*</t>
  </si>
  <si>
    <t>32н.13*</t>
  </si>
  <si>
    <t>32н.14*</t>
  </si>
  <si>
    <t>32н.15*</t>
  </si>
  <si>
    <t>32н.16*</t>
  </si>
  <si>
    <t>32н.17*</t>
  </si>
  <si>
    <t>32н.18*</t>
  </si>
  <si>
    <t>32н.19*</t>
  </si>
  <si>
    <t>32н.20*</t>
  </si>
  <si>
    <t>32н.21*</t>
  </si>
  <si>
    <t>32н.22*</t>
  </si>
  <si>
    <t>32н.23*</t>
  </si>
  <si>
    <t>32н.24*</t>
  </si>
  <si>
    <t>32н.25*</t>
  </si>
  <si>
    <t>32н.26*</t>
  </si>
  <si>
    <t>32н.27*</t>
  </si>
  <si>
    <t>32н.28*</t>
  </si>
  <si>
    <t>32н.29*</t>
  </si>
  <si>
    <t>32н.30*</t>
  </si>
  <si>
    <t>32п.16*</t>
  </si>
  <si>
    <t>32п.17*</t>
  </si>
  <si>
    <t>32п.18*</t>
  </si>
  <si>
    <t>32п.19*</t>
  </si>
  <si>
    <t>32п.20*</t>
  </si>
  <si>
    <t>32п.21*</t>
  </si>
  <si>
    <t>32п.22*</t>
  </si>
  <si>
    <t>32п.23*</t>
  </si>
  <si>
    <t>32п.24*</t>
  </si>
  <si>
    <t>32п.25*</t>
  </si>
  <si>
    <t>32п.26*</t>
  </si>
  <si>
    <t>32п.27*</t>
  </si>
  <si>
    <t>32п.28*</t>
  </si>
  <si>
    <t>32п.29*</t>
  </si>
  <si>
    <t>32п.30*</t>
  </si>
  <si>
    <t>33н.12*</t>
  </si>
  <si>
    <t>33н.13*</t>
  </si>
  <si>
    <t>33н.14*</t>
  </si>
  <si>
    <t>33н.15*</t>
  </si>
  <si>
    <t>33н.16*</t>
  </si>
  <si>
    <t>33н.17*</t>
  </si>
  <si>
    <t>33н.18*</t>
  </si>
  <si>
    <t>33н.19*</t>
  </si>
  <si>
    <t>33н.20*</t>
  </si>
  <si>
    <t>33н.21*</t>
  </si>
  <si>
    <t>33н.22*</t>
  </si>
  <si>
    <t>33н.23*</t>
  </si>
  <si>
    <t>33н.24*</t>
  </si>
  <si>
    <t>33н.25*</t>
  </si>
  <si>
    <t>33н.26*</t>
  </si>
  <si>
    <t>33н.27*</t>
  </si>
  <si>
    <t>33н.28*</t>
  </si>
  <si>
    <t>33н.29*</t>
  </si>
  <si>
    <t>33н.30*</t>
  </si>
  <si>
    <t>33п.17*</t>
  </si>
  <si>
    <t>33п.18*</t>
  </si>
  <si>
    <t>33п.19*</t>
  </si>
  <si>
    <t>33п.20*</t>
  </si>
  <si>
    <t>33п.21*</t>
  </si>
  <si>
    <t>33п.22*</t>
  </si>
  <si>
    <t>33п.23*</t>
  </si>
  <si>
    <t>33п.24*</t>
  </si>
  <si>
    <t>33п.25*</t>
  </si>
  <si>
    <t>33п.26*</t>
  </si>
  <si>
    <t>33п.27*</t>
  </si>
  <si>
    <t>33п.28*</t>
  </si>
  <si>
    <t>33п.29*</t>
  </si>
  <si>
    <t>33п.30*</t>
  </si>
  <si>
    <t>34н.15*</t>
  </si>
  <si>
    <t>34н.16*</t>
  </si>
  <si>
    <t>34н.17*</t>
  </si>
  <si>
    <t>34н.18*</t>
  </si>
  <si>
    <t>34н.19*</t>
  </si>
  <si>
    <t>34н.20*</t>
  </si>
  <si>
    <t>34н.21*</t>
  </si>
  <si>
    <t>34н.22*</t>
  </si>
  <si>
    <t>34н.23*</t>
  </si>
  <si>
    <t>34н.24*</t>
  </si>
  <si>
    <t>34н.25*</t>
  </si>
  <si>
    <t>34н.26*</t>
  </si>
  <si>
    <t>34н.27*</t>
  </si>
  <si>
    <t>34н.28*</t>
  </si>
  <si>
    <t>34н.29*</t>
  </si>
  <si>
    <t>34н.30*</t>
  </si>
  <si>
    <t>34п.19*</t>
  </si>
  <si>
    <t>34п.20*</t>
  </si>
  <si>
    <t>34п.21*</t>
  </si>
  <si>
    <t>34п.22*</t>
  </si>
  <si>
    <t>34п.23*</t>
  </si>
  <si>
    <t>34п.24*</t>
  </si>
  <si>
    <t>34п.25*</t>
  </si>
  <si>
    <t>34п.26*</t>
  </si>
  <si>
    <t>34п.27*</t>
  </si>
  <si>
    <t>34п.28*</t>
  </si>
  <si>
    <t>34п.29*</t>
  </si>
  <si>
    <t>34п.30*</t>
  </si>
  <si>
    <t>35н.16*</t>
  </si>
  <si>
    <t>35н.17*</t>
  </si>
  <si>
    <t>35н.18*</t>
  </si>
  <si>
    <t>35н.19*</t>
  </si>
  <si>
    <t>35н.20*</t>
  </si>
  <si>
    <t>35н.21*</t>
  </si>
  <si>
    <t>35н.22*</t>
  </si>
  <si>
    <t>35н.23*</t>
  </si>
  <si>
    <t>35н.24*</t>
  </si>
  <si>
    <t>35н.25*</t>
  </si>
  <si>
    <t>35н.26*</t>
  </si>
  <si>
    <t>35н.27*</t>
  </si>
  <si>
    <t>35н.28*</t>
  </si>
  <si>
    <t>35н.29*</t>
  </si>
  <si>
    <t>35н.30*</t>
  </si>
  <si>
    <t>35п.13*</t>
  </si>
  <si>
    <t>35п.14*</t>
  </si>
  <si>
    <t>35п.15*</t>
  </si>
  <si>
    <t>35п.16*</t>
  </si>
  <si>
    <t>35п.17*</t>
  </si>
  <si>
    <t>35п.18*</t>
  </si>
  <si>
    <t>35п.19*</t>
  </si>
  <si>
    <t>35п.20*</t>
  </si>
  <si>
    <t>35п.21*</t>
  </si>
  <si>
    <t>35п.22*</t>
  </si>
  <si>
    <t>35п.23*</t>
  </si>
  <si>
    <t>35п.24*</t>
  </si>
  <si>
    <t>35п.25*</t>
  </si>
  <si>
    <t>35п.26*</t>
  </si>
  <si>
    <t>35п.27*</t>
  </si>
  <si>
    <t>35п.28*</t>
  </si>
  <si>
    <t>35п.29*</t>
  </si>
  <si>
    <t>35п.30*</t>
  </si>
  <si>
    <t>36н.01*</t>
  </si>
  <si>
    <t>36н.02*</t>
  </si>
  <si>
    <t>36н.03*</t>
  </si>
  <si>
    <t>36н.04*</t>
  </si>
  <si>
    <t>36н.05*</t>
  </si>
  <si>
    <t>36н.06*</t>
  </si>
  <si>
    <t>36н.07*</t>
  </si>
  <si>
    <t>36н.08*</t>
  </si>
  <si>
    <t>36н.09*</t>
  </si>
  <si>
    <t>36н.10*</t>
  </si>
  <si>
    <t>36н.11*</t>
  </si>
  <si>
    <t>36н.12*</t>
  </si>
  <si>
    <t>36н.13*</t>
  </si>
  <si>
    <t>36н.14*</t>
  </si>
  <si>
    <t>36н.15*</t>
  </si>
  <si>
    <t>36н.16*</t>
  </si>
  <si>
    <t>36н.17*</t>
  </si>
  <si>
    <t>36н.18*</t>
  </si>
  <si>
    <t>36н.19*</t>
  </si>
  <si>
    <t>36н.20*</t>
  </si>
  <si>
    <t>36н.21*</t>
  </si>
  <si>
    <t>36н.22*</t>
  </si>
  <si>
    <t>36н.23*</t>
  </si>
  <si>
    <t>36н.24*</t>
  </si>
  <si>
    <t>36н.25*</t>
  </si>
  <si>
    <t>36н.26*</t>
  </si>
  <si>
    <t>36н.27*</t>
  </si>
  <si>
    <t>36н.28*</t>
  </si>
  <si>
    <t>36н.29*</t>
  </si>
  <si>
    <t>36н.30*</t>
  </si>
  <si>
    <t>36п.01*</t>
  </si>
  <si>
    <t>36п.02*</t>
  </si>
  <si>
    <t>36п.03*</t>
  </si>
  <si>
    <t>36п.04*</t>
  </si>
  <si>
    <t>36п.05*</t>
  </si>
  <si>
    <t>36п.06*</t>
  </si>
  <si>
    <t>36п.07*</t>
  </si>
  <si>
    <t>36п.08*</t>
  </si>
  <si>
    <t>36п.09*</t>
  </si>
  <si>
    <t>36п.10*</t>
  </si>
  <si>
    <t>36п.11*</t>
  </si>
  <si>
    <t>36п.12*</t>
  </si>
  <si>
    <t>36п.13*</t>
  </si>
  <si>
    <t>36п.14*</t>
  </si>
  <si>
    <t>36п.15*</t>
  </si>
  <si>
    <t>36п.16*</t>
  </si>
  <si>
    <t>36п.17*</t>
  </si>
  <si>
    <t>36п.18*</t>
  </si>
  <si>
    <t>36п.19*</t>
  </si>
  <si>
    <t>36п.20*</t>
  </si>
  <si>
    <t>36п.21*</t>
  </si>
  <si>
    <t>36п.22*</t>
  </si>
  <si>
    <t>36п.23*</t>
  </si>
  <si>
    <t>36п.24*</t>
  </si>
  <si>
    <t>36п.25*</t>
  </si>
  <si>
    <t>36п.26*</t>
  </si>
  <si>
    <t>36п.27*</t>
  </si>
  <si>
    <t>36п.28*</t>
  </si>
  <si>
    <t>36п.29*</t>
  </si>
  <si>
    <t>36п.30*</t>
  </si>
  <si>
    <t>37н.01*</t>
  </si>
  <si>
    <t>37н.02*</t>
  </si>
  <si>
    <t>37н.03*</t>
  </si>
  <si>
    <t>37н.04*</t>
  </si>
  <si>
    <t>37н.05*</t>
  </si>
  <si>
    <t>37н.06*</t>
  </si>
  <si>
    <t>37н.07*</t>
  </si>
  <si>
    <t>37н.08*</t>
  </si>
  <si>
    <t>37н.09*</t>
  </si>
  <si>
    <t>37н.10*</t>
  </si>
  <si>
    <t>37н.11*</t>
  </si>
  <si>
    <t>37н.12*</t>
  </si>
  <si>
    <t>37н.13*</t>
  </si>
  <si>
    <t>37н.14*</t>
  </si>
  <si>
    <t>37н.15*</t>
  </si>
  <si>
    <t>37н.16*</t>
  </si>
  <si>
    <t>37н.17*</t>
  </si>
  <si>
    <t>37н.18*</t>
  </si>
  <si>
    <t>37н.19*</t>
  </si>
  <si>
    <t>37н.20*</t>
  </si>
  <si>
    <t>37н.21*</t>
  </si>
  <si>
    <t>37н.22*</t>
  </si>
  <si>
    <t>37н.23*</t>
  </si>
  <si>
    <t>37н.24*</t>
  </si>
  <si>
    <t>37н.25*</t>
  </si>
  <si>
    <t>37н.26*</t>
  </si>
  <si>
    <t>37н.27*</t>
  </si>
  <si>
    <t>37н.28*</t>
  </si>
  <si>
    <t>37н.29*</t>
  </si>
  <si>
    <t>37н.30*</t>
  </si>
  <si>
    <t>37п.01*</t>
  </si>
  <si>
    <t>37п.02*</t>
  </si>
  <si>
    <t>37п.03*</t>
  </si>
  <si>
    <t>37п.04*</t>
  </si>
  <si>
    <t>37п.05*</t>
  </si>
  <si>
    <t>37п.06*</t>
  </si>
  <si>
    <t>37п.07*</t>
  </si>
  <si>
    <t>37п.08*</t>
  </si>
  <si>
    <t>37п.09*</t>
  </si>
  <si>
    <t>37п.10*</t>
  </si>
  <si>
    <t>37п.11*</t>
  </si>
  <si>
    <t>37п.12*</t>
  </si>
  <si>
    <t>37п.13*</t>
  </si>
  <si>
    <t>37п.14*</t>
  </si>
  <si>
    <t>37п.15*</t>
  </si>
  <si>
    <t>37п.16*</t>
  </si>
  <si>
    <t>37п.17*</t>
  </si>
  <si>
    <t>37п.18*</t>
  </si>
  <si>
    <t>37п.19*</t>
  </si>
  <si>
    <t>37п.20*</t>
  </si>
  <si>
    <t>37п.21*</t>
  </si>
  <si>
    <t>37п.22*</t>
  </si>
  <si>
    <t>37п.23*</t>
  </si>
  <si>
    <t>37п.24*</t>
  </si>
  <si>
    <t>37п.25*</t>
  </si>
  <si>
    <t>37п.26*</t>
  </si>
  <si>
    <t>37п.27*</t>
  </si>
  <si>
    <t>37п.28*</t>
  </si>
  <si>
    <t>37п.29*</t>
  </si>
  <si>
    <t>37п.30*</t>
  </si>
  <si>
    <t>38н.01*</t>
  </si>
  <si>
    <t>38н.02*</t>
  </si>
  <si>
    <t>38н.03*</t>
  </si>
  <si>
    <t>38н.04*</t>
  </si>
  <si>
    <t>38н.05*</t>
  </si>
  <si>
    <t>38н.06*</t>
  </si>
  <si>
    <t>38н.07*</t>
  </si>
  <si>
    <t>38н.08*</t>
  </si>
  <si>
    <t>38н.09*</t>
  </si>
  <si>
    <t>38н.10*</t>
  </si>
  <si>
    <t>38н.11*</t>
  </si>
  <si>
    <t>38н.12*</t>
  </si>
  <si>
    <t>38н.13*</t>
  </si>
  <si>
    <t>38н.14*</t>
  </si>
  <si>
    <t>38н.15*</t>
  </si>
  <si>
    <t>38н.16*</t>
  </si>
  <si>
    <t>38н.17*</t>
  </si>
  <si>
    <t>38н.18*</t>
  </si>
  <si>
    <t>38н.19*</t>
  </si>
  <si>
    <t>38н.20*</t>
  </si>
  <si>
    <t>38н.21*</t>
  </si>
  <si>
    <t>38н.22*</t>
  </si>
  <si>
    <t>38н.23*</t>
  </si>
  <si>
    <t>38н.24*</t>
  </si>
  <si>
    <t>38н.25*</t>
  </si>
  <si>
    <t>38н.26*</t>
  </si>
  <si>
    <t>38н.27*</t>
  </si>
  <si>
    <t>38н.28*</t>
  </si>
  <si>
    <t>38н.29*</t>
  </si>
  <si>
    <t>38н.30*</t>
  </si>
  <si>
    <t>38п.01*</t>
  </si>
  <si>
    <t>38п.02*</t>
  </si>
  <si>
    <t>38п.03*</t>
  </si>
  <si>
    <t>38п.04*</t>
  </si>
  <si>
    <t>38п.05*</t>
  </si>
  <si>
    <t>38п.06*</t>
  </si>
  <si>
    <t>38п.07*</t>
  </si>
  <si>
    <t>38п.08*</t>
  </si>
  <si>
    <t>38п.09*</t>
  </si>
  <si>
    <t>38п.10*</t>
  </si>
  <si>
    <t>38п.11*</t>
  </si>
  <si>
    <t>38п.12*</t>
  </si>
  <si>
    <t>38п.13*</t>
  </si>
  <si>
    <t>38п.14*</t>
  </si>
  <si>
    <t>38п.15*</t>
  </si>
  <si>
    <t>38п.16*</t>
  </si>
  <si>
    <t>38п.17*</t>
  </si>
  <si>
    <t>38п.18*</t>
  </si>
  <si>
    <t>38п.19*</t>
  </si>
  <si>
    <t>38п.20*</t>
  </si>
  <si>
    <t>38п.21*</t>
  </si>
  <si>
    <t>38п.22*</t>
  </si>
  <si>
    <t>38п.23*</t>
  </si>
  <si>
    <t>38п.24*</t>
  </si>
  <si>
    <t>38п.25*</t>
  </si>
  <si>
    <t>38п.26*</t>
  </si>
  <si>
    <t>38п.27*</t>
  </si>
  <si>
    <t>38п.28*</t>
  </si>
  <si>
    <t>38п.29*</t>
  </si>
  <si>
    <t>38п.30*</t>
  </si>
  <si>
    <t>39н.01*</t>
  </si>
  <si>
    <t>39н.02*</t>
  </si>
  <si>
    <t>39н.03*</t>
  </si>
  <si>
    <t>39н.04*</t>
  </si>
  <si>
    <t>39н.05*</t>
  </si>
  <si>
    <t>39н.06*</t>
  </si>
  <si>
    <t>39н.07*</t>
  </si>
  <si>
    <t>39н.08*</t>
  </si>
  <si>
    <t>39н.09*</t>
  </si>
  <si>
    <t>39н.10*</t>
  </si>
  <si>
    <t>39н.11*</t>
  </si>
  <si>
    <t>39н.12*</t>
  </si>
  <si>
    <t>39н.13*</t>
  </si>
  <si>
    <t>39н.14*</t>
  </si>
  <si>
    <t>39н.15*</t>
  </si>
  <si>
    <t>39н.16*</t>
  </si>
  <si>
    <t>39н.17*</t>
  </si>
  <si>
    <t>39н.18*</t>
  </si>
  <si>
    <t>39н.19*</t>
  </si>
  <si>
    <t>39н.20*</t>
  </si>
  <si>
    <t>39н.21*</t>
  </si>
  <si>
    <t>39н.22*</t>
  </si>
  <si>
    <t>39н.23*</t>
  </si>
  <si>
    <t>39н.24*</t>
  </si>
  <si>
    <t>39н.25*</t>
  </si>
  <si>
    <t>39н.26*</t>
  </si>
  <si>
    <t>39н.27*</t>
  </si>
  <si>
    <t>39н.28*</t>
  </si>
  <si>
    <t>39н.29*</t>
  </si>
  <si>
    <t>39н.30*</t>
  </si>
  <si>
    <t>39п.01*</t>
  </si>
  <si>
    <t>39п.02*</t>
  </si>
  <si>
    <t>39п.03*</t>
  </si>
  <si>
    <t>39п.04*</t>
  </si>
  <si>
    <t>39п.05*</t>
  </si>
  <si>
    <t>39п.06*</t>
  </si>
  <si>
    <t>39п.07*</t>
  </si>
  <si>
    <t>39п.08*</t>
  </si>
  <si>
    <t>39п.09*</t>
  </si>
  <si>
    <t>39п.10*</t>
  </si>
  <si>
    <t>39п.11*</t>
  </si>
  <si>
    <t>39п.12*</t>
  </si>
  <si>
    <t>39п.13*</t>
  </si>
  <si>
    <t>39п.14*</t>
  </si>
  <si>
    <t>39п.15*</t>
  </si>
  <si>
    <t>39п.16*</t>
  </si>
  <si>
    <t>39п.17*</t>
  </si>
  <si>
    <t>39п.18*</t>
  </si>
  <si>
    <t>39п.19*</t>
  </si>
  <si>
    <t>39п.20*</t>
  </si>
  <si>
    <t>39п.21*</t>
  </si>
  <si>
    <t>39п.22*</t>
  </si>
  <si>
    <t>39п.23*</t>
  </si>
  <si>
    <t>39п.24*</t>
  </si>
  <si>
    <t>39п.25*</t>
  </si>
  <si>
    <t>39п.26*</t>
  </si>
  <si>
    <t>39п.27*</t>
  </si>
  <si>
    <t>39п.28*</t>
  </si>
  <si>
    <t>39п.29*</t>
  </si>
  <si>
    <t>39п.30*</t>
  </si>
  <si>
    <t>40н.01*</t>
  </si>
  <si>
    <t>40н.02*</t>
  </si>
  <si>
    <t>40н.03*</t>
  </si>
  <si>
    <t>40н.04*</t>
  </si>
  <si>
    <t>40н.05*</t>
  </si>
  <si>
    <t>40н.06*</t>
  </si>
  <si>
    <t>40н.07*</t>
  </si>
  <si>
    <t>40н.08*</t>
  </si>
  <si>
    <t>40н.09*</t>
  </si>
  <si>
    <t>40н.10*</t>
  </si>
  <si>
    <t>40н.11*</t>
  </si>
  <si>
    <t>40н.12*</t>
  </si>
  <si>
    <t>40н.13*</t>
  </si>
  <si>
    <t>40н.14*</t>
  </si>
  <si>
    <t>40н.15*</t>
  </si>
  <si>
    <t>40н.16*</t>
  </si>
  <si>
    <t>40н.17*</t>
  </si>
  <si>
    <t>40н.18*</t>
  </si>
  <si>
    <t>40н.19*</t>
  </si>
  <si>
    <t>40н.20*</t>
  </si>
  <si>
    <t>40н.21*</t>
  </si>
  <si>
    <t>40н.22*</t>
  </si>
  <si>
    <t>40н.23*</t>
  </si>
  <si>
    <t>40н.24*</t>
  </si>
  <si>
    <t>40н.25*</t>
  </si>
  <si>
    <t>40н.26*</t>
  </si>
  <si>
    <t>40н.27*</t>
  </si>
  <si>
    <t>40н.28*</t>
  </si>
  <si>
    <t>40н.29*</t>
  </si>
  <si>
    <t>40н.30*</t>
  </si>
  <si>
    <t>40п.01*</t>
  </si>
  <si>
    <t>40п.02*</t>
  </si>
  <si>
    <t>40п.03*</t>
  </si>
  <si>
    <t>40п.04*</t>
  </si>
  <si>
    <t>40п.05*</t>
  </si>
  <si>
    <t>40п.06*</t>
  </si>
  <si>
    <t>40п.07*</t>
  </si>
  <si>
    <t>40п.08*</t>
  </si>
  <si>
    <t>40п.09*</t>
  </si>
  <si>
    <t>40п.10*</t>
  </si>
  <si>
    <t>40п.11*</t>
  </si>
  <si>
    <t>40п.12*</t>
  </si>
  <si>
    <t>40п.13*</t>
  </si>
  <si>
    <t>40п.14*</t>
  </si>
  <si>
    <t>40п.15*</t>
  </si>
  <si>
    <t>40п.16*</t>
  </si>
  <si>
    <t>40п.17*</t>
  </si>
  <si>
    <t>40п.18*</t>
  </si>
  <si>
    <t>40п.19*</t>
  </si>
  <si>
    <t>40п.20*</t>
  </si>
  <si>
    <t>40п.21*</t>
  </si>
  <si>
    <t>40п.22*</t>
  </si>
  <si>
    <t>40п.23*</t>
  </si>
  <si>
    <t>40п.24*</t>
  </si>
  <si>
    <t>40п.25*</t>
  </si>
  <si>
    <t>40п.26*</t>
  </si>
  <si>
    <t>40п.27*</t>
  </si>
  <si>
    <t>40п.28*</t>
  </si>
  <si>
    <t>40п.29*</t>
  </si>
  <si>
    <t>40п.30*</t>
  </si>
  <si>
    <t>X</t>
  </si>
  <si>
    <t>б01</t>
  </si>
  <si>
    <t>б02</t>
  </si>
  <si>
    <t>б03</t>
  </si>
  <si>
    <t>б04</t>
  </si>
  <si>
    <t>б05</t>
  </si>
  <si>
    <t>б06</t>
  </si>
  <si>
    <t>б07</t>
  </si>
  <si>
    <t>б08</t>
  </si>
  <si>
    <t>б09</t>
  </si>
  <si>
    <t>б10</t>
  </si>
  <si>
    <t>б11</t>
  </si>
  <si>
    <t>б12</t>
  </si>
  <si>
    <t>б13</t>
  </si>
  <si>
    <t>б14</t>
  </si>
  <si>
    <t>б15</t>
  </si>
  <si>
    <t>б16</t>
  </si>
  <si>
    <t>б17</t>
  </si>
  <si>
    <t>б18</t>
  </si>
  <si>
    <t>б19</t>
  </si>
  <si>
    <t>б20</t>
  </si>
  <si>
    <t>б21</t>
  </si>
  <si>
    <t>б22</t>
  </si>
  <si>
    <t>б23</t>
  </si>
  <si>
    <t>б24</t>
  </si>
  <si>
    <t>б25</t>
  </si>
  <si>
    <t>б26</t>
  </si>
  <si>
    <t>б27</t>
  </si>
  <si>
    <t>б28</t>
  </si>
  <si>
    <t>б29</t>
  </si>
  <si>
    <t>б30</t>
  </si>
  <si>
    <t>б31</t>
  </si>
  <si>
    <t>б32</t>
  </si>
  <si>
    <t>б33</t>
  </si>
  <si>
    <t>б34</t>
  </si>
  <si>
    <t>б35</t>
  </si>
  <si>
    <t>б36</t>
  </si>
  <si>
    <t>б37</t>
  </si>
  <si>
    <t>б38</t>
  </si>
  <si>
    <t>б39</t>
  </si>
  <si>
    <t>б40</t>
  </si>
  <si>
    <t>Посещаемость</t>
  </si>
  <si>
    <t>Распределение по аудиториям</t>
  </si>
  <si>
    <t>Посе-
щае-
мость</t>
  </si>
  <si>
    <t>Доля</t>
  </si>
  <si>
    <t>Пр.под.</t>
  </si>
  <si>
    <t>Текущее:</t>
  </si>
  <si>
    <t>П</t>
  </si>
  <si>
    <t>Ауд:</t>
  </si>
  <si>
    <t>Сейчас:</t>
  </si>
  <si>
    <t>Пред.раз:</t>
  </si>
  <si>
    <t>Посещаемость:</t>
  </si>
  <si>
    <t>Два раза назад:</t>
  </si>
  <si>
    <t>Три раза назад:</t>
  </si>
  <si>
    <t>Начинающие:</t>
  </si>
  <si>
    <t>Продолжающие:</t>
  </si>
  <si>
    <t>Букв.
код</t>
  </si>
  <si>
    <t>п</t>
  </si>
  <si>
    <t>н</t>
  </si>
  <si>
    <t>Средн. сила:</t>
  </si>
  <si>
    <t>Средн. ч. задач:</t>
  </si>
  <si>
    <t>Иван</t>
  </si>
  <si>
    <t>Клc</t>
  </si>
  <si>
    <t>А.01</t>
  </si>
  <si>
    <t>А.02</t>
  </si>
  <si>
    <t>А.03</t>
  </si>
  <si>
    <t>А.04</t>
  </si>
  <si>
    <t>А.05</t>
  </si>
  <si>
    <t>А.06</t>
  </si>
  <si>
    <t>А.07</t>
  </si>
  <si>
    <t>А.08</t>
  </si>
  <si>
    <t>А.09</t>
  </si>
  <si>
    <t>А.10</t>
  </si>
  <si>
    <t>А.11</t>
  </si>
  <si>
    <t>А.12</t>
  </si>
  <si>
    <t>А.13</t>
  </si>
  <si>
    <t>А.14</t>
  </si>
  <si>
    <t>А.15</t>
  </si>
  <si>
    <t>А.16</t>
  </si>
  <si>
    <t>А.17</t>
  </si>
  <si>
    <t>А.18</t>
  </si>
  <si>
    <t>А.19</t>
  </si>
  <si>
    <t>А.20</t>
  </si>
  <si>
    <t>А.21</t>
  </si>
  <si>
    <t>А.22</t>
  </si>
  <si>
    <t>А.23</t>
  </si>
  <si>
    <t>А.24</t>
  </si>
  <si>
    <t>А.25</t>
  </si>
  <si>
    <t>А.26</t>
  </si>
  <si>
    <t>А.27</t>
  </si>
  <si>
    <t>А.28</t>
  </si>
  <si>
    <t>А.29</t>
  </si>
  <si>
    <t>А.30</t>
  </si>
  <si>
    <t>А.31</t>
  </si>
  <si>
    <t>А.32</t>
  </si>
  <si>
    <t>А.33</t>
  </si>
  <si>
    <t>А.34</t>
  </si>
  <si>
    <t>А.35</t>
  </si>
  <si>
    <t>А.36</t>
  </si>
  <si>
    <t>А.37</t>
  </si>
  <si>
    <t>А.38</t>
  </si>
  <si>
    <t>А.39</t>
  </si>
  <si>
    <t>А.40</t>
  </si>
  <si>
    <t>Занятие</t>
  </si>
  <si>
    <t>Начинающие</t>
  </si>
  <si>
    <t>Продолжающие</t>
  </si>
  <si>
    <t>Сильные</t>
  </si>
  <si>
    <t>Показ: Начинающие</t>
  </si>
  <si>
    <t>Показ: Продолжающие</t>
  </si>
  <si>
    <t>Показ: Сильные</t>
  </si>
  <si>
    <t>BH:CL</t>
  </si>
  <si>
    <t>CM:DQ</t>
  </si>
  <si>
    <t>DR:EV</t>
  </si>
  <si>
    <t>EW:GA</t>
  </si>
  <si>
    <t>GB:HF</t>
  </si>
  <si>
    <t>HG:IK</t>
  </si>
  <si>
    <t>IL:JP</t>
  </si>
  <si>
    <t>JQ:KU</t>
  </si>
  <si>
    <t>KV:LZ</t>
  </si>
  <si>
    <t>MA:NE</t>
  </si>
  <si>
    <t>NF:OJ</t>
  </si>
  <si>
    <t>OK:PO</t>
  </si>
  <si>
    <t>PP:QT</t>
  </si>
  <si>
    <t>QU:RY</t>
  </si>
  <si>
    <t>RZ:TD</t>
  </si>
  <si>
    <t>TE:UI</t>
  </si>
  <si>
    <t>UJ:VN</t>
  </si>
  <si>
    <t>VO:WS</t>
  </si>
  <si>
    <t>WT:XX</t>
  </si>
  <si>
    <t>XY:ZC</t>
  </si>
  <si>
    <t>ZD:AAH</t>
  </si>
  <si>
    <t>AAI:ABM</t>
  </si>
  <si>
    <t>ABN:ACR</t>
  </si>
  <si>
    <t>ACS:ADW</t>
  </si>
  <si>
    <t>ADX:AFB</t>
  </si>
  <si>
    <t>AFC:AGG</t>
  </si>
  <si>
    <t>AGH:AHL</t>
  </si>
  <si>
    <t>AHM:AIQ</t>
  </si>
  <si>
    <t>AIR:AJV</t>
  </si>
  <si>
    <t>AJW:ALA</t>
  </si>
  <si>
    <t>ALB:AMF</t>
  </si>
  <si>
    <t>AMG:ANK</t>
  </si>
  <si>
    <t>ANL:AOP</t>
  </si>
  <si>
    <t>AOQ:APU</t>
  </si>
  <si>
    <t>APV:AQZ</t>
  </si>
  <si>
    <t>ARA:ASE</t>
  </si>
  <si>
    <t>ASF:ATJ</t>
  </si>
  <si>
    <t>ATK:AUO</t>
  </si>
  <si>
    <t>AUP:AVT</t>
  </si>
  <si>
    <t>AVU:AWY</t>
  </si>
  <si>
    <t>AWZ:AYD</t>
  </si>
  <si>
    <t>AYE:AZI</t>
  </si>
  <si>
    <t>AZJ:BAN</t>
  </si>
  <si>
    <t>BAO:BBS</t>
  </si>
  <si>
    <t>BBT:BCX</t>
  </si>
  <si>
    <t>BCY:BEC</t>
  </si>
  <si>
    <t>BED:BFH</t>
  </si>
  <si>
    <t>BFI:BGM</t>
  </si>
  <si>
    <t>BGN:BHR</t>
  </si>
  <si>
    <t>BHS:BIW</t>
  </si>
  <si>
    <t>BIX:BKB</t>
  </si>
  <si>
    <t>BKC:BLG</t>
  </si>
  <si>
    <t>BLH:BML</t>
  </si>
  <si>
    <t>BMM:BNQ</t>
  </si>
  <si>
    <t>BNR:BOV</t>
  </si>
  <si>
    <t>BOW:BQA</t>
  </si>
  <si>
    <t>BQB:BRF</t>
  </si>
  <si>
    <t>BRG:BSK</t>
  </si>
  <si>
    <t>BSL:BTP</t>
  </si>
  <si>
    <t>BTQ:BUU</t>
  </si>
  <si>
    <t>BUV:BVZ</t>
  </si>
  <si>
    <t>BWA:BXE</t>
  </si>
  <si>
    <t>BXF:BYJ</t>
  </si>
  <si>
    <t>BYK:BZO</t>
  </si>
  <si>
    <t>BZP:CAT</t>
  </si>
  <si>
    <t>CAU:CBY</t>
  </si>
  <si>
    <t>CBZ:CDD</t>
  </si>
  <si>
    <t>CDE:CEI</t>
  </si>
  <si>
    <t>CEJ:CFN</t>
  </si>
  <si>
    <t>CFO:CGS</t>
  </si>
  <si>
    <t>CGT:CHX</t>
  </si>
  <si>
    <t>CHY:CJC</t>
  </si>
  <si>
    <t>CJD:CKH</t>
  </si>
  <si>
    <t>CKI:CLM</t>
  </si>
  <si>
    <t>CLN:CMR</t>
  </si>
  <si>
    <t>CMS:CNW</t>
  </si>
  <si>
    <t>CNX:CPB</t>
  </si>
  <si>
    <t>CPC:CQG</t>
  </si>
  <si>
    <t>CQH:CRL</t>
  </si>
  <si>
    <t>CRM:CSQ</t>
  </si>
  <si>
    <t>Данные в столбцах "Показ: …" используются для корректной работы кнопок "Скрыть/вернуть …" на первом листе.</t>
  </si>
  <si>
    <t>01н.15*</t>
  </si>
  <si>
    <t>01н.16*</t>
  </si>
  <si>
    <t>01н.17*</t>
  </si>
  <si>
    <t>01н.18*</t>
  </si>
  <si>
    <t>02н.01*</t>
  </si>
  <si>
    <t>02н.02*</t>
  </si>
  <si>
    <t>02н.03*</t>
  </si>
  <si>
    <t>02н.04*</t>
  </si>
  <si>
    <t>02н.05*</t>
  </si>
  <si>
    <t>02н.06*</t>
  </si>
  <si>
    <t>02н.07*</t>
  </si>
  <si>
    <t>02н.08*</t>
  </si>
  <si>
    <t>02н.09*</t>
  </si>
  <si>
    <t>02н.10*</t>
  </si>
  <si>
    <t>02н.11*</t>
  </si>
  <si>
    <t>02н.12*</t>
  </si>
  <si>
    <t>02н.13*</t>
  </si>
  <si>
    <t>02н.14*</t>
  </si>
  <si>
    <t>02н.15*</t>
  </si>
  <si>
    <t>02н.16*</t>
  </si>
  <si>
    <t>02п.01*</t>
  </si>
  <si>
    <t>02п.02*</t>
  </si>
  <si>
    <t>02п.03*</t>
  </si>
  <si>
    <t>02п.04*</t>
  </si>
  <si>
    <t>02п.05*</t>
  </si>
  <si>
    <t>02п.06*</t>
  </si>
  <si>
    <t>02п.07*</t>
  </si>
  <si>
    <t>02п.08*</t>
  </si>
  <si>
    <t>02п.09*</t>
  </si>
  <si>
    <t>02п.10*</t>
  </si>
  <si>
    <t>02п.11*</t>
  </si>
  <si>
    <t>02п.12*</t>
  </si>
  <si>
    <t>02п.13*</t>
  </si>
  <si>
    <t>02п.14*</t>
  </si>
  <si>
    <t>02п.15*</t>
  </si>
  <si>
    <t>02п.16*</t>
  </si>
  <si>
    <t>03н.01*</t>
  </si>
  <si>
    <t>03н.02*</t>
  </si>
  <si>
    <t>03н.03*</t>
  </si>
  <si>
    <t>03н.04*</t>
  </si>
  <si>
    <t>03н.05*</t>
  </si>
  <si>
    <t>03н.06*</t>
  </si>
  <si>
    <t>03н.07*</t>
  </si>
  <si>
    <t>03н.08*</t>
  </si>
  <si>
    <t>03н.09*</t>
  </si>
  <si>
    <t>03н.10*</t>
  </si>
  <si>
    <t>03н.11*</t>
  </si>
  <si>
    <t>03н.12*</t>
  </si>
  <si>
    <t>03н.13*</t>
  </si>
  <si>
    <t>03н.14*</t>
  </si>
  <si>
    <t>03н.15*</t>
  </si>
  <si>
    <t>03н.16*</t>
  </si>
  <si>
    <t>03н.17*</t>
  </si>
  <si>
    <t>03н.18*</t>
  </si>
  <si>
    <t>03н.19*</t>
  </si>
  <si>
    <t>03п.01*</t>
  </si>
  <si>
    <t>03п.02*</t>
  </si>
  <si>
    <t>03п.03*</t>
  </si>
  <si>
    <t>03п.04*</t>
  </si>
  <si>
    <t>03п.05*</t>
  </si>
  <si>
    <t>03п.06*</t>
  </si>
  <si>
    <t>03п.07*</t>
  </si>
  <si>
    <t>03п.08*</t>
  </si>
  <si>
    <t>03п.09*</t>
  </si>
  <si>
    <t>03п.10*</t>
  </si>
  <si>
    <t>03п.11*</t>
  </si>
  <si>
    <t>03п.12*</t>
  </si>
  <si>
    <t>03п.13*</t>
  </si>
  <si>
    <t>03п.14*</t>
  </si>
  <si>
    <t>03п.15*</t>
  </si>
  <si>
    <t>03п.16*</t>
  </si>
  <si>
    <t>03п.17*</t>
  </si>
  <si>
    <t>03п.18*</t>
  </si>
  <si>
    <t>04н.01*</t>
  </si>
  <si>
    <t>04н.02*</t>
  </si>
  <si>
    <t>04н.03*</t>
  </si>
  <si>
    <t>04н.04*</t>
  </si>
  <si>
    <t>04н.05*</t>
  </si>
  <si>
    <t>04н.06*</t>
  </si>
  <si>
    <t>04н.07*</t>
  </si>
  <si>
    <t>04н.08*</t>
  </si>
  <si>
    <t>04н.09*</t>
  </si>
  <si>
    <t>04н.10*</t>
  </si>
  <si>
    <t>04н.11*</t>
  </si>
  <si>
    <t>04н.12*</t>
  </si>
  <si>
    <t>04н.13*</t>
  </si>
  <si>
    <t>04н.14*</t>
  </si>
  <si>
    <t>04н.15*</t>
  </si>
  <si>
    <t>04н.16*</t>
  </si>
  <si>
    <t>04н.17*</t>
  </si>
  <si>
    <t>04н.18*</t>
  </si>
  <si>
    <t>04н.19*</t>
  </si>
  <si>
    <t>04н.20*</t>
  </si>
  <si>
    <t>04н.21*</t>
  </si>
  <si>
    <t>04н.22*</t>
  </si>
  <si>
    <t>04п.01*</t>
  </si>
  <si>
    <t>04п.02*</t>
  </si>
  <si>
    <t>04п.03*</t>
  </si>
  <si>
    <t>04п.04*</t>
  </si>
  <si>
    <t>04п.05*</t>
  </si>
  <si>
    <t>04п.06*</t>
  </si>
  <si>
    <t>04п.07*</t>
  </si>
  <si>
    <t>04п.08*</t>
  </si>
  <si>
    <t>04п.09*</t>
  </si>
  <si>
    <t>04п.10*</t>
  </si>
  <si>
    <t>04п.11*</t>
  </si>
  <si>
    <t>04п.12*</t>
  </si>
  <si>
    <t>04п.13*</t>
  </si>
  <si>
    <t>04п.14*</t>
  </si>
  <si>
    <t>04п.15*</t>
  </si>
  <si>
    <t>04п.16*</t>
  </si>
  <si>
    <t>04п.17*</t>
  </si>
  <si>
    <t>04п.18*</t>
  </si>
  <si>
    <t>04п.19*</t>
  </si>
  <si>
    <t>04п.20*</t>
  </si>
  <si>
    <t>04п.21*</t>
  </si>
  <si>
    <t>04п.22*</t>
  </si>
  <si>
    <t>05н.01*</t>
  </si>
  <si>
    <t>05н.02*</t>
  </si>
  <si>
    <t>05н.03*</t>
  </si>
  <si>
    <t>05н.04*</t>
  </si>
  <si>
    <t>05н.05*</t>
  </si>
  <si>
    <t>05н.06*</t>
  </si>
  <si>
    <t>05н.07*</t>
  </si>
  <si>
    <t>05н.08*</t>
  </si>
  <si>
    <t>05н.09*</t>
  </si>
  <si>
    <t>05н.10*</t>
  </si>
  <si>
    <t>05н.11*</t>
  </si>
  <si>
    <t>05н.12*</t>
  </si>
  <si>
    <t>05н.13*</t>
  </si>
  <si>
    <t>05н.14*</t>
  </si>
  <si>
    <t>05н.15*</t>
  </si>
  <si>
    <t>05н.16*</t>
  </si>
  <si>
    <t>05н.17*</t>
  </si>
  <si>
    <t>05н.18*</t>
  </si>
  <si>
    <t>05н.19*</t>
  </si>
  <si>
    <t>05п.01*</t>
  </si>
  <si>
    <t>05п.02*</t>
  </si>
  <si>
    <t>05п.03*</t>
  </si>
  <si>
    <t>05п.04*</t>
  </si>
  <si>
    <t>05п.05*</t>
  </si>
  <si>
    <t>05п.06*</t>
  </si>
  <si>
    <t>05п.07*</t>
  </si>
  <si>
    <t>05п.08*</t>
  </si>
  <si>
    <t>05п.09*</t>
  </si>
  <si>
    <t>05п.10*</t>
  </si>
  <si>
    <t>05п.11*</t>
  </si>
  <si>
    <t>05п.12*</t>
  </si>
  <si>
    <t>05п.13*</t>
  </si>
  <si>
    <t>05п.14*</t>
  </si>
  <si>
    <t>05п.15*</t>
  </si>
  <si>
    <t>05п.16*</t>
  </si>
  <si>
    <t>05п.17*</t>
  </si>
  <si>
    <t>06н.01*</t>
  </si>
  <si>
    <t>06н.02*</t>
  </si>
  <si>
    <t>06н.03*</t>
  </si>
  <si>
    <t>06н.04*</t>
  </si>
  <si>
    <t>06н.05*</t>
  </si>
  <si>
    <t>06н.06*</t>
  </si>
  <si>
    <t>06н.07*</t>
  </si>
  <si>
    <t>06н.08*</t>
  </si>
  <si>
    <t>06н.09*</t>
  </si>
  <si>
    <t>06н.10*</t>
  </si>
  <si>
    <t>06н.11*</t>
  </si>
  <si>
    <t>06н.12*</t>
  </si>
  <si>
    <t>06н.13*</t>
  </si>
  <si>
    <t>06н.14*</t>
  </si>
  <si>
    <t>06н.15*</t>
  </si>
  <si>
    <t>06н.16*</t>
  </si>
  <si>
    <t>06н.17*</t>
  </si>
  <si>
    <t>06н.18*</t>
  </si>
  <si>
    <t>06н.19*</t>
  </si>
  <si>
    <t>06н.20*</t>
  </si>
  <si>
    <t>06н.21*</t>
  </si>
  <si>
    <t>06п.01*</t>
  </si>
  <si>
    <t>06п.02*</t>
  </si>
  <si>
    <t>06п.03*</t>
  </si>
  <si>
    <t>06п.04*</t>
  </si>
  <si>
    <t>06п.05*</t>
  </si>
  <si>
    <t>06п.06*</t>
  </si>
  <si>
    <t>06п.07*</t>
  </si>
  <si>
    <t>06п.08*</t>
  </si>
  <si>
    <t>06п.09*</t>
  </si>
  <si>
    <t>06п.10*</t>
  </si>
  <si>
    <t>06п.11*</t>
  </si>
  <si>
    <t>06п.12*</t>
  </si>
  <si>
    <t>06п.13*</t>
  </si>
  <si>
    <t>06п.14*</t>
  </si>
  <si>
    <t>06п.15*</t>
  </si>
  <si>
    <t>06п.16*</t>
  </si>
  <si>
    <t>06п.17*</t>
  </si>
  <si>
    <t>06п.18*</t>
  </si>
  <si>
    <t>07н.01*</t>
  </si>
  <si>
    <t>07н.02*</t>
  </si>
  <si>
    <t>07н.03*</t>
  </si>
  <si>
    <t>07н.04*</t>
  </si>
  <si>
    <t>07н.05*</t>
  </si>
  <si>
    <t>07н.06*</t>
  </si>
  <si>
    <t>07н.07*</t>
  </si>
  <si>
    <t>07н.08*</t>
  </si>
  <si>
    <t>07н.09*</t>
  </si>
  <si>
    <t>07н.10*</t>
  </si>
  <si>
    <t>07н.11*</t>
  </si>
  <si>
    <t>07н.12*</t>
  </si>
  <si>
    <t>07н.13*</t>
  </si>
  <si>
    <t>07н.14*</t>
  </si>
  <si>
    <t>07н.15*</t>
  </si>
  <si>
    <t>07н.16*</t>
  </si>
  <si>
    <t>07н.17*</t>
  </si>
  <si>
    <t>07н.18*</t>
  </si>
  <si>
    <t>07н.19*</t>
  </si>
  <si>
    <t>07н.20*</t>
  </si>
  <si>
    <t>07н.21*</t>
  </si>
  <si>
    <t>07п.01*</t>
  </si>
  <si>
    <t>07п.02*</t>
  </si>
  <si>
    <t>07п.03*</t>
  </si>
  <si>
    <t>07п.04*</t>
  </si>
  <si>
    <t>07п.05*</t>
  </si>
  <si>
    <t>07п.06*</t>
  </si>
  <si>
    <t>07п.07*</t>
  </si>
  <si>
    <t>07п.08*</t>
  </si>
  <si>
    <t>07п.09*</t>
  </si>
  <si>
    <t>07п.10*</t>
  </si>
  <si>
    <t>07п.11*</t>
  </si>
  <si>
    <t>07п.12*</t>
  </si>
  <si>
    <t>07п.13*</t>
  </si>
  <si>
    <t>07п.14*</t>
  </si>
  <si>
    <t>07п.15*</t>
  </si>
  <si>
    <t>07п.16*</t>
  </si>
  <si>
    <t>07п.17*</t>
  </si>
  <si>
    <t>07п.18*</t>
  </si>
  <si>
    <t>07п.19*</t>
  </si>
  <si>
    <t>07п.20*</t>
  </si>
  <si>
    <t>07п.21*</t>
  </si>
  <si>
    <t>07п.22*</t>
  </si>
  <si>
    <t>08н.01*</t>
  </si>
  <si>
    <t>08н.02*</t>
  </si>
  <si>
    <t>08н.03*</t>
  </si>
  <si>
    <t>08н.04*</t>
  </si>
  <si>
    <t>08н.05*</t>
  </si>
  <si>
    <t>08н.06*</t>
  </si>
  <si>
    <t>08н.07*</t>
  </si>
  <si>
    <t>08н.08*</t>
  </si>
  <si>
    <t>08н.09*</t>
  </si>
  <si>
    <t>08н.10*</t>
  </si>
  <si>
    <t>08н.11*</t>
  </si>
  <si>
    <t>08н.12*</t>
  </si>
  <si>
    <t>08н.13*</t>
  </si>
  <si>
    <t>08н.14*</t>
  </si>
  <si>
    <t>08н.15*</t>
  </si>
  <si>
    <t>08н.16*</t>
  </si>
  <si>
    <t>08н.17*</t>
  </si>
  <si>
    <t>08н.18*</t>
  </si>
  <si>
    <t>08н.19*</t>
  </si>
  <si>
    <t>08н.20*</t>
  </si>
  <si>
    <t>08н.21*</t>
  </si>
  <si>
    <t>08н.22*</t>
  </si>
  <si>
    <t>08н.23*</t>
  </si>
  <si>
    <t>08н.24*</t>
  </si>
  <si>
    <t>08н.25*</t>
  </si>
  <si>
    <t>08п.01*</t>
  </si>
  <si>
    <t>08п.02*</t>
  </si>
  <si>
    <t>08п.03*</t>
  </si>
  <si>
    <t>08п.04*</t>
  </si>
  <si>
    <t>08п.05*</t>
  </si>
  <si>
    <t>08п.06*</t>
  </si>
  <si>
    <t>08п.07*</t>
  </si>
  <si>
    <t>08п.08*</t>
  </si>
  <si>
    <t>08п.09*</t>
  </si>
  <si>
    <t>08п.10*</t>
  </si>
  <si>
    <t>08п.11*</t>
  </si>
  <si>
    <t>08п.12*</t>
  </si>
  <si>
    <t>08п.13*</t>
  </si>
  <si>
    <t>08п.14*</t>
  </si>
  <si>
    <t>08п.15*</t>
  </si>
  <si>
    <t>08п.16*</t>
  </si>
  <si>
    <t>09н.01*</t>
  </si>
  <si>
    <t>09н.02*</t>
  </si>
  <si>
    <t>09н.03*</t>
  </si>
  <si>
    <t>09н.04*</t>
  </si>
  <si>
    <t>09н.05*</t>
  </si>
  <si>
    <t>09н.06*</t>
  </si>
  <si>
    <t>09н.07*</t>
  </si>
  <si>
    <t>09н.08*</t>
  </si>
  <si>
    <t>09н.09*</t>
  </si>
  <si>
    <t>09н.10*</t>
  </si>
  <si>
    <t>09н.11*</t>
  </si>
  <si>
    <t>09н.12*</t>
  </si>
  <si>
    <t>09н.13*</t>
  </si>
  <si>
    <t>09н.14*</t>
  </si>
  <si>
    <t>09н.15*</t>
  </si>
  <si>
    <t>09н.16*</t>
  </si>
  <si>
    <t>09п.01*</t>
  </si>
  <si>
    <t>09п.02*</t>
  </si>
  <si>
    <t>09п.03*</t>
  </si>
  <si>
    <t>09п.04*</t>
  </si>
  <si>
    <t>09п.05*</t>
  </si>
  <si>
    <t>09п.06*</t>
  </si>
  <si>
    <t>09п.07*</t>
  </si>
  <si>
    <t>09п.08*</t>
  </si>
  <si>
    <t>09п.09*</t>
  </si>
  <si>
    <t>09п.10*</t>
  </si>
  <si>
    <t>09п.11*</t>
  </si>
  <si>
    <t>09п.12*</t>
  </si>
  <si>
    <t>09п.13*</t>
  </si>
  <si>
    <t>09п.14*</t>
  </si>
  <si>
    <t>09п.15*</t>
  </si>
  <si>
    <t>09п.16*</t>
  </si>
  <si>
    <t>09п.17*</t>
  </si>
  <si>
    <t>10н.01*</t>
  </si>
  <si>
    <t>10н.02*</t>
  </si>
  <si>
    <t>10н.03*</t>
  </si>
  <si>
    <t>10н.04*</t>
  </si>
  <si>
    <t>10н.05*</t>
  </si>
  <si>
    <t>10н.06*</t>
  </si>
  <si>
    <t>10н.07*</t>
  </si>
  <si>
    <t>10н.08*</t>
  </si>
  <si>
    <t>10н.09*</t>
  </si>
  <si>
    <t>10н.10*</t>
  </si>
  <si>
    <t>10н.11*</t>
  </si>
  <si>
    <t>10н.12*</t>
  </si>
  <si>
    <t>10н.13*</t>
  </si>
  <si>
    <t>10н.14*</t>
  </si>
  <si>
    <t>10н.15*</t>
  </si>
  <si>
    <t>10н.16*</t>
  </si>
  <si>
    <t>10н.17*</t>
  </si>
  <si>
    <t>10н.18*</t>
  </si>
  <si>
    <t>10н.19*</t>
  </si>
  <si>
    <t>10п.01*</t>
  </si>
  <si>
    <t>10п.02*</t>
  </si>
  <si>
    <t>10п.03*</t>
  </si>
  <si>
    <t>10п.04*</t>
  </si>
  <si>
    <t>10п.05*</t>
  </si>
  <si>
    <t>10п.06*</t>
  </si>
  <si>
    <t>10п.07*</t>
  </si>
  <si>
    <t>10п.08*</t>
  </si>
  <si>
    <t>10п.09*</t>
  </si>
  <si>
    <t>10п.10*</t>
  </si>
  <si>
    <t>10п.11*</t>
  </si>
  <si>
    <t>10п.12*</t>
  </si>
  <si>
    <t>10п.13*</t>
  </si>
  <si>
    <t>10п.14*</t>
  </si>
  <si>
    <t>10п.15*</t>
  </si>
  <si>
    <t>10п.16*</t>
  </si>
  <si>
    <t>10п.17*</t>
  </si>
  <si>
    <t>11н.01*</t>
  </si>
  <si>
    <t>11н.02*</t>
  </si>
  <si>
    <t>11н.03*</t>
  </si>
  <si>
    <t>11н.04*</t>
  </si>
  <si>
    <t>11н.05*</t>
  </si>
  <si>
    <t>11н.06*</t>
  </si>
  <si>
    <t>11н.07*</t>
  </si>
  <si>
    <t>11н.08*</t>
  </si>
  <si>
    <t>11н.09*</t>
  </si>
  <si>
    <t>11н.10*</t>
  </si>
  <si>
    <t>11н.11*</t>
  </si>
  <si>
    <t>11н.12*</t>
  </si>
  <si>
    <t>11н.13*</t>
  </si>
  <si>
    <t>11н.14*</t>
  </si>
  <si>
    <t>11н.15*</t>
  </si>
  <si>
    <t>11н.16*</t>
  </si>
  <si>
    <t>11п.01*</t>
  </si>
  <si>
    <t>11п.02*</t>
  </si>
  <si>
    <t>11п.03*</t>
  </si>
  <si>
    <t>11п.04*</t>
  </si>
  <si>
    <t>11п.05*</t>
  </si>
  <si>
    <t>11п.06*</t>
  </si>
  <si>
    <t>11п.07*</t>
  </si>
  <si>
    <t>11п.08*</t>
  </si>
  <si>
    <t>11п.09*</t>
  </si>
  <si>
    <t>11п.10*</t>
  </si>
  <si>
    <t>11п.11*</t>
  </si>
  <si>
    <t>11п.12*</t>
  </si>
  <si>
    <t>11п.13*</t>
  </si>
  <si>
    <t>11п.14*</t>
  </si>
  <si>
    <t>11п.15*</t>
  </si>
  <si>
    <t>12н.01*</t>
  </si>
  <si>
    <t>12н.02*</t>
  </si>
  <si>
    <t>12н.03*</t>
  </si>
  <si>
    <t>12н.04*</t>
  </si>
  <si>
    <t>12н.05*</t>
  </si>
  <si>
    <t>12н.06*</t>
  </si>
  <si>
    <t>12н.07*</t>
  </si>
  <si>
    <t>12н.08*</t>
  </si>
  <si>
    <t>12н.09*</t>
  </si>
  <si>
    <t>12н.10*</t>
  </si>
  <si>
    <t>12н.11*</t>
  </si>
  <si>
    <t>12н.12*</t>
  </si>
  <si>
    <t>12н.13*</t>
  </si>
  <si>
    <t>12н.14*</t>
  </si>
  <si>
    <t>12н.15*</t>
  </si>
  <si>
    <t>12п.01*</t>
  </si>
  <si>
    <t>12п.02*</t>
  </si>
  <si>
    <t>12п.03*</t>
  </si>
  <si>
    <t>12п.04*</t>
  </si>
  <si>
    <t>12п.05*</t>
  </si>
  <si>
    <t>12п.06*</t>
  </si>
  <si>
    <t>12п.07*</t>
  </si>
  <si>
    <t>12п.08*</t>
  </si>
  <si>
    <t>12п.09*</t>
  </si>
  <si>
    <t>12п.10*</t>
  </si>
  <si>
    <t>12п.11*</t>
  </si>
  <si>
    <t>12п.12*</t>
  </si>
  <si>
    <t>12п.13*</t>
  </si>
  <si>
    <t>12п.14*</t>
  </si>
  <si>
    <t>12п.15*</t>
  </si>
  <si>
    <t>12п.16*</t>
  </si>
  <si>
    <t>12п.17*</t>
  </si>
  <si>
    <t>12п.18*</t>
  </si>
  <si>
    <t>13н.01*</t>
  </si>
  <si>
    <t>13н.02*</t>
  </si>
  <si>
    <t>13н.03*</t>
  </si>
  <si>
    <t>13н.04*</t>
  </si>
  <si>
    <t>13н.05*</t>
  </si>
  <si>
    <t>13н.06*</t>
  </si>
  <si>
    <t>13н.07*</t>
  </si>
  <si>
    <t>13н.08*</t>
  </si>
  <si>
    <t>13н.09*</t>
  </si>
  <si>
    <t>13н.10*</t>
  </si>
  <si>
    <t>13н.11*</t>
  </si>
  <si>
    <t>13н.12*</t>
  </si>
  <si>
    <t>13н.13*</t>
  </si>
  <si>
    <t>13п.01*</t>
  </si>
  <si>
    <t>13п.02*</t>
  </si>
  <si>
    <t>13п.03*</t>
  </si>
  <si>
    <t>13п.04*</t>
  </si>
  <si>
    <t>13п.05*</t>
  </si>
  <si>
    <t>13п.06*</t>
  </si>
  <si>
    <t>13п.07*</t>
  </si>
  <si>
    <t>13п.08*</t>
  </si>
  <si>
    <t>13п.09*</t>
  </si>
  <si>
    <t>13п.10*</t>
  </si>
  <si>
    <t>13п.11*</t>
  </si>
  <si>
    <t>13п.12*</t>
  </si>
  <si>
    <t>13п.13*</t>
  </si>
  <si>
    <t>13п.14*</t>
  </si>
  <si>
    <t>14н.01*</t>
  </si>
  <si>
    <t>14н.02*</t>
  </si>
  <si>
    <t>14н.03*</t>
  </si>
  <si>
    <t>14н.04*</t>
  </si>
  <si>
    <t>14н.05*</t>
  </si>
  <si>
    <t>14н.06*</t>
  </si>
  <si>
    <t>14н.07*</t>
  </si>
  <si>
    <t>14н.08*</t>
  </si>
  <si>
    <t>14н.09*</t>
  </si>
  <si>
    <t>14н.10*</t>
  </si>
  <si>
    <t>14н.11*</t>
  </si>
  <si>
    <t>14н.12*</t>
  </si>
  <si>
    <t>14п.01*</t>
  </si>
  <si>
    <t>14п.02*</t>
  </si>
  <si>
    <t>14п.03*</t>
  </si>
  <si>
    <t>14п.04*</t>
  </si>
  <si>
    <t>14п.05*</t>
  </si>
  <si>
    <t>14п.06*</t>
  </si>
  <si>
    <t>14п.07*</t>
  </si>
  <si>
    <t>14п.08*</t>
  </si>
  <si>
    <t>14п.09*</t>
  </si>
  <si>
    <t>14п.10*</t>
  </si>
  <si>
    <t>14п.11*</t>
  </si>
  <si>
    <t>14п.12*</t>
  </si>
  <si>
    <t>14п.13*</t>
  </si>
  <si>
    <t>14п.14*</t>
  </si>
  <si>
    <t>15н.01*</t>
  </si>
  <si>
    <t>15н.02*</t>
  </si>
  <si>
    <t>15н.03*</t>
  </si>
  <si>
    <t>15н.04*</t>
  </si>
  <si>
    <t>15н.05*</t>
  </si>
  <si>
    <t>15н.06*</t>
  </si>
  <si>
    <t>15н.07*</t>
  </si>
  <si>
    <t>15н.08*</t>
  </si>
  <si>
    <t>15н.09*</t>
  </si>
  <si>
    <t>15н.10*</t>
  </si>
  <si>
    <t>15н.11*</t>
  </si>
  <si>
    <t>15н.12*</t>
  </si>
  <si>
    <t>15н.13*</t>
  </si>
  <si>
    <t>15п.01*</t>
  </si>
  <si>
    <t>15п.02*</t>
  </si>
  <si>
    <t>15п.03*</t>
  </si>
  <si>
    <t>15п.04*</t>
  </si>
  <si>
    <t>15п.05*</t>
  </si>
  <si>
    <t>15п.06*</t>
  </si>
  <si>
    <t>15п.07*</t>
  </si>
  <si>
    <t>15п.08*</t>
  </si>
  <si>
    <t>15п.09*</t>
  </si>
  <si>
    <t>15п.10*</t>
  </si>
  <si>
    <t>15п.11*</t>
  </si>
  <si>
    <t>15п.12*</t>
  </si>
  <si>
    <t>15п.13*</t>
  </si>
  <si>
    <t>15п.14*</t>
  </si>
  <si>
    <t>15п.15*</t>
  </si>
  <si>
    <t>16н.01*</t>
  </si>
  <si>
    <t>16н.02*</t>
  </si>
  <si>
    <t>16н.03*</t>
  </si>
  <si>
    <t>16н.04*</t>
  </si>
  <si>
    <t>16н.05*</t>
  </si>
  <si>
    <t>16н.06*</t>
  </si>
  <si>
    <t>16н.07*</t>
  </si>
  <si>
    <t>16н.08*</t>
  </si>
  <si>
    <t>16н.09*</t>
  </si>
  <si>
    <t>16н.10*</t>
  </si>
  <si>
    <t>16н.11*</t>
  </si>
  <si>
    <t>16н.12*</t>
  </si>
  <si>
    <t>16н.13*</t>
  </si>
  <si>
    <t>16п.01*</t>
  </si>
  <si>
    <t>16п.02*</t>
  </si>
  <si>
    <t>16п.03*</t>
  </si>
  <si>
    <t>16п.04*</t>
  </si>
  <si>
    <t>16п.05*</t>
  </si>
  <si>
    <t>16п.06*</t>
  </si>
  <si>
    <t>16п.07*</t>
  </si>
  <si>
    <t>16п.08*</t>
  </si>
  <si>
    <t>16п.09*</t>
  </si>
  <si>
    <t>16п.10*</t>
  </si>
  <si>
    <t>16п.11*</t>
  </si>
  <si>
    <t>16п.12*</t>
  </si>
  <si>
    <t>16п.13*</t>
  </si>
  <si>
    <t>17н.01*</t>
  </si>
  <si>
    <t>17н.02*</t>
  </si>
  <si>
    <t>17н.03*</t>
  </si>
  <si>
    <t>17н.04*</t>
  </si>
  <si>
    <t>17н.05*</t>
  </si>
  <si>
    <t>17н.06*</t>
  </si>
  <si>
    <t>17н.07*</t>
  </si>
  <si>
    <t>17н.08*</t>
  </si>
  <si>
    <t>17н.09*</t>
  </si>
  <si>
    <t>17н.10*</t>
  </si>
  <si>
    <t>17н.11*</t>
  </si>
  <si>
    <t>17н.12*</t>
  </si>
  <si>
    <t>17п.01*</t>
  </si>
  <si>
    <t>17п.02*</t>
  </si>
  <si>
    <t>17п.03*</t>
  </si>
  <si>
    <t>17п.04*</t>
  </si>
  <si>
    <t>17п.05*</t>
  </si>
  <si>
    <t>17п.06*</t>
  </si>
  <si>
    <t>17п.07*</t>
  </si>
  <si>
    <t>17п.08*</t>
  </si>
  <si>
    <t>17п.09*</t>
  </si>
  <si>
    <t>17п.10*</t>
  </si>
  <si>
    <t>17п.11*</t>
  </si>
  <si>
    <t>17п.12*</t>
  </si>
  <si>
    <t>17п.13*</t>
  </si>
  <si>
    <t>18н.01*</t>
  </si>
  <si>
    <t>18н.02*</t>
  </si>
  <si>
    <t>18н.03*</t>
  </si>
  <si>
    <t>18н.04*</t>
  </si>
  <si>
    <t>18н.05*</t>
  </si>
  <si>
    <t>18н.06*</t>
  </si>
  <si>
    <t>18н.07*</t>
  </si>
  <si>
    <t>18н.08*</t>
  </si>
  <si>
    <t>18н.09*</t>
  </si>
  <si>
    <t>18н.10*</t>
  </si>
  <si>
    <t>18н.11*</t>
  </si>
  <si>
    <t>18н.12*</t>
  </si>
  <si>
    <t>18н.13*</t>
  </si>
  <si>
    <t>18н.14*</t>
  </si>
  <si>
    <t>18п.01*</t>
  </si>
  <si>
    <t>18п.02*</t>
  </si>
  <si>
    <t>18п.03*</t>
  </si>
  <si>
    <t>18п.04*</t>
  </si>
  <si>
    <t>18п.05*</t>
  </si>
  <si>
    <t>18п.06*</t>
  </si>
  <si>
    <t>18п.07*</t>
  </si>
  <si>
    <t>18п.08*</t>
  </si>
  <si>
    <t>18п.09*</t>
  </si>
  <si>
    <t>18п.10*</t>
  </si>
  <si>
    <t>18п.11*</t>
  </si>
  <si>
    <t>18п.12*</t>
  </si>
  <si>
    <t>18п.13*</t>
  </si>
  <si>
    <t>18п.14*</t>
  </si>
  <si>
    <t>18п.15*</t>
  </si>
  <si>
    <t>19н.01*</t>
  </si>
  <si>
    <t>19н.02*</t>
  </si>
  <si>
    <t>19н.03*</t>
  </si>
  <si>
    <t>19н.04*</t>
  </si>
  <si>
    <t>19н.05*</t>
  </si>
  <si>
    <t>19н.06*</t>
  </si>
  <si>
    <t>19н.07*</t>
  </si>
  <si>
    <t>19н.08*</t>
  </si>
  <si>
    <t>19н.09*</t>
  </si>
  <si>
    <t>19н.10*</t>
  </si>
  <si>
    <t>19н.11*</t>
  </si>
  <si>
    <t>19н.12*</t>
  </si>
  <si>
    <t>19н.13*</t>
  </si>
  <si>
    <t>19п.01*</t>
  </si>
  <si>
    <t>19п.02*</t>
  </si>
  <si>
    <t>19п.03*</t>
  </si>
  <si>
    <t>19п.04*</t>
  </si>
  <si>
    <t>19п.05*</t>
  </si>
  <si>
    <t>19п.06*</t>
  </si>
  <si>
    <t>19п.07*</t>
  </si>
  <si>
    <t>19п.08*</t>
  </si>
  <si>
    <t>19п.09*</t>
  </si>
  <si>
    <t>19п.10*</t>
  </si>
  <si>
    <t>19п.11*</t>
  </si>
  <si>
    <t>19п.12*</t>
  </si>
  <si>
    <t>19п.13*</t>
  </si>
  <si>
    <t>19п.14*</t>
  </si>
  <si>
    <t>19п.15*</t>
  </si>
  <si>
    <t>19п.16*</t>
  </si>
  <si>
    <t>20н.01*</t>
  </si>
  <si>
    <t>20н.02*</t>
  </si>
  <si>
    <t>20н.03*</t>
  </si>
  <si>
    <t>20н.04*</t>
  </si>
  <si>
    <t>20н.05*</t>
  </si>
  <si>
    <t>20н.06*</t>
  </si>
  <si>
    <t>20н.07*</t>
  </si>
  <si>
    <t>20н.08*</t>
  </si>
  <si>
    <t>20н.09*</t>
  </si>
  <si>
    <t>20н.10*</t>
  </si>
  <si>
    <t>20н.11*</t>
  </si>
  <si>
    <t>20н.12*</t>
  </si>
  <si>
    <t>20н.13*</t>
  </si>
  <si>
    <t>20н.14*</t>
  </si>
  <si>
    <t>20п.01*</t>
  </si>
  <si>
    <t>20п.02*</t>
  </si>
  <si>
    <t>20п.03*</t>
  </si>
  <si>
    <t>20п.04*</t>
  </si>
  <si>
    <t>20п.05*</t>
  </si>
  <si>
    <t>20п.06*</t>
  </si>
  <si>
    <t>20п.07*</t>
  </si>
  <si>
    <t>20п.08*</t>
  </si>
  <si>
    <t>20п.09*</t>
  </si>
  <si>
    <t>20п.10*</t>
  </si>
  <si>
    <t>20п.11*</t>
  </si>
  <si>
    <t>20п.12*</t>
  </si>
  <si>
    <t>20п.13*</t>
  </si>
  <si>
    <t>20п.14*</t>
  </si>
  <si>
    <t>20п.15*</t>
  </si>
  <si>
    <t>21н.01*</t>
  </si>
  <si>
    <t>21н.02*</t>
  </si>
  <si>
    <t>21н.03*</t>
  </si>
  <si>
    <t>21н.04*</t>
  </si>
  <si>
    <t>21н.05*</t>
  </si>
  <si>
    <t>21н.06*</t>
  </si>
  <si>
    <t>21н.07*</t>
  </si>
  <si>
    <t>21н.08*</t>
  </si>
  <si>
    <t>21н.09*</t>
  </si>
  <si>
    <t>21н.10*</t>
  </si>
  <si>
    <t>21н.11*</t>
  </si>
  <si>
    <t>21н.12*</t>
  </si>
  <si>
    <t>21п.01*</t>
  </si>
  <si>
    <t>21п.02*</t>
  </si>
  <si>
    <t>21п.03*</t>
  </si>
  <si>
    <t>21п.04*</t>
  </si>
  <si>
    <t>21п.05*</t>
  </si>
  <si>
    <t>21п.06*</t>
  </si>
  <si>
    <t>21п.07*</t>
  </si>
  <si>
    <t>21п.08*</t>
  </si>
  <si>
    <t>21п.09*</t>
  </si>
  <si>
    <t>21п.10*</t>
  </si>
  <si>
    <t>21п.11*</t>
  </si>
  <si>
    <t>21п.12*</t>
  </si>
  <si>
    <t>21п.13*</t>
  </si>
  <si>
    <t>21п.14*</t>
  </si>
  <si>
    <t>21п.15*</t>
  </si>
  <si>
    <t>21п.16*</t>
  </si>
  <si>
    <t>22н.01*</t>
  </si>
  <si>
    <t>22н.02*</t>
  </si>
  <si>
    <t>22н.03*</t>
  </si>
  <si>
    <t>22н.04*</t>
  </si>
  <si>
    <t>22н.05*</t>
  </si>
  <si>
    <t>22н.06*</t>
  </si>
  <si>
    <t>22н.07*</t>
  </si>
  <si>
    <t>22н.08*</t>
  </si>
  <si>
    <t>22н.09*</t>
  </si>
  <si>
    <t>22н.10*</t>
  </si>
  <si>
    <t>22н.11*</t>
  </si>
  <si>
    <t>22н.12*</t>
  </si>
  <si>
    <t>22п.01*</t>
  </si>
  <si>
    <t>22п.02*</t>
  </si>
  <si>
    <t>22п.03*</t>
  </si>
  <si>
    <t>22п.04*</t>
  </si>
  <si>
    <t>22п.05*</t>
  </si>
  <si>
    <t>22п.06*</t>
  </si>
  <si>
    <t>22п.07*</t>
  </si>
  <si>
    <t>22п.08*</t>
  </si>
  <si>
    <t>22п.09*</t>
  </si>
  <si>
    <t>22п.10*</t>
  </si>
  <si>
    <t>22п.11*</t>
  </si>
  <si>
    <t>22п.12*</t>
  </si>
  <si>
    <t>22п.13*</t>
  </si>
  <si>
    <t>22п.14*</t>
  </si>
  <si>
    <t>23н.01*</t>
  </si>
  <si>
    <t>23н.02*</t>
  </si>
  <si>
    <t>23н.03*</t>
  </si>
  <si>
    <t>23н.04*</t>
  </si>
  <si>
    <t>23н.05*</t>
  </si>
  <si>
    <t>23н.06*</t>
  </si>
  <si>
    <t>23н.07*</t>
  </si>
  <si>
    <t>23н.08*</t>
  </si>
  <si>
    <t>23н.09*</t>
  </si>
  <si>
    <t>23н.10*</t>
  </si>
  <si>
    <t>23н.11*</t>
  </si>
  <si>
    <t>23н.12*</t>
  </si>
  <si>
    <t>23н.13*</t>
  </si>
  <si>
    <t>23н.14*</t>
  </si>
  <si>
    <t>23н.15*</t>
  </si>
  <si>
    <t>23н.16*</t>
  </si>
  <si>
    <t>23п.01*</t>
  </si>
  <si>
    <t>23п.02*</t>
  </si>
  <si>
    <t>23п.03*</t>
  </si>
  <si>
    <t>23п.04*</t>
  </si>
  <si>
    <t>23п.05*</t>
  </si>
  <si>
    <t>23п.06*</t>
  </si>
  <si>
    <t>23п.07*</t>
  </si>
  <si>
    <t>23п.08*</t>
  </si>
  <si>
    <t>23п.09*</t>
  </si>
  <si>
    <t>23п.10*</t>
  </si>
  <si>
    <t>23п.11*</t>
  </si>
  <si>
    <t>23п.12*</t>
  </si>
  <si>
    <t>23п.13*</t>
  </si>
  <si>
    <t>23п.14*</t>
  </si>
  <si>
    <t>23п.15*</t>
  </si>
  <si>
    <t>23п.16*</t>
  </si>
  <si>
    <t>23п.17*</t>
  </si>
  <si>
    <t>23п.18*</t>
  </si>
  <si>
    <t>23п.19*</t>
  </si>
  <si>
    <t>24н.01*</t>
  </si>
  <si>
    <t>24н.02*</t>
  </si>
  <si>
    <t>24н.03*</t>
  </si>
  <si>
    <t>24н.04*</t>
  </si>
  <si>
    <t>24н.05*</t>
  </si>
  <si>
    <t>24н.06*</t>
  </si>
  <si>
    <t>24н.07*</t>
  </si>
  <si>
    <t>24н.08*</t>
  </si>
  <si>
    <t>24н.09*</t>
  </si>
  <si>
    <t>24н.10*</t>
  </si>
  <si>
    <t>24н.11*</t>
  </si>
  <si>
    <t>24н.12*</t>
  </si>
  <si>
    <t>24н.13*</t>
  </si>
  <si>
    <t>24н.14*</t>
  </si>
  <si>
    <t>24н.15*</t>
  </si>
  <si>
    <t>24н.16*</t>
  </si>
  <si>
    <t>24н.17*</t>
  </si>
  <si>
    <t>24н.18*</t>
  </si>
  <si>
    <t>24н.19*</t>
  </si>
  <si>
    <t>24н.20*</t>
  </si>
  <si>
    <t>24п.01*</t>
  </si>
  <si>
    <t>24п.02*</t>
  </si>
  <si>
    <t>24п.03*</t>
  </si>
  <si>
    <t>24п.04*</t>
  </si>
  <si>
    <t>24п.05*</t>
  </si>
  <si>
    <t>24п.06*</t>
  </si>
  <si>
    <t>24п.07*</t>
  </si>
  <si>
    <t>24п.08*</t>
  </si>
  <si>
    <t>24п.09*</t>
  </si>
  <si>
    <t>24п.10*</t>
  </si>
  <si>
    <t>24п.11*</t>
  </si>
  <si>
    <t>24п.12*</t>
  </si>
  <si>
    <t>24п.13*</t>
  </si>
  <si>
    <t>24п.14*</t>
  </si>
  <si>
    <t>24п.15*</t>
  </si>
  <si>
    <t>24п.16*</t>
  </si>
  <si>
    <t>24п.17*</t>
  </si>
  <si>
    <t>24п.18*</t>
  </si>
  <si>
    <t>24п.19*</t>
  </si>
  <si>
    <t>24п.20*</t>
  </si>
  <si>
    <t>24п.21*</t>
  </si>
  <si>
    <t>24п.22*</t>
  </si>
  <si>
    <t>24п.23*</t>
  </si>
  <si>
    <t>25н.01*</t>
  </si>
  <si>
    <t>25н.02*</t>
  </si>
  <si>
    <t>25н.03*</t>
  </si>
  <si>
    <t>25н.04*</t>
  </si>
  <si>
    <t>25н.05*</t>
  </si>
  <si>
    <t>25н.06*</t>
  </si>
  <si>
    <t>25н.07*</t>
  </si>
  <si>
    <t>25н.08*</t>
  </si>
  <si>
    <t>25н.09*</t>
  </si>
  <si>
    <t>25н.10*</t>
  </si>
  <si>
    <t>25н.11*</t>
  </si>
  <si>
    <t>25н.12*</t>
  </si>
  <si>
    <t>25н.13*</t>
  </si>
  <si>
    <t>25н.14*</t>
  </si>
  <si>
    <t>25н.15*</t>
  </si>
  <si>
    <t>25н.16*</t>
  </si>
  <si>
    <t>25н.17*</t>
  </si>
  <si>
    <t>25н.18*</t>
  </si>
  <si>
    <t>25п.01*</t>
  </si>
  <si>
    <t>25п.02*</t>
  </si>
  <si>
    <t>25п.03*</t>
  </si>
  <si>
    <t>25п.04*</t>
  </si>
  <si>
    <t>25п.05*</t>
  </si>
  <si>
    <t>25п.06*</t>
  </si>
  <si>
    <t>25п.07*</t>
  </si>
  <si>
    <t>25п.08*</t>
  </si>
  <si>
    <t>25п.09*</t>
  </si>
  <si>
    <t>25п.10*</t>
  </si>
  <si>
    <t>25п.11*</t>
  </si>
  <si>
    <t>25п.12*</t>
  </si>
  <si>
    <t>25п.13*</t>
  </si>
  <si>
    <t>25п.14*</t>
  </si>
  <si>
    <t>25п.15*</t>
  </si>
  <si>
    <t>25п.16*</t>
  </si>
  <si>
    <t>25п.17*</t>
  </si>
  <si>
    <t>26н.01*</t>
  </si>
  <si>
    <t>26н.02*</t>
  </si>
  <si>
    <t>26н.03*</t>
  </si>
  <si>
    <t>26н.04*</t>
  </si>
  <si>
    <t>26н.05*</t>
  </si>
  <si>
    <t>26н.06*</t>
  </si>
  <si>
    <t>26н.07*</t>
  </si>
  <si>
    <t>26н.08*</t>
  </si>
  <si>
    <t>26н.09*</t>
  </si>
  <si>
    <t>26н.10*</t>
  </si>
  <si>
    <t>26н.11*</t>
  </si>
  <si>
    <t>26н.12*</t>
  </si>
  <si>
    <t>26н.13*</t>
  </si>
  <si>
    <t>26н.14*</t>
  </si>
  <si>
    <t>26н.15*</t>
  </si>
  <si>
    <t>26н.16*</t>
  </si>
  <si>
    <t>26н.17*</t>
  </si>
  <si>
    <t>26н.18*</t>
  </si>
  <si>
    <t>26н.19*</t>
  </si>
  <si>
    <t>26н.20*</t>
  </si>
  <si>
    <t>26н.21*</t>
  </si>
  <si>
    <t>26н.22*</t>
  </si>
  <si>
    <t>26н.23*</t>
  </si>
  <si>
    <t>26н.24*</t>
  </si>
  <si>
    <t>26н.25*</t>
  </si>
  <si>
    <t>26н.26*</t>
  </si>
  <si>
    <t>26п.01*</t>
  </si>
  <si>
    <t>26п.02*</t>
  </si>
  <si>
    <t>26п.03*</t>
  </si>
  <si>
    <t>26п.04*</t>
  </si>
  <si>
    <t>26п.05*</t>
  </si>
  <si>
    <t>26п.06*</t>
  </si>
  <si>
    <t>26п.07*</t>
  </si>
  <si>
    <t>26п.08*</t>
  </si>
  <si>
    <t>26п.09*</t>
  </si>
  <si>
    <t>26п.10*</t>
  </si>
  <si>
    <t>26п.11*</t>
  </si>
  <si>
    <t>26п.12*</t>
  </si>
  <si>
    <t>26п.13*</t>
  </si>
  <si>
    <t>26п.14*</t>
  </si>
  <si>
    <t>26п.15*</t>
  </si>
  <si>
    <t>26п.16*</t>
  </si>
  <si>
    <t>26п.17*</t>
  </si>
  <si>
    <t>26п.18*</t>
  </si>
  <si>
    <t>26п.19*</t>
  </si>
  <si>
    <t>26п.20*</t>
  </si>
  <si>
    <t>26п.21*</t>
  </si>
  <si>
    <t>26п.22*</t>
  </si>
  <si>
    <t>27н.01*</t>
  </si>
  <si>
    <t>27н.02*</t>
  </si>
  <si>
    <t>27н.03*</t>
  </si>
  <si>
    <t>27н.04*</t>
  </si>
  <si>
    <t>27н.05*</t>
  </si>
  <si>
    <t>27н.06*</t>
  </si>
  <si>
    <t>27н.07*</t>
  </si>
  <si>
    <t>27н.08*</t>
  </si>
  <si>
    <t>27н.09*</t>
  </si>
  <si>
    <t>27н.10*</t>
  </si>
  <si>
    <t>27н.11*</t>
  </si>
  <si>
    <t>27н.12*</t>
  </si>
  <si>
    <t>27н.13*</t>
  </si>
  <si>
    <t>27н.14*</t>
  </si>
  <si>
    <t>27н.15*</t>
  </si>
  <si>
    <t>27н.16*</t>
  </si>
  <si>
    <t>27н.17*</t>
  </si>
  <si>
    <t>27н.18*</t>
  </si>
  <si>
    <t>27н.19*</t>
  </si>
  <si>
    <t>27н.20*</t>
  </si>
  <si>
    <t>27н.21*</t>
  </si>
  <si>
    <t>27н.22*</t>
  </si>
  <si>
    <t>27н.23*</t>
  </si>
  <si>
    <t>27н.24*</t>
  </si>
  <si>
    <t>27н.25*</t>
  </si>
  <si>
    <t>27п.01*</t>
  </si>
  <si>
    <t>27п.02*</t>
  </si>
  <si>
    <t>27п.03*</t>
  </si>
  <si>
    <t>27п.04*</t>
  </si>
  <si>
    <t>27п.05*</t>
  </si>
  <si>
    <t>27п.06*</t>
  </si>
  <si>
    <t>27п.07*</t>
  </si>
  <si>
    <t>27п.08*</t>
  </si>
  <si>
    <t>27п.09*</t>
  </si>
  <si>
    <t>27п.10*</t>
  </si>
  <si>
    <t>27п.11*</t>
  </si>
  <si>
    <t>27п.12*</t>
  </si>
  <si>
    <t>27п.13*</t>
  </si>
  <si>
    <t>27п.14*</t>
  </si>
  <si>
    <t>27п.15*</t>
  </si>
  <si>
    <t>27п.16*</t>
  </si>
  <si>
    <t>27п.17*</t>
  </si>
  <si>
    <t>27п.18*</t>
  </si>
  <si>
    <t>28н.01*</t>
  </si>
  <si>
    <t>28н.02*</t>
  </si>
  <si>
    <t>28н.03*</t>
  </si>
  <si>
    <t>28н.04*</t>
  </si>
  <si>
    <t>28н.05*</t>
  </si>
  <si>
    <t>28н.06*</t>
  </si>
  <si>
    <t>28н.07*</t>
  </si>
  <si>
    <t>28н.08*</t>
  </si>
  <si>
    <t>28н.09*</t>
  </si>
  <si>
    <t>28н.10*</t>
  </si>
  <si>
    <t>28н.11*</t>
  </si>
  <si>
    <t>28н.12*</t>
  </si>
  <si>
    <t>28н.13*</t>
  </si>
  <si>
    <t>28н.14*</t>
  </si>
  <si>
    <t>28п.01*</t>
  </si>
  <si>
    <t>28п.02*</t>
  </si>
  <si>
    <t>28п.03*</t>
  </si>
  <si>
    <t>28п.04*</t>
  </si>
  <si>
    <t>28п.05*</t>
  </si>
  <si>
    <t>28п.06*</t>
  </si>
  <si>
    <t>28п.07*</t>
  </si>
  <si>
    <t>28п.08*</t>
  </si>
  <si>
    <t>28п.09*</t>
  </si>
  <si>
    <t>28п.10*</t>
  </si>
  <si>
    <t>28п.11*</t>
  </si>
  <si>
    <t>28п.12*</t>
  </si>
  <si>
    <t>28п.13*</t>
  </si>
  <si>
    <t>28п.14*</t>
  </si>
  <si>
    <t>28п.15*</t>
  </si>
  <si>
    <t>28п.16*</t>
  </si>
  <si>
    <t>28п.17*</t>
  </si>
  <si>
    <t>30н.01*</t>
  </si>
  <si>
    <t>30н.02*</t>
  </si>
  <si>
    <t>30н.03*</t>
  </si>
  <si>
    <t>30н.04*</t>
  </si>
  <si>
    <t>30н.05*</t>
  </si>
  <si>
    <t>30н.06*</t>
  </si>
  <si>
    <t>30н.07*</t>
  </si>
  <si>
    <t>30н.08*</t>
  </si>
  <si>
    <t>30н.09*</t>
  </si>
  <si>
    <t>30н.10*</t>
  </si>
  <si>
    <t>30н.11*</t>
  </si>
  <si>
    <t>30н.12*</t>
  </si>
  <si>
    <t>30н.13*</t>
  </si>
  <si>
    <t>30н.14*</t>
  </si>
  <si>
    <t>30н.15*</t>
  </si>
  <si>
    <t>30п.01*</t>
  </si>
  <si>
    <t>30п.02*</t>
  </si>
  <si>
    <t>30п.03*</t>
  </si>
  <si>
    <t>30п.04*</t>
  </si>
  <si>
    <t>30п.05*</t>
  </si>
  <si>
    <t>30п.06*</t>
  </si>
  <si>
    <t>30п.07*</t>
  </si>
  <si>
    <t>30п.08*</t>
  </si>
  <si>
    <t>30п.09*</t>
  </si>
  <si>
    <t>30п.10*</t>
  </si>
  <si>
    <t>30п.11*</t>
  </si>
  <si>
    <t>30п.12*</t>
  </si>
  <si>
    <t>30п.13*</t>
  </si>
  <si>
    <t>30п.14*</t>
  </si>
  <si>
    <t>30п.15*</t>
  </si>
  <si>
    <t>30п.16*</t>
  </si>
  <si>
    <t>30п.17*</t>
  </si>
  <si>
    <t>30п.18*</t>
  </si>
  <si>
    <t>31н.01*</t>
  </si>
  <si>
    <t>31н.02*</t>
  </si>
  <si>
    <t>31н.03*</t>
  </si>
  <si>
    <t>31н.04*</t>
  </si>
  <si>
    <t>31н.05*</t>
  </si>
  <si>
    <t>31н.06*</t>
  </si>
  <si>
    <t>31н.07*</t>
  </si>
  <si>
    <t>31н.08*</t>
  </si>
  <si>
    <t>31н.09*</t>
  </si>
  <si>
    <t>31н.10*</t>
  </si>
  <si>
    <t>31н.11*</t>
  </si>
  <si>
    <t>31н.12*</t>
  </si>
  <si>
    <t>31н.13*</t>
  </si>
  <si>
    <t>31н.14*</t>
  </si>
  <si>
    <t>31п.01*</t>
  </si>
  <si>
    <t>31п.02*</t>
  </si>
  <si>
    <t>31п.03*</t>
  </si>
  <si>
    <t>31п.04*</t>
  </si>
  <si>
    <t>31п.05*</t>
  </si>
  <si>
    <t>31п.06*</t>
  </si>
  <si>
    <t>31п.07*</t>
  </si>
  <si>
    <t>31п.08*</t>
  </si>
  <si>
    <t>31п.09*</t>
  </si>
  <si>
    <t>31п.10*</t>
  </si>
  <si>
    <t>31п.11*</t>
  </si>
  <si>
    <t>31п.12*</t>
  </si>
  <si>
    <t>31п.13*</t>
  </si>
  <si>
    <t>31п.14*</t>
  </si>
  <si>
    <t>31п.15*</t>
  </si>
  <si>
    <t>31п.16*</t>
  </si>
  <si>
    <t>32н.01*</t>
  </si>
  <si>
    <t>32н.02*</t>
  </si>
  <si>
    <t>32н.03*</t>
  </si>
  <si>
    <t>32н.04*</t>
  </si>
  <si>
    <t>32н.05*</t>
  </si>
  <si>
    <t>32н.06*</t>
  </si>
  <si>
    <t>32н.07*</t>
  </si>
  <si>
    <t>32н.08*</t>
  </si>
  <si>
    <t>32н.09*</t>
  </si>
  <si>
    <t>32н.10*</t>
  </si>
  <si>
    <t>32н.11*</t>
  </si>
  <si>
    <t>32н.12*</t>
  </si>
  <si>
    <t>32п.01*</t>
  </si>
  <si>
    <t>32п.02*</t>
  </si>
  <si>
    <t>32п.03*</t>
  </si>
  <si>
    <t>32п.04*</t>
  </si>
  <si>
    <t>32п.05*</t>
  </si>
  <si>
    <t>32п.06*</t>
  </si>
  <si>
    <t>32п.07*</t>
  </si>
  <si>
    <t>32п.08*</t>
  </si>
  <si>
    <t>32п.09*</t>
  </si>
  <si>
    <t>32п.10*</t>
  </si>
  <si>
    <t>32п.11*</t>
  </si>
  <si>
    <t>32п.12*</t>
  </si>
  <si>
    <t>32п.13*</t>
  </si>
  <si>
    <t>32п.14*</t>
  </si>
  <si>
    <t>32п.15*</t>
  </si>
  <si>
    <t>33н.01*</t>
  </si>
  <si>
    <t>33н.02*</t>
  </si>
  <si>
    <t>33н.03*</t>
  </si>
  <si>
    <t>33н.04*</t>
  </si>
  <si>
    <t>33н.05*</t>
  </si>
  <si>
    <t>33н.06*</t>
  </si>
  <si>
    <t>33н.07*</t>
  </si>
  <si>
    <t>33н.08*</t>
  </si>
  <si>
    <t>33н.09*</t>
  </si>
  <si>
    <t>33н.10*</t>
  </si>
  <si>
    <t>33н.11*</t>
  </si>
  <si>
    <t>33п.01*</t>
  </si>
  <si>
    <t>33п.02*</t>
  </si>
  <si>
    <t>33п.03*</t>
  </si>
  <si>
    <t>33п.04*</t>
  </si>
  <si>
    <t>33п.05*</t>
  </si>
  <si>
    <t>33п.06*</t>
  </si>
  <si>
    <t>33п.07*</t>
  </si>
  <si>
    <t>33п.08*</t>
  </si>
  <si>
    <t>33п.09*</t>
  </si>
  <si>
    <t>33п.10*</t>
  </si>
  <si>
    <t>33п.11*</t>
  </si>
  <si>
    <t>33п.12*</t>
  </si>
  <si>
    <t>33п.13*</t>
  </si>
  <si>
    <t>33п.14*</t>
  </si>
  <si>
    <t>33п.15*</t>
  </si>
  <si>
    <t>33п.16*</t>
  </si>
  <si>
    <t>34н.01*</t>
  </si>
  <si>
    <t>34н.02*</t>
  </si>
  <si>
    <t>34н.03*</t>
  </si>
  <si>
    <t>34н.04*</t>
  </si>
  <si>
    <t>34н.05*</t>
  </si>
  <si>
    <t>34н.06*</t>
  </si>
  <si>
    <t>34н.07*</t>
  </si>
  <si>
    <t>34н.08*</t>
  </si>
  <si>
    <t>34н.09*</t>
  </si>
  <si>
    <t>34н.10*</t>
  </si>
  <si>
    <t>34н.11*</t>
  </si>
  <si>
    <t>34н.12*</t>
  </si>
  <si>
    <t>34н.13*</t>
  </si>
  <si>
    <t>34н.14*</t>
  </si>
  <si>
    <t>34п.01*</t>
  </si>
  <si>
    <t>34п.02*</t>
  </si>
  <si>
    <t>34п.03*</t>
  </si>
  <si>
    <t>34п.04*</t>
  </si>
  <si>
    <t>34п.05*</t>
  </si>
  <si>
    <t>34п.06*</t>
  </si>
  <si>
    <t>34п.07*</t>
  </si>
  <si>
    <t>34п.08*</t>
  </si>
  <si>
    <t>34п.09*</t>
  </si>
  <si>
    <t>34п.10*</t>
  </si>
  <si>
    <t>34п.11*</t>
  </si>
  <si>
    <t>34п.12*</t>
  </si>
  <si>
    <t>34п.13*</t>
  </si>
  <si>
    <t>34п.14*</t>
  </si>
  <si>
    <t>34п.15*</t>
  </si>
  <si>
    <t>34п.16*</t>
  </si>
  <si>
    <t>34п.17*</t>
  </si>
  <si>
    <t>34п.18*</t>
  </si>
  <si>
    <t>35н.01*</t>
  </si>
  <si>
    <t>35н.02*</t>
  </si>
  <si>
    <t>35н.03*</t>
  </si>
  <si>
    <t>35н.04*</t>
  </si>
  <si>
    <t>35н.05*</t>
  </si>
  <si>
    <t>35н.06*</t>
  </si>
  <si>
    <t>35н.07*</t>
  </si>
  <si>
    <t>35н.08*</t>
  </si>
  <si>
    <t>35н.09*</t>
  </si>
  <si>
    <t>35н.10*</t>
  </si>
  <si>
    <t>35н.11*</t>
  </si>
  <si>
    <t>35н.12*</t>
  </si>
  <si>
    <t>35н.13*</t>
  </si>
  <si>
    <t>35н.14*</t>
  </si>
  <si>
    <t>35н.15*</t>
  </si>
  <si>
    <t>35п.01*</t>
  </si>
  <si>
    <t>35п.02*</t>
  </si>
  <si>
    <t>35п.03*</t>
  </si>
  <si>
    <t>35п.04*</t>
  </si>
  <si>
    <t>35п.05*</t>
  </si>
  <si>
    <t>35п.06*</t>
  </si>
  <si>
    <t>35п.07*</t>
  </si>
  <si>
    <t>35п.08*</t>
  </si>
  <si>
    <t>35п.09*</t>
  </si>
  <si>
    <t>35п.10*</t>
  </si>
  <si>
    <t>35п.11*</t>
  </si>
  <si>
    <t>35п.12*</t>
  </si>
  <si>
    <t>Чубарь</t>
  </si>
  <si>
    <t>Тихонов</t>
  </si>
  <si>
    <t>Шибанов Фёдор</t>
  </si>
  <si>
    <t>Рекунов Иван</t>
  </si>
  <si>
    <t>Лысенок Алёна</t>
  </si>
  <si>
    <t>Смирнова Софья</t>
  </si>
  <si>
    <t>Галицын</t>
  </si>
  <si>
    <t>01н.12*</t>
  </si>
  <si>
    <t>01н.13*</t>
  </si>
  <si>
    <t>01н.14*</t>
  </si>
  <si>
    <t>01п.13*</t>
  </si>
  <si>
    <t>01п.14*</t>
  </si>
  <si>
    <t>01п.15*</t>
  </si>
  <si>
    <t>01п.16*</t>
  </si>
  <si>
    <t>BH:BS</t>
  </si>
  <si>
    <t>CM:CY</t>
  </si>
  <si>
    <t>Иванов</t>
  </si>
  <si>
    <t>Результаты</t>
  </si>
  <si>
    <t>б012</t>
  </si>
  <si>
    <t>б022</t>
  </si>
  <si>
    <t>б033</t>
  </si>
  <si>
    <t>б044</t>
  </si>
  <si>
    <t>б055</t>
  </si>
  <si>
    <t>б066</t>
  </si>
  <si>
    <t>б077</t>
  </si>
  <si>
    <t>б088</t>
  </si>
  <si>
    <t>б099</t>
  </si>
  <si>
    <t>б1010</t>
  </si>
  <si>
    <t>б1111</t>
  </si>
  <si>
    <t>б1212</t>
  </si>
  <si>
    <t>б1313</t>
  </si>
  <si>
    <t>б1414</t>
  </si>
  <si>
    <t>б1515</t>
  </si>
  <si>
    <t>б1616</t>
  </si>
  <si>
    <t>б1717</t>
  </si>
  <si>
    <t>б1818</t>
  </si>
  <si>
    <t>б1919</t>
  </si>
  <si>
    <t>б2020</t>
  </si>
  <si>
    <t>б2121</t>
  </si>
  <si>
    <t>б2222</t>
  </si>
  <si>
    <t>б2323</t>
  </si>
  <si>
    <t>б2424</t>
  </si>
  <si>
    <t>б2525</t>
  </si>
  <si>
    <t>б2626</t>
  </si>
  <si>
    <t>б2727</t>
  </si>
  <si>
    <t>б2828</t>
  </si>
  <si>
    <t>б2929</t>
  </si>
  <si>
    <t>б3030</t>
  </si>
  <si>
    <t>б3131</t>
  </si>
  <si>
    <t>б3232</t>
  </si>
  <si>
    <t>б3333</t>
  </si>
  <si>
    <t>б3434</t>
  </si>
  <si>
    <t>б3535</t>
  </si>
  <si>
    <t>б3636</t>
  </si>
  <si>
    <t>б3737</t>
  </si>
  <si>
    <t>б3838</t>
  </si>
  <si>
    <t>б4040</t>
  </si>
  <si>
    <t>Y</t>
  </si>
  <si>
    <t>б3629</t>
  </si>
  <si>
    <t>Поиск</t>
  </si>
  <si>
    <t>01н.01*</t>
  </si>
  <si>
    <t>01н.02*</t>
  </si>
  <si>
    <t>01н.03*</t>
  </si>
  <si>
    <t>01н.04*</t>
  </si>
  <si>
    <t>01н.05*</t>
  </si>
  <si>
    <t>01н.06*</t>
  </si>
  <si>
    <t>01н.07*</t>
  </si>
  <si>
    <t>01н.08*</t>
  </si>
  <si>
    <t>01н.09*</t>
  </si>
  <si>
    <t>01н.10*</t>
  </si>
  <si>
    <t>01н.11*</t>
  </si>
  <si>
    <t>01п.01*</t>
  </si>
  <si>
    <t>01п.02*</t>
  </si>
  <si>
    <t>01п.03*</t>
  </si>
  <si>
    <t>01п.04*</t>
  </si>
  <si>
    <t>01п.05*</t>
  </si>
  <si>
    <t>01п.06*</t>
  </si>
  <si>
    <t>01п.07*</t>
  </si>
  <si>
    <t>01п.08*</t>
  </si>
  <si>
    <t>01п.09*</t>
  </si>
  <si>
    <t>01п.10*</t>
  </si>
  <si>
    <t>01п.11*</t>
  </si>
  <si>
    <t>01п.12*</t>
  </si>
  <si>
    <t>Петров</t>
  </si>
  <si>
    <t>Пётр</t>
  </si>
  <si>
    <t>00_0001</t>
  </si>
  <si>
    <t>00_0002</t>
  </si>
  <si>
    <t>Сидоров</t>
  </si>
  <si>
    <t>Сидр</t>
  </si>
  <si>
    <t>00_0003</t>
  </si>
  <si>
    <t>л2ш</t>
  </si>
  <si>
    <t>Форматирование</t>
  </si>
  <si>
    <t>Условие</t>
  </si>
  <si>
    <t>Диапазон</t>
  </si>
  <si>
    <t>Комментарий</t>
  </si>
  <si>
    <t>Шкала цветов</t>
  </si>
  <si>
    <t>=$K:$K</t>
  </si>
  <si>
    <t>Индикация среднего числа задач школьника</t>
  </si>
  <si>
    <t>=$J:$J</t>
  </si>
  <si>
    <t>Индикация числа посещений</t>
  </si>
  <si>
    <t>Красная правая граница</t>
  </si>
  <si>
    <t>=ЛЕВСИМВ(BA$1;2)&lt;&gt;ЛЕВСИМВ(BB$1;2)</t>
  </si>
  <si>
    <t>=$BA:$CSJ</t>
  </si>
  <si>
    <t>Разделитель между задачами, но не между пунктами</t>
  </si>
  <si>
    <t>Сделать серым</t>
  </si>
  <si>
    <t>=$F1=1</t>
  </si>
  <si>
    <t>=$A:$L</t>
  </si>
  <si>
    <t>Сделать серым скрытого школьника</t>
  </si>
  <si>
    <t>=$M$4:$AZ$4</t>
  </si>
  <si>
    <t>Индикация числа школьников на занятии в распределении по аудиториям</t>
  </si>
  <si>
    <t>Выделить красным</t>
  </si>
  <si>
    <t>=И(НЕ(ЕПУСТО(A1));СТРОКА(G1)&gt;=6;ЕПУСТО(F1);ЕНД(ПОИСКПОЗ(L1;СМЕЩ(Аудитории!$C$12:$AA$12;ПОИСКПОЗ(G1;Аудитории!$B$13:$B$17;0);0;1;25);0)))</t>
  </si>
  <si>
    <t>=$L:$L;$G:$G</t>
  </si>
  <si>
    <t>Аудитория не назначена или не соответствует уровню школьника</t>
  </si>
  <si>
    <t>Оранжевый</t>
  </si>
  <si>
    <t>=ПСТР(A5;3;1)="н"</t>
  </si>
  <si>
    <t>=$1:$1</t>
  </si>
  <si>
    <t>Выделение столбцов начинающих</t>
  </si>
  <si>
    <t>Голубенький</t>
  </si>
  <si>
    <t>=ПСТР(A5;3;1)="п"</t>
  </si>
  <si>
    <t>Выделение столбцов продолжающих</t>
  </si>
  <si>
    <t>=BA$1="н.Н"</t>
  </si>
  <si>
    <t>Выделение столбца в начале столбца задач начинающих</t>
  </si>
  <si>
    <t>=BA$1="п.Н"</t>
  </si>
  <si>
    <t>=$M:$AZ</t>
  </si>
  <si>
    <t>Сделать серым номер аудитории, если школьник пропустил</t>
  </si>
  <si>
    <t>=И(СТРОКА(M1)&gt;=6;ИЛИ(НЕ(ЕЧИСЛО(CSL1));CSL1&lt;1))</t>
  </si>
  <si>
    <t>Ключ</t>
  </si>
  <si>
    <t>Данные</t>
  </si>
  <si>
    <t>Петр</t>
  </si>
  <si>
    <t>Нашлось!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</si>
</sst>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Arial Narrow"/>
      <family val="2"/>
      <charset val="204"/>
    </font>
    <font>
      <sz val="10"/>
      <color theme="1"/>
      <name val="Arial Narrow"/>
      <family val="2"/>
      <charset val="204"/>
    </font>
    <font>
      <sz val="8"/>
      <color theme="1"/>
      <name val="Arial Narrow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6"/>
      <color theme="1"/>
      <name val="Arial Narrow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0"/>
      <name val="Arial Narrow"/>
      <family val="2"/>
      <charset val="204"/>
    </font>
    <font>
      <sz val="12"/>
      <color theme="1"/>
      <name val="Arial Narrow"/>
      <family val="2"/>
      <charset val="204"/>
    </font>
    <font>
      <sz val="14"/>
      <color theme="1"/>
      <name val="Arial Narrow"/>
      <family val="2"/>
      <charset val="204"/>
    </font>
    <font>
      <sz val="18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sz val="3"/>
      <color theme="1"/>
      <name val="Arial Narrow"/>
      <family val="2"/>
      <charset val="204"/>
    </font>
    <font>
      <sz val="11"/>
      <color rgb="FF000000"/>
      <name val="Calibri"/>
      <family val="2"/>
      <charset val="204"/>
    </font>
    <font>
      <b/>
      <sz val="8"/>
      <color theme="0"/>
      <name val="Arial Narrow"/>
      <family val="2"/>
      <charset val="204"/>
    </font>
    <font>
      <sz val="8"/>
      <name val="Arial Narrow"/>
      <family val="2"/>
      <charset val="204"/>
    </font>
    <font>
      <sz val="16"/>
      <color theme="1"/>
      <name val="Arial Narrow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0" fillId="5" borderId="0" xfId="0" applyFill="1" applyAlignment="1">
      <alignment horizontal="center"/>
    </xf>
    <xf numFmtId="0" fontId="7" fillId="9" borderId="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6" xfId="0" applyBorder="1" applyAlignment="1">
      <alignment horizontal="center"/>
    </xf>
    <xf numFmtId="0" fontId="0" fillId="0" borderId="6" xfId="0" applyBorder="1"/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horizontal="center"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0" fontId="0" fillId="0" borderId="0" xfId="0" applyBorder="1"/>
    <xf numFmtId="0" fontId="1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2" fillId="10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5" fillId="0" borderId="0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NumberFormat="1" applyFont="1" applyBorder="1" applyAlignment="1">
      <alignment horizontal="center" vertical="center"/>
    </xf>
    <xf numFmtId="0" fontId="12" fillId="11" borderId="0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1" fillId="11" borderId="0" xfId="0" applyFont="1" applyFill="1" applyBorder="1" applyAlignment="1">
      <alignment horizontal="center" vertical="center"/>
    </xf>
    <xf numFmtId="0" fontId="14" fillId="0" borderId="0" xfId="0" applyFont="1" applyBorder="1"/>
    <xf numFmtId="0" fontId="12" fillId="0" borderId="0" xfId="0" applyFont="1" applyBorder="1" applyAlignment="1">
      <alignment horizontal="center"/>
    </xf>
    <xf numFmtId="0" fontId="12" fillId="8" borderId="0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164" fontId="8" fillId="7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left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/>
    <xf numFmtId="49" fontId="0" fillId="0" borderId="0" xfId="0" applyNumberFormat="1"/>
    <xf numFmtId="0" fontId="6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 vertical="center"/>
    </xf>
    <xf numFmtId="0" fontId="1" fillId="10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7" fillId="3" borderId="0" xfId="0" applyFont="1" applyFill="1" applyBorder="1" applyAlignment="1">
      <alignment horizontal="left"/>
    </xf>
    <xf numFmtId="0" fontId="17" fillId="3" borderId="0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18" fillId="0" borderId="0" xfId="0" applyFont="1" applyFill="1" applyBorder="1" applyAlignment="1" applyProtection="1">
      <alignment horizontal="right"/>
    </xf>
    <xf numFmtId="0" fontId="3" fillId="1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 vertical="center"/>
    </xf>
    <xf numFmtId="0" fontId="3" fillId="11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/>
    </xf>
    <xf numFmtId="0" fontId="1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1" fillId="11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1">
    <cellStyle name="Обычный" xfId="0" builtinId="0"/>
  </cellStyles>
  <dxfs count="2633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right" vertical="bottom" textRotation="0" wrapText="0" indent="0" justifyLastLine="0" shrinkToFit="0" readingOrder="0"/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 patternType="solid">
          <fgColor auto="1"/>
        </patternFill>
      </fill>
      <border>
        <left/>
        <right style="thin">
          <color rgb="FFFF0000"/>
        </right>
        <vertical/>
        <horizontal/>
      </border>
    </dxf>
    <dxf>
      <font>
        <color theme="0" tint="-0.499984740745262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19050</xdr:rowOff>
        </xdr:from>
        <xdr:to>
          <xdr:col>1</xdr:col>
          <xdr:colOff>438150</xdr:colOff>
          <xdr:row>1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9525</xdr:rowOff>
        </xdr:from>
        <xdr:to>
          <xdr:col>1</xdr:col>
          <xdr:colOff>428625</xdr:colOff>
          <xdr:row>2</xdr:row>
          <xdr:rowOff>257175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продолж.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1</xdr:row>
          <xdr:rowOff>19050</xdr:rowOff>
        </xdr:from>
        <xdr:to>
          <xdr:col>4</xdr:col>
          <xdr:colOff>352425</xdr:colOff>
          <xdr:row>1</xdr:row>
          <xdr:rowOff>276225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2</xdr:row>
          <xdr:rowOff>28575</xdr:rowOff>
        </xdr:from>
        <xdr:to>
          <xdr:col>4</xdr:col>
          <xdr:colOff>342900</xdr:colOff>
          <xdr:row>2</xdr:row>
          <xdr:rowOff>257175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Венуть продолж.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5:CVP8" totalsRowShown="0" headerRowDxfId="2624" dataDxfId="2623">
  <autoFilter ref="A5:CVP8" xr:uid="{C3732D91-3EE2-481D-8155-47D0883AE2F4}"/>
  <tableColumns count="2616">
    <tableColumn id="1" xr3:uid="{00000000-0010-0000-0000-000001000000}" name="Фамилия" dataDxfId="2622"/>
    <tableColumn id="2" xr3:uid="{00000000-0010-0000-0000-000002000000}" name="Имя" dataDxfId="2621"/>
    <tableColumn id="3" xr3:uid="{00000000-0010-0000-0000-000003000000}" name="ID" dataDxfId="2620"/>
    <tableColumn id="4" xr3:uid="{00000000-0010-0000-0000-000004000000}" name="Клc" dataDxfId="2619"/>
    <tableColumn id="5" xr3:uid="{00000000-0010-0000-0000-000005000000}" name="Школа" dataDxfId="2618"/>
    <tableColumn id="6" xr3:uid="{00000000-0010-0000-0000-000006000000}" name="Скрыть" dataDxfId="2617"/>
    <tableColumn id="7" xr3:uid="{00000000-0010-0000-0000-000007000000}" name="Уровень" dataDxfId="2616"/>
    <tableColumn id="3820" xr3:uid="{00000000-0010-0000-0000-0000EC0E0000}" name="Доля" dataDxfId="2615">
      <calculatedColumnFormula>IF(ISNA(MATCH(1,$CSL6:$CTY6,0)),"",(J6+1)/($B$1-MATCH(1,$CSL6:$CTY6,0)+2))</calculatedColumnFormula>
    </tableColumn>
    <tableColumn id="3819" xr3:uid="{00000000-0010-0000-0000-0000EB0E0000}" name="Пр.под." dataDxfId="2614">
      <calculatedColumnFormula>IF(ISNA(MATCH(0,$CSL6:$CTY6,-1)),"",$B$1-MATCH(0,$CSL6:$CTY6,-1))</calculatedColumnFormula>
    </tableColumn>
    <tableColumn id="56" xr3:uid="{00000000-0010-0000-0000-000038000000}" name="Раз" dataDxfId="2613">
      <calculatedColumnFormula>SUM(CSL6:CTY6)</calculatedColumnFormula>
    </tableColumn>
    <tableColumn id="57" xr3:uid="{00000000-0010-0000-0000-000039000000}" name="СрЗ" dataDxfId="2612">
      <calculatedColumnFormula>IF($J6&gt;0,SUM($CUA6:$CVN6)/$J6,"")</calculatedColumnFormula>
    </tableColumn>
    <tableColumn id="9" xr3:uid="{00000000-0010-0000-0000-000009000000}" name="Ауд" dataDxfId="2611"/>
    <tableColumn id="10" xr3:uid="{00000000-0010-0000-0000-00000A000000}" name="А.01" dataDxfId="2610"/>
    <tableColumn id="11" xr3:uid="{00000000-0010-0000-0000-00000B000000}" name="А.02" dataDxfId="2609"/>
    <tableColumn id="12" xr3:uid="{00000000-0010-0000-0000-00000C000000}" name="А.03" dataDxfId="2608"/>
    <tableColumn id="13" xr3:uid="{00000000-0010-0000-0000-00000D000000}" name="А.04" dataDxfId="2607"/>
    <tableColumn id="14" xr3:uid="{00000000-0010-0000-0000-00000E000000}" name="А.05" dataDxfId="2606"/>
    <tableColumn id="15" xr3:uid="{00000000-0010-0000-0000-00000F000000}" name="А.06" dataDxfId="2605"/>
    <tableColumn id="16" xr3:uid="{00000000-0010-0000-0000-000010000000}" name="А.07" dataDxfId="2604"/>
    <tableColumn id="17" xr3:uid="{00000000-0010-0000-0000-000011000000}" name="А.08" dataDxfId="2603"/>
    <tableColumn id="18" xr3:uid="{00000000-0010-0000-0000-000012000000}" name="А.09" dataDxfId="2602"/>
    <tableColumn id="19" xr3:uid="{00000000-0010-0000-0000-000013000000}" name="А.10" dataDxfId="2601"/>
    <tableColumn id="20" xr3:uid="{00000000-0010-0000-0000-000014000000}" name="А.11" dataDxfId="2600"/>
    <tableColumn id="21" xr3:uid="{00000000-0010-0000-0000-000015000000}" name="А.12" dataDxfId="2599"/>
    <tableColumn id="22" xr3:uid="{00000000-0010-0000-0000-000016000000}" name="А.13" dataDxfId="2598"/>
    <tableColumn id="23" xr3:uid="{00000000-0010-0000-0000-000017000000}" name="А.14" dataDxfId="2597"/>
    <tableColumn id="24" xr3:uid="{00000000-0010-0000-0000-000018000000}" name="А.15" dataDxfId="2596"/>
    <tableColumn id="25" xr3:uid="{00000000-0010-0000-0000-000019000000}" name="А.16" dataDxfId="2595"/>
    <tableColumn id="26" xr3:uid="{00000000-0010-0000-0000-00001A000000}" name="А.17" dataDxfId="2594"/>
    <tableColumn id="27" xr3:uid="{00000000-0010-0000-0000-00001B000000}" name="А.18" dataDxfId="2593"/>
    <tableColumn id="28" xr3:uid="{00000000-0010-0000-0000-00001C000000}" name="А.19" dataDxfId="2592"/>
    <tableColumn id="29" xr3:uid="{00000000-0010-0000-0000-00001D000000}" name="А.20" dataDxfId="2591"/>
    <tableColumn id="30" xr3:uid="{00000000-0010-0000-0000-00001E000000}" name="А.21" dataDxfId="2590"/>
    <tableColumn id="31" xr3:uid="{00000000-0010-0000-0000-00001F000000}" name="А.22" dataDxfId="2589"/>
    <tableColumn id="32" xr3:uid="{00000000-0010-0000-0000-000020000000}" name="А.23" dataDxfId="2588"/>
    <tableColumn id="33" xr3:uid="{00000000-0010-0000-0000-000021000000}" name="А.24" dataDxfId="2587"/>
    <tableColumn id="34" xr3:uid="{00000000-0010-0000-0000-000022000000}" name="А.25" dataDxfId="2586"/>
    <tableColumn id="35" xr3:uid="{00000000-0010-0000-0000-000023000000}" name="А.26" dataDxfId="2585"/>
    <tableColumn id="36" xr3:uid="{00000000-0010-0000-0000-000024000000}" name="А.27" dataDxfId="2584"/>
    <tableColumn id="37" xr3:uid="{00000000-0010-0000-0000-000025000000}" name="А.28" dataDxfId="2583"/>
    <tableColumn id="38" xr3:uid="{00000000-0010-0000-0000-000026000000}" name="А.29" dataDxfId="2582"/>
    <tableColumn id="39" xr3:uid="{00000000-0010-0000-0000-000027000000}" name="А.30" dataDxfId="2581"/>
    <tableColumn id="40" xr3:uid="{00000000-0010-0000-0000-000028000000}" name="А.31" dataDxfId="2580"/>
    <tableColumn id="41" xr3:uid="{00000000-0010-0000-0000-000029000000}" name="А.32" dataDxfId="2579"/>
    <tableColumn id="42" xr3:uid="{00000000-0010-0000-0000-00002A000000}" name="А.33" dataDxfId="2578"/>
    <tableColumn id="43" xr3:uid="{00000000-0010-0000-0000-00002B000000}" name="А.34" dataDxfId="2577"/>
    <tableColumn id="44" xr3:uid="{00000000-0010-0000-0000-00002C000000}" name="А.35" dataDxfId="2576"/>
    <tableColumn id="45" xr3:uid="{00000000-0010-0000-0000-00002D000000}" name="А.36" dataDxfId="2575"/>
    <tableColumn id="46" xr3:uid="{00000000-0010-0000-0000-00002E000000}" name="А.37" dataDxfId="2574"/>
    <tableColumn id="47" xr3:uid="{00000000-0010-0000-0000-00002F000000}" name="А.38" dataDxfId="2573"/>
    <tableColumn id="48" xr3:uid="{00000000-0010-0000-0000-000030000000}" name="А.39" dataDxfId="2572"/>
    <tableColumn id="49" xr3:uid="{00000000-0010-0000-0000-000031000000}" name="А.40" dataDxfId="2571"/>
    <tableColumn id="58" xr3:uid="{00000000-0010-0000-0000-00003A000000}" name="01н.Н" dataDxfId="2570"/>
    <tableColumn id="59" xr3:uid="{00000000-0010-0000-0000-00003B000000}" name="01н.01*" dataDxfId="2569"/>
    <tableColumn id="60" xr3:uid="{00000000-0010-0000-0000-00003C000000}" name="01н.02*" dataDxfId="2568"/>
    <tableColumn id="61" xr3:uid="{00000000-0010-0000-0000-00003D000000}" name="01н.03*" dataDxfId="2567"/>
    <tableColumn id="62" xr3:uid="{00000000-0010-0000-0000-00003E000000}" name="01н.04*" dataDxfId="2566"/>
    <tableColumn id="63" xr3:uid="{00000000-0010-0000-0000-00003F000000}" name="01н.05*" dataDxfId="2565"/>
    <tableColumn id="64" xr3:uid="{00000000-0010-0000-0000-000040000000}" name="01н.06*" dataDxfId="2564"/>
    <tableColumn id="65" xr3:uid="{00000000-0010-0000-0000-000041000000}" name="01н.07*" dataDxfId="2563"/>
    <tableColumn id="66" xr3:uid="{00000000-0010-0000-0000-000042000000}" name="01н.08*" dataDxfId="2562"/>
    <tableColumn id="67" xr3:uid="{00000000-0010-0000-0000-000043000000}" name="01н.09*" dataDxfId="2561"/>
    <tableColumn id="68" xr3:uid="{00000000-0010-0000-0000-000044000000}" name="01н.10*" dataDxfId="2560"/>
    <tableColumn id="69" xr3:uid="{00000000-0010-0000-0000-000045000000}" name="01н.11*" dataDxfId="2559"/>
    <tableColumn id="70" xr3:uid="{00000000-0010-0000-0000-000046000000}" name="01н.12*" dataDxfId="2558"/>
    <tableColumn id="71" xr3:uid="{00000000-0010-0000-0000-000047000000}" name="01н.13*" dataDxfId="2557"/>
    <tableColumn id="72" xr3:uid="{00000000-0010-0000-0000-000048000000}" name="01н.14*" dataDxfId="2556"/>
    <tableColumn id="73" xr3:uid="{00000000-0010-0000-0000-000049000000}" name="01н.15*" dataDxfId="2555"/>
    <tableColumn id="74" xr3:uid="{00000000-0010-0000-0000-00004A000000}" name="01н.16*" dataDxfId="2554"/>
    <tableColumn id="75" xr3:uid="{00000000-0010-0000-0000-00004B000000}" name="01н.17*" dataDxfId="2553"/>
    <tableColumn id="76" xr3:uid="{00000000-0010-0000-0000-00004C000000}" name="01н.18*" dataDxfId="2552"/>
    <tableColumn id="77" xr3:uid="{00000000-0010-0000-0000-00004D000000}" name="01н.19*" dataDxfId="2551"/>
    <tableColumn id="78" xr3:uid="{00000000-0010-0000-0000-00004E000000}" name="01н.20*" dataDxfId="2550"/>
    <tableColumn id="79" xr3:uid="{00000000-0010-0000-0000-00004F000000}" name="01н.21*" dataDxfId="2549"/>
    <tableColumn id="80" xr3:uid="{00000000-0010-0000-0000-000050000000}" name="01н.22*" dataDxfId="2548"/>
    <tableColumn id="81" xr3:uid="{00000000-0010-0000-0000-000051000000}" name="01н.23*" dataDxfId="2547"/>
    <tableColumn id="82" xr3:uid="{00000000-0010-0000-0000-000052000000}" name="01н.24*" dataDxfId="2546"/>
    <tableColumn id="83" xr3:uid="{00000000-0010-0000-0000-000053000000}" name="01н.25*" dataDxfId="2545"/>
    <tableColumn id="84" xr3:uid="{00000000-0010-0000-0000-000054000000}" name="01н.26*" dataDxfId="2544"/>
    <tableColumn id="85" xr3:uid="{00000000-0010-0000-0000-000055000000}" name="01н.27*" dataDxfId="2543"/>
    <tableColumn id="86" xr3:uid="{00000000-0010-0000-0000-000056000000}" name="01н.28*" dataDxfId="2542"/>
    <tableColumn id="87" xr3:uid="{00000000-0010-0000-0000-000057000000}" name="01н.29*" dataDxfId="2541"/>
    <tableColumn id="88" xr3:uid="{00000000-0010-0000-0000-000058000000}" name="01н.30*" dataDxfId="2540"/>
    <tableColumn id="89" xr3:uid="{00000000-0010-0000-0000-000059000000}" name="01п.Н" dataDxfId="2539"/>
    <tableColumn id="90" xr3:uid="{00000000-0010-0000-0000-00005A000000}" name="01п.01*" dataDxfId="2538"/>
    <tableColumn id="91" xr3:uid="{00000000-0010-0000-0000-00005B000000}" name="01п.02*" dataDxfId="2537"/>
    <tableColumn id="92" xr3:uid="{00000000-0010-0000-0000-00005C000000}" name="01п.03*" dataDxfId="2536"/>
    <tableColumn id="93" xr3:uid="{00000000-0010-0000-0000-00005D000000}" name="01п.04*" dataDxfId="2535"/>
    <tableColumn id="94" xr3:uid="{00000000-0010-0000-0000-00005E000000}" name="01п.05*" dataDxfId="2534"/>
    <tableColumn id="95" xr3:uid="{00000000-0010-0000-0000-00005F000000}" name="01п.06*" dataDxfId="2533"/>
    <tableColumn id="96" xr3:uid="{00000000-0010-0000-0000-000060000000}" name="01п.07*" dataDxfId="2532"/>
    <tableColumn id="97" xr3:uid="{00000000-0010-0000-0000-000061000000}" name="01п.08*" dataDxfId="2531"/>
    <tableColumn id="98" xr3:uid="{00000000-0010-0000-0000-000062000000}" name="01п.09*" dataDxfId="2530"/>
    <tableColumn id="99" xr3:uid="{00000000-0010-0000-0000-000063000000}" name="01п.10*" dataDxfId="2529"/>
    <tableColumn id="100" xr3:uid="{00000000-0010-0000-0000-000064000000}" name="01п.11*" dataDxfId="2528"/>
    <tableColumn id="101" xr3:uid="{00000000-0010-0000-0000-000065000000}" name="01п.12*" dataDxfId="2527"/>
    <tableColumn id="102" xr3:uid="{00000000-0010-0000-0000-000066000000}" name="01п.13*" dataDxfId="2526"/>
    <tableColumn id="103" xr3:uid="{00000000-0010-0000-0000-000067000000}" name="01п.14*" dataDxfId="2525"/>
    <tableColumn id="104" xr3:uid="{00000000-0010-0000-0000-000068000000}" name="01п.15*" dataDxfId="2524"/>
    <tableColumn id="105" xr3:uid="{00000000-0010-0000-0000-000069000000}" name="01п.16*" dataDxfId="2523"/>
    <tableColumn id="106" xr3:uid="{00000000-0010-0000-0000-00006A000000}" name="01п.17*" dataDxfId="2522"/>
    <tableColumn id="107" xr3:uid="{00000000-0010-0000-0000-00006B000000}" name="01п.18*" dataDxfId="2521"/>
    <tableColumn id="108" xr3:uid="{00000000-0010-0000-0000-00006C000000}" name="01п.19*" dataDxfId="2520"/>
    <tableColumn id="109" xr3:uid="{00000000-0010-0000-0000-00006D000000}" name="01п.20*" dataDxfId="2519"/>
    <tableColumn id="110" xr3:uid="{00000000-0010-0000-0000-00006E000000}" name="01п.21*" dataDxfId="2518"/>
    <tableColumn id="111" xr3:uid="{00000000-0010-0000-0000-00006F000000}" name="01п.22*" dataDxfId="2517"/>
    <tableColumn id="112" xr3:uid="{00000000-0010-0000-0000-000070000000}" name="01п.23*" dataDxfId="2516"/>
    <tableColumn id="113" xr3:uid="{00000000-0010-0000-0000-000071000000}" name="01п.24*" dataDxfId="2515"/>
    <tableColumn id="114" xr3:uid="{00000000-0010-0000-0000-000072000000}" name="01п.25*" dataDxfId="2514"/>
    <tableColumn id="115" xr3:uid="{00000000-0010-0000-0000-000073000000}" name="01п.26*" dataDxfId="2513"/>
    <tableColumn id="116" xr3:uid="{00000000-0010-0000-0000-000074000000}" name="01п.27*" dataDxfId="2512"/>
    <tableColumn id="117" xr3:uid="{00000000-0010-0000-0000-000075000000}" name="01п.28*" dataDxfId="2511"/>
    <tableColumn id="118" xr3:uid="{00000000-0010-0000-0000-000076000000}" name="01п.29*" dataDxfId="2510"/>
    <tableColumn id="119" xr3:uid="{00000000-0010-0000-0000-000077000000}" name="01п.30*" dataDxfId="2509"/>
    <tableColumn id="151" xr3:uid="{00000000-0010-0000-0000-000097000000}" name="02н.Н" dataDxfId="2508"/>
    <tableColumn id="152" xr3:uid="{00000000-0010-0000-0000-000098000000}" name="02н.01*" dataDxfId="2507"/>
    <tableColumn id="153" xr3:uid="{00000000-0010-0000-0000-000099000000}" name="02н.02*" dataDxfId="2506"/>
    <tableColumn id="154" xr3:uid="{00000000-0010-0000-0000-00009A000000}" name="02н.03*" dataDxfId="2505"/>
    <tableColumn id="155" xr3:uid="{00000000-0010-0000-0000-00009B000000}" name="02н.04*" dataDxfId="2504"/>
    <tableColumn id="156" xr3:uid="{00000000-0010-0000-0000-00009C000000}" name="02н.05*" dataDxfId="2503"/>
    <tableColumn id="157" xr3:uid="{00000000-0010-0000-0000-00009D000000}" name="02н.06*" dataDxfId="2502"/>
    <tableColumn id="158" xr3:uid="{00000000-0010-0000-0000-00009E000000}" name="02н.07*" dataDxfId="2501"/>
    <tableColumn id="159" xr3:uid="{00000000-0010-0000-0000-00009F000000}" name="02н.08*" dataDxfId="2500"/>
    <tableColumn id="160" xr3:uid="{00000000-0010-0000-0000-0000A0000000}" name="02н.09*" dataDxfId="2499"/>
    <tableColumn id="161" xr3:uid="{00000000-0010-0000-0000-0000A1000000}" name="02н.10*" dataDxfId="2498"/>
    <tableColumn id="162" xr3:uid="{00000000-0010-0000-0000-0000A2000000}" name="02н.11*" dataDxfId="2497"/>
    <tableColumn id="163" xr3:uid="{00000000-0010-0000-0000-0000A3000000}" name="02н.12*" dataDxfId="2496"/>
    <tableColumn id="164" xr3:uid="{00000000-0010-0000-0000-0000A4000000}" name="02н.13*" dataDxfId="2495"/>
    <tableColumn id="165" xr3:uid="{00000000-0010-0000-0000-0000A5000000}" name="02н.14*" dataDxfId="2494"/>
    <tableColumn id="166" xr3:uid="{00000000-0010-0000-0000-0000A6000000}" name="02н.15*" dataDxfId="2493"/>
    <tableColumn id="167" xr3:uid="{00000000-0010-0000-0000-0000A7000000}" name="02н.16*" dataDxfId="2492"/>
    <tableColumn id="168" xr3:uid="{00000000-0010-0000-0000-0000A8000000}" name="02н.17*" dataDxfId="2491"/>
    <tableColumn id="169" xr3:uid="{00000000-0010-0000-0000-0000A9000000}" name="02н.18*" dataDxfId="2490"/>
    <tableColumn id="170" xr3:uid="{00000000-0010-0000-0000-0000AA000000}" name="02н.19*" dataDxfId="2489"/>
    <tableColumn id="171" xr3:uid="{00000000-0010-0000-0000-0000AB000000}" name="02н.20*" dataDxfId="2488"/>
    <tableColumn id="172" xr3:uid="{00000000-0010-0000-0000-0000AC000000}" name="02н.21*" dataDxfId="2487"/>
    <tableColumn id="173" xr3:uid="{00000000-0010-0000-0000-0000AD000000}" name="02н.22*" dataDxfId="2486"/>
    <tableColumn id="174" xr3:uid="{00000000-0010-0000-0000-0000AE000000}" name="02н.23*" dataDxfId="2485"/>
    <tableColumn id="175" xr3:uid="{00000000-0010-0000-0000-0000AF000000}" name="02н.24*" dataDxfId="2484"/>
    <tableColumn id="176" xr3:uid="{00000000-0010-0000-0000-0000B0000000}" name="02н.25*" dataDxfId="2483"/>
    <tableColumn id="177" xr3:uid="{00000000-0010-0000-0000-0000B1000000}" name="02н.26*" dataDxfId="2482"/>
    <tableColumn id="178" xr3:uid="{00000000-0010-0000-0000-0000B2000000}" name="02н.27*" dataDxfId="2481"/>
    <tableColumn id="179" xr3:uid="{00000000-0010-0000-0000-0000B3000000}" name="02н.28*" dataDxfId="2480"/>
    <tableColumn id="180" xr3:uid="{00000000-0010-0000-0000-0000B4000000}" name="02н.29*" dataDxfId="2479"/>
    <tableColumn id="181" xr3:uid="{00000000-0010-0000-0000-0000B5000000}" name="02н.30*" dataDxfId="2478"/>
    <tableColumn id="182" xr3:uid="{00000000-0010-0000-0000-0000B6000000}" name="02п.Н" dataDxfId="2477"/>
    <tableColumn id="183" xr3:uid="{00000000-0010-0000-0000-0000B7000000}" name="02п.01*" dataDxfId="2476"/>
    <tableColumn id="184" xr3:uid="{00000000-0010-0000-0000-0000B8000000}" name="02п.02*" dataDxfId="2475"/>
    <tableColumn id="185" xr3:uid="{00000000-0010-0000-0000-0000B9000000}" name="02п.03*" dataDxfId="2474"/>
    <tableColumn id="186" xr3:uid="{00000000-0010-0000-0000-0000BA000000}" name="02п.04*" dataDxfId="2473"/>
    <tableColumn id="187" xr3:uid="{00000000-0010-0000-0000-0000BB000000}" name="02п.05*" dataDxfId="2472"/>
    <tableColumn id="188" xr3:uid="{00000000-0010-0000-0000-0000BC000000}" name="02п.06*" dataDxfId="2471"/>
    <tableColumn id="189" xr3:uid="{00000000-0010-0000-0000-0000BD000000}" name="02п.07*" dataDxfId="2470"/>
    <tableColumn id="190" xr3:uid="{00000000-0010-0000-0000-0000BE000000}" name="02п.08*" dataDxfId="2469"/>
    <tableColumn id="191" xr3:uid="{00000000-0010-0000-0000-0000BF000000}" name="02п.09*" dataDxfId="2468"/>
    <tableColumn id="192" xr3:uid="{00000000-0010-0000-0000-0000C0000000}" name="02п.10*" dataDxfId="2467"/>
    <tableColumn id="193" xr3:uid="{00000000-0010-0000-0000-0000C1000000}" name="02п.11*" dataDxfId="2466"/>
    <tableColumn id="194" xr3:uid="{00000000-0010-0000-0000-0000C2000000}" name="02п.12*" dataDxfId="2465"/>
    <tableColumn id="195" xr3:uid="{00000000-0010-0000-0000-0000C3000000}" name="02п.13*" dataDxfId="2464"/>
    <tableColumn id="196" xr3:uid="{00000000-0010-0000-0000-0000C4000000}" name="02п.14*" dataDxfId="2463"/>
    <tableColumn id="197" xr3:uid="{00000000-0010-0000-0000-0000C5000000}" name="02п.15*" dataDxfId="2462"/>
    <tableColumn id="198" xr3:uid="{00000000-0010-0000-0000-0000C6000000}" name="02п.16*" dataDxfId="2461"/>
    <tableColumn id="199" xr3:uid="{00000000-0010-0000-0000-0000C7000000}" name="02п.17*" dataDxfId="2460"/>
    <tableColumn id="200" xr3:uid="{00000000-0010-0000-0000-0000C8000000}" name="02п.18*" dataDxfId="2459"/>
    <tableColumn id="201" xr3:uid="{00000000-0010-0000-0000-0000C9000000}" name="02п.19*" dataDxfId="2458"/>
    <tableColumn id="202" xr3:uid="{00000000-0010-0000-0000-0000CA000000}" name="02п.20*" dataDxfId="2457"/>
    <tableColumn id="203" xr3:uid="{00000000-0010-0000-0000-0000CB000000}" name="02п.21*" dataDxfId="2456"/>
    <tableColumn id="204" xr3:uid="{00000000-0010-0000-0000-0000CC000000}" name="02п.22*" dataDxfId="2455"/>
    <tableColumn id="205" xr3:uid="{00000000-0010-0000-0000-0000CD000000}" name="02п.23*" dataDxfId="2454"/>
    <tableColumn id="206" xr3:uid="{00000000-0010-0000-0000-0000CE000000}" name="02п.24*" dataDxfId="2453"/>
    <tableColumn id="207" xr3:uid="{00000000-0010-0000-0000-0000CF000000}" name="02п.25*" dataDxfId="2452"/>
    <tableColumn id="208" xr3:uid="{00000000-0010-0000-0000-0000D0000000}" name="02п.26*" dataDxfId="2451"/>
    <tableColumn id="209" xr3:uid="{00000000-0010-0000-0000-0000D1000000}" name="02п.27*" dataDxfId="2450"/>
    <tableColumn id="210" xr3:uid="{00000000-0010-0000-0000-0000D2000000}" name="02п.28*" dataDxfId="2449"/>
    <tableColumn id="211" xr3:uid="{00000000-0010-0000-0000-0000D3000000}" name="02п.29*" dataDxfId="2448"/>
    <tableColumn id="212" xr3:uid="{00000000-0010-0000-0000-0000D4000000}" name="02п.30*" dataDxfId="2447"/>
    <tableColumn id="244" xr3:uid="{00000000-0010-0000-0000-0000F4000000}" name="03н.Н" dataDxfId="2446"/>
    <tableColumn id="245" xr3:uid="{00000000-0010-0000-0000-0000F5000000}" name="03н.01*" dataDxfId="2445"/>
    <tableColumn id="246" xr3:uid="{00000000-0010-0000-0000-0000F6000000}" name="03н.02*" dataDxfId="2444"/>
    <tableColumn id="247" xr3:uid="{00000000-0010-0000-0000-0000F7000000}" name="03н.03*" dataDxfId="2443"/>
    <tableColumn id="248" xr3:uid="{00000000-0010-0000-0000-0000F8000000}" name="03н.04*" dataDxfId="2442"/>
    <tableColumn id="249" xr3:uid="{00000000-0010-0000-0000-0000F9000000}" name="03н.05*" dataDxfId="2441"/>
    <tableColumn id="250" xr3:uid="{00000000-0010-0000-0000-0000FA000000}" name="03н.06*" dataDxfId="2440"/>
    <tableColumn id="251" xr3:uid="{00000000-0010-0000-0000-0000FB000000}" name="03н.07*" dataDxfId="2439"/>
    <tableColumn id="252" xr3:uid="{00000000-0010-0000-0000-0000FC000000}" name="03н.08*" dataDxfId="2438"/>
    <tableColumn id="253" xr3:uid="{00000000-0010-0000-0000-0000FD000000}" name="03н.09*" dataDxfId="2437"/>
    <tableColumn id="254" xr3:uid="{00000000-0010-0000-0000-0000FE000000}" name="03н.10*" dataDxfId="2436"/>
    <tableColumn id="255" xr3:uid="{00000000-0010-0000-0000-0000FF000000}" name="03н.11*" dataDxfId="2435"/>
    <tableColumn id="256" xr3:uid="{00000000-0010-0000-0000-000000010000}" name="03н.12*" dataDxfId="2434"/>
    <tableColumn id="257" xr3:uid="{00000000-0010-0000-0000-000001010000}" name="03н.13*" dataDxfId="2433"/>
    <tableColumn id="258" xr3:uid="{00000000-0010-0000-0000-000002010000}" name="03н.14*" dataDxfId="2432"/>
    <tableColumn id="259" xr3:uid="{00000000-0010-0000-0000-000003010000}" name="03н.15*" dataDxfId="2431"/>
    <tableColumn id="260" xr3:uid="{00000000-0010-0000-0000-000004010000}" name="03н.16*" dataDxfId="2430"/>
    <tableColumn id="261" xr3:uid="{00000000-0010-0000-0000-000005010000}" name="03н.17*" dataDxfId="2429"/>
    <tableColumn id="262" xr3:uid="{00000000-0010-0000-0000-000006010000}" name="03н.18*" dataDxfId="2428"/>
    <tableColumn id="263" xr3:uid="{00000000-0010-0000-0000-000007010000}" name="03н.19*" dataDxfId="2427"/>
    <tableColumn id="264" xr3:uid="{00000000-0010-0000-0000-000008010000}" name="03н.20*" dataDxfId="2426"/>
    <tableColumn id="265" xr3:uid="{00000000-0010-0000-0000-000009010000}" name="03н.21*" dataDxfId="2425"/>
    <tableColumn id="266" xr3:uid="{00000000-0010-0000-0000-00000A010000}" name="03н.22*" dataDxfId="2424"/>
    <tableColumn id="267" xr3:uid="{00000000-0010-0000-0000-00000B010000}" name="03н.23*" dataDxfId="2423"/>
    <tableColumn id="268" xr3:uid="{00000000-0010-0000-0000-00000C010000}" name="03н.24*" dataDxfId="2422"/>
    <tableColumn id="269" xr3:uid="{00000000-0010-0000-0000-00000D010000}" name="03н.25*" dataDxfId="2421"/>
    <tableColumn id="270" xr3:uid="{00000000-0010-0000-0000-00000E010000}" name="03н.26*" dataDxfId="2420"/>
    <tableColumn id="271" xr3:uid="{00000000-0010-0000-0000-00000F010000}" name="03н.27*" dataDxfId="2419"/>
    <tableColumn id="272" xr3:uid="{00000000-0010-0000-0000-000010010000}" name="03н.28*" dataDxfId="2418"/>
    <tableColumn id="273" xr3:uid="{00000000-0010-0000-0000-000011010000}" name="03н.29*" dataDxfId="2417"/>
    <tableColumn id="274" xr3:uid="{00000000-0010-0000-0000-000012010000}" name="03н.30*" dataDxfId="2416"/>
    <tableColumn id="275" xr3:uid="{00000000-0010-0000-0000-000013010000}" name="03п.Н" dataDxfId="2415"/>
    <tableColumn id="276" xr3:uid="{00000000-0010-0000-0000-000014010000}" name="03п.01*" dataDxfId="2414"/>
    <tableColumn id="277" xr3:uid="{00000000-0010-0000-0000-000015010000}" name="03п.02*" dataDxfId="2413"/>
    <tableColumn id="278" xr3:uid="{00000000-0010-0000-0000-000016010000}" name="03п.03*" dataDxfId="2412"/>
    <tableColumn id="279" xr3:uid="{00000000-0010-0000-0000-000017010000}" name="03п.04*" dataDxfId="2411"/>
    <tableColumn id="280" xr3:uid="{00000000-0010-0000-0000-000018010000}" name="03п.05*" dataDxfId="2410"/>
    <tableColumn id="281" xr3:uid="{00000000-0010-0000-0000-000019010000}" name="03п.06*" dataDxfId="2409"/>
    <tableColumn id="282" xr3:uid="{00000000-0010-0000-0000-00001A010000}" name="03п.07*" dataDxfId="2408"/>
    <tableColumn id="283" xr3:uid="{00000000-0010-0000-0000-00001B010000}" name="03п.08*" dataDxfId="2407"/>
    <tableColumn id="284" xr3:uid="{00000000-0010-0000-0000-00001C010000}" name="03п.09*" dataDxfId="2406"/>
    <tableColumn id="285" xr3:uid="{00000000-0010-0000-0000-00001D010000}" name="03п.10*" dataDxfId="2405"/>
    <tableColumn id="286" xr3:uid="{00000000-0010-0000-0000-00001E010000}" name="03п.11*" dataDxfId="2404"/>
    <tableColumn id="287" xr3:uid="{00000000-0010-0000-0000-00001F010000}" name="03п.12*" dataDxfId="2403"/>
    <tableColumn id="288" xr3:uid="{00000000-0010-0000-0000-000020010000}" name="03п.13*" dataDxfId="2402"/>
    <tableColumn id="289" xr3:uid="{00000000-0010-0000-0000-000021010000}" name="03п.14*" dataDxfId="2401"/>
    <tableColumn id="290" xr3:uid="{00000000-0010-0000-0000-000022010000}" name="03п.15*" dataDxfId="2400"/>
    <tableColumn id="291" xr3:uid="{00000000-0010-0000-0000-000023010000}" name="03п.16*" dataDxfId="2399"/>
    <tableColumn id="292" xr3:uid="{00000000-0010-0000-0000-000024010000}" name="03п.17*" dataDxfId="2398"/>
    <tableColumn id="293" xr3:uid="{00000000-0010-0000-0000-000025010000}" name="03п.18*" dataDxfId="2397"/>
    <tableColumn id="294" xr3:uid="{00000000-0010-0000-0000-000026010000}" name="03п.19*" dataDxfId="2396"/>
    <tableColumn id="295" xr3:uid="{00000000-0010-0000-0000-000027010000}" name="03п.20*" dataDxfId="2395"/>
    <tableColumn id="296" xr3:uid="{00000000-0010-0000-0000-000028010000}" name="03п.21*" dataDxfId="2394"/>
    <tableColumn id="297" xr3:uid="{00000000-0010-0000-0000-000029010000}" name="03п.22*" dataDxfId="2393"/>
    <tableColumn id="298" xr3:uid="{00000000-0010-0000-0000-00002A010000}" name="03п.23*" dataDxfId="2392"/>
    <tableColumn id="299" xr3:uid="{00000000-0010-0000-0000-00002B010000}" name="03п.24*" dataDxfId="2391"/>
    <tableColumn id="300" xr3:uid="{00000000-0010-0000-0000-00002C010000}" name="03п.25*" dataDxfId="2390"/>
    <tableColumn id="301" xr3:uid="{00000000-0010-0000-0000-00002D010000}" name="03п.26*" dataDxfId="2389"/>
    <tableColumn id="302" xr3:uid="{00000000-0010-0000-0000-00002E010000}" name="03п.27*" dataDxfId="2388"/>
    <tableColumn id="303" xr3:uid="{00000000-0010-0000-0000-00002F010000}" name="03п.28*" dataDxfId="2387"/>
    <tableColumn id="304" xr3:uid="{00000000-0010-0000-0000-000030010000}" name="03п.29*" dataDxfId="2386"/>
    <tableColumn id="305" xr3:uid="{00000000-0010-0000-0000-000031010000}" name="03п.30*" dataDxfId="2385"/>
    <tableColumn id="337" xr3:uid="{00000000-0010-0000-0000-000051010000}" name="04н.Н" dataDxfId="2384"/>
    <tableColumn id="338" xr3:uid="{00000000-0010-0000-0000-000052010000}" name="04н.01*" dataDxfId="2383"/>
    <tableColumn id="339" xr3:uid="{00000000-0010-0000-0000-000053010000}" name="04н.02*" dataDxfId="2382"/>
    <tableColumn id="340" xr3:uid="{00000000-0010-0000-0000-000054010000}" name="04н.03*" dataDxfId="2381"/>
    <tableColumn id="341" xr3:uid="{00000000-0010-0000-0000-000055010000}" name="04н.04*" dataDxfId="2380"/>
    <tableColumn id="342" xr3:uid="{00000000-0010-0000-0000-000056010000}" name="04н.05*" dataDxfId="2379"/>
    <tableColumn id="343" xr3:uid="{00000000-0010-0000-0000-000057010000}" name="04н.06*" dataDxfId="2378"/>
    <tableColumn id="344" xr3:uid="{00000000-0010-0000-0000-000058010000}" name="04н.07*" dataDxfId="2377"/>
    <tableColumn id="345" xr3:uid="{00000000-0010-0000-0000-000059010000}" name="04н.08*" dataDxfId="2376"/>
    <tableColumn id="346" xr3:uid="{00000000-0010-0000-0000-00005A010000}" name="04н.09*" dataDxfId="2375"/>
    <tableColumn id="347" xr3:uid="{00000000-0010-0000-0000-00005B010000}" name="04н.10*" dataDxfId="2374"/>
    <tableColumn id="348" xr3:uid="{00000000-0010-0000-0000-00005C010000}" name="04н.11*" dataDxfId="2373"/>
    <tableColumn id="349" xr3:uid="{00000000-0010-0000-0000-00005D010000}" name="04н.12*" dataDxfId="2372"/>
    <tableColumn id="350" xr3:uid="{00000000-0010-0000-0000-00005E010000}" name="04н.13*" dataDxfId="2371"/>
    <tableColumn id="351" xr3:uid="{00000000-0010-0000-0000-00005F010000}" name="04н.14*" dataDxfId="2370"/>
    <tableColumn id="352" xr3:uid="{00000000-0010-0000-0000-000060010000}" name="04н.15*" dataDxfId="2369"/>
    <tableColumn id="353" xr3:uid="{00000000-0010-0000-0000-000061010000}" name="04н.16*" dataDxfId="2368"/>
    <tableColumn id="354" xr3:uid="{00000000-0010-0000-0000-000062010000}" name="04н.17*" dataDxfId="2367"/>
    <tableColumn id="355" xr3:uid="{00000000-0010-0000-0000-000063010000}" name="04н.18*" dataDxfId="2366"/>
    <tableColumn id="356" xr3:uid="{00000000-0010-0000-0000-000064010000}" name="04н.19*" dataDxfId="2365"/>
    <tableColumn id="357" xr3:uid="{00000000-0010-0000-0000-000065010000}" name="04н.20*" dataDxfId="2364"/>
    <tableColumn id="358" xr3:uid="{00000000-0010-0000-0000-000066010000}" name="04н.21*" dataDxfId="2363"/>
    <tableColumn id="359" xr3:uid="{00000000-0010-0000-0000-000067010000}" name="04н.22*" dataDxfId="2362"/>
    <tableColumn id="360" xr3:uid="{00000000-0010-0000-0000-000068010000}" name="04н.23*" dataDxfId="2361"/>
    <tableColumn id="361" xr3:uid="{00000000-0010-0000-0000-000069010000}" name="04н.24*" dataDxfId="2360"/>
    <tableColumn id="362" xr3:uid="{00000000-0010-0000-0000-00006A010000}" name="04н.25*" dataDxfId="2359"/>
    <tableColumn id="363" xr3:uid="{00000000-0010-0000-0000-00006B010000}" name="04н.26*" dataDxfId="2358"/>
    <tableColumn id="364" xr3:uid="{00000000-0010-0000-0000-00006C010000}" name="04н.27*" dataDxfId="2357"/>
    <tableColumn id="365" xr3:uid="{00000000-0010-0000-0000-00006D010000}" name="04н.28*" dataDxfId="2356"/>
    <tableColumn id="366" xr3:uid="{00000000-0010-0000-0000-00006E010000}" name="04н.29*" dataDxfId="2355"/>
    <tableColumn id="367" xr3:uid="{00000000-0010-0000-0000-00006F010000}" name="04н.30*" dataDxfId="2354"/>
    <tableColumn id="368" xr3:uid="{00000000-0010-0000-0000-000070010000}" name="04п.Н" dataDxfId="2353"/>
    <tableColumn id="369" xr3:uid="{00000000-0010-0000-0000-000071010000}" name="04п.01*" dataDxfId="2352"/>
    <tableColumn id="370" xr3:uid="{00000000-0010-0000-0000-000072010000}" name="04п.02*" dataDxfId="2351"/>
    <tableColumn id="371" xr3:uid="{00000000-0010-0000-0000-000073010000}" name="04п.03*" dataDxfId="2350"/>
    <tableColumn id="372" xr3:uid="{00000000-0010-0000-0000-000074010000}" name="04п.04*" dataDxfId="2349"/>
    <tableColumn id="373" xr3:uid="{00000000-0010-0000-0000-000075010000}" name="04п.05*" dataDxfId="2348"/>
    <tableColumn id="374" xr3:uid="{00000000-0010-0000-0000-000076010000}" name="04п.06*" dataDxfId="2347"/>
    <tableColumn id="375" xr3:uid="{00000000-0010-0000-0000-000077010000}" name="04п.07*" dataDxfId="2346"/>
    <tableColumn id="376" xr3:uid="{00000000-0010-0000-0000-000078010000}" name="04п.08*" dataDxfId="2345"/>
    <tableColumn id="377" xr3:uid="{00000000-0010-0000-0000-000079010000}" name="04п.09*" dataDxfId="2344"/>
    <tableColumn id="378" xr3:uid="{00000000-0010-0000-0000-00007A010000}" name="04п.10*" dataDxfId="2343"/>
    <tableColumn id="379" xr3:uid="{00000000-0010-0000-0000-00007B010000}" name="04п.11*" dataDxfId="2342"/>
    <tableColumn id="380" xr3:uid="{00000000-0010-0000-0000-00007C010000}" name="04п.12*" dataDxfId="2341"/>
    <tableColumn id="381" xr3:uid="{00000000-0010-0000-0000-00007D010000}" name="04п.13*" dataDxfId="2340"/>
    <tableColumn id="382" xr3:uid="{00000000-0010-0000-0000-00007E010000}" name="04п.14*" dataDxfId="2339"/>
    <tableColumn id="383" xr3:uid="{00000000-0010-0000-0000-00007F010000}" name="04п.15*" dataDxfId="2338"/>
    <tableColumn id="384" xr3:uid="{00000000-0010-0000-0000-000080010000}" name="04п.16*" dataDxfId="2337"/>
    <tableColumn id="385" xr3:uid="{00000000-0010-0000-0000-000081010000}" name="04п.17*" dataDxfId="2336"/>
    <tableColumn id="386" xr3:uid="{00000000-0010-0000-0000-000082010000}" name="04п.18*" dataDxfId="2335"/>
    <tableColumn id="387" xr3:uid="{00000000-0010-0000-0000-000083010000}" name="04п.19*" dataDxfId="2334"/>
    <tableColumn id="388" xr3:uid="{00000000-0010-0000-0000-000084010000}" name="04п.20*" dataDxfId="2333"/>
    <tableColumn id="389" xr3:uid="{00000000-0010-0000-0000-000085010000}" name="04п.21*" dataDxfId="2332"/>
    <tableColumn id="390" xr3:uid="{00000000-0010-0000-0000-000086010000}" name="04п.22*" dataDxfId="2331"/>
    <tableColumn id="391" xr3:uid="{00000000-0010-0000-0000-000087010000}" name="04п.23*" dataDxfId="2330"/>
    <tableColumn id="392" xr3:uid="{00000000-0010-0000-0000-000088010000}" name="04п.24*" dataDxfId="2329"/>
    <tableColumn id="393" xr3:uid="{00000000-0010-0000-0000-000089010000}" name="04п.25*" dataDxfId="2328"/>
    <tableColumn id="394" xr3:uid="{00000000-0010-0000-0000-00008A010000}" name="04п.26*" dataDxfId="2327"/>
    <tableColumn id="395" xr3:uid="{00000000-0010-0000-0000-00008B010000}" name="04п.27*" dataDxfId="2326"/>
    <tableColumn id="396" xr3:uid="{00000000-0010-0000-0000-00008C010000}" name="04п.28*" dataDxfId="2325"/>
    <tableColumn id="397" xr3:uid="{00000000-0010-0000-0000-00008D010000}" name="04п.29*" dataDxfId="2324"/>
    <tableColumn id="398" xr3:uid="{00000000-0010-0000-0000-00008E010000}" name="04п.30*" dataDxfId="2323"/>
    <tableColumn id="430" xr3:uid="{00000000-0010-0000-0000-0000AE010000}" name="05н.Н" dataDxfId="2322"/>
    <tableColumn id="431" xr3:uid="{00000000-0010-0000-0000-0000AF010000}" name="05н.01*" dataDxfId="2321"/>
    <tableColumn id="432" xr3:uid="{00000000-0010-0000-0000-0000B0010000}" name="05н.02*" dataDxfId="2320"/>
    <tableColumn id="433" xr3:uid="{00000000-0010-0000-0000-0000B1010000}" name="05н.03*" dataDxfId="2319"/>
    <tableColumn id="434" xr3:uid="{00000000-0010-0000-0000-0000B2010000}" name="05н.04*" dataDxfId="2318"/>
    <tableColumn id="435" xr3:uid="{00000000-0010-0000-0000-0000B3010000}" name="05н.05*" dataDxfId="2317"/>
    <tableColumn id="436" xr3:uid="{00000000-0010-0000-0000-0000B4010000}" name="05н.06*" dataDxfId="2316"/>
    <tableColumn id="437" xr3:uid="{00000000-0010-0000-0000-0000B5010000}" name="05н.07*" dataDxfId="2315"/>
    <tableColumn id="438" xr3:uid="{00000000-0010-0000-0000-0000B6010000}" name="05н.08*" dataDxfId="2314"/>
    <tableColumn id="439" xr3:uid="{00000000-0010-0000-0000-0000B7010000}" name="05н.09*" dataDxfId="2313"/>
    <tableColumn id="440" xr3:uid="{00000000-0010-0000-0000-0000B8010000}" name="05н.10*" dataDxfId="2312"/>
    <tableColumn id="441" xr3:uid="{00000000-0010-0000-0000-0000B9010000}" name="05н.11*" dataDxfId="2311"/>
    <tableColumn id="442" xr3:uid="{00000000-0010-0000-0000-0000BA010000}" name="05н.12*" dataDxfId="2310"/>
    <tableColumn id="443" xr3:uid="{00000000-0010-0000-0000-0000BB010000}" name="05н.13*" dataDxfId="2309"/>
    <tableColumn id="444" xr3:uid="{00000000-0010-0000-0000-0000BC010000}" name="05н.14*" dataDxfId="2308"/>
    <tableColumn id="445" xr3:uid="{00000000-0010-0000-0000-0000BD010000}" name="05н.15*" dataDxfId="2307"/>
    <tableColumn id="446" xr3:uid="{00000000-0010-0000-0000-0000BE010000}" name="05н.16*" dataDxfId="2306"/>
    <tableColumn id="447" xr3:uid="{00000000-0010-0000-0000-0000BF010000}" name="05н.17*" dataDxfId="2305"/>
    <tableColumn id="448" xr3:uid="{00000000-0010-0000-0000-0000C0010000}" name="05н.18*" dataDxfId="2304"/>
    <tableColumn id="449" xr3:uid="{00000000-0010-0000-0000-0000C1010000}" name="05н.19*" dataDxfId="2303"/>
    <tableColumn id="450" xr3:uid="{00000000-0010-0000-0000-0000C2010000}" name="05н.20*" dataDxfId="2302"/>
    <tableColumn id="451" xr3:uid="{00000000-0010-0000-0000-0000C3010000}" name="05н.21*" dataDxfId="2301"/>
    <tableColumn id="452" xr3:uid="{00000000-0010-0000-0000-0000C4010000}" name="05н.22*" dataDxfId="2300"/>
    <tableColumn id="453" xr3:uid="{00000000-0010-0000-0000-0000C5010000}" name="05н.23*" dataDxfId="2299"/>
    <tableColumn id="454" xr3:uid="{00000000-0010-0000-0000-0000C6010000}" name="05н.24*" dataDxfId="2298"/>
    <tableColumn id="455" xr3:uid="{00000000-0010-0000-0000-0000C7010000}" name="05н.25*" dataDxfId="2297"/>
    <tableColumn id="456" xr3:uid="{00000000-0010-0000-0000-0000C8010000}" name="05н.26*" dataDxfId="2296"/>
    <tableColumn id="457" xr3:uid="{00000000-0010-0000-0000-0000C9010000}" name="05н.27*" dataDxfId="2295"/>
    <tableColumn id="458" xr3:uid="{00000000-0010-0000-0000-0000CA010000}" name="05н.28*" dataDxfId="2294"/>
    <tableColumn id="459" xr3:uid="{00000000-0010-0000-0000-0000CB010000}" name="05н.29*" dataDxfId="2293"/>
    <tableColumn id="460" xr3:uid="{00000000-0010-0000-0000-0000CC010000}" name="05н.30*" dataDxfId="2292"/>
    <tableColumn id="461" xr3:uid="{00000000-0010-0000-0000-0000CD010000}" name="05п.Н" dataDxfId="2291"/>
    <tableColumn id="462" xr3:uid="{00000000-0010-0000-0000-0000CE010000}" name="05п.01*" dataDxfId="2290"/>
    <tableColumn id="463" xr3:uid="{00000000-0010-0000-0000-0000CF010000}" name="05п.02*" dataDxfId="2289"/>
    <tableColumn id="464" xr3:uid="{00000000-0010-0000-0000-0000D0010000}" name="05п.03*" dataDxfId="2288"/>
    <tableColumn id="465" xr3:uid="{00000000-0010-0000-0000-0000D1010000}" name="05п.04*" dataDxfId="2287"/>
    <tableColumn id="466" xr3:uid="{00000000-0010-0000-0000-0000D2010000}" name="05п.05*" dataDxfId="2286"/>
    <tableColumn id="467" xr3:uid="{00000000-0010-0000-0000-0000D3010000}" name="05п.06*" dataDxfId="2285"/>
    <tableColumn id="468" xr3:uid="{00000000-0010-0000-0000-0000D4010000}" name="05п.07*" dataDxfId="2284"/>
    <tableColumn id="469" xr3:uid="{00000000-0010-0000-0000-0000D5010000}" name="05п.08*" dataDxfId="2283"/>
    <tableColumn id="470" xr3:uid="{00000000-0010-0000-0000-0000D6010000}" name="05п.09*" dataDxfId="2282"/>
    <tableColumn id="471" xr3:uid="{00000000-0010-0000-0000-0000D7010000}" name="05п.10*" dataDxfId="2281"/>
    <tableColumn id="472" xr3:uid="{00000000-0010-0000-0000-0000D8010000}" name="05п.11*" dataDxfId="2280"/>
    <tableColumn id="473" xr3:uid="{00000000-0010-0000-0000-0000D9010000}" name="05п.12*" dataDxfId="2279"/>
    <tableColumn id="474" xr3:uid="{00000000-0010-0000-0000-0000DA010000}" name="05п.13*" dataDxfId="2278"/>
    <tableColumn id="475" xr3:uid="{00000000-0010-0000-0000-0000DB010000}" name="05п.14*" dataDxfId="2277"/>
    <tableColumn id="476" xr3:uid="{00000000-0010-0000-0000-0000DC010000}" name="05п.15*" dataDxfId="2276"/>
    <tableColumn id="477" xr3:uid="{00000000-0010-0000-0000-0000DD010000}" name="05п.16*" dataDxfId="2275"/>
    <tableColumn id="478" xr3:uid="{00000000-0010-0000-0000-0000DE010000}" name="05п.17*" dataDxfId="2274"/>
    <tableColumn id="479" xr3:uid="{00000000-0010-0000-0000-0000DF010000}" name="05п.18*" dataDxfId="2273"/>
    <tableColumn id="480" xr3:uid="{00000000-0010-0000-0000-0000E0010000}" name="05п.19*" dataDxfId="2272"/>
    <tableColumn id="481" xr3:uid="{00000000-0010-0000-0000-0000E1010000}" name="05п.20*" dataDxfId="2271"/>
    <tableColumn id="482" xr3:uid="{00000000-0010-0000-0000-0000E2010000}" name="05п.21*" dataDxfId="2270"/>
    <tableColumn id="483" xr3:uid="{00000000-0010-0000-0000-0000E3010000}" name="05п.22*" dataDxfId="2269"/>
    <tableColumn id="484" xr3:uid="{00000000-0010-0000-0000-0000E4010000}" name="05п.23*" dataDxfId="2268"/>
    <tableColumn id="485" xr3:uid="{00000000-0010-0000-0000-0000E5010000}" name="05п.24*" dataDxfId="2267"/>
    <tableColumn id="486" xr3:uid="{00000000-0010-0000-0000-0000E6010000}" name="05п.25*" dataDxfId="2266"/>
    <tableColumn id="487" xr3:uid="{00000000-0010-0000-0000-0000E7010000}" name="05п.26*" dataDxfId="2265"/>
    <tableColumn id="488" xr3:uid="{00000000-0010-0000-0000-0000E8010000}" name="05п.27*" dataDxfId="2264"/>
    <tableColumn id="489" xr3:uid="{00000000-0010-0000-0000-0000E9010000}" name="05п.28*" dataDxfId="2263"/>
    <tableColumn id="490" xr3:uid="{00000000-0010-0000-0000-0000EA010000}" name="05п.29*" dataDxfId="2262"/>
    <tableColumn id="491" xr3:uid="{00000000-0010-0000-0000-0000EB010000}" name="05п.30*" dataDxfId="2261"/>
    <tableColumn id="523" xr3:uid="{00000000-0010-0000-0000-00000B020000}" name="06н.Н" dataDxfId="2260"/>
    <tableColumn id="524" xr3:uid="{00000000-0010-0000-0000-00000C020000}" name="06н.01*" dataDxfId="2259"/>
    <tableColumn id="525" xr3:uid="{00000000-0010-0000-0000-00000D020000}" name="06н.02*" dataDxfId="2258"/>
    <tableColumn id="526" xr3:uid="{00000000-0010-0000-0000-00000E020000}" name="06н.03*" dataDxfId="2257"/>
    <tableColumn id="527" xr3:uid="{00000000-0010-0000-0000-00000F020000}" name="06н.04*" dataDxfId="2256"/>
    <tableColumn id="528" xr3:uid="{00000000-0010-0000-0000-000010020000}" name="06н.05*" dataDxfId="2255"/>
    <tableColumn id="529" xr3:uid="{00000000-0010-0000-0000-000011020000}" name="06н.06*" dataDxfId="2254"/>
    <tableColumn id="530" xr3:uid="{00000000-0010-0000-0000-000012020000}" name="06н.07*" dataDxfId="2253"/>
    <tableColumn id="531" xr3:uid="{00000000-0010-0000-0000-000013020000}" name="06н.08*" dataDxfId="2252"/>
    <tableColumn id="532" xr3:uid="{00000000-0010-0000-0000-000014020000}" name="06н.09*" dataDxfId="2251"/>
    <tableColumn id="533" xr3:uid="{00000000-0010-0000-0000-000015020000}" name="06н.10*" dataDxfId="2250"/>
    <tableColumn id="534" xr3:uid="{00000000-0010-0000-0000-000016020000}" name="06н.11*" dataDxfId="2249"/>
    <tableColumn id="535" xr3:uid="{00000000-0010-0000-0000-000017020000}" name="06н.12*" dataDxfId="2248"/>
    <tableColumn id="536" xr3:uid="{00000000-0010-0000-0000-000018020000}" name="06н.13*" dataDxfId="2247"/>
    <tableColumn id="537" xr3:uid="{00000000-0010-0000-0000-000019020000}" name="06н.14*" dataDxfId="2246"/>
    <tableColumn id="538" xr3:uid="{00000000-0010-0000-0000-00001A020000}" name="06н.15*" dataDxfId="2245"/>
    <tableColumn id="539" xr3:uid="{00000000-0010-0000-0000-00001B020000}" name="06н.16*" dataDxfId="2244"/>
    <tableColumn id="540" xr3:uid="{00000000-0010-0000-0000-00001C020000}" name="06н.17*" dataDxfId="2243"/>
    <tableColumn id="541" xr3:uid="{00000000-0010-0000-0000-00001D020000}" name="06н.18*" dataDxfId="2242"/>
    <tableColumn id="542" xr3:uid="{00000000-0010-0000-0000-00001E020000}" name="06н.19*" dataDxfId="2241"/>
    <tableColumn id="543" xr3:uid="{00000000-0010-0000-0000-00001F020000}" name="06н.20*" dataDxfId="2240"/>
    <tableColumn id="544" xr3:uid="{00000000-0010-0000-0000-000020020000}" name="06н.21*" dataDxfId="2239"/>
    <tableColumn id="545" xr3:uid="{00000000-0010-0000-0000-000021020000}" name="06н.22*" dataDxfId="2238"/>
    <tableColumn id="546" xr3:uid="{00000000-0010-0000-0000-000022020000}" name="06н.23*" dataDxfId="2237"/>
    <tableColumn id="547" xr3:uid="{00000000-0010-0000-0000-000023020000}" name="06н.24*" dataDxfId="2236"/>
    <tableColumn id="548" xr3:uid="{00000000-0010-0000-0000-000024020000}" name="06н.25*" dataDxfId="2235"/>
    <tableColumn id="549" xr3:uid="{00000000-0010-0000-0000-000025020000}" name="06н.26*" dataDxfId="2234"/>
    <tableColumn id="550" xr3:uid="{00000000-0010-0000-0000-000026020000}" name="06н.27*" dataDxfId="2233"/>
    <tableColumn id="551" xr3:uid="{00000000-0010-0000-0000-000027020000}" name="06н.28*" dataDxfId="2232"/>
    <tableColumn id="552" xr3:uid="{00000000-0010-0000-0000-000028020000}" name="06н.29*" dataDxfId="2231"/>
    <tableColumn id="553" xr3:uid="{00000000-0010-0000-0000-000029020000}" name="06н.30*" dataDxfId="2230"/>
    <tableColumn id="554" xr3:uid="{00000000-0010-0000-0000-00002A020000}" name="06п.Н" dataDxfId="2229"/>
    <tableColumn id="555" xr3:uid="{00000000-0010-0000-0000-00002B020000}" name="06п.01*" dataDxfId="2228"/>
    <tableColumn id="556" xr3:uid="{00000000-0010-0000-0000-00002C020000}" name="06п.02*" dataDxfId="2227"/>
    <tableColumn id="557" xr3:uid="{00000000-0010-0000-0000-00002D020000}" name="06п.03*" dataDxfId="2226"/>
    <tableColumn id="558" xr3:uid="{00000000-0010-0000-0000-00002E020000}" name="06п.04*" dataDxfId="2225"/>
    <tableColumn id="559" xr3:uid="{00000000-0010-0000-0000-00002F020000}" name="06п.05*" dataDxfId="2224"/>
    <tableColumn id="560" xr3:uid="{00000000-0010-0000-0000-000030020000}" name="06п.06*" dataDxfId="2223"/>
    <tableColumn id="561" xr3:uid="{00000000-0010-0000-0000-000031020000}" name="06п.07*" dataDxfId="2222"/>
    <tableColumn id="562" xr3:uid="{00000000-0010-0000-0000-000032020000}" name="06п.08*" dataDxfId="2221"/>
    <tableColumn id="563" xr3:uid="{00000000-0010-0000-0000-000033020000}" name="06п.09*" dataDxfId="2220"/>
    <tableColumn id="564" xr3:uid="{00000000-0010-0000-0000-000034020000}" name="06п.10*" dataDxfId="2219"/>
    <tableColumn id="565" xr3:uid="{00000000-0010-0000-0000-000035020000}" name="06п.11*" dataDxfId="2218"/>
    <tableColumn id="566" xr3:uid="{00000000-0010-0000-0000-000036020000}" name="06п.12*" dataDxfId="2217"/>
    <tableColumn id="567" xr3:uid="{00000000-0010-0000-0000-000037020000}" name="06п.13*" dataDxfId="2216"/>
    <tableColumn id="568" xr3:uid="{00000000-0010-0000-0000-000038020000}" name="06п.14*" dataDxfId="2215"/>
    <tableColumn id="569" xr3:uid="{00000000-0010-0000-0000-000039020000}" name="06п.15*" dataDxfId="2214"/>
    <tableColumn id="570" xr3:uid="{00000000-0010-0000-0000-00003A020000}" name="06п.16*" dataDxfId="2213"/>
    <tableColumn id="571" xr3:uid="{00000000-0010-0000-0000-00003B020000}" name="06п.17*" dataDxfId="2212"/>
    <tableColumn id="572" xr3:uid="{00000000-0010-0000-0000-00003C020000}" name="06п.18*" dataDxfId="2211"/>
    <tableColumn id="573" xr3:uid="{00000000-0010-0000-0000-00003D020000}" name="06п.19*" dataDxfId="2210"/>
    <tableColumn id="574" xr3:uid="{00000000-0010-0000-0000-00003E020000}" name="06п.20*" dataDxfId="2209"/>
    <tableColumn id="575" xr3:uid="{00000000-0010-0000-0000-00003F020000}" name="06п.21*" dataDxfId="2208"/>
    <tableColumn id="576" xr3:uid="{00000000-0010-0000-0000-000040020000}" name="06п.22*" dataDxfId="2207"/>
    <tableColumn id="577" xr3:uid="{00000000-0010-0000-0000-000041020000}" name="06п.23*" dataDxfId="2206"/>
    <tableColumn id="578" xr3:uid="{00000000-0010-0000-0000-000042020000}" name="06п.24*" dataDxfId="2205"/>
    <tableColumn id="579" xr3:uid="{00000000-0010-0000-0000-000043020000}" name="06п.25*" dataDxfId="2204"/>
    <tableColumn id="580" xr3:uid="{00000000-0010-0000-0000-000044020000}" name="06п.26*" dataDxfId="2203"/>
    <tableColumn id="581" xr3:uid="{00000000-0010-0000-0000-000045020000}" name="06п.27*" dataDxfId="2202"/>
    <tableColumn id="582" xr3:uid="{00000000-0010-0000-0000-000046020000}" name="06п.28*" dataDxfId="2201"/>
    <tableColumn id="583" xr3:uid="{00000000-0010-0000-0000-000047020000}" name="06п.29*" dataDxfId="2200"/>
    <tableColumn id="584" xr3:uid="{00000000-0010-0000-0000-000048020000}" name="06п.30*" dataDxfId="2199"/>
    <tableColumn id="616" xr3:uid="{00000000-0010-0000-0000-000068020000}" name="07н.Н" dataDxfId="2198"/>
    <tableColumn id="617" xr3:uid="{00000000-0010-0000-0000-000069020000}" name="07н.01*" dataDxfId="2197"/>
    <tableColumn id="618" xr3:uid="{00000000-0010-0000-0000-00006A020000}" name="07н.02*" dataDxfId="2196"/>
    <tableColumn id="619" xr3:uid="{00000000-0010-0000-0000-00006B020000}" name="07н.03*" dataDxfId="2195"/>
    <tableColumn id="620" xr3:uid="{00000000-0010-0000-0000-00006C020000}" name="07н.04*" dataDxfId="2194"/>
    <tableColumn id="621" xr3:uid="{00000000-0010-0000-0000-00006D020000}" name="07н.05*" dataDxfId="2193"/>
    <tableColumn id="622" xr3:uid="{00000000-0010-0000-0000-00006E020000}" name="07н.06*" dataDxfId="2192"/>
    <tableColumn id="623" xr3:uid="{00000000-0010-0000-0000-00006F020000}" name="07н.07*" dataDxfId="2191"/>
    <tableColumn id="624" xr3:uid="{00000000-0010-0000-0000-000070020000}" name="07н.08*" dataDxfId="2190"/>
    <tableColumn id="625" xr3:uid="{00000000-0010-0000-0000-000071020000}" name="07н.09*" dataDxfId="2189"/>
    <tableColumn id="626" xr3:uid="{00000000-0010-0000-0000-000072020000}" name="07н.10*" dataDxfId="2188"/>
    <tableColumn id="627" xr3:uid="{00000000-0010-0000-0000-000073020000}" name="07н.11*" dataDxfId="2187"/>
    <tableColumn id="628" xr3:uid="{00000000-0010-0000-0000-000074020000}" name="07н.12*" dataDxfId="2186"/>
    <tableColumn id="629" xr3:uid="{00000000-0010-0000-0000-000075020000}" name="07н.13*" dataDxfId="2185"/>
    <tableColumn id="630" xr3:uid="{00000000-0010-0000-0000-000076020000}" name="07н.14*" dataDxfId="2184"/>
    <tableColumn id="631" xr3:uid="{00000000-0010-0000-0000-000077020000}" name="07н.15*" dataDxfId="2183"/>
    <tableColumn id="632" xr3:uid="{00000000-0010-0000-0000-000078020000}" name="07н.16*" dataDxfId="2182"/>
    <tableColumn id="633" xr3:uid="{00000000-0010-0000-0000-000079020000}" name="07н.17*" dataDxfId="2181"/>
    <tableColumn id="634" xr3:uid="{00000000-0010-0000-0000-00007A020000}" name="07н.18*" dataDxfId="2180"/>
    <tableColumn id="635" xr3:uid="{00000000-0010-0000-0000-00007B020000}" name="07н.19*" dataDxfId="2179"/>
    <tableColumn id="636" xr3:uid="{00000000-0010-0000-0000-00007C020000}" name="07н.20*" dataDxfId="2178"/>
    <tableColumn id="637" xr3:uid="{00000000-0010-0000-0000-00007D020000}" name="07н.21*" dataDxfId="2177"/>
    <tableColumn id="638" xr3:uid="{00000000-0010-0000-0000-00007E020000}" name="07н.22*" dataDxfId="2176"/>
    <tableColumn id="639" xr3:uid="{00000000-0010-0000-0000-00007F020000}" name="07н.23*" dataDxfId="2175"/>
    <tableColumn id="640" xr3:uid="{00000000-0010-0000-0000-000080020000}" name="07н.24*" dataDxfId="2174"/>
    <tableColumn id="641" xr3:uid="{00000000-0010-0000-0000-000081020000}" name="07н.25*" dataDxfId="2173"/>
    <tableColumn id="642" xr3:uid="{00000000-0010-0000-0000-000082020000}" name="07н.26*" dataDxfId="2172"/>
    <tableColumn id="643" xr3:uid="{00000000-0010-0000-0000-000083020000}" name="07н.27*" dataDxfId="2171"/>
    <tableColumn id="644" xr3:uid="{00000000-0010-0000-0000-000084020000}" name="07н.28*" dataDxfId="2170"/>
    <tableColumn id="645" xr3:uid="{00000000-0010-0000-0000-000085020000}" name="07н.29*" dataDxfId="2169"/>
    <tableColumn id="646" xr3:uid="{00000000-0010-0000-0000-000086020000}" name="07н.30*" dataDxfId="2168"/>
    <tableColumn id="647" xr3:uid="{00000000-0010-0000-0000-000087020000}" name="07п.Н" dataDxfId="2167"/>
    <tableColumn id="648" xr3:uid="{00000000-0010-0000-0000-000088020000}" name="07п.01*" dataDxfId="2166"/>
    <tableColumn id="649" xr3:uid="{00000000-0010-0000-0000-000089020000}" name="07п.02*" dataDxfId="2165"/>
    <tableColumn id="650" xr3:uid="{00000000-0010-0000-0000-00008A020000}" name="07п.03*" dataDxfId="2164"/>
    <tableColumn id="651" xr3:uid="{00000000-0010-0000-0000-00008B020000}" name="07п.04*" dataDxfId="2163"/>
    <tableColumn id="652" xr3:uid="{00000000-0010-0000-0000-00008C020000}" name="07п.05*" dataDxfId="2162"/>
    <tableColumn id="653" xr3:uid="{00000000-0010-0000-0000-00008D020000}" name="07п.06*" dataDxfId="2161"/>
    <tableColumn id="654" xr3:uid="{00000000-0010-0000-0000-00008E020000}" name="07п.07*" dataDxfId="2160"/>
    <tableColumn id="655" xr3:uid="{00000000-0010-0000-0000-00008F020000}" name="07п.08*" dataDxfId="2159"/>
    <tableColumn id="656" xr3:uid="{00000000-0010-0000-0000-000090020000}" name="07п.09*" dataDxfId="2158"/>
    <tableColumn id="657" xr3:uid="{00000000-0010-0000-0000-000091020000}" name="07п.10*" dataDxfId="2157"/>
    <tableColumn id="658" xr3:uid="{00000000-0010-0000-0000-000092020000}" name="07п.11*" dataDxfId="2156"/>
    <tableColumn id="659" xr3:uid="{00000000-0010-0000-0000-000093020000}" name="07п.12*" dataDxfId="2155"/>
    <tableColumn id="660" xr3:uid="{00000000-0010-0000-0000-000094020000}" name="07п.13*" dataDxfId="2154"/>
    <tableColumn id="661" xr3:uid="{00000000-0010-0000-0000-000095020000}" name="07п.14*" dataDxfId="2153"/>
    <tableColumn id="662" xr3:uid="{00000000-0010-0000-0000-000096020000}" name="07п.15*" dataDxfId="2152"/>
    <tableColumn id="663" xr3:uid="{00000000-0010-0000-0000-000097020000}" name="07п.16*" dataDxfId="2151"/>
    <tableColumn id="664" xr3:uid="{00000000-0010-0000-0000-000098020000}" name="07п.17*" dataDxfId="2150"/>
    <tableColumn id="665" xr3:uid="{00000000-0010-0000-0000-000099020000}" name="07п.18*" dataDxfId="2149"/>
    <tableColumn id="666" xr3:uid="{00000000-0010-0000-0000-00009A020000}" name="07п.19*" dataDxfId="2148"/>
    <tableColumn id="667" xr3:uid="{00000000-0010-0000-0000-00009B020000}" name="07п.20*" dataDxfId="2147"/>
    <tableColumn id="668" xr3:uid="{00000000-0010-0000-0000-00009C020000}" name="07п.21*" dataDxfId="2146"/>
    <tableColumn id="669" xr3:uid="{00000000-0010-0000-0000-00009D020000}" name="07п.22*" dataDxfId="2145"/>
    <tableColumn id="670" xr3:uid="{00000000-0010-0000-0000-00009E020000}" name="07п.23*" dataDxfId="2144"/>
    <tableColumn id="671" xr3:uid="{00000000-0010-0000-0000-00009F020000}" name="07п.24*" dataDxfId="2143"/>
    <tableColumn id="672" xr3:uid="{00000000-0010-0000-0000-0000A0020000}" name="07п.25*" dataDxfId="2142"/>
    <tableColumn id="673" xr3:uid="{00000000-0010-0000-0000-0000A1020000}" name="07п.26*" dataDxfId="2141"/>
    <tableColumn id="674" xr3:uid="{00000000-0010-0000-0000-0000A2020000}" name="07п.27*" dataDxfId="2140"/>
    <tableColumn id="675" xr3:uid="{00000000-0010-0000-0000-0000A3020000}" name="07п.28*" dataDxfId="2139"/>
    <tableColumn id="676" xr3:uid="{00000000-0010-0000-0000-0000A4020000}" name="07п.29*" dataDxfId="2138"/>
    <tableColumn id="677" xr3:uid="{00000000-0010-0000-0000-0000A5020000}" name="07п.30*" dataDxfId="2137"/>
    <tableColumn id="709" xr3:uid="{00000000-0010-0000-0000-0000C5020000}" name="08н.Н" dataDxfId="2136"/>
    <tableColumn id="710" xr3:uid="{00000000-0010-0000-0000-0000C6020000}" name="08н.01*" dataDxfId="2135"/>
    <tableColumn id="711" xr3:uid="{00000000-0010-0000-0000-0000C7020000}" name="08н.02*" dataDxfId="2134"/>
    <tableColumn id="712" xr3:uid="{00000000-0010-0000-0000-0000C8020000}" name="08н.03*" dataDxfId="2133"/>
    <tableColumn id="713" xr3:uid="{00000000-0010-0000-0000-0000C9020000}" name="08н.04*" dataDxfId="2132"/>
    <tableColumn id="714" xr3:uid="{00000000-0010-0000-0000-0000CA020000}" name="08н.05*" dataDxfId="2131"/>
    <tableColumn id="715" xr3:uid="{00000000-0010-0000-0000-0000CB020000}" name="08н.06*" dataDxfId="2130"/>
    <tableColumn id="716" xr3:uid="{00000000-0010-0000-0000-0000CC020000}" name="08н.07*" dataDxfId="2129"/>
    <tableColumn id="717" xr3:uid="{00000000-0010-0000-0000-0000CD020000}" name="08н.08*" dataDxfId="2128"/>
    <tableColumn id="718" xr3:uid="{00000000-0010-0000-0000-0000CE020000}" name="08н.09*" dataDxfId="2127"/>
    <tableColumn id="719" xr3:uid="{00000000-0010-0000-0000-0000CF020000}" name="08н.10*" dataDxfId="2126"/>
    <tableColumn id="720" xr3:uid="{00000000-0010-0000-0000-0000D0020000}" name="08н.11*" dataDxfId="2125"/>
    <tableColumn id="721" xr3:uid="{00000000-0010-0000-0000-0000D1020000}" name="08н.12*" dataDxfId="2124"/>
    <tableColumn id="722" xr3:uid="{00000000-0010-0000-0000-0000D2020000}" name="08н.13*" dataDxfId="2123"/>
    <tableColumn id="723" xr3:uid="{00000000-0010-0000-0000-0000D3020000}" name="08н.14*" dataDxfId="2122"/>
    <tableColumn id="724" xr3:uid="{00000000-0010-0000-0000-0000D4020000}" name="08н.15*" dataDxfId="2121"/>
    <tableColumn id="725" xr3:uid="{00000000-0010-0000-0000-0000D5020000}" name="08н.16*" dataDxfId="2120"/>
    <tableColumn id="726" xr3:uid="{00000000-0010-0000-0000-0000D6020000}" name="08н.17*" dataDxfId="2119"/>
    <tableColumn id="727" xr3:uid="{00000000-0010-0000-0000-0000D7020000}" name="08н.18*" dataDxfId="2118"/>
    <tableColumn id="728" xr3:uid="{00000000-0010-0000-0000-0000D8020000}" name="08н.19*" dataDxfId="2117"/>
    <tableColumn id="729" xr3:uid="{00000000-0010-0000-0000-0000D9020000}" name="08н.20*" dataDxfId="2116"/>
    <tableColumn id="730" xr3:uid="{00000000-0010-0000-0000-0000DA020000}" name="08н.21*" dataDxfId="2115"/>
    <tableColumn id="731" xr3:uid="{00000000-0010-0000-0000-0000DB020000}" name="08н.22*" dataDxfId="2114"/>
    <tableColumn id="732" xr3:uid="{00000000-0010-0000-0000-0000DC020000}" name="08н.23*" dataDxfId="2113"/>
    <tableColumn id="733" xr3:uid="{00000000-0010-0000-0000-0000DD020000}" name="08н.24*" dataDxfId="2112"/>
    <tableColumn id="734" xr3:uid="{00000000-0010-0000-0000-0000DE020000}" name="08н.25*" dataDxfId="2111"/>
    <tableColumn id="735" xr3:uid="{00000000-0010-0000-0000-0000DF020000}" name="08н.26*" dataDxfId="2110"/>
    <tableColumn id="736" xr3:uid="{00000000-0010-0000-0000-0000E0020000}" name="08н.27*" dataDxfId="2109"/>
    <tableColumn id="737" xr3:uid="{00000000-0010-0000-0000-0000E1020000}" name="08н.28*" dataDxfId="2108"/>
    <tableColumn id="738" xr3:uid="{00000000-0010-0000-0000-0000E2020000}" name="08н.29*" dataDxfId="2107"/>
    <tableColumn id="739" xr3:uid="{00000000-0010-0000-0000-0000E3020000}" name="08н.30*" dataDxfId="2106"/>
    <tableColumn id="740" xr3:uid="{00000000-0010-0000-0000-0000E4020000}" name="08п.Н" dataDxfId="2105"/>
    <tableColumn id="741" xr3:uid="{00000000-0010-0000-0000-0000E5020000}" name="08п.01*" dataDxfId="2104"/>
    <tableColumn id="742" xr3:uid="{00000000-0010-0000-0000-0000E6020000}" name="08п.02*" dataDxfId="2103"/>
    <tableColumn id="743" xr3:uid="{00000000-0010-0000-0000-0000E7020000}" name="08п.03*" dataDxfId="2102"/>
    <tableColumn id="744" xr3:uid="{00000000-0010-0000-0000-0000E8020000}" name="08п.04*" dataDxfId="2101"/>
    <tableColumn id="745" xr3:uid="{00000000-0010-0000-0000-0000E9020000}" name="08п.05*" dataDxfId="2100"/>
    <tableColumn id="746" xr3:uid="{00000000-0010-0000-0000-0000EA020000}" name="08п.06*" dataDxfId="2099"/>
    <tableColumn id="747" xr3:uid="{00000000-0010-0000-0000-0000EB020000}" name="08п.07*" dataDxfId="2098"/>
    <tableColumn id="748" xr3:uid="{00000000-0010-0000-0000-0000EC020000}" name="08п.08*" dataDxfId="2097"/>
    <tableColumn id="749" xr3:uid="{00000000-0010-0000-0000-0000ED020000}" name="08п.09*" dataDxfId="2096"/>
    <tableColumn id="750" xr3:uid="{00000000-0010-0000-0000-0000EE020000}" name="08п.10*" dataDxfId="2095"/>
    <tableColumn id="751" xr3:uid="{00000000-0010-0000-0000-0000EF020000}" name="08п.11*" dataDxfId="2094"/>
    <tableColumn id="752" xr3:uid="{00000000-0010-0000-0000-0000F0020000}" name="08п.12*" dataDxfId="2093"/>
    <tableColumn id="753" xr3:uid="{00000000-0010-0000-0000-0000F1020000}" name="08п.13*" dataDxfId="2092"/>
    <tableColumn id="754" xr3:uid="{00000000-0010-0000-0000-0000F2020000}" name="08п.14*" dataDxfId="2091"/>
    <tableColumn id="755" xr3:uid="{00000000-0010-0000-0000-0000F3020000}" name="08п.15*" dataDxfId="2090"/>
    <tableColumn id="756" xr3:uid="{00000000-0010-0000-0000-0000F4020000}" name="08п.16*" dataDxfId="2089"/>
    <tableColumn id="757" xr3:uid="{00000000-0010-0000-0000-0000F5020000}" name="08п.17*" dataDxfId="2088"/>
    <tableColumn id="758" xr3:uid="{00000000-0010-0000-0000-0000F6020000}" name="08п.18*" dataDxfId="2087"/>
    <tableColumn id="759" xr3:uid="{00000000-0010-0000-0000-0000F7020000}" name="08п.19*" dataDxfId="2086"/>
    <tableColumn id="760" xr3:uid="{00000000-0010-0000-0000-0000F8020000}" name="08п.20*" dataDxfId="2085"/>
    <tableColumn id="761" xr3:uid="{00000000-0010-0000-0000-0000F9020000}" name="08п.21*" dataDxfId="2084"/>
    <tableColumn id="762" xr3:uid="{00000000-0010-0000-0000-0000FA020000}" name="08п.22*" dataDxfId="2083"/>
    <tableColumn id="763" xr3:uid="{00000000-0010-0000-0000-0000FB020000}" name="08п.23*" dataDxfId="2082"/>
    <tableColumn id="764" xr3:uid="{00000000-0010-0000-0000-0000FC020000}" name="08п.24*" dataDxfId="2081"/>
    <tableColumn id="765" xr3:uid="{00000000-0010-0000-0000-0000FD020000}" name="08п.25*" dataDxfId="2080"/>
    <tableColumn id="766" xr3:uid="{00000000-0010-0000-0000-0000FE020000}" name="08п.26*" dataDxfId="2079"/>
    <tableColumn id="767" xr3:uid="{00000000-0010-0000-0000-0000FF020000}" name="08п.27*" dataDxfId="2078"/>
    <tableColumn id="768" xr3:uid="{00000000-0010-0000-0000-000000030000}" name="08п.28*" dataDxfId="2077"/>
    <tableColumn id="769" xr3:uid="{00000000-0010-0000-0000-000001030000}" name="08п.29*" dataDxfId="2076"/>
    <tableColumn id="770" xr3:uid="{00000000-0010-0000-0000-000002030000}" name="08п.30*" dataDxfId="2075"/>
    <tableColumn id="802" xr3:uid="{00000000-0010-0000-0000-000022030000}" name="09н.Н" dataDxfId="2074"/>
    <tableColumn id="803" xr3:uid="{00000000-0010-0000-0000-000023030000}" name="09н.01*" dataDxfId="2073"/>
    <tableColumn id="804" xr3:uid="{00000000-0010-0000-0000-000024030000}" name="09н.02*" dataDxfId="2072"/>
    <tableColumn id="805" xr3:uid="{00000000-0010-0000-0000-000025030000}" name="09н.03*" dataDxfId="2071"/>
    <tableColumn id="806" xr3:uid="{00000000-0010-0000-0000-000026030000}" name="09н.04*" dataDxfId="2070"/>
    <tableColumn id="807" xr3:uid="{00000000-0010-0000-0000-000027030000}" name="09н.05*" dataDxfId="2069"/>
    <tableColumn id="808" xr3:uid="{00000000-0010-0000-0000-000028030000}" name="09н.06*" dataDxfId="2068"/>
    <tableColumn id="809" xr3:uid="{00000000-0010-0000-0000-000029030000}" name="09н.07*" dataDxfId="2067"/>
    <tableColumn id="810" xr3:uid="{00000000-0010-0000-0000-00002A030000}" name="09н.08*" dataDxfId="2066"/>
    <tableColumn id="811" xr3:uid="{00000000-0010-0000-0000-00002B030000}" name="09н.09*" dataDxfId="2065"/>
    <tableColumn id="812" xr3:uid="{00000000-0010-0000-0000-00002C030000}" name="09н.10*" dataDxfId="2064"/>
    <tableColumn id="813" xr3:uid="{00000000-0010-0000-0000-00002D030000}" name="09н.11*" dataDxfId="2063"/>
    <tableColumn id="814" xr3:uid="{00000000-0010-0000-0000-00002E030000}" name="09н.12*" dataDxfId="2062"/>
    <tableColumn id="815" xr3:uid="{00000000-0010-0000-0000-00002F030000}" name="09н.13*" dataDxfId="2061"/>
    <tableColumn id="816" xr3:uid="{00000000-0010-0000-0000-000030030000}" name="09н.14*" dataDxfId="2060"/>
    <tableColumn id="817" xr3:uid="{00000000-0010-0000-0000-000031030000}" name="09н.15*" dataDxfId="2059"/>
    <tableColumn id="818" xr3:uid="{00000000-0010-0000-0000-000032030000}" name="09н.16*" dataDxfId="2058"/>
    <tableColumn id="819" xr3:uid="{00000000-0010-0000-0000-000033030000}" name="09н.17*" dataDxfId="2057"/>
    <tableColumn id="820" xr3:uid="{00000000-0010-0000-0000-000034030000}" name="09н.18*" dataDxfId="2056"/>
    <tableColumn id="821" xr3:uid="{00000000-0010-0000-0000-000035030000}" name="09н.19*" dataDxfId="2055"/>
    <tableColumn id="822" xr3:uid="{00000000-0010-0000-0000-000036030000}" name="09н.20*" dataDxfId="2054"/>
    <tableColumn id="823" xr3:uid="{00000000-0010-0000-0000-000037030000}" name="09н.21*" dataDxfId="2053"/>
    <tableColumn id="824" xr3:uid="{00000000-0010-0000-0000-000038030000}" name="09н.22*" dataDxfId="2052"/>
    <tableColumn id="825" xr3:uid="{00000000-0010-0000-0000-000039030000}" name="09н.23*" dataDxfId="2051"/>
    <tableColumn id="826" xr3:uid="{00000000-0010-0000-0000-00003A030000}" name="09н.24*" dataDxfId="2050"/>
    <tableColumn id="827" xr3:uid="{00000000-0010-0000-0000-00003B030000}" name="09н.25*" dataDxfId="2049"/>
    <tableColumn id="828" xr3:uid="{00000000-0010-0000-0000-00003C030000}" name="09н.26*" dataDxfId="2048"/>
    <tableColumn id="829" xr3:uid="{00000000-0010-0000-0000-00003D030000}" name="09н.27*" dataDxfId="2047"/>
    <tableColumn id="830" xr3:uid="{00000000-0010-0000-0000-00003E030000}" name="09н.28*" dataDxfId="2046"/>
    <tableColumn id="831" xr3:uid="{00000000-0010-0000-0000-00003F030000}" name="09н.29*" dataDxfId="2045"/>
    <tableColumn id="832" xr3:uid="{00000000-0010-0000-0000-000040030000}" name="09н.30*" dataDxfId="2044"/>
    <tableColumn id="833" xr3:uid="{00000000-0010-0000-0000-000041030000}" name="09п.Н" dataDxfId="2043"/>
    <tableColumn id="834" xr3:uid="{00000000-0010-0000-0000-000042030000}" name="09п.01*" dataDxfId="2042"/>
    <tableColumn id="835" xr3:uid="{00000000-0010-0000-0000-000043030000}" name="09п.02*" dataDxfId="2041"/>
    <tableColumn id="836" xr3:uid="{00000000-0010-0000-0000-000044030000}" name="09п.03*" dataDxfId="2040"/>
    <tableColumn id="837" xr3:uid="{00000000-0010-0000-0000-000045030000}" name="09п.04*" dataDxfId="2039"/>
    <tableColumn id="838" xr3:uid="{00000000-0010-0000-0000-000046030000}" name="09п.05*" dataDxfId="2038"/>
    <tableColumn id="839" xr3:uid="{00000000-0010-0000-0000-000047030000}" name="09п.06*" dataDxfId="2037"/>
    <tableColumn id="840" xr3:uid="{00000000-0010-0000-0000-000048030000}" name="09п.07*" dataDxfId="2036"/>
    <tableColumn id="841" xr3:uid="{00000000-0010-0000-0000-000049030000}" name="09п.08*" dataDxfId="2035"/>
    <tableColumn id="842" xr3:uid="{00000000-0010-0000-0000-00004A030000}" name="09п.09*" dataDxfId="2034"/>
    <tableColumn id="843" xr3:uid="{00000000-0010-0000-0000-00004B030000}" name="09п.10*" dataDxfId="2033"/>
    <tableColumn id="844" xr3:uid="{00000000-0010-0000-0000-00004C030000}" name="09п.11*" dataDxfId="2032"/>
    <tableColumn id="845" xr3:uid="{00000000-0010-0000-0000-00004D030000}" name="09п.12*" dataDxfId="2031"/>
    <tableColumn id="846" xr3:uid="{00000000-0010-0000-0000-00004E030000}" name="09п.13*" dataDxfId="2030"/>
    <tableColumn id="847" xr3:uid="{00000000-0010-0000-0000-00004F030000}" name="09п.14*" dataDxfId="2029"/>
    <tableColumn id="848" xr3:uid="{00000000-0010-0000-0000-000050030000}" name="09п.15*" dataDxfId="2028"/>
    <tableColumn id="849" xr3:uid="{00000000-0010-0000-0000-000051030000}" name="09п.16*" dataDxfId="2027"/>
    <tableColumn id="850" xr3:uid="{00000000-0010-0000-0000-000052030000}" name="09п.17*" dataDxfId="2026"/>
    <tableColumn id="851" xr3:uid="{00000000-0010-0000-0000-000053030000}" name="09п.18*" dataDxfId="2025"/>
    <tableColumn id="852" xr3:uid="{00000000-0010-0000-0000-000054030000}" name="09п.19*" dataDxfId="2024"/>
    <tableColumn id="853" xr3:uid="{00000000-0010-0000-0000-000055030000}" name="09п.20*" dataDxfId="2023"/>
    <tableColumn id="854" xr3:uid="{00000000-0010-0000-0000-000056030000}" name="09п.21*" dataDxfId="2022"/>
    <tableColumn id="855" xr3:uid="{00000000-0010-0000-0000-000057030000}" name="09п.22*" dataDxfId="2021"/>
    <tableColumn id="856" xr3:uid="{00000000-0010-0000-0000-000058030000}" name="09п.23*" dataDxfId="2020"/>
    <tableColumn id="857" xr3:uid="{00000000-0010-0000-0000-000059030000}" name="09п.24*" dataDxfId="2019"/>
    <tableColumn id="858" xr3:uid="{00000000-0010-0000-0000-00005A030000}" name="09п.25*" dataDxfId="2018"/>
    <tableColumn id="859" xr3:uid="{00000000-0010-0000-0000-00005B030000}" name="09п.26*" dataDxfId="2017"/>
    <tableColumn id="860" xr3:uid="{00000000-0010-0000-0000-00005C030000}" name="09п.27*" dataDxfId="2016"/>
    <tableColumn id="861" xr3:uid="{00000000-0010-0000-0000-00005D030000}" name="09п.28*" dataDxfId="2015"/>
    <tableColumn id="862" xr3:uid="{00000000-0010-0000-0000-00005E030000}" name="09п.29*" dataDxfId="2014"/>
    <tableColumn id="863" xr3:uid="{00000000-0010-0000-0000-00005F030000}" name="09п.30*" dataDxfId="2013"/>
    <tableColumn id="895" xr3:uid="{00000000-0010-0000-0000-00007F030000}" name="10н.Н" dataDxfId="2012"/>
    <tableColumn id="896" xr3:uid="{00000000-0010-0000-0000-000080030000}" name="10н.01*" dataDxfId="2011"/>
    <tableColumn id="897" xr3:uid="{00000000-0010-0000-0000-000081030000}" name="10н.02*" dataDxfId="2010"/>
    <tableColumn id="898" xr3:uid="{00000000-0010-0000-0000-000082030000}" name="10н.03*" dataDxfId="2009"/>
    <tableColumn id="899" xr3:uid="{00000000-0010-0000-0000-000083030000}" name="10н.04*" dataDxfId="2008"/>
    <tableColumn id="900" xr3:uid="{00000000-0010-0000-0000-000084030000}" name="10н.05*" dataDxfId="2007"/>
    <tableColumn id="901" xr3:uid="{00000000-0010-0000-0000-000085030000}" name="10н.06*" dataDxfId="2006"/>
    <tableColumn id="902" xr3:uid="{00000000-0010-0000-0000-000086030000}" name="10н.07*" dataDxfId="2005"/>
    <tableColumn id="903" xr3:uid="{00000000-0010-0000-0000-000087030000}" name="10н.08*" dataDxfId="2004"/>
    <tableColumn id="904" xr3:uid="{00000000-0010-0000-0000-000088030000}" name="10н.09*" dataDxfId="2003"/>
    <tableColumn id="905" xr3:uid="{00000000-0010-0000-0000-000089030000}" name="10н.10*" dataDxfId="2002"/>
    <tableColumn id="906" xr3:uid="{00000000-0010-0000-0000-00008A030000}" name="10н.11*" dataDxfId="2001"/>
    <tableColumn id="907" xr3:uid="{00000000-0010-0000-0000-00008B030000}" name="10н.12*" dataDxfId="2000"/>
    <tableColumn id="908" xr3:uid="{00000000-0010-0000-0000-00008C030000}" name="10н.13*" dataDxfId="1999"/>
    <tableColumn id="909" xr3:uid="{00000000-0010-0000-0000-00008D030000}" name="10н.14*" dataDxfId="1998"/>
    <tableColumn id="910" xr3:uid="{00000000-0010-0000-0000-00008E030000}" name="10н.15*" dataDxfId="1997"/>
    <tableColumn id="911" xr3:uid="{00000000-0010-0000-0000-00008F030000}" name="10н.16*" dataDxfId="1996"/>
    <tableColumn id="912" xr3:uid="{00000000-0010-0000-0000-000090030000}" name="10н.17*" dataDxfId="1995"/>
    <tableColumn id="913" xr3:uid="{00000000-0010-0000-0000-000091030000}" name="10н.18*" dataDxfId="1994"/>
    <tableColumn id="914" xr3:uid="{00000000-0010-0000-0000-000092030000}" name="10н.19*" dataDxfId="1993"/>
    <tableColumn id="915" xr3:uid="{00000000-0010-0000-0000-000093030000}" name="10н.20*" dataDxfId="1992"/>
    <tableColumn id="916" xr3:uid="{00000000-0010-0000-0000-000094030000}" name="10н.21*" dataDxfId="1991"/>
    <tableColumn id="917" xr3:uid="{00000000-0010-0000-0000-000095030000}" name="10н.22*" dataDxfId="1990"/>
    <tableColumn id="918" xr3:uid="{00000000-0010-0000-0000-000096030000}" name="10н.23*" dataDxfId="1989"/>
    <tableColumn id="919" xr3:uid="{00000000-0010-0000-0000-000097030000}" name="10н.24*" dataDxfId="1988"/>
    <tableColumn id="920" xr3:uid="{00000000-0010-0000-0000-000098030000}" name="10н.25*" dataDxfId="1987"/>
    <tableColumn id="921" xr3:uid="{00000000-0010-0000-0000-000099030000}" name="10н.26*" dataDxfId="1986"/>
    <tableColumn id="922" xr3:uid="{00000000-0010-0000-0000-00009A030000}" name="10н.27*" dataDxfId="1985"/>
    <tableColumn id="923" xr3:uid="{00000000-0010-0000-0000-00009B030000}" name="10н.28*" dataDxfId="1984"/>
    <tableColumn id="924" xr3:uid="{00000000-0010-0000-0000-00009C030000}" name="10н.29*" dataDxfId="1983"/>
    <tableColumn id="925" xr3:uid="{00000000-0010-0000-0000-00009D030000}" name="10н.30*" dataDxfId="1982"/>
    <tableColumn id="926" xr3:uid="{00000000-0010-0000-0000-00009E030000}" name="10п.Н" dataDxfId="1981"/>
    <tableColumn id="927" xr3:uid="{00000000-0010-0000-0000-00009F030000}" name="10п.01*" dataDxfId="1980"/>
    <tableColumn id="928" xr3:uid="{00000000-0010-0000-0000-0000A0030000}" name="10п.02*" dataDxfId="1979"/>
    <tableColumn id="929" xr3:uid="{00000000-0010-0000-0000-0000A1030000}" name="10п.03*" dataDxfId="1978"/>
    <tableColumn id="930" xr3:uid="{00000000-0010-0000-0000-0000A2030000}" name="10п.04*" dataDxfId="1977"/>
    <tableColumn id="931" xr3:uid="{00000000-0010-0000-0000-0000A3030000}" name="10п.05*" dataDxfId="1976"/>
    <tableColumn id="932" xr3:uid="{00000000-0010-0000-0000-0000A4030000}" name="10п.06*" dataDxfId="1975"/>
    <tableColumn id="933" xr3:uid="{00000000-0010-0000-0000-0000A5030000}" name="10п.07*" dataDxfId="1974"/>
    <tableColumn id="934" xr3:uid="{00000000-0010-0000-0000-0000A6030000}" name="10п.08*" dataDxfId="1973"/>
    <tableColumn id="935" xr3:uid="{00000000-0010-0000-0000-0000A7030000}" name="10п.09*" dataDxfId="1972"/>
    <tableColumn id="936" xr3:uid="{00000000-0010-0000-0000-0000A8030000}" name="10п.10*" dataDxfId="1971"/>
    <tableColumn id="937" xr3:uid="{00000000-0010-0000-0000-0000A9030000}" name="10п.11*" dataDxfId="1970"/>
    <tableColumn id="938" xr3:uid="{00000000-0010-0000-0000-0000AA030000}" name="10п.12*" dataDxfId="1969"/>
    <tableColumn id="939" xr3:uid="{00000000-0010-0000-0000-0000AB030000}" name="10п.13*" dataDxfId="1968"/>
    <tableColumn id="940" xr3:uid="{00000000-0010-0000-0000-0000AC030000}" name="10п.14*" dataDxfId="1967"/>
    <tableColumn id="941" xr3:uid="{00000000-0010-0000-0000-0000AD030000}" name="10п.15*" dataDxfId="1966"/>
    <tableColumn id="942" xr3:uid="{00000000-0010-0000-0000-0000AE030000}" name="10п.16*" dataDxfId="1965"/>
    <tableColumn id="943" xr3:uid="{00000000-0010-0000-0000-0000AF030000}" name="10п.17*" dataDxfId="1964"/>
    <tableColumn id="944" xr3:uid="{00000000-0010-0000-0000-0000B0030000}" name="10п.18*" dataDxfId="1963"/>
    <tableColumn id="945" xr3:uid="{00000000-0010-0000-0000-0000B1030000}" name="10п.19*" dataDxfId="1962"/>
    <tableColumn id="946" xr3:uid="{00000000-0010-0000-0000-0000B2030000}" name="10п.20*" dataDxfId="1961"/>
    <tableColumn id="947" xr3:uid="{00000000-0010-0000-0000-0000B3030000}" name="10п.21*" dataDxfId="1960"/>
    <tableColumn id="948" xr3:uid="{00000000-0010-0000-0000-0000B4030000}" name="10п.22*" dataDxfId="1959"/>
    <tableColumn id="949" xr3:uid="{00000000-0010-0000-0000-0000B5030000}" name="10п.23*" dataDxfId="1958"/>
    <tableColumn id="950" xr3:uid="{00000000-0010-0000-0000-0000B6030000}" name="10п.24*" dataDxfId="1957"/>
    <tableColumn id="951" xr3:uid="{00000000-0010-0000-0000-0000B7030000}" name="10п.25*" dataDxfId="1956"/>
    <tableColumn id="952" xr3:uid="{00000000-0010-0000-0000-0000B8030000}" name="10п.26*" dataDxfId="1955"/>
    <tableColumn id="953" xr3:uid="{00000000-0010-0000-0000-0000B9030000}" name="10п.27*" dataDxfId="1954"/>
    <tableColumn id="954" xr3:uid="{00000000-0010-0000-0000-0000BA030000}" name="10п.28*" dataDxfId="1953"/>
    <tableColumn id="955" xr3:uid="{00000000-0010-0000-0000-0000BB030000}" name="10п.29*" dataDxfId="1952"/>
    <tableColumn id="956" xr3:uid="{00000000-0010-0000-0000-0000BC030000}" name="10п.30*" dataDxfId="1951"/>
    <tableColumn id="988" xr3:uid="{00000000-0010-0000-0000-0000DC030000}" name="11н.Н" dataDxfId="1950"/>
    <tableColumn id="989" xr3:uid="{00000000-0010-0000-0000-0000DD030000}" name="11н.01*" dataDxfId="1949"/>
    <tableColumn id="990" xr3:uid="{00000000-0010-0000-0000-0000DE030000}" name="11н.02*" dataDxfId="1948"/>
    <tableColumn id="991" xr3:uid="{00000000-0010-0000-0000-0000DF030000}" name="11н.03*" dataDxfId="1947"/>
    <tableColumn id="992" xr3:uid="{00000000-0010-0000-0000-0000E0030000}" name="11н.04*" dataDxfId="1946"/>
    <tableColumn id="993" xr3:uid="{00000000-0010-0000-0000-0000E1030000}" name="11н.05*" dataDxfId="1945"/>
    <tableColumn id="994" xr3:uid="{00000000-0010-0000-0000-0000E2030000}" name="11н.06*" dataDxfId="1944"/>
    <tableColumn id="995" xr3:uid="{00000000-0010-0000-0000-0000E3030000}" name="11н.07*" dataDxfId="1943"/>
    <tableColumn id="996" xr3:uid="{00000000-0010-0000-0000-0000E4030000}" name="11н.08*" dataDxfId="1942"/>
    <tableColumn id="997" xr3:uid="{00000000-0010-0000-0000-0000E5030000}" name="11н.09*" dataDxfId="1941"/>
    <tableColumn id="998" xr3:uid="{00000000-0010-0000-0000-0000E6030000}" name="11н.10*" dataDxfId="1940"/>
    <tableColumn id="999" xr3:uid="{00000000-0010-0000-0000-0000E7030000}" name="11н.11*" dataDxfId="1939"/>
    <tableColumn id="1000" xr3:uid="{00000000-0010-0000-0000-0000E8030000}" name="11н.12*" dataDxfId="1938"/>
    <tableColumn id="1001" xr3:uid="{00000000-0010-0000-0000-0000E9030000}" name="11н.13*" dataDxfId="1937"/>
    <tableColumn id="1002" xr3:uid="{00000000-0010-0000-0000-0000EA030000}" name="11н.14*" dataDxfId="1936"/>
    <tableColumn id="1003" xr3:uid="{00000000-0010-0000-0000-0000EB030000}" name="11н.15*" dataDxfId="1935"/>
    <tableColumn id="1004" xr3:uid="{00000000-0010-0000-0000-0000EC030000}" name="11н.16*" dataDxfId="1934"/>
    <tableColumn id="1005" xr3:uid="{00000000-0010-0000-0000-0000ED030000}" name="11н.17*" dataDxfId="1933"/>
    <tableColumn id="1006" xr3:uid="{00000000-0010-0000-0000-0000EE030000}" name="11н.18*" dataDxfId="1932"/>
    <tableColumn id="1007" xr3:uid="{00000000-0010-0000-0000-0000EF030000}" name="11н.19*" dataDxfId="1931"/>
    <tableColumn id="1008" xr3:uid="{00000000-0010-0000-0000-0000F0030000}" name="11н.20*" dataDxfId="1930"/>
    <tableColumn id="1009" xr3:uid="{00000000-0010-0000-0000-0000F1030000}" name="11н.21*" dataDxfId="1929"/>
    <tableColumn id="1010" xr3:uid="{00000000-0010-0000-0000-0000F2030000}" name="11н.22*" dataDxfId="1928"/>
    <tableColumn id="1011" xr3:uid="{00000000-0010-0000-0000-0000F3030000}" name="11н.23*" dataDxfId="1927"/>
    <tableColumn id="1012" xr3:uid="{00000000-0010-0000-0000-0000F4030000}" name="11н.24*" dataDxfId="1926"/>
    <tableColumn id="1013" xr3:uid="{00000000-0010-0000-0000-0000F5030000}" name="11н.25*" dataDxfId="1925"/>
    <tableColumn id="1014" xr3:uid="{00000000-0010-0000-0000-0000F6030000}" name="11н.26*" dataDxfId="1924"/>
    <tableColumn id="1015" xr3:uid="{00000000-0010-0000-0000-0000F7030000}" name="11н.27*" dataDxfId="1923"/>
    <tableColumn id="1016" xr3:uid="{00000000-0010-0000-0000-0000F8030000}" name="11н.28*" dataDxfId="1922"/>
    <tableColumn id="1017" xr3:uid="{00000000-0010-0000-0000-0000F9030000}" name="11н.29*" dataDxfId="1921"/>
    <tableColumn id="1018" xr3:uid="{00000000-0010-0000-0000-0000FA030000}" name="11н.30*" dataDxfId="1920"/>
    <tableColumn id="1019" xr3:uid="{00000000-0010-0000-0000-0000FB030000}" name="11п.Н" dataDxfId="1919"/>
    <tableColumn id="1020" xr3:uid="{00000000-0010-0000-0000-0000FC030000}" name="11п.01*" dataDxfId="1918"/>
    <tableColumn id="1021" xr3:uid="{00000000-0010-0000-0000-0000FD030000}" name="11п.02*" dataDxfId="1917"/>
    <tableColumn id="1022" xr3:uid="{00000000-0010-0000-0000-0000FE030000}" name="11п.03*" dataDxfId="1916"/>
    <tableColumn id="1023" xr3:uid="{00000000-0010-0000-0000-0000FF030000}" name="11п.04*" dataDxfId="1915"/>
    <tableColumn id="1024" xr3:uid="{00000000-0010-0000-0000-000000040000}" name="11п.05*" dataDxfId="1914"/>
    <tableColumn id="1025" xr3:uid="{00000000-0010-0000-0000-000001040000}" name="11п.06*" dataDxfId="1913"/>
    <tableColumn id="1026" xr3:uid="{00000000-0010-0000-0000-000002040000}" name="11п.07*" dataDxfId="1912"/>
    <tableColumn id="1027" xr3:uid="{00000000-0010-0000-0000-000003040000}" name="11п.08*" dataDxfId="1911"/>
    <tableColumn id="1028" xr3:uid="{00000000-0010-0000-0000-000004040000}" name="11п.09*" dataDxfId="1910"/>
    <tableColumn id="1029" xr3:uid="{00000000-0010-0000-0000-000005040000}" name="11п.10*" dataDxfId="1909"/>
    <tableColumn id="1030" xr3:uid="{00000000-0010-0000-0000-000006040000}" name="11п.11*" dataDxfId="1908"/>
    <tableColumn id="1031" xr3:uid="{00000000-0010-0000-0000-000007040000}" name="11п.12*" dataDxfId="1907"/>
    <tableColumn id="1032" xr3:uid="{00000000-0010-0000-0000-000008040000}" name="11п.13*" dataDxfId="1906"/>
    <tableColumn id="1033" xr3:uid="{00000000-0010-0000-0000-000009040000}" name="11п.14*" dataDxfId="1905"/>
    <tableColumn id="1034" xr3:uid="{00000000-0010-0000-0000-00000A040000}" name="11п.15*" dataDxfId="1904"/>
    <tableColumn id="1035" xr3:uid="{00000000-0010-0000-0000-00000B040000}" name="11п.16*" dataDxfId="1903"/>
    <tableColumn id="1036" xr3:uid="{00000000-0010-0000-0000-00000C040000}" name="11п.17*" dataDxfId="1902"/>
    <tableColumn id="1037" xr3:uid="{00000000-0010-0000-0000-00000D040000}" name="11п.18*" dataDxfId="1901"/>
    <tableColumn id="1038" xr3:uid="{00000000-0010-0000-0000-00000E040000}" name="11п.19*" dataDxfId="1900"/>
    <tableColumn id="1039" xr3:uid="{00000000-0010-0000-0000-00000F040000}" name="11п.20*" dataDxfId="1899"/>
    <tableColumn id="1040" xr3:uid="{00000000-0010-0000-0000-000010040000}" name="11п.21*" dataDxfId="1898"/>
    <tableColumn id="1041" xr3:uid="{00000000-0010-0000-0000-000011040000}" name="11п.22*" dataDxfId="1897"/>
    <tableColumn id="1042" xr3:uid="{00000000-0010-0000-0000-000012040000}" name="11п.23*" dataDxfId="1896"/>
    <tableColumn id="1043" xr3:uid="{00000000-0010-0000-0000-000013040000}" name="11п.24*" dataDxfId="1895"/>
    <tableColumn id="1044" xr3:uid="{00000000-0010-0000-0000-000014040000}" name="11п.25*" dataDxfId="1894"/>
    <tableColumn id="1045" xr3:uid="{00000000-0010-0000-0000-000015040000}" name="11п.26*" dataDxfId="1893"/>
    <tableColumn id="1046" xr3:uid="{00000000-0010-0000-0000-000016040000}" name="11п.27*" dataDxfId="1892"/>
    <tableColumn id="1047" xr3:uid="{00000000-0010-0000-0000-000017040000}" name="11п.28*" dataDxfId="1891"/>
    <tableColumn id="1048" xr3:uid="{00000000-0010-0000-0000-000018040000}" name="11п.29*" dataDxfId="1890"/>
    <tableColumn id="1049" xr3:uid="{00000000-0010-0000-0000-000019040000}" name="11п.30*" dataDxfId="1889"/>
    <tableColumn id="1081" xr3:uid="{00000000-0010-0000-0000-000039040000}" name="12н.Н" dataDxfId="1888"/>
    <tableColumn id="1082" xr3:uid="{00000000-0010-0000-0000-00003A040000}" name="12н.01*" dataDxfId="1887"/>
    <tableColumn id="1083" xr3:uid="{00000000-0010-0000-0000-00003B040000}" name="12н.02*" dataDxfId="1886"/>
    <tableColumn id="1084" xr3:uid="{00000000-0010-0000-0000-00003C040000}" name="12н.03*" dataDxfId="1885"/>
    <tableColumn id="1085" xr3:uid="{00000000-0010-0000-0000-00003D040000}" name="12н.04*" dataDxfId="1884"/>
    <tableColumn id="1086" xr3:uid="{00000000-0010-0000-0000-00003E040000}" name="12н.05*" dataDxfId="1883"/>
    <tableColumn id="1087" xr3:uid="{00000000-0010-0000-0000-00003F040000}" name="12н.06*" dataDxfId="1882"/>
    <tableColumn id="1088" xr3:uid="{00000000-0010-0000-0000-000040040000}" name="12н.07*" dataDxfId="1881"/>
    <tableColumn id="1089" xr3:uid="{00000000-0010-0000-0000-000041040000}" name="12н.08*" dataDxfId="1880"/>
    <tableColumn id="1090" xr3:uid="{00000000-0010-0000-0000-000042040000}" name="12н.09*" dataDxfId="1879"/>
    <tableColumn id="1091" xr3:uid="{00000000-0010-0000-0000-000043040000}" name="12н.10*" dataDxfId="1878"/>
    <tableColumn id="1092" xr3:uid="{00000000-0010-0000-0000-000044040000}" name="12н.11*" dataDxfId="1877"/>
    <tableColumn id="1093" xr3:uid="{00000000-0010-0000-0000-000045040000}" name="12н.12*" dataDxfId="1876"/>
    <tableColumn id="1094" xr3:uid="{00000000-0010-0000-0000-000046040000}" name="12н.13*" dataDxfId="1875"/>
    <tableColumn id="1095" xr3:uid="{00000000-0010-0000-0000-000047040000}" name="12н.14*" dataDxfId="1874"/>
    <tableColumn id="1096" xr3:uid="{00000000-0010-0000-0000-000048040000}" name="12н.15*" dataDxfId="1873"/>
    <tableColumn id="1097" xr3:uid="{00000000-0010-0000-0000-000049040000}" name="12н.16*" dataDxfId="1872"/>
    <tableColumn id="1098" xr3:uid="{00000000-0010-0000-0000-00004A040000}" name="12н.17*" dataDxfId="1871"/>
    <tableColumn id="1099" xr3:uid="{00000000-0010-0000-0000-00004B040000}" name="12н.18*" dataDxfId="1870"/>
    <tableColumn id="1100" xr3:uid="{00000000-0010-0000-0000-00004C040000}" name="12н.19*" dataDxfId="1869"/>
    <tableColumn id="1101" xr3:uid="{00000000-0010-0000-0000-00004D040000}" name="12н.20*" dataDxfId="1868"/>
    <tableColumn id="1102" xr3:uid="{00000000-0010-0000-0000-00004E040000}" name="12н.21*" dataDxfId="1867"/>
    <tableColumn id="1103" xr3:uid="{00000000-0010-0000-0000-00004F040000}" name="12н.22*" dataDxfId="1866"/>
    <tableColumn id="1104" xr3:uid="{00000000-0010-0000-0000-000050040000}" name="12н.23*" dataDxfId="1865"/>
    <tableColumn id="1105" xr3:uid="{00000000-0010-0000-0000-000051040000}" name="12н.24*" dataDxfId="1864"/>
    <tableColumn id="1106" xr3:uid="{00000000-0010-0000-0000-000052040000}" name="12н.25*" dataDxfId="1863"/>
    <tableColumn id="1107" xr3:uid="{00000000-0010-0000-0000-000053040000}" name="12н.26*" dataDxfId="1862"/>
    <tableColumn id="1108" xr3:uid="{00000000-0010-0000-0000-000054040000}" name="12н.27*" dataDxfId="1861"/>
    <tableColumn id="1109" xr3:uid="{00000000-0010-0000-0000-000055040000}" name="12н.28*" dataDxfId="1860"/>
    <tableColumn id="1110" xr3:uid="{00000000-0010-0000-0000-000056040000}" name="12н.29*" dataDxfId="1859"/>
    <tableColumn id="1111" xr3:uid="{00000000-0010-0000-0000-000057040000}" name="12н.30*" dataDxfId="1858"/>
    <tableColumn id="1112" xr3:uid="{00000000-0010-0000-0000-000058040000}" name="12п.Н" dataDxfId="1857"/>
    <tableColumn id="1113" xr3:uid="{00000000-0010-0000-0000-000059040000}" name="12п.01*" dataDxfId="1856"/>
    <tableColumn id="1114" xr3:uid="{00000000-0010-0000-0000-00005A040000}" name="12п.02*" dataDxfId="1855"/>
    <tableColumn id="1115" xr3:uid="{00000000-0010-0000-0000-00005B040000}" name="12п.03*" dataDxfId="1854"/>
    <tableColumn id="1116" xr3:uid="{00000000-0010-0000-0000-00005C040000}" name="12п.04*" dataDxfId="1853"/>
    <tableColumn id="1117" xr3:uid="{00000000-0010-0000-0000-00005D040000}" name="12п.05*" dataDxfId="1852"/>
    <tableColumn id="1118" xr3:uid="{00000000-0010-0000-0000-00005E040000}" name="12п.06*" dataDxfId="1851"/>
    <tableColumn id="1119" xr3:uid="{00000000-0010-0000-0000-00005F040000}" name="12п.07*" dataDxfId="1850"/>
    <tableColumn id="1120" xr3:uid="{00000000-0010-0000-0000-000060040000}" name="12п.08*" dataDxfId="1849"/>
    <tableColumn id="1121" xr3:uid="{00000000-0010-0000-0000-000061040000}" name="12п.09*" dataDxfId="1848"/>
    <tableColumn id="1122" xr3:uid="{00000000-0010-0000-0000-000062040000}" name="12п.10*" dataDxfId="1847"/>
    <tableColumn id="1123" xr3:uid="{00000000-0010-0000-0000-000063040000}" name="12п.11*" dataDxfId="1846"/>
    <tableColumn id="1124" xr3:uid="{00000000-0010-0000-0000-000064040000}" name="12п.12*" dataDxfId="1845"/>
    <tableColumn id="1125" xr3:uid="{00000000-0010-0000-0000-000065040000}" name="12п.13*" dataDxfId="1844"/>
    <tableColumn id="1126" xr3:uid="{00000000-0010-0000-0000-000066040000}" name="12п.14*" dataDxfId="1843"/>
    <tableColumn id="1127" xr3:uid="{00000000-0010-0000-0000-000067040000}" name="12п.15*" dataDxfId="1842"/>
    <tableColumn id="1128" xr3:uid="{00000000-0010-0000-0000-000068040000}" name="12п.16*" dataDxfId="1841"/>
    <tableColumn id="1129" xr3:uid="{00000000-0010-0000-0000-000069040000}" name="12п.17*" dataDxfId="1840"/>
    <tableColumn id="1130" xr3:uid="{00000000-0010-0000-0000-00006A040000}" name="12п.18*" dataDxfId="1839"/>
    <tableColumn id="1131" xr3:uid="{00000000-0010-0000-0000-00006B040000}" name="12п.19*" dataDxfId="1838"/>
    <tableColumn id="1132" xr3:uid="{00000000-0010-0000-0000-00006C040000}" name="12п.20*" dataDxfId="1837"/>
    <tableColumn id="1133" xr3:uid="{00000000-0010-0000-0000-00006D040000}" name="12п.21*" dataDxfId="1836"/>
    <tableColumn id="1134" xr3:uid="{00000000-0010-0000-0000-00006E040000}" name="12п.22*" dataDxfId="1835"/>
    <tableColumn id="1135" xr3:uid="{00000000-0010-0000-0000-00006F040000}" name="12п.23*" dataDxfId="1834"/>
    <tableColumn id="1136" xr3:uid="{00000000-0010-0000-0000-000070040000}" name="12п.24*" dataDxfId="1833"/>
    <tableColumn id="1137" xr3:uid="{00000000-0010-0000-0000-000071040000}" name="12п.25*" dataDxfId="1832"/>
    <tableColumn id="1138" xr3:uid="{00000000-0010-0000-0000-000072040000}" name="12п.26*" dataDxfId="1831"/>
    <tableColumn id="1139" xr3:uid="{00000000-0010-0000-0000-000073040000}" name="12п.27*" dataDxfId="1830"/>
    <tableColumn id="1140" xr3:uid="{00000000-0010-0000-0000-000074040000}" name="12п.28*" dataDxfId="1829"/>
    <tableColumn id="1141" xr3:uid="{00000000-0010-0000-0000-000075040000}" name="12п.29*" dataDxfId="1828"/>
    <tableColumn id="1142" xr3:uid="{00000000-0010-0000-0000-000076040000}" name="12п.30*" dataDxfId="1827"/>
    <tableColumn id="1174" xr3:uid="{00000000-0010-0000-0000-000096040000}" name="13н.Н" dataDxfId="1826"/>
    <tableColumn id="1175" xr3:uid="{00000000-0010-0000-0000-000097040000}" name="13н.01*" dataDxfId="1825"/>
    <tableColumn id="1176" xr3:uid="{00000000-0010-0000-0000-000098040000}" name="13н.02*" dataDxfId="1824"/>
    <tableColumn id="1177" xr3:uid="{00000000-0010-0000-0000-000099040000}" name="13н.03*" dataDxfId="1823"/>
    <tableColumn id="1178" xr3:uid="{00000000-0010-0000-0000-00009A040000}" name="13н.04*" dataDxfId="1822"/>
    <tableColumn id="1179" xr3:uid="{00000000-0010-0000-0000-00009B040000}" name="13н.05*" dataDxfId="1821"/>
    <tableColumn id="1180" xr3:uid="{00000000-0010-0000-0000-00009C040000}" name="13н.06*" dataDxfId="1820"/>
    <tableColumn id="1181" xr3:uid="{00000000-0010-0000-0000-00009D040000}" name="13н.07*" dataDxfId="1819"/>
    <tableColumn id="1182" xr3:uid="{00000000-0010-0000-0000-00009E040000}" name="13н.08*" dataDxfId="1818"/>
    <tableColumn id="1183" xr3:uid="{00000000-0010-0000-0000-00009F040000}" name="13н.09*" dataDxfId="1817"/>
    <tableColumn id="1184" xr3:uid="{00000000-0010-0000-0000-0000A0040000}" name="13н.10*" dataDxfId="1816"/>
    <tableColumn id="1185" xr3:uid="{00000000-0010-0000-0000-0000A1040000}" name="13н.11*" dataDxfId="1815"/>
    <tableColumn id="1186" xr3:uid="{00000000-0010-0000-0000-0000A2040000}" name="13н.12*" dataDxfId="1814"/>
    <tableColumn id="1187" xr3:uid="{00000000-0010-0000-0000-0000A3040000}" name="13н.13*" dataDxfId="1813"/>
    <tableColumn id="1188" xr3:uid="{00000000-0010-0000-0000-0000A4040000}" name="13н.14*" dataDxfId="1812"/>
    <tableColumn id="1189" xr3:uid="{00000000-0010-0000-0000-0000A5040000}" name="13н.15*" dataDxfId="1811"/>
    <tableColumn id="1190" xr3:uid="{00000000-0010-0000-0000-0000A6040000}" name="13н.16*" dataDxfId="1810"/>
    <tableColumn id="1191" xr3:uid="{00000000-0010-0000-0000-0000A7040000}" name="13н.17*" dataDxfId="1809"/>
    <tableColumn id="1192" xr3:uid="{00000000-0010-0000-0000-0000A8040000}" name="13н.18*" dataDxfId="1808"/>
    <tableColumn id="1193" xr3:uid="{00000000-0010-0000-0000-0000A9040000}" name="13н.19*" dataDxfId="1807"/>
    <tableColumn id="1194" xr3:uid="{00000000-0010-0000-0000-0000AA040000}" name="13н.20*" dataDxfId="1806"/>
    <tableColumn id="1195" xr3:uid="{00000000-0010-0000-0000-0000AB040000}" name="13н.21*" dataDxfId="1805"/>
    <tableColumn id="1196" xr3:uid="{00000000-0010-0000-0000-0000AC040000}" name="13н.22*" dataDxfId="1804"/>
    <tableColumn id="1197" xr3:uid="{00000000-0010-0000-0000-0000AD040000}" name="13н.23*" dataDxfId="1803"/>
    <tableColumn id="1198" xr3:uid="{00000000-0010-0000-0000-0000AE040000}" name="13н.24*" dataDxfId="1802"/>
    <tableColumn id="1199" xr3:uid="{00000000-0010-0000-0000-0000AF040000}" name="13н.25*" dataDxfId="1801"/>
    <tableColumn id="1200" xr3:uid="{00000000-0010-0000-0000-0000B0040000}" name="13н.26*" dataDxfId="1800"/>
    <tableColumn id="1201" xr3:uid="{00000000-0010-0000-0000-0000B1040000}" name="13н.27*" dataDxfId="1799"/>
    <tableColumn id="1202" xr3:uid="{00000000-0010-0000-0000-0000B2040000}" name="13н.28*" dataDxfId="1798"/>
    <tableColumn id="1203" xr3:uid="{00000000-0010-0000-0000-0000B3040000}" name="13н.29*" dataDxfId="1797"/>
    <tableColumn id="1204" xr3:uid="{00000000-0010-0000-0000-0000B4040000}" name="13н.30*" dataDxfId="1796"/>
    <tableColumn id="1205" xr3:uid="{00000000-0010-0000-0000-0000B5040000}" name="13п.Н" dataDxfId="1795"/>
    <tableColumn id="1206" xr3:uid="{00000000-0010-0000-0000-0000B6040000}" name="13п.01*" dataDxfId="1794"/>
    <tableColumn id="1207" xr3:uid="{00000000-0010-0000-0000-0000B7040000}" name="13п.02*" dataDxfId="1793"/>
    <tableColumn id="1208" xr3:uid="{00000000-0010-0000-0000-0000B8040000}" name="13п.03*" dataDxfId="1792"/>
    <tableColumn id="1209" xr3:uid="{00000000-0010-0000-0000-0000B9040000}" name="13п.04*" dataDxfId="1791"/>
    <tableColumn id="1210" xr3:uid="{00000000-0010-0000-0000-0000BA040000}" name="13п.05*" dataDxfId="1790"/>
    <tableColumn id="1211" xr3:uid="{00000000-0010-0000-0000-0000BB040000}" name="13п.06*" dataDxfId="1789"/>
    <tableColumn id="1212" xr3:uid="{00000000-0010-0000-0000-0000BC040000}" name="13п.07*" dataDxfId="1788"/>
    <tableColumn id="1213" xr3:uid="{00000000-0010-0000-0000-0000BD040000}" name="13п.08*" dataDxfId="1787"/>
    <tableColumn id="1214" xr3:uid="{00000000-0010-0000-0000-0000BE040000}" name="13п.09*" dataDxfId="1786"/>
    <tableColumn id="1215" xr3:uid="{00000000-0010-0000-0000-0000BF040000}" name="13п.10*" dataDxfId="1785"/>
    <tableColumn id="1216" xr3:uid="{00000000-0010-0000-0000-0000C0040000}" name="13п.11*" dataDxfId="1784"/>
    <tableColumn id="1217" xr3:uid="{00000000-0010-0000-0000-0000C1040000}" name="13п.12*" dataDxfId="1783"/>
    <tableColumn id="1218" xr3:uid="{00000000-0010-0000-0000-0000C2040000}" name="13п.13*" dataDxfId="1782"/>
    <tableColumn id="1219" xr3:uid="{00000000-0010-0000-0000-0000C3040000}" name="13п.14*" dataDxfId="1781"/>
    <tableColumn id="1220" xr3:uid="{00000000-0010-0000-0000-0000C4040000}" name="13п.15*" dataDxfId="1780"/>
    <tableColumn id="1221" xr3:uid="{00000000-0010-0000-0000-0000C5040000}" name="13п.16*" dataDxfId="1779"/>
    <tableColumn id="1222" xr3:uid="{00000000-0010-0000-0000-0000C6040000}" name="13п.17*" dataDxfId="1778"/>
    <tableColumn id="1223" xr3:uid="{00000000-0010-0000-0000-0000C7040000}" name="13п.18*" dataDxfId="1777"/>
    <tableColumn id="1224" xr3:uid="{00000000-0010-0000-0000-0000C8040000}" name="13п.19*" dataDxfId="1776"/>
    <tableColumn id="1225" xr3:uid="{00000000-0010-0000-0000-0000C9040000}" name="13п.20*" dataDxfId="1775"/>
    <tableColumn id="1226" xr3:uid="{00000000-0010-0000-0000-0000CA040000}" name="13п.21*" dataDxfId="1774"/>
    <tableColumn id="1227" xr3:uid="{00000000-0010-0000-0000-0000CB040000}" name="13п.22*" dataDxfId="1773"/>
    <tableColumn id="1228" xr3:uid="{00000000-0010-0000-0000-0000CC040000}" name="13п.23*" dataDxfId="1772"/>
    <tableColumn id="1229" xr3:uid="{00000000-0010-0000-0000-0000CD040000}" name="13п.24*" dataDxfId="1771"/>
    <tableColumn id="1230" xr3:uid="{00000000-0010-0000-0000-0000CE040000}" name="13п.25*" dataDxfId="1770"/>
    <tableColumn id="1231" xr3:uid="{00000000-0010-0000-0000-0000CF040000}" name="13п.26*" dataDxfId="1769"/>
    <tableColumn id="1232" xr3:uid="{00000000-0010-0000-0000-0000D0040000}" name="13п.27*" dataDxfId="1768"/>
    <tableColumn id="1233" xr3:uid="{00000000-0010-0000-0000-0000D1040000}" name="13п.28*" dataDxfId="1767"/>
    <tableColumn id="1234" xr3:uid="{00000000-0010-0000-0000-0000D2040000}" name="13п.29*" dataDxfId="1766"/>
    <tableColumn id="1235" xr3:uid="{00000000-0010-0000-0000-0000D3040000}" name="13п.30*" dataDxfId="1765"/>
    <tableColumn id="1267" xr3:uid="{00000000-0010-0000-0000-0000F3040000}" name="14н.Н" dataDxfId="1764"/>
    <tableColumn id="1268" xr3:uid="{00000000-0010-0000-0000-0000F4040000}" name="14н.01*" dataDxfId="1763"/>
    <tableColumn id="1269" xr3:uid="{00000000-0010-0000-0000-0000F5040000}" name="14н.02*" dataDxfId="1762"/>
    <tableColumn id="1270" xr3:uid="{00000000-0010-0000-0000-0000F6040000}" name="14н.03*" dataDxfId="1761"/>
    <tableColumn id="1271" xr3:uid="{00000000-0010-0000-0000-0000F7040000}" name="14н.04*" dataDxfId="1760"/>
    <tableColumn id="1272" xr3:uid="{00000000-0010-0000-0000-0000F8040000}" name="14н.05*" dataDxfId="1759"/>
    <tableColumn id="1273" xr3:uid="{00000000-0010-0000-0000-0000F9040000}" name="14н.06*" dataDxfId="1758"/>
    <tableColumn id="1274" xr3:uid="{00000000-0010-0000-0000-0000FA040000}" name="14н.07*" dataDxfId="1757"/>
    <tableColumn id="1275" xr3:uid="{00000000-0010-0000-0000-0000FB040000}" name="14н.08*" dataDxfId="1756"/>
    <tableColumn id="1276" xr3:uid="{00000000-0010-0000-0000-0000FC040000}" name="14н.09*" dataDxfId="1755"/>
    <tableColumn id="1277" xr3:uid="{00000000-0010-0000-0000-0000FD040000}" name="14н.10*" dataDxfId="1754"/>
    <tableColumn id="1278" xr3:uid="{00000000-0010-0000-0000-0000FE040000}" name="14н.11*" dataDxfId="1753"/>
    <tableColumn id="1279" xr3:uid="{00000000-0010-0000-0000-0000FF040000}" name="14н.12*" dataDxfId="1752"/>
    <tableColumn id="1280" xr3:uid="{00000000-0010-0000-0000-000000050000}" name="14н.13*" dataDxfId="1751"/>
    <tableColumn id="1281" xr3:uid="{00000000-0010-0000-0000-000001050000}" name="14н.14*" dataDxfId="1750"/>
    <tableColumn id="1282" xr3:uid="{00000000-0010-0000-0000-000002050000}" name="14н.15*" dataDxfId="1749"/>
    <tableColumn id="1283" xr3:uid="{00000000-0010-0000-0000-000003050000}" name="14н.16*" dataDxfId="1748"/>
    <tableColumn id="1284" xr3:uid="{00000000-0010-0000-0000-000004050000}" name="14н.17*" dataDxfId="1747"/>
    <tableColumn id="1285" xr3:uid="{00000000-0010-0000-0000-000005050000}" name="14н.18*" dataDxfId="1746"/>
    <tableColumn id="1286" xr3:uid="{00000000-0010-0000-0000-000006050000}" name="14н.19*" dataDxfId="1745"/>
    <tableColumn id="1287" xr3:uid="{00000000-0010-0000-0000-000007050000}" name="14н.20*" dataDxfId="1744"/>
    <tableColumn id="1288" xr3:uid="{00000000-0010-0000-0000-000008050000}" name="14н.21*" dataDxfId="1743"/>
    <tableColumn id="1289" xr3:uid="{00000000-0010-0000-0000-000009050000}" name="14н.22*" dataDxfId="1742"/>
    <tableColumn id="1290" xr3:uid="{00000000-0010-0000-0000-00000A050000}" name="14н.23*" dataDxfId="1741"/>
    <tableColumn id="1291" xr3:uid="{00000000-0010-0000-0000-00000B050000}" name="14н.24*" dataDxfId="1740"/>
    <tableColumn id="1292" xr3:uid="{00000000-0010-0000-0000-00000C050000}" name="14н.25*" dataDxfId="1739"/>
    <tableColumn id="1293" xr3:uid="{00000000-0010-0000-0000-00000D050000}" name="14н.26*" dataDxfId="1738"/>
    <tableColumn id="1294" xr3:uid="{00000000-0010-0000-0000-00000E050000}" name="14н.27*" dataDxfId="1737"/>
    <tableColumn id="1295" xr3:uid="{00000000-0010-0000-0000-00000F050000}" name="14н.28*" dataDxfId="1736"/>
    <tableColumn id="1296" xr3:uid="{00000000-0010-0000-0000-000010050000}" name="14н.29*" dataDxfId="1735"/>
    <tableColumn id="1297" xr3:uid="{00000000-0010-0000-0000-000011050000}" name="14н.30*" dataDxfId="1734"/>
    <tableColumn id="1298" xr3:uid="{00000000-0010-0000-0000-000012050000}" name="14п.Н" dataDxfId="1733"/>
    <tableColumn id="1299" xr3:uid="{00000000-0010-0000-0000-000013050000}" name="14п.01*" dataDxfId="1732"/>
    <tableColumn id="1300" xr3:uid="{00000000-0010-0000-0000-000014050000}" name="14п.02*" dataDxfId="1731"/>
    <tableColumn id="1301" xr3:uid="{00000000-0010-0000-0000-000015050000}" name="14п.03*" dataDxfId="1730"/>
    <tableColumn id="1302" xr3:uid="{00000000-0010-0000-0000-000016050000}" name="14п.04*" dataDxfId="1729"/>
    <tableColumn id="1303" xr3:uid="{00000000-0010-0000-0000-000017050000}" name="14п.05*" dataDxfId="1728"/>
    <tableColumn id="1304" xr3:uid="{00000000-0010-0000-0000-000018050000}" name="14п.06*" dataDxfId="1727"/>
    <tableColumn id="1305" xr3:uid="{00000000-0010-0000-0000-000019050000}" name="14п.07*" dataDxfId="1726"/>
    <tableColumn id="1306" xr3:uid="{00000000-0010-0000-0000-00001A050000}" name="14п.08*" dataDxfId="1725"/>
    <tableColumn id="1307" xr3:uid="{00000000-0010-0000-0000-00001B050000}" name="14п.09*" dataDxfId="1724"/>
    <tableColumn id="1308" xr3:uid="{00000000-0010-0000-0000-00001C050000}" name="14п.10*" dataDxfId="1723"/>
    <tableColumn id="1309" xr3:uid="{00000000-0010-0000-0000-00001D050000}" name="14п.11*" dataDxfId="1722"/>
    <tableColumn id="1310" xr3:uid="{00000000-0010-0000-0000-00001E050000}" name="14п.12*" dataDxfId="1721"/>
    <tableColumn id="1311" xr3:uid="{00000000-0010-0000-0000-00001F050000}" name="14п.13*" dataDxfId="1720"/>
    <tableColumn id="1312" xr3:uid="{00000000-0010-0000-0000-000020050000}" name="14п.14*" dataDxfId="1719"/>
    <tableColumn id="1313" xr3:uid="{00000000-0010-0000-0000-000021050000}" name="14п.15*" dataDxfId="1718"/>
    <tableColumn id="1314" xr3:uid="{00000000-0010-0000-0000-000022050000}" name="14п.16*" dataDxfId="1717"/>
    <tableColumn id="1315" xr3:uid="{00000000-0010-0000-0000-000023050000}" name="14п.17*" dataDxfId="1716"/>
    <tableColumn id="1316" xr3:uid="{00000000-0010-0000-0000-000024050000}" name="14п.18*" dataDxfId="1715"/>
    <tableColumn id="1317" xr3:uid="{00000000-0010-0000-0000-000025050000}" name="14п.19*" dataDxfId="1714"/>
    <tableColumn id="1318" xr3:uid="{00000000-0010-0000-0000-000026050000}" name="14п.20*" dataDxfId="1713"/>
    <tableColumn id="1319" xr3:uid="{00000000-0010-0000-0000-000027050000}" name="14п.21*" dataDxfId="1712"/>
    <tableColumn id="1320" xr3:uid="{00000000-0010-0000-0000-000028050000}" name="14п.22*" dataDxfId="1711"/>
    <tableColumn id="1321" xr3:uid="{00000000-0010-0000-0000-000029050000}" name="14п.23*" dataDxfId="1710"/>
    <tableColumn id="1322" xr3:uid="{00000000-0010-0000-0000-00002A050000}" name="14п.24*" dataDxfId="1709"/>
    <tableColumn id="1323" xr3:uid="{00000000-0010-0000-0000-00002B050000}" name="14п.25*" dataDxfId="1708"/>
    <tableColumn id="1324" xr3:uid="{00000000-0010-0000-0000-00002C050000}" name="14п.26*" dataDxfId="1707"/>
    <tableColumn id="1325" xr3:uid="{00000000-0010-0000-0000-00002D050000}" name="14п.27*" dataDxfId="1706"/>
    <tableColumn id="1326" xr3:uid="{00000000-0010-0000-0000-00002E050000}" name="14п.28*" dataDxfId="1705"/>
    <tableColumn id="1327" xr3:uid="{00000000-0010-0000-0000-00002F050000}" name="14п.29*" dataDxfId="1704"/>
    <tableColumn id="1328" xr3:uid="{00000000-0010-0000-0000-000030050000}" name="14п.30*" dataDxfId="1703"/>
    <tableColumn id="1360" xr3:uid="{00000000-0010-0000-0000-000050050000}" name="15н.Н" dataDxfId="1702"/>
    <tableColumn id="1361" xr3:uid="{00000000-0010-0000-0000-000051050000}" name="15н.01*" dataDxfId="1701"/>
    <tableColumn id="1362" xr3:uid="{00000000-0010-0000-0000-000052050000}" name="15н.02*" dataDxfId="1700"/>
    <tableColumn id="1363" xr3:uid="{00000000-0010-0000-0000-000053050000}" name="15н.03*" dataDxfId="1699"/>
    <tableColumn id="1364" xr3:uid="{00000000-0010-0000-0000-000054050000}" name="15н.04*" dataDxfId="1698"/>
    <tableColumn id="1365" xr3:uid="{00000000-0010-0000-0000-000055050000}" name="15н.05*" dataDxfId="1697"/>
    <tableColumn id="1366" xr3:uid="{00000000-0010-0000-0000-000056050000}" name="15н.06*" dataDxfId="1696"/>
    <tableColumn id="1367" xr3:uid="{00000000-0010-0000-0000-000057050000}" name="15н.07*" dataDxfId="1695"/>
    <tableColumn id="1368" xr3:uid="{00000000-0010-0000-0000-000058050000}" name="15н.08*" dataDxfId="1694"/>
    <tableColumn id="1369" xr3:uid="{00000000-0010-0000-0000-000059050000}" name="15н.09*" dataDxfId="1693"/>
    <tableColumn id="1370" xr3:uid="{00000000-0010-0000-0000-00005A050000}" name="15н.10*" dataDxfId="1692"/>
    <tableColumn id="1371" xr3:uid="{00000000-0010-0000-0000-00005B050000}" name="15н.11*" dataDxfId="1691"/>
    <tableColumn id="1372" xr3:uid="{00000000-0010-0000-0000-00005C050000}" name="15н.12*" dataDxfId="1690"/>
    <tableColumn id="1373" xr3:uid="{00000000-0010-0000-0000-00005D050000}" name="15н.13*" dataDxfId="1689"/>
    <tableColumn id="1374" xr3:uid="{00000000-0010-0000-0000-00005E050000}" name="15н.14*" dataDxfId="1688"/>
    <tableColumn id="1375" xr3:uid="{00000000-0010-0000-0000-00005F050000}" name="15н.15*" dataDxfId="1687"/>
    <tableColumn id="1376" xr3:uid="{00000000-0010-0000-0000-000060050000}" name="15н.16*" dataDxfId="1686"/>
    <tableColumn id="1377" xr3:uid="{00000000-0010-0000-0000-000061050000}" name="15н.17*" dataDxfId="1685"/>
    <tableColumn id="1378" xr3:uid="{00000000-0010-0000-0000-000062050000}" name="15н.18*" dataDxfId="1684"/>
    <tableColumn id="1379" xr3:uid="{00000000-0010-0000-0000-000063050000}" name="15н.19*" dataDxfId="1683"/>
    <tableColumn id="1380" xr3:uid="{00000000-0010-0000-0000-000064050000}" name="15н.20*" dataDxfId="1682"/>
    <tableColumn id="1381" xr3:uid="{00000000-0010-0000-0000-000065050000}" name="15н.21*" dataDxfId="1681"/>
    <tableColumn id="1382" xr3:uid="{00000000-0010-0000-0000-000066050000}" name="15н.22*" dataDxfId="1680"/>
    <tableColumn id="1383" xr3:uid="{00000000-0010-0000-0000-000067050000}" name="15н.23*" dataDxfId="1679"/>
    <tableColumn id="1384" xr3:uid="{00000000-0010-0000-0000-000068050000}" name="15н.24*" dataDxfId="1678"/>
    <tableColumn id="1385" xr3:uid="{00000000-0010-0000-0000-000069050000}" name="15н.25*" dataDxfId="1677"/>
    <tableColumn id="1386" xr3:uid="{00000000-0010-0000-0000-00006A050000}" name="15н.26*" dataDxfId="1676"/>
    <tableColumn id="1387" xr3:uid="{00000000-0010-0000-0000-00006B050000}" name="15н.27*" dataDxfId="1675"/>
    <tableColumn id="1388" xr3:uid="{00000000-0010-0000-0000-00006C050000}" name="15н.28*" dataDxfId="1674"/>
    <tableColumn id="1389" xr3:uid="{00000000-0010-0000-0000-00006D050000}" name="15н.29*" dataDxfId="1673"/>
    <tableColumn id="1390" xr3:uid="{00000000-0010-0000-0000-00006E050000}" name="15н.30*" dataDxfId="1672"/>
    <tableColumn id="1391" xr3:uid="{00000000-0010-0000-0000-00006F050000}" name="15п.Н" dataDxfId="1671"/>
    <tableColumn id="1392" xr3:uid="{00000000-0010-0000-0000-000070050000}" name="15п.01*" dataDxfId="1670"/>
    <tableColumn id="1393" xr3:uid="{00000000-0010-0000-0000-000071050000}" name="15п.02*" dataDxfId="1669"/>
    <tableColumn id="1394" xr3:uid="{00000000-0010-0000-0000-000072050000}" name="15п.03*" dataDxfId="1668"/>
    <tableColumn id="1395" xr3:uid="{00000000-0010-0000-0000-000073050000}" name="15п.04*" dataDxfId="1667"/>
    <tableColumn id="1396" xr3:uid="{00000000-0010-0000-0000-000074050000}" name="15п.05*" dataDxfId="1666"/>
    <tableColumn id="1397" xr3:uid="{00000000-0010-0000-0000-000075050000}" name="15п.06*" dataDxfId="1665"/>
    <tableColumn id="1398" xr3:uid="{00000000-0010-0000-0000-000076050000}" name="15п.07*" dataDxfId="1664"/>
    <tableColumn id="1399" xr3:uid="{00000000-0010-0000-0000-000077050000}" name="15п.08*" dataDxfId="1663"/>
    <tableColumn id="1400" xr3:uid="{00000000-0010-0000-0000-000078050000}" name="15п.09*" dataDxfId="1662"/>
    <tableColumn id="1401" xr3:uid="{00000000-0010-0000-0000-000079050000}" name="15п.10*" dataDxfId="1661"/>
    <tableColumn id="1402" xr3:uid="{00000000-0010-0000-0000-00007A050000}" name="15п.11*" dataDxfId="1660"/>
    <tableColumn id="1403" xr3:uid="{00000000-0010-0000-0000-00007B050000}" name="15п.12*" dataDxfId="1659"/>
    <tableColumn id="1404" xr3:uid="{00000000-0010-0000-0000-00007C050000}" name="15п.13*" dataDxfId="1658"/>
    <tableColumn id="1405" xr3:uid="{00000000-0010-0000-0000-00007D050000}" name="15п.14*" dataDxfId="1657"/>
    <tableColumn id="1406" xr3:uid="{00000000-0010-0000-0000-00007E050000}" name="15п.15*" dataDxfId="1656"/>
    <tableColumn id="1407" xr3:uid="{00000000-0010-0000-0000-00007F050000}" name="15п.16*" dataDxfId="1655"/>
    <tableColumn id="1408" xr3:uid="{00000000-0010-0000-0000-000080050000}" name="15п.17*" dataDxfId="1654"/>
    <tableColumn id="1409" xr3:uid="{00000000-0010-0000-0000-000081050000}" name="15п.18*" dataDxfId="1653"/>
    <tableColumn id="1410" xr3:uid="{00000000-0010-0000-0000-000082050000}" name="15п.19*" dataDxfId="1652"/>
    <tableColumn id="1411" xr3:uid="{00000000-0010-0000-0000-000083050000}" name="15п.20*" dataDxfId="1651"/>
    <tableColumn id="1412" xr3:uid="{00000000-0010-0000-0000-000084050000}" name="15п.21*" dataDxfId="1650"/>
    <tableColumn id="1413" xr3:uid="{00000000-0010-0000-0000-000085050000}" name="15п.22*" dataDxfId="1649"/>
    <tableColumn id="1414" xr3:uid="{00000000-0010-0000-0000-000086050000}" name="15п.23*" dataDxfId="1648"/>
    <tableColumn id="1415" xr3:uid="{00000000-0010-0000-0000-000087050000}" name="15п.24*" dataDxfId="1647"/>
    <tableColumn id="1416" xr3:uid="{00000000-0010-0000-0000-000088050000}" name="15п.25*" dataDxfId="1646"/>
    <tableColumn id="1417" xr3:uid="{00000000-0010-0000-0000-000089050000}" name="15п.26*" dataDxfId="1645"/>
    <tableColumn id="1418" xr3:uid="{00000000-0010-0000-0000-00008A050000}" name="15п.27*" dataDxfId="1644"/>
    <tableColumn id="1419" xr3:uid="{00000000-0010-0000-0000-00008B050000}" name="15п.28*" dataDxfId="1643"/>
    <tableColumn id="1420" xr3:uid="{00000000-0010-0000-0000-00008C050000}" name="15п.29*" dataDxfId="1642"/>
    <tableColumn id="1421" xr3:uid="{00000000-0010-0000-0000-00008D050000}" name="15п.30*" dataDxfId="1641"/>
    <tableColumn id="1453" xr3:uid="{00000000-0010-0000-0000-0000AD050000}" name="16н.Н" dataDxfId="1640"/>
    <tableColumn id="1454" xr3:uid="{00000000-0010-0000-0000-0000AE050000}" name="16н.01*" dataDxfId="1639"/>
    <tableColumn id="1455" xr3:uid="{00000000-0010-0000-0000-0000AF050000}" name="16н.02*" dataDxfId="1638"/>
    <tableColumn id="1456" xr3:uid="{00000000-0010-0000-0000-0000B0050000}" name="16н.03*" dataDxfId="1637"/>
    <tableColumn id="1457" xr3:uid="{00000000-0010-0000-0000-0000B1050000}" name="16н.04*" dataDxfId="1636"/>
    <tableColumn id="1458" xr3:uid="{00000000-0010-0000-0000-0000B2050000}" name="16н.05*" dataDxfId="1635"/>
    <tableColumn id="1459" xr3:uid="{00000000-0010-0000-0000-0000B3050000}" name="16н.06*" dataDxfId="1634"/>
    <tableColumn id="1460" xr3:uid="{00000000-0010-0000-0000-0000B4050000}" name="16н.07*" dataDxfId="1633"/>
    <tableColumn id="1461" xr3:uid="{00000000-0010-0000-0000-0000B5050000}" name="16н.08*" dataDxfId="1632"/>
    <tableColumn id="1462" xr3:uid="{00000000-0010-0000-0000-0000B6050000}" name="16н.09*" dataDxfId="1631"/>
    <tableColumn id="1463" xr3:uid="{00000000-0010-0000-0000-0000B7050000}" name="16н.10*" dataDxfId="1630"/>
    <tableColumn id="1464" xr3:uid="{00000000-0010-0000-0000-0000B8050000}" name="16н.11*" dataDxfId="1629"/>
    <tableColumn id="1465" xr3:uid="{00000000-0010-0000-0000-0000B9050000}" name="16н.12*" dataDxfId="1628"/>
    <tableColumn id="1466" xr3:uid="{00000000-0010-0000-0000-0000BA050000}" name="16н.13*" dataDxfId="1627"/>
    <tableColumn id="1467" xr3:uid="{00000000-0010-0000-0000-0000BB050000}" name="16н.14*" dataDxfId="1626"/>
    <tableColumn id="1468" xr3:uid="{00000000-0010-0000-0000-0000BC050000}" name="16н.15*" dataDxfId="1625"/>
    <tableColumn id="1469" xr3:uid="{00000000-0010-0000-0000-0000BD050000}" name="16н.16*" dataDxfId="1624"/>
    <tableColumn id="1470" xr3:uid="{00000000-0010-0000-0000-0000BE050000}" name="16н.17*" dataDxfId="1623"/>
    <tableColumn id="1471" xr3:uid="{00000000-0010-0000-0000-0000BF050000}" name="16н.18*" dataDxfId="1622"/>
    <tableColumn id="1472" xr3:uid="{00000000-0010-0000-0000-0000C0050000}" name="16н.19*" dataDxfId="1621"/>
    <tableColumn id="1473" xr3:uid="{00000000-0010-0000-0000-0000C1050000}" name="16н.20*" dataDxfId="1620"/>
    <tableColumn id="1474" xr3:uid="{00000000-0010-0000-0000-0000C2050000}" name="16н.21*" dataDxfId="1619"/>
    <tableColumn id="1475" xr3:uid="{00000000-0010-0000-0000-0000C3050000}" name="16н.22*" dataDxfId="1618"/>
    <tableColumn id="1476" xr3:uid="{00000000-0010-0000-0000-0000C4050000}" name="16н.23*" dataDxfId="1617"/>
    <tableColumn id="1477" xr3:uid="{00000000-0010-0000-0000-0000C5050000}" name="16н.24*" dataDxfId="1616"/>
    <tableColumn id="1478" xr3:uid="{00000000-0010-0000-0000-0000C6050000}" name="16н.25*" dataDxfId="1615"/>
    <tableColumn id="1479" xr3:uid="{00000000-0010-0000-0000-0000C7050000}" name="16н.26*" dataDxfId="1614"/>
    <tableColumn id="1480" xr3:uid="{00000000-0010-0000-0000-0000C8050000}" name="16н.27*" dataDxfId="1613"/>
    <tableColumn id="1481" xr3:uid="{00000000-0010-0000-0000-0000C9050000}" name="16н.28*" dataDxfId="1612"/>
    <tableColumn id="1482" xr3:uid="{00000000-0010-0000-0000-0000CA050000}" name="16н.29*" dataDxfId="1611"/>
    <tableColumn id="1483" xr3:uid="{00000000-0010-0000-0000-0000CB050000}" name="16н.30*" dataDxfId="1610"/>
    <tableColumn id="1484" xr3:uid="{00000000-0010-0000-0000-0000CC050000}" name="16п.Н" dataDxfId="1609"/>
    <tableColumn id="1485" xr3:uid="{00000000-0010-0000-0000-0000CD050000}" name="16п.01*" dataDxfId="1608"/>
    <tableColumn id="1486" xr3:uid="{00000000-0010-0000-0000-0000CE050000}" name="16п.02*" dataDxfId="1607"/>
    <tableColumn id="1487" xr3:uid="{00000000-0010-0000-0000-0000CF050000}" name="16п.03*" dataDxfId="1606"/>
    <tableColumn id="1488" xr3:uid="{00000000-0010-0000-0000-0000D0050000}" name="16п.04*" dataDxfId="1605"/>
    <tableColumn id="1489" xr3:uid="{00000000-0010-0000-0000-0000D1050000}" name="16п.05*" dataDxfId="1604"/>
    <tableColumn id="1490" xr3:uid="{00000000-0010-0000-0000-0000D2050000}" name="16п.06*" dataDxfId="1603"/>
    <tableColumn id="1491" xr3:uid="{00000000-0010-0000-0000-0000D3050000}" name="16п.07*" dataDxfId="1602"/>
    <tableColumn id="1492" xr3:uid="{00000000-0010-0000-0000-0000D4050000}" name="16п.08*" dataDxfId="1601"/>
    <tableColumn id="1493" xr3:uid="{00000000-0010-0000-0000-0000D5050000}" name="16п.09*" dataDxfId="1600"/>
    <tableColumn id="1494" xr3:uid="{00000000-0010-0000-0000-0000D6050000}" name="16п.10*" dataDxfId="1599"/>
    <tableColumn id="1495" xr3:uid="{00000000-0010-0000-0000-0000D7050000}" name="16п.11*" dataDxfId="1598"/>
    <tableColumn id="1496" xr3:uid="{00000000-0010-0000-0000-0000D8050000}" name="16п.12*" dataDxfId="1597"/>
    <tableColumn id="1497" xr3:uid="{00000000-0010-0000-0000-0000D9050000}" name="16п.13*" dataDxfId="1596"/>
    <tableColumn id="1498" xr3:uid="{00000000-0010-0000-0000-0000DA050000}" name="16п.14*" dataDxfId="1595"/>
    <tableColumn id="1499" xr3:uid="{00000000-0010-0000-0000-0000DB050000}" name="16п.15*" dataDxfId="1594"/>
    <tableColumn id="1500" xr3:uid="{00000000-0010-0000-0000-0000DC050000}" name="16п.16*" dataDxfId="1593"/>
    <tableColumn id="1501" xr3:uid="{00000000-0010-0000-0000-0000DD050000}" name="16п.17*" dataDxfId="1592"/>
    <tableColumn id="1502" xr3:uid="{00000000-0010-0000-0000-0000DE050000}" name="16п.18*" dataDxfId="1591"/>
    <tableColumn id="1503" xr3:uid="{00000000-0010-0000-0000-0000DF050000}" name="16п.19*" dataDxfId="1590"/>
    <tableColumn id="1504" xr3:uid="{00000000-0010-0000-0000-0000E0050000}" name="16п.20*" dataDxfId="1589"/>
    <tableColumn id="1505" xr3:uid="{00000000-0010-0000-0000-0000E1050000}" name="16п.21*" dataDxfId="1588"/>
    <tableColumn id="1506" xr3:uid="{00000000-0010-0000-0000-0000E2050000}" name="16п.22*" dataDxfId="1587"/>
    <tableColumn id="1507" xr3:uid="{00000000-0010-0000-0000-0000E3050000}" name="16п.23*" dataDxfId="1586"/>
    <tableColumn id="1508" xr3:uid="{00000000-0010-0000-0000-0000E4050000}" name="16п.24*" dataDxfId="1585"/>
    <tableColumn id="1509" xr3:uid="{00000000-0010-0000-0000-0000E5050000}" name="16п.25*" dataDxfId="1584"/>
    <tableColumn id="1510" xr3:uid="{00000000-0010-0000-0000-0000E6050000}" name="16п.26*" dataDxfId="1583"/>
    <tableColumn id="1511" xr3:uid="{00000000-0010-0000-0000-0000E7050000}" name="16п.27*" dataDxfId="1582"/>
    <tableColumn id="1512" xr3:uid="{00000000-0010-0000-0000-0000E8050000}" name="16п.28*" dataDxfId="1581"/>
    <tableColumn id="1513" xr3:uid="{00000000-0010-0000-0000-0000E9050000}" name="16п.29*" dataDxfId="1580"/>
    <tableColumn id="1514" xr3:uid="{00000000-0010-0000-0000-0000EA050000}" name="16п.30*" dataDxfId="1579"/>
    <tableColumn id="1546" xr3:uid="{00000000-0010-0000-0000-00000A060000}" name="17н.Н" dataDxfId="1578"/>
    <tableColumn id="1547" xr3:uid="{00000000-0010-0000-0000-00000B060000}" name="17н.01*" dataDxfId="1577"/>
    <tableColumn id="1548" xr3:uid="{00000000-0010-0000-0000-00000C060000}" name="17н.02*" dataDxfId="1576"/>
    <tableColumn id="1549" xr3:uid="{00000000-0010-0000-0000-00000D060000}" name="17н.03*" dataDxfId="1575"/>
    <tableColumn id="1550" xr3:uid="{00000000-0010-0000-0000-00000E060000}" name="17н.04*" dataDxfId="1574"/>
    <tableColumn id="1551" xr3:uid="{00000000-0010-0000-0000-00000F060000}" name="17н.05*" dataDxfId="1573"/>
    <tableColumn id="1552" xr3:uid="{00000000-0010-0000-0000-000010060000}" name="17н.06*" dataDxfId="1572"/>
    <tableColumn id="1553" xr3:uid="{00000000-0010-0000-0000-000011060000}" name="17н.07*" dataDxfId="1571"/>
    <tableColumn id="1554" xr3:uid="{00000000-0010-0000-0000-000012060000}" name="17н.08*" dataDxfId="1570"/>
    <tableColumn id="1555" xr3:uid="{00000000-0010-0000-0000-000013060000}" name="17н.09*" dataDxfId="1569"/>
    <tableColumn id="1556" xr3:uid="{00000000-0010-0000-0000-000014060000}" name="17н.10*" dataDxfId="1568"/>
    <tableColumn id="1557" xr3:uid="{00000000-0010-0000-0000-000015060000}" name="17н.11*" dataDxfId="1567"/>
    <tableColumn id="1558" xr3:uid="{00000000-0010-0000-0000-000016060000}" name="17н.12*" dataDxfId="1566"/>
    <tableColumn id="1559" xr3:uid="{00000000-0010-0000-0000-000017060000}" name="17н.13*" dataDxfId="1565"/>
    <tableColumn id="1560" xr3:uid="{00000000-0010-0000-0000-000018060000}" name="17н.14*" dataDxfId="1564"/>
    <tableColumn id="1561" xr3:uid="{00000000-0010-0000-0000-000019060000}" name="17н.15*" dataDxfId="1563"/>
    <tableColumn id="1562" xr3:uid="{00000000-0010-0000-0000-00001A060000}" name="17н.16*" dataDxfId="1562"/>
    <tableColumn id="1563" xr3:uid="{00000000-0010-0000-0000-00001B060000}" name="17н.17*" dataDxfId="1561"/>
    <tableColumn id="1564" xr3:uid="{00000000-0010-0000-0000-00001C060000}" name="17н.18*" dataDxfId="1560"/>
    <tableColumn id="1565" xr3:uid="{00000000-0010-0000-0000-00001D060000}" name="17н.19*" dataDxfId="1559"/>
    <tableColumn id="1566" xr3:uid="{00000000-0010-0000-0000-00001E060000}" name="17н.20*" dataDxfId="1558"/>
    <tableColumn id="1567" xr3:uid="{00000000-0010-0000-0000-00001F060000}" name="17н.21*" dataDxfId="1557"/>
    <tableColumn id="1568" xr3:uid="{00000000-0010-0000-0000-000020060000}" name="17н.22*" dataDxfId="1556"/>
    <tableColumn id="1569" xr3:uid="{00000000-0010-0000-0000-000021060000}" name="17н.23*" dataDxfId="1555"/>
    <tableColumn id="1570" xr3:uid="{00000000-0010-0000-0000-000022060000}" name="17н.24*" dataDxfId="1554"/>
    <tableColumn id="1571" xr3:uid="{00000000-0010-0000-0000-000023060000}" name="17н.25*" dataDxfId="1553"/>
    <tableColumn id="1572" xr3:uid="{00000000-0010-0000-0000-000024060000}" name="17н.26*" dataDxfId="1552"/>
    <tableColumn id="1573" xr3:uid="{00000000-0010-0000-0000-000025060000}" name="17н.27*" dataDxfId="1551"/>
    <tableColumn id="1574" xr3:uid="{00000000-0010-0000-0000-000026060000}" name="17н.28*" dataDxfId="1550"/>
    <tableColumn id="1575" xr3:uid="{00000000-0010-0000-0000-000027060000}" name="17н.29*" dataDxfId="1549"/>
    <tableColumn id="1576" xr3:uid="{00000000-0010-0000-0000-000028060000}" name="17н.30*" dataDxfId="1548"/>
    <tableColumn id="1577" xr3:uid="{00000000-0010-0000-0000-000029060000}" name="17п.Н" dataDxfId="1547"/>
    <tableColumn id="1578" xr3:uid="{00000000-0010-0000-0000-00002A060000}" name="17п.01*" dataDxfId="1546"/>
    <tableColumn id="1579" xr3:uid="{00000000-0010-0000-0000-00002B060000}" name="17п.02*" dataDxfId="1545"/>
    <tableColumn id="1580" xr3:uid="{00000000-0010-0000-0000-00002C060000}" name="17п.03*" dataDxfId="1544"/>
    <tableColumn id="1581" xr3:uid="{00000000-0010-0000-0000-00002D060000}" name="17п.04*" dataDxfId="1543"/>
    <tableColumn id="1582" xr3:uid="{00000000-0010-0000-0000-00002E060000}" name="17п.05*" dataDxfId="1542"/>
    <tableColumn id="1583" xr3:uid="{00000000-0010-0000-0000-00002F060000}" name="17п.06*" dataDxfId="1541"/>
    <tableColumn id="1584" xr3:uid="{00000000-0010-0000-0000-000030060000}" name="17п.07*" dataDxfId="1540"/>
    <tableColumn id="1585" xr3:uid="{00000000-0010-0000-0000-000031060000}" name="17п.08*" dataDxfId="1539"/>
    <tableColumn id="1586" xr3:uid="{00000000-0010-0000-0000-000032060000}" name="17п.09*" dataDxfId="1538"/>
    <tableColumn id="1587" xr3:uid="{00000000-0010-0000-0000-000033060000}" name="17п.10*" dataDxfId="1537"/>
    <tableColumn id="1588" xr3:uid="{00000000-0010-0000-0000-000034060000}" name="17п.11*" dataDxfId="1536"/>
    <tableColumn id="1589" xr3:uid="{00000000-0010-0000-0000-000035060000}" name="17п.12*" dataDxfId="1535"/>
    <tableColumn id="1590" xr3:uid="{00000000-0010-0000-0000-000036060000}" name="17п.13*" dataDxfId="1534"/>
    <tableColumn id="1591" xr3:uid="{00000000-0010-0000-0000-000037060000}" name="17п.14*" dataDxfId="1533"/>
    <tableColumn id="1592" xr3:uid="{00000000-0010-0000-0000-000038060000}" name="17п.15*" dataDxfId="1532"/>
    <tableColumn id="1593" xr3:uid="{00000000-0010-0000-0000-000039060000}" name="17п.16*" dataDxfId="1531"/>
    <tableColumn id="1594" xr3:uid="{00000000-0010-0000-0000-00003A060000}" name="17п.17*" dataDxfId="1530"/>
    <tableColumn id="1595" xr3:uid="{00000000-0010-0000-0000-00003B060000}" name="17п.18*" dataDxfId="1529"/>
    <tableColumn id="1596" xr3:uid="{00000000-0010-0000-0000-00003C060000}" name="17п.19*" dataDxfId="1528"/>
    <tableColumn id="1597" xr3:uid="{00000000-0010-0000-0000-00003D060000}" name="17п.20*" dataDxfId="1527"/>
    <tableColumn id="1598" xr3:uid="{00000000-0010-0000-0000-00003E060000}" name="17п.21*" dataDxfId="1526"/>
    <tableColumn id="1599" xr3:uid="{00000000-0010-0000-0000-00003F060000}" name="17п.22*" dataDxfId="1525"/>
    <tableColumn id="1600" xr3:uid="{00000000-0010-0000-0000-000040060000}" name="17п.23*" dataDxfId="1524"/>
    <tableColumn id="1601" xr3:uid="{00000000-0010-0000-0000-000041060000}" name="17п.24*" dataDxfId="1523"/>
    <tableColumn id="1602" xr3:uid="{00000000-0010-0000-0000-000042060000}" name="17п.25*" dataDxfId="1522"/>
    <tableColumn id="1603" xr3:uid="{00000000-0010-0000-0000-000043060000}" name="17п.26*" dataDxfId="1521"/>
    <tableColumn id="1604" xr3:uid="{00000000-0010-0000-0000-000044060000}" name="17п.27*" dataDxfId="1520"/>
    <tableColumn id="1605" xr3:uid="{00000000-0010-0000-0000-000045060000}" name="17п.28*" dataDxfId="1519"/>
    <tableColumn id="1606" xr3:uid="{00000000-0010-0000-0000-000046060000}" name="17п.29*" dataDxfId="1518"/>
    <tableColumn id="1607" xr3:uid="{00000000-0010-0000-0000-000047060000}" name="17п.30*" dataDxfId="1517"/>
    <tableColumn id="1639" xr3:uid="{00000000-0010-0000-0000-000067060000}" name="18н.Н" dataDxfId="1516"/>
    <tableColumn id="1640" xr3:uid="{00000000-0010-0000-0000-000068060000}" name="18н.01*" dataDxfId="1515"/>
    <tableColumn id="1641" xr3:uid="{00000000-0010-0000-0000-000069060000}" name="18н.02*" dataDxfId="1514"/>
    <tableColumn id="1642" xr3:uid="{00000000-0010-0000-0000-00006A060000}" name="18н.03*" dataDxfId="1513"/>
    <tableColumn id="1643" xr3:uid="{00000000-0010-0000-0000-00006B060000}" name="18н.04*" dataDxfId="1512"/>
    <tableColumn id="1644" xr3:uid="{00000000-0010-0000-0000-00006C060000}" name="18н.05*" dataDxfId="1511"/>
    <tableColumn id="1645" xr3:uid="{00000000-0010-0000-0000-00006D060000}" name="18н.06*" dataDxfId="1510"/>
    <tableColumn id="1646" xr3:uid="{00000000-0010-0000-0000-00006E060000}" name="18н.07*" dataDxfId="1509"/>
    <tableColumn id="1647" xr3:uid="{00000000-0010-0000-0000-00006F060000}" name="18н.08*" dataDxfId="1508"/>
    <tableColumn id="1648" xr3:uid="{00000000-0010-0000-0000-000070060000}" name="18н.09*" dataDxfId="1507"/>
    <tableColumn id="1649" xr3:uid="{00000000-0010-0000-0000-000071060000}" name="18н.10*" dataDxfId="1506"/>
    <tableColumn id="1650" xr3:uid="{00000000-0010-0000-0000-000072060000}" name="18н.11*" dataDxfId="1505"/>
    <tableColumn id="1651" xr3:uid="{00000000-0010-0000-0000-000073060000}" name="18н.12*" dataDxfId="1504"/>
    <tableColumn id="1652" xr3:uid="{00000000-0010-0000-0000-000074060000}" name="18н.13*" dataDxfId="1503"/>
    <tableColumn id="1653" xr3:uid="{00000000-0010-0000-0000-000075060000}" name="18н.14*" dataDxfId="1502"/>
    <tableColumn id="1654" xr3:uid="{00000000-0010-0000-0000-000076060000}" name="18н.15*" dataDxfId="1501"/>
    <tableColumn id="1655" xr3:uid="{00000000-0010-0000-0000-000077060000}" name="18н.16*" dataDxfId="1500"/>
    <tableColumn id="1656" xr3:uid="{00000000-0010-0000-0000-000078060000}" name="18н.17*" dataDxfId="1499"/>
    <tableColumn id="1657" xr3:uid="{00000000-0010-0000-0000-000079060000}" name="18н.18*" dataDxfId="1498"/>
    <tableColumn id="1658" xr3:uid="{00000000-0010-0000-0000-00007A060000}" name="18н.19*" dataDxfId="1497"/>
    <tableColumn id="1659" xr3:uid="{00000000-0010-0000-0000-00007B060000}" name="18н.20*" dataDxfId="1496"/>
    <tableColumn id="1660" xr3:uid="{00000000-0010-0000-0000-00007C060000}" name="18н.21*" dataDxfId="1495"/>
    <tableColumn id="1661" xr3:uid="{00000000-0010-0000-0000-00007D060000}" name="18н.22*" dataDxfId="1494"/>
    <tableColumn id="1662" xr3:uid="{00000000-0010-0000-0000-00007E060000}" name="18н.23*" dataDxfId="1493"/>
    <tableColumn id="1663" xr3:uid="{00000000-0010-0000-0000-00007F060000}" name="18н.24*" dataDxfId="1492"/>
    <tableColumn id="1664" xr3:uid="{00000000-0010-0000-0000-000080060000}" name="18н.25*" dataDxfId="1491"/>
    <tableColumn id="1665" xr3:uid="{00000000-0010-0000-0000-000081060000}" name="18н.26*" dataDxfId="1490"/>
    <tableColumn id="1666" xr3:uid="{00000000-0010-0000-0000-000082060000}" name="18н.27*" dataDxfId="1489"/>
    <tableColumn id="1667" xr3:uid="{00000000-0010-0000-0000-000083060000}" name="18н.28*" dataDxfId="1488"/>
    <tableColumn id="1668" xr3:uid="{00000000-0010-0000-0000-000084060000}" name="18н.29*" dataDxfId="1487"/>
    <tableColumn id="1669" xr3:uid="{00000000-0010-0000-0000-000085060000}" name="18н.30*" dataDxfId="1486"/>
    <tableColumn id="1670" xr3:uid="{00000000-0010-0000-0000-000086060000}" name="18п.Н" dataDxfId="1485"/>
    <tableColumn id="1671" xr3:uid="{00000000-0010-0000-0000-000087060000}" name="18п.01*" dataDxfId="1484"/>
    <tableColumn id="1672" xr3:uid="{00000000-0010-0000-0000-000088060000}" name="18п.02*" dataDxfId="1483"/>
    <tableColumn id="1673" xr3:uid="{00000000-0010-0000-0000-000089060000}" name="18п.03*" dataDxfId="1482"/>
    <tableColumn id="1674" xr3:uid="{00000000-0010-0000-0000-00008A060000}" name="18п.04*" dataDxfId="1481"/>
    <tableColumn id="1675" xr3:uid="{00000000-0010-0000-0000-00008B060000}" name="18п.05*" dataDxfId="1480"/>
    <tableColumn id="1676" xr3:uid="{00000000-0010-0000-0000-00008C060000}" name="18п.06*" dataDxfId="1479"/>
    <tableColumn id="1677" xr3:uid="{00000000-0010-0000-0000-00008D060000}" name="18п.07*" dataDxfId="1478"/>
    <tableColumn id="1678" xr3:uid="{00000000-0010-0000-0000-00008E060000}" name="18п.08*" dataDxfId="1477"/>
    <tableColumn id="1679" xr3:uid="{00000000-0010-0000-0000-00008F060000}" name="18п.09*" dataDxfId="1476"/>
    <tableColumn id="1680" xr3:uid="{00000000-0010-0000-0000-000090060000}" name="18п.10*" dataDxfId="1475"/>
    <tableColumn id="1681" xr3:uid="{00000000-0010-0000-0000-000091060000}" name="18п.11*" dataDxfId="1474"/>
    <tableColumn id="1682" xr3:uid="{00000000-0010-0000-0000-000092060000}" name="18п.12*" dataDxfId="1473"/>
    <tableColumn id="1683" xr3:uid="{00000000-0010-0000-0000-000093060000}" name="18п.13*" dataDxfId="1472"/>
    <tableColumn id="1684" xr3:uid="{00000000-0010-0000-0000-000094060000}" name="18п.14*" dataDxfId="1471"/>
    <tableColumn id="1685" xr3:uid="{00000000-0010-0000-0000-000095060000}" name="18п.15*" dataDxfId="1470"/>
    <tableColumn id="1686" xr3:uid="{00000000-0010-0000-0000-000096060000}" name="18п.16*" dataDxfId="1469"/>
    <tableColumn id="1687" xr3:uid="{00000000-0010-0000-0000-000097060000}" name="18п.17*" dataDxfId="1468"/>
    <tableColumn id="1688" xr3:uid="{00000000-0010-0000-0000-000098060000}" name="18п.18*" dataDxfId="1467"/>
    <tableColumn id="1689" xr3:uid="{00000000-0010-0000-0000-000099060000}" name="18п.19*" dataDxfId="1466"/>
    <tableColumn id="1690" xr3:uid="{00000000-0010-0000-0000-00009A060000}" name="18п.20*" dataDxfId="1465"/>
    <tableColumn id="1691" xr3:uid="{00000000-0010-0000-0000-00009B060000}" name="18п.21*" dataDxfId="1464"/>
    <tableColumn id="1692" xr3:uid="{00000000-0010-0000-0000-00009C060000}" name="18п.22*" dataDxfId="1463"/>
    <tableColumn id="1693" xr3:uid="{00000000-0010-0000-0000-00009D060000}" name="18п.23*" dataDxfId="1462"/>
    <tableColumn id="1694" xr3:uid="{00000000-0010-0000-0000-00009E060000}" name="18п.24*" dataDxfId="1461"/>
    <tableColumn id="1695" xr3:uid="{00000000-0010-0000-0000-00009F060000}" name="18п.25*" dataDxfId="1460"/>
    <tableColumn id="1696" xr3:uid="{00000000-0010-0000-0000-0000A0060000}" name="18п.26*" dataDxfId="1459"/>
    <tableColumn id="1697" xr3:uid="{00000000-0010-0000-0000-0000A1060000}" name="18п.27*" dataDxfId="1458"/>
    <tableColumn id="1698" xr3:uid="{00000000-0010-0000-0000-0000A2060000}" name="18п.28*" dataDxfId="1457"/>
    <tableColumn id="1699" xr3:uid="{00000000-0010-0000-0000-0000A3060000}" name="18п.29*" dataDxfId="1456"/>
    <tableColumn id="1700" xr3:uid="{00000000-0010-0000-0000-0000A4060000}" name="18п.30*" dataDxfId="1455"/>
    <tableColumn id="1732" xr3:uid="{00000000-0010-0000-0000-0000C4060000}" name="19н.Н" dataDxfId="1454"/>
    <tableColumn id="1733" xr3:uid="{00000000-0010-0000-0000-0000C5060000}" name="19н.01*" dataDxfId="1453"/>
    <tableColumn id="1734" xr3:uid="{00000000-0010-0000-0000-0000C6060000}" name="19н.02*" dataDxfId="1452"/>
    <tableColumn id="1735" xr3:uid="{00000000-0010-0000-0000-0000C7060000}" name="19н.03*" dataDxfId="1451"/>
    <tableColumn id="1736" xr3:uid="{00000000-0010-0000-0000-0000C8060000}" name="19н.04*" dataDxfId="1450"/>
    <tableColumn id="1737" xr3:uid="{00000000-0010-0000-0000-0000C9060000}" name="19н.05*" dataDxfId="1449"/>
    <tableColumn id="1738" xr3:uid="{00000000-0010-0000-0000-0000CA060000}" name="19н.06*" dataDxfId="1448"/>
    <tableColumn id="1739" xr3:uid="{00000000-0010-0000-0000-0000CB060000}" name="19н.07*" dataDxfId="1447"/>
    <tableColumn id="1740" xr3:uid="{00000000-0010-0000-0000-0000CC060000}" name="19н.08*" dataDxfId="1446"/>
    <tableColumn id="1741" xr3:uid="{00000000-0010-0000-0000-0000CD060000}" name="19н.09*" dataDxfId="1445"/>
    <tableColumn id="1742" xr3:uid="{00000000-0010-0000-0000-0000CE060000}" name="19н.10*" dataDxfId="1444"/>
    <tableColumn id="1743" xr3:uid="{00000000-0010-0000-0000-0000CF060000}" name="19н.11*" dataDxfId="1443"/>
    <tableColumn id="1744" xr3:uid="{00000000-0010-0000-0000-0000D0060000}" name="19н.12*" dataDxfId="1442"/>
    <tableColumn id="1745" xr3:uid="{00000000-0010-0000-0000-0000D1060000}" name="19н.13*" dataDxfId="1441"/>
    <tableColumn id="1746" xr3:uid="{00000000-0010-0000-0000-0000D2060000}" name="19н.14*" dataDxfId="1440"/>
    <tableColumn id="1747" xr3:uid="{00000000-0010-0000-0000-0000D3060000}" name="19н.15*" dataDxfId="1439"/>
    <tableColumn id="1748" xr3:uid="{00000000-0010-0000-0000-0000D4060000}" name="19н.16*" dataDxfId="1438"/>
    <tableColumn id="1749" xr3:uid="{00000000-0010-0000-0000-0000D5060000}" name="19н.17*" dataDxfId="1437"/>
    <tableColumn id="1750" xr3:uid="{00000000-0010-0000-0000-0000D6060000}" name="19н.18*" dataDxfId="1436"/>
    <tableColumn id="1751" xr3:uid="{00000000-0010-0000-0000-0000D7060000}" name="19н.19*" dataDxfId="1435"/>
    <tableColumn id="1752" xr3:uid="{00000000-0010-0000-0000-0000D8060000}" name="19н.20*" dataDxfId="1434"/>
    <tableColumn id="1753" xr3:uid="{00000000-0010-0000-0000-0000D9060000}" name="19н.21*" dataDxfId="1433"/>
    <tableColumn id="1754" xr3:uid="{00000000-0010-0000-0000-0000DA060000}" name="19н.22*" dataDxfId="1432"/>
    <tableColumn id="1755" xr3:uid="{00000000-0010-0000-0000-0000DB060000}" name="19н.23*" dataDxfId="1431"/>
    <tableColumn id="1756" xr3:uid="{00000000-0010-0000-0000-0000DC060000}" name="19н.24*" dataDxfId="1430"/>
    <tableColumn id="1757" xr3:uid="{00000000-0010-0000-0000-0000DD060000}" name="19н.25*" dataDxfId="1429"/>
    <tableColumn id="1758" xr3:uid="{00000000-0010-0000-0000-0000DE060000}" name="19н.26*" dataDxfId="1428"/>
    <tableColumn id="1759" xr3:uid="{00000000-0010-0000-0000-0000DF060000}" name="19н.27*" dataDxfId="1427"/>
    <tableColumn id="1760" xr3:uid="{00000000-0010-0000-0000-0000E0060000}" name="19н.28*" dataDxfId="1426"/>
    <tableColumn id="1761" xr3:uid="{00000000-0010-0000-0000-0000E1060000}" name="19н.29*" dataDxfId="1425"/>
    <tableColumn id="1762" xr3:uid="{00000000-0010-0000-0000-0000E2060000}" name="19н.30*" dataDxfId="1424"/>
    <tableColumn id="1763" xr3:uid="{00000000-0010-0000-0000-0000E3060000}" name="19п.Н" dataDxfId="1423"/>
    <tableColumn id="1764" xr3:uid="{00000000-0010-0000-0000-0000E4060000}" name="19п.01*" dataDxfId="1422"/>
    <tableColumn id="1765" xr3:uid="{00000000-0010-0000-0000-0000E5060000}" name="19п.02*" dataDxfId="1421"/>
    <tableColumn id="1766" xr3:uid="{00000000-0010-0000-0000-0000E6060000}" name="19п.03*" dataDxfId="1420"/>
    <tableColumn id="1767" xr3:uid="{00000000-0010-0000-0000-0000E7060000}" name="19п.04*" dataDxfId="1419"/>
    <tableColumn id="1768" xr3:uid="{00000000-0010-0000-0000-0000E8060000}" name="19п.05*" dataDxfId="1418"/>
    <tableColumn id="1769" xr3:uid="{00000000-0010-0000-0000-0000E9060000}" name="19п.06*" dataDxfId="1417"/>
    <tableColumn id="1770" xr3:uid="{00000000-0010-0000-0000-0000EA060000}" name="19п.07*" dataDxfId="1416"/>
    <tableColumn id="1771" xr3:uid="{00000000-0010-0000-0000-0000EB060000}" name="19п.08*" dataDxfId="1415"/>
    <tableColumn id="1772" xr3:uid="{00000000-0010-0000-0000-0000EC060000}" name="19п.09*" dataDxfId="1414"/>
    <tableColumn id="1773" xr3:uid="{00000000-0010-0000-0000-0000ED060000}" name="19п.10*" dataDxfId="1413"/>
    <tableColumn id="1774" xr3:uid="{00000000-0010-0000-0000-0000EE060000}" name="19п.11*" dataDxfId="1412"/>
    <tableColumn id="1775" xr3:uid="{00000000-0010-0000-0000-0000EF060000}" name="19п.12*" dataDxfId="1411"/>
    <tableColumn id="1776" xr3:uid="{00000000-0010-0000-0000-0000F0060000}" name="19п.13*" dataDxfId="1410"/>
    <tableColumn id="1777" xr3:uid="{00000000-0010-0000-0000-0000F1060000}" name="19п.14*" dataDxfId="1409"/>
    <tableColumn id="1778" xr3:uid="{00000000-0010-0000-0000-0000F2060000}" name="19п.15*" dataDxfId="1408"/>
    <tableColumn id="1779" xr3:uid="{00000000-0010-0000-0000-0000F3060000}" name="19п.16*" dataDxfId="1407"/>
    <tableColumn id="1780" xr3:uid="{00000000-0010-0000-0000-0000F4060000}" name="19п.17*" dataDxfId="1406"/>
    <tableColumn id="1781" xr3:uid="{00000000-0010-0000-0000-0000F5060000}" name="19п.18*" dataDxfId="1405"/>
    <tableColumn id="1782" xr3:uid="{00000000-0010-0000-0000-0000F6060000}" name="19п.19*" dataDxfId="1404"/>
    <tableColumn id="1783" xr3:uid="{00000000-0010-0000-0000-0000F7060000}" name="19п.20*" dataDxfId="1403"/>
    <tableColumn id="1784" xr3:uid="{00000000-0010-0000-0000-0000F8060000}" name="19п.21*" dataDxfId="1402"/>
    <tableColumn id="1785" xr3:uid="{00000000-0010-0000-0000-0000F9060000}" name="19п.22*" dataDxfId="1401"/>
    <tableColumn id="1786" xr3:uid="{00000000-0010-0000-0000-0000FA060000}" name="19п.23*" dataDxfId="1400"/>
    <tableColumn id="1787" xr3:uid="{00000000-0010-0000-0000-0000FB060000}" name="19п.24*" dataDxfId="1399"/>
    <tableColumn id="1788" xr3:uid="{00000000-0010-0000-0000-0000FC060000}" name="19п.25*" dataDxfId="1398"/>
    <tableColumn id="1789" xr3:uid="{00000000-0010-0000-0000-0000FD060000}" name="19п.26*" dataDxfId="1397"/>
    <tableColumn id="1790" xr3:uid="{00000000-0010-0000-0000-0000FE060000}" name="19п.27*" dataDxfId="1396"/>
    <tableColumn id="1791" xr3:uid="{00000000-0010-0000-0000-0000FF060000}" name="19п.28*" dataDxfId="1395"/>
    <tableColumn id="1792" xr3:uid="{00000000-0010-0000-0000-000000070000}" name="19п.29*" dataDxfId="1394"/>
    <tableColumn id="1793" xr3:uid="{00000000-0010-0000-0000-000001070000}" name="19п.30*" dataDxfId="1393"/>
    <tableColumn id="1825" xr3:uid="{00000000-0010-0000-0000-000021070000}" name="20н.Н" dataDxfId="1392"/>
    <tableColumn id="1826" xr3:uid="{00000000-0010-0000-0000-000022070000}" name="20н.01*" dataDxfId="1391"/>
    <tableColumn id="1827" xr3:uid="{00000000-0010-0000-0000-000023070000}" name="20н.02*" dataDxfId="1390"/>
    <tableColumn id="1828" xr3:uid="{00000000-0010-0000-0000-000024070000}" name="20н.03*" dataDxfId="1389"/>
    <tableColumn id="1829" xr3:uid="{00000000-0010-0000-0000-000025070000}" name="20н.04*" dataDxfId="1388"/>
    <tableColumn id="1830" xr3:uid="{00000000-0010-0000-0000-000026070000}" name="20н.05*" dataDxfId="1387"/>
    <tableColumn id="1831" xr3:uid="{00000000-0010-0000-0000-000027070000}" name="20н.06*" dataDxfId="1386"/>
    <tableColumn id="1832" xr3:uid="{00000000-0010-0000-0000-000028070000}" name="20н.07*" dataDxfId="1385"/>
    <tableColumn id="1833" xr3:uid="{00000000-0010-0000-0000-000029070000}" name="20н.08*" dataDxfId="1384"/>
    <tableColumn id="1834" xr3:uid="{00000000-0010-0000-0000-00002A070000}" name="20н.09*" dataDxfId="1383"/>
    <tableColumn id="1835" xr3:uid="{00000000-0010-0000-0000-00002B070000}" name="20н.10*" dataDxfId="1382"/>
    <tableColumn id="1836" xr3:uid="{00000000-0010-0000-0000-00002C070000}" name="20н.11*" dataDxfId="1381"/>
    <tableColumn id="1837" xr3:uid="{00000000-0010-0000-0000-00002D070000}" name="20н.12*" dataDxfId="1380"/>
    <tableColumn id="1838" xr3:uid="{00000000-0010-0000-0000-00002E070000}" name="20н.13*" dataDxfId="1379"/>
    <tableColumn id="1839" xr3:uid="{00000000-0010-0000-0000-00002F070000}" name="20н.14*" dataDxfId="1378"/>
    <tableColumn id="1840" xr3:uid="{00000000-0010-0000-0000-000030070000}" name="20н.15*" dataDxfId="1377"/>
    <tableColumn id="1841" xr3:uid="{00000000-0010-0000-0000-000031070000}" name="20н.16*" dataDxfId="1376"/>
    <tableColumn id="1842" xr3:uid="{00000000-0010-0000-0000-000032070000}" name="20н.17*" dataDxfId="1375"/>
    <tableColumn id="1843" xr3:uid="{00000000-0010-0000-0000-000033070000}" name="20н.18*" dataDxfId="1374"/>
    <tableColumn id="1844" xr3:uid="{00000000-0010-0000-0000-000034070000}" name="20н.19*" dataDxfId="1373"/>
    <tableColumn id="1845" xr3:uid="{00000000-0010-0000-0000-000035070000}" name="20н.20*" dataDxfId="1372"/>
    <tableColumn id="1846" xr3:uid="{00000000-0010-0000-0000-000036070000}" name="20н.21*" dataDxfId="1371"/>
    <tableColumn id="1847" xr3:uid="{00000000-0010-0000-0000-000037070000}" name="20н.22*" dataDxfId="1370"/>
    <tableColumn id="1848" xr3:uid="{00000000-0010-0000-0000-000038070000}" name="20н.23*" dataDxfId="1369"/>
    <tableColumn id="1849" xr3:uid="{00000000-0010-0000-0000-000039070000}" name="20н.24*" dataDxfId="1368"/>
    <tableColumn id="1850" xr3:uid="{00000000-0010-0000-0000-00003A070000}" name="20н.25*" dataDxfId="1367"/>
    <tableColumn id="1851" xr3:uid="{00000000-0010-0000-0000-00003B070000}" name="20н.26*" dataDxfId="1366"/>
    <tableColumn id="1852" xr3:uid="{00000000-0010-0000-0000-00003C070000}" name="20н.27*" dataDxfId="1365"/>
    <tableColumn id="1853" xr3:uid="{00000000-0010-0000-0000-00003D070000}" name="20н.28*" dataDxfId="1364"/>
    <tableColumn id="1854" xr3:uid="{00000000-0010-0000-0000-00003E070000}" name="20н.29*" dataDxfId="1363"/>
    <tableColumn id="1855" xr3:uid="{00000000-0010-0000-0000-00003F070000}" name="20н.30*" dataDxfId="1362"/>
    <tableColumn id="1856" xr3:uid="{00000000-0010-0000-0000-000040070000}" name="20п.Н" dataDxfId="1361"/>
    <tableColumn id="1857" xr3:uid="{00000000-0010-0000-0000-000041070000}" name="20п.01*" dataDxfId="1360"/>
    <tableColumn id="1858" xr3:uid="{00000000-0010-0000-0000-000042070000}" name="20п.02*" dataDxfId="1359"/>
    <tableColumn id="1859" xr3:uid="{00000000-0010-0000-0000-000043070000}" name="20п.03*" dataDxfId="1358"/>
    <tableColumn id="1860" xr3:uid="{00000000-0010-0000-0000-000044070000}" name="20п.04*" dataDxfId="1357"/>
    <tableColumn id="1861" xr3:uid="{00000000-0010-0000-0000-000045070000}" name="20п.05*" dataDxfId="1356"/>
    <tableColumn id="1862" xr3:uid="{00000000-0010-0000-0000-000046070000}" name="20п.06*" dataDxfId="1355"/>
    <tableColumn id="1863" xr3:uid="{00000000-0010-0000-0000-000047070000}" name="20п.07*" dataDxfId="1354"/>
    <tableColumn id="1864" xr3:uid="{00000000-0010-0000-0000-000048070000}" name="20п.08*" dataDxfId="1353"/>
    <tableColumn id="1865" xr3:uid="{00000000-0010-0000-0000-000049070000}" name="20п.09*" dataDxfId="1352"/>
    <tableColumn id="1866" xr3:uid="{00000000-0010-0000-0000-00004A070000}" name="20п.10*" dataDxfId="1351"/>
    <tableColumn id="1867" xr3:uid="{00000000-0010-0000-0000-00004B070000}" name="20п.11*" dataDxfId="1350"/>
    <tableColumn id="1868" xr3:uid="{00000000-0010-0000-0000-00004C070000}" name="20п.12*" dataDxfId="1349"/>
    <tableColumn id="1869" xr3:uid="{00000000-0010-0000-0000-00004D070000}" name="20п.13*" dataDxfId="1348"/>
    <tableColumn id="1870" xr3:uid="{00000000-0010-0000-0000-00004E070000}" name="20п.14*" dataDxfId="1347"/>
    <tableColumn id="1871" xr3:uid="{00000000-0010-0000-0000-00004F070000}" name="20п.15*" dataDxfId="1346"/>
    <tableColumn id="1872" xr3:uid="{00000000-0010-0000-0000-000050070000}" name="20п.16*" dataDxfId="1345"/>
    <tableColumn id="1873" xr3:uid="{00000000-0010-0000-0000-000051070000}" name="20п.17*" dataDxfId="1344"/>
    <tableColumn id="1874" xr3:uid="{00000000-0010-0000-0000-000052070000}" name="20п.18*" dataDxfId="1343"/>
    <tableColumn id="1875" xr3:uid="{00000000-0010-0000-0000-000053070000}" name="20п.19*" dataDxfId="1342"/>
    <tableColumn id="1876" xr3:uid="{00000000-0010-0000-0000-000054070000}" name="20п.20*" dataDxfId="1341"/>
    <tableColumn id="1877" xr3:uid="{00000000-0010-0000-0000-000055070000}" name="20п.21*" dataDxfId="1340"/>
    <tableColumn id="1878" xr3:uid="{00000000-0010-0000-0000-000056070000}" name="20п.22*" dataDxfId="1339"/>
    <tableColumn id="1879" xr3:uid="{00000000-0010-0000-0000-000057070000}" name="20п.23*" dataDxfId="1338"/>
    <tableColumn id="1880" xr3:uid="{00000000-0010-0000-0000-000058070000}" name="20п.24*" dataDxfId="1337"/>
    <tableColumn id="1881" xr3:uid="{00000000-0010-0000-0000-000059070000}" name="20п.25*" dataDxfId="1336"/>
    <tableColumn id="1882" xr3:uid="{00000000-0010-0000-0000-00005A070000}" name="20п.26*" dataDxfId="1335"/>
    <tableColumn id="1883" xr3:uid="{00000000-0010-0000-0000-00005B070000}" name="20п.27*" dataDxfId="1334"/>
    <tableColumn id="1884" xr3:uid="{00000000-0010-0000-0000-00005C070000}" name="20п.28*" dataDxfId="1333"/>
    <tableColumn id="1885" xr3:uid="{00000000-0010-0000-0000-00005D070000}" name="20п.29*" dataDxfId="1332"/>
    <tableColumn id="1886" xr3:uid="{00000000-0010-0000-0000-00005E070000}" name="20п.30*" dataDxfId="1331"/>
    <tableColumn id="1918" xr3:uid="{00000000-0010-0000-0000-00007E070000}" name="21н.Н" dataDxfId="1330"/>
    <tableColumn id="1919" xr3:uid="{00000000-0010-0000-0000-00007F070000}" name="21н.01*" dataDxfId="1329"/>
    <tableColumn id="1920" xr3:uid="{00000000-0010-0000-0000-000080070000}" name="21н.02*" dataDxfId="1328"/>
    <tableColumn id="1921" xr3:uid="{00000000-0010-0000-0000-000081070000}" name="21н.03*" dataDxfId="1327"/>
    <tableColumn id="1922" xr3:uid="{00000000-0010-0000-0000-000082070000}" name="21н.04*" dataDxfId="1326"/>
    <tableColumn id="1923" xr3:uid="{00000000-0010-0000-0000-000083070000}" name="21н.05*" dataDxfId="1325"/>
    <tableColumn id="1924" xr3:uid="{00000000-0010-0000-0000-000084070000}" name="21н.06*" dataDxfId="1324"/>
    <tableColumn id="1925" xr3:uid="{00000000-0010-0000-0000-000085070000}" name="21н.07*" dataDxfId="1323"/>
    <tableColumn id="1926" xr3:uid="{00000000-0010-0000-0000-000086070000}" name="21н.08*" dataDxfId="1322"/>
    <tableColumn id="1927" xr3:uid="{00000000-0010-0000-0000-000087070000}" name="21н.09*" dataDxfId="1321"/>
    <tableColumn id="1928" xr3:uid="{00000000-0010-0000-0000-000088070000}" name="21н.10*" dataDxfId="1320"/>
    <tableColumn id="1929" xr3:uid="{00000000-0010-0000-0000-000089070000}" name="21н.11*" dataDxfId="1319"/>
    <tableColumn id="1930" xr3:uid="{00000000-0010-0000-0000-00008A070000}" name="21н.12*" dataDxfId="1318"/>
    <tableColumn id="1931" xr3:uid="{00000000-0010-0000-0000-00008B070000}" name="21н.13*" dataDxfId="1317"/>
    <tableColumn id="1932" xr3:uid="{00000000-0010-0000-0000-00008C070000}" name="21н.14*" dataDxfId="1316"/>
    <tableColumn id="1933" xr3:uid="{00000000-0010-0000-0000-00008D070000}" name="21н.15*" dataDxfId="1315"/>
    <tableColumn id="1934" xr3:uid="{00000000-0010-0000-0000-00008E070000}" name="21н.16*" dataDxfId="1314"/>
    <tableColumn id="1935" xr3:uid="{00000000-0010-0000-0000-00008F070000}" name="21н.17*" dataDxfId="1313"/>
    <tableColumn id="1936" xr3:uid="{00000000-0010-0000-0000-000090070000}" name="21н.18*" dataDxfId="1312"/>
    <tableColumn id="1937" xr3:uid="{00000000-0010-0000-0000-000091070000}" name="21н.19*" dataDxfId="1311"/>
    <tableColumn id="1938" xr3:uid="{00000000-0010-0000-0000-000092070000}" name="21н.20*" dataDxfId="1310"/>
    <tableColumn id="1939" xr3:uid="{00000000-0010-0000-0000-000093070000}" name="21н.21*" dataDxfId="1309"/>
    <tableColumn id="1940" xr3:uid="{00000000-0010-0000-0000-000094070000}" name="21н.22*" dataDxfId="1308"/>
    <tableColumn id="1941" xr3:uid="{00000000-0010-0000-0000-000095070000}" name="21н.23*" dataDxfId="1307"/>
    <tableColumn id="1942" xr3:uid="{00000000-0010-0000-0000-000096070000}" name="21н.24*" dataDxfId="1306"/>
    <tableColumn id="1943" xr3:uid="{00000000-0010-0000-0000-000097070000}" name="21н.25*" dataDxfId="1305"/>
    <tableColumn id="1944" xr3:uid="{00000000-0010-0000-0000-000098070000}" name="21н.26*" dataDxfId="1304"/>
    <tableColumn id="1945" xr3:uid="{00000000-0010-0000-0000-000099070000}" name="21н.27*" dataDxfId="1303"/>
    <tableColumn id="1946" xr3:uid="{00000000-0010-0000-0000-00009A070000}" name="21н.28*" dataDxfId="1302"/>
    <tableColumn id="1947" xr3:uid="{00000000-0010-0000-0000-00009B070000}" name="21н.29*" dataDxfId="1301"/>
    <tableColumn id="1948" xr3:uid="{00000000-0010-0000-0000-00009C070000}" name="21н.30*" dataDxfId="1300"/>
    <tableColumn id="1949" xr3:uid="{00000000-0010-0000-0000-00009D070000}" name="21п.Н" dataDxfId="1299"/>
    <tableColumn id="1950" xr3:uid="{00000000-0010-0000-0000-00009E070000}" name="21п.01*" dataDxfId="1298"/>
    <tableColumn id="1951" xr3:uid="{00000000-0010-0000-0000-00009F070000}" name="21п.02*" dataDxfId="1297"/>
    <tableColumn id="1952" xr3:uid="{00000000-0010-0000-0000-0000A0070000}" name="21п.03*" dataDxfId="1296"/>
    <tableColumn id="1953" xr3:uid="{00000000-0010-0000-0000-0000A1070000}" name="21п.04*" dataDxfId="1295"/>
    <tableColumn id="1954" xr3:uid="{00000000-0010-0000-0000-0000A2070000}" name="21п.05*" dataDxfId="1294"/>
    <tableColumn id="1955" xr3:uid="{00000000-0010-0000-0000-0000A3070000}" name="21п.06*" dataDxfId="1293"/>
    <tableColumn id="1956" xr3:uid="{00000000-0010-0000-0000-0000A4070000}" name="21п.07*" dataDxfId="1292"/>
    <tableColumn id="1957" xr3:uid="{00000000-0010-0000-0000-0000A5070000}" name="21п.08*" dataDxfId="1291"/>
    <tableColumn id="1958" xr3:uid="{00000000-0010-0000-0000-0000A6070000}" name="21п.09*" dataDxfId="1290"/>
    <tableColumn id="1959" xr3:uid="{00000000-0010-0000-0000-0000A7070000}" name="21п.10*" dataDxfId="1289"/>
    <tableColumn id="1960" xr3:uid="{00000000-0010-0000-0000-0000A8070000}" name="21п.11*" dataDxfId="1288"/>
    <tableColumn id="1961" xr3:uid="{00000000-0010-0000-0000-0000A9070000}" name="21п.12*" dataDxfId="1287"/>
    <tableColumn id="1962" xr3:uid="{00000000-0010-0000-0000-0000AA070000}" name="21п.13*" dataDxfId="1286"/>
    <tableColumn id="1963" xr3:uid="{00000000-0010-0000-0000-0000AB070000}" name="21п.14*" dataDxfId="1285"/>
    <tableColumn id="1964" xr3:uid="{00000000-0010-0000-0000-0000AC070000}" name="21п.15*" dataDxfId="1284"/>
    <tableColumn id="1965" xr3:uid="{00000000-0010-0000-0000-0000AD070000}" name="21п.16*" dataDxfId="1283"/>
    <tableColumn id="1966" xr3:uid="{00000000-0010-0000-0000-0000AE070000}" name="21п.17*" dataDxfId="1282"/>
    <tableColumn id="1967" xr3:uid="{00000000-0010-0000-0000-0000AF070000}" name="21п.18*" dataDxfId="1281"/>
    <tableColumn id="1968" xr3:uid="{00000000-0010-0000-0000-0000B0070000}" name="21п.19*" dataDxfId="1280"/>
    <tableColumn id="1969" xr3:uid="{00000000-0010-0000-0000-0000B1070000}" name="21п.20*" dataDxfId="1279"/>
    <tableColumn id="1970" xr3:uid="{00000000-0010-0000-0000-0000B2070000}" name="21п.21*" dataDxfId="1278"/>
    <tableColumn id="1971" xr3:uid="{00000000-0010-0000-0000-0000B3070000}" name="21п.22*" dataDxfId="1277"/>
    <tableColumn id="1972" xr3:uid="{00000000-0010-0000-0000-0000B4070000}" name="21п.23*" dataDxfId="1276"/>
    <tableColumn id="1973" xr3:uid="{00000000-0010-0000-0000-0000B5070000}" name="21п.24*" dataDxfId="1275"/>
    <tableColumn id="1974" xr3:uid="{00000000-0010-0000-0000-0000B6070000}" name="21п.25*" dataDxfId="1274"/>
    <tableColumn id="1975" xr3:uid="{00000000-0010-0000-0000-0000B7070000}" name="21п.26*" dataDxfId="1273"/>
    <tableColumn id="1976" xr3:uid="{00000000-0010-0000-0000-0000B8070000}" name="21п.27*" dataDxfId="1272"/>
    <tableColumn id="1977" xr3:uid="{00000000-0010-0000-0000-0000B9070000}" name="21п.28*" dataDxfId="1271"/>
    <tableColumn id="1978" xr3:uid="{00000000-0010-0000-0000-0000BA070000}" name="21п.29*" dataDxfId="1270"/>
    <tableColumn id="1979" xr3:uid="{00000000-0010-0000-0000-0000BB070000}" name="21п.30*" dataDxfId="1269"/>
    <tableColumn id="2011" xr3:uid="{00000000-0010-0000-0000-0000DB070000}" name="22н.Н" dataDxfId="1268"/>
    <tableColumn id="2012" xr3:uid="{00000000-0010-0000-0000-0000DC070000}" name="22н.01*" dataDxfId="1267"/>
    <tableColumn id="2013" xr3:uid="{00000000-0010-0000-0000-0000DD070000}" name="22н.02*" dataDxfId="1266"/>
    <tableColumn id="2014" xr3:uid="{00000000-0010-0000-0000-0000DE070000}" name="22н.03*" dataDxfId="1265"/>
    <tableColumn id="2015" xr3:uid="{00000000-0010-0000-0000-0000DF070000}" name="22н.04*" dataDxfId="1264"/>
    <tableColumn id="2016" xr3:uid="{00000000-0010-0000-0000-0000E0070000}" name="22н.05*" dataDxfId="1263"/>
    <tableColumn id="2017" xr3:uid="{00000000-0010-0000-0000-0000E1070000}" name="22н.06*" dataDxfId="1262"/>
    <tableColumn id="2018" xr3:uid="{00000000-0010-0000-0000-0000E2070000}" name="22н.07*" dataDxfId="1261"/>
    <tableColumn id="2019" xr3:uid="{00000000-0010-0000-0000-0000E3070000}" name="22н.08*" dataDxfId="1260"/>
    <tableColumn id="2020" xr3:uid="{00000000-0010-0000-0000-0000E4070000}" name="22н.09*" dataDxfId="1259"/>
    <tableColumn id="2021" xr3:uid="{00000000-0010-0000-0000-0000E5070000}" name="22н.10*" dataDxfId="1258"/>
    <tableColumn id="2022" xr3:uid="{00000000-0010-0000-0000-0000E6070000}" name="22н.11*" dataDxfId="1257"/>
    <tableColumn id="2023" xr3:uid="{00000000-0010-0000-0000-0000E7070000}" name="22н.12*" dataDxfId="1256"/>
    <tableColumn id="2024" xr3:uid="{00000000-0010-0000-0000-0000E8070000}" name="22н.13*" dataDxfId="1255"/>
    <tableColumn id="2025" xr3:uid="{00000000-0010-0000-0000-0000E9070000}" name="22н.14*" dataDxfId="1254"/>
    <tableColumn id="2026" xr3:uid="{00000000-0010-0000-0000-0000EA070000}" name="22н.15*" dataDxfId="1253"/>
    <tableColumn id="2027" xr3:uid="{00000000-0010-0000-0000-0000EB070000}" name="22н.16*" dataDxfId="1252"/>
    <tableColumn id="2028" xr3:uid="{00000000-0010-0000-0000-0000EC070000}" name="22н.17*" dataDxfId="1251"/>
    <tableColumn id="2029" xr3:uid="{00000000-0010-0000-0000-0000ED070000}" name="22н.18*" dataDxfId="1250"/>
    <tableColumn id="2030" xr3:uid="{00000000-0010-0000-0000-0000EE070000}" name="22н.19*" dataDxfId="1249"/>
    <tableColumn id="2031" xr3:uid="{00000000-0010-0000-0000-0000EF070000}" name="22н.20*" dataDxfId="1248"/>
    <tableColumn id="2032" xr3:uid="{00000000-0010-0000-0000-0000F0070000}" name="22н.21*" dataDxfId="1247"/>
    <tableColumn id="2033" xr3:uid="{00000000-0010-0000-0000-0000F1070000}" name="22н.22*" dataDxfId="1246"/>
    <tableColumn id="2034" xr3:uid="{00000000-0010-0000-0000-0000F2070000}" name="22н.23*" dataDxfId="1245"/>
    <tableColumn id="2035" xr3:uid="{00000000-0010-0000-0000-0000F3070000}" name="22н.24*" dataDxfId="1244"/>
    <tableColumn id="2036" xr3:uid="{00000000-0010-0000-0000-0000F4070000}" name="22н.25*" dataDxfId="1243"/>
    <tableColumn id="2037" xr3:uid="{00000000-0010-0000-0000-0000F5070000}" name="22н.26*" dataDxfId="1242"/>
    <tableColumn id="2038" xr3:uid="{00000000-0010-0000-0000-0000F6070000}" name="22н.27*" dataDxfId="1241"/>
    <tableColumn id="2039" xr3:uid="{00000000-0010-0000-0000-0000F7070000}" name="22н.28*" dataDxfId="1240"/>
    <tableColumn id="2040" xr3:uid="{00000000-0010-0000-0000-0000F8070000}" name="22н.29*" dataDxfId="1239"/>
    <tableColumn id="2041" xr3:uid="{00000000-0010-0000-0000-0000F9070000}" name="22н.30*" dataDxfId="1238"/>
    <tableColumn id="2042" xr3:uid="{00000000-0010-0000-0000-0000FA070000}" name="22п.Н" dataDxfId="1237"/>
    <tableColumn id="2043" xr3:uid="{00000000-0010-0000-0000-0000FB070000}" name="22п.01*" dataDxfId="1236"/>
    <tableColumn id="2044" xr3:uid="{00000000-0010-0000-0000-0000FC070000}" name="22п.02*" dataDxfId="1235"/>
    <tableColumn id="2045" xr3:uid="{00000000-0010-0000-0000-0000FD070000}" name="22п.03*" dataDxfId="1234"/>
    <tableColumn id="2046" xr3:uid="{00000000-0010-0000-0000-0000FE070000}" name="22п.04*" dataDxfId="1233"/>
    <tableColumn id="2047" xr3:uid="{00000000-0010-0000-0000-0000FF070000}" name="22п.05*" dataDxfId="1232"/>
    <tableColumn id="2048" xr3:uid="{00000000-0010-0000-0000-000000080000}" name="22п.06*" dataDxfId="1231"/>
    <tableColumn id="2049" xr3:uid="{00000000-0010-0000-0000-000001080000}" name="22п.07*" dataDxfId="1230"/>
    <tableColumn id="2050" xr3:uid="{00000000-0010-0000-0000-000002080000}" name="22п.08*" dataDxfId="1229"/>
    <tableColumn id="2051" xr3:uid="{00000000-0010-0000-0000-000003080000}" name="22п.09*" dataDxfId="1228"/>
    <tableColumn id="2052" xr3:uid="{00000000-0010-0000-0000-000004080000}" name="22п.10*" dataDxfId="1227"/>
    <tableColumn id="2053" xr3:uid="{00000000-0010-0000-0000-000005080000}" name="22п.11*" dataDxfId="1226"/>
    <tableColumn id="2054" xr3:uid="{00000000-0010-0000-0000-000006080000}" name="22п.12*" dataDxfId="1225"/>
    <tableColumn id="2055" xr3:uid="{00000000-0010-0000-0000-000007080000}" name="22п.13*" dataDxfId="1224"/>
    <tableColumn id="2056" xr3:uid="{00000000-0010-0000-0000-000008080000}" name="22п.14*" dataDxfId="1223"/>
    <tableColumn id="2057" xr3:uid="{00000000-0010-0000-0000-000009080000}" name="22п.15*" dataDxfId="1222"/>
    <tableColumn id="2058" xr3:uid="{00000000-0010-0000-0000-00000A080000}" name="22п.16*" dataDxfId="1221"/>
    <tableColumn id="2059" xr3:uid="{00000000-0010-0000-0000-00000B080000}" name="22п.17*" dataDxfId="1220"/>
    <tableColumn id="2060" xr3:uid="{00000000-0010-0000-0000-00000C080000}" name="22п.18*" dataDxfId="1219"/>
    <tableColumn id="2061" xr3:uid="{00000000-0010-0000-0000-00000D080000}" name="22п.19*" dataDxfId="1218"/>
    <tableColumn id="2062" xr3:uid="{00000000-0010-0000-0000-00000E080000}" name="22п.20*" dataDxfId="1217"/>
    <tableColumn id="2063" xr3:uid="{00000000-0010-0000-0000-00000F080000}" name="22п.21*" dataDxfId="1216"/>
    <tableColumn id="2064" xr3:uid="{00000000-0010-0000-0000-000010080000}" name="22п.22*" dataDxfId="1215"/>
    <tableColumn id="2065" xr3:uid="{00000000-0010-0000-0000-000011080000}" name="22п.23*" dataDxfId="1214"/>
    <tableColumn id="2066" xr3:uid="{00000000-0010-0000-0000-000012080000}" name="22п.24*" dataDxfId="1213"/>
    <tableColumn id="2067" xr3:uid="{00000000-0010-0000-0000-000013080000}" name="22п.25*" dataDxfId="1212"/>
    <tableColumn id="2068" xr3:uid="{00000000-0010-0000-0000-000014080000}" name="22п.26*" dataDxfId="1211"/>
    <tableColumn id="2069" xr3:uid="{00000000-0010-0000-0000-000015080000}" name="22п.27*" dataDxfId="1210"/>
    <tableColumn id="2070" xr3:uid="{00000000-0010-0000-0000-000016080000}" name="22п.28*" dataDxfId="1209"/>
    <tableColumn id="2071" xr3:uid="{00000000-0010-0000-0000-000017080000}" name="22п.29*" dataDxfId="1208"/>
    <tableColumn id="2072" xr3:uid="{00000000-0010-0000-0000-000018080000}" name="22п.30*" dataDxfId="1207"/>
    <tableColumn id="2104" xr3:uid="{00000000-0010-0000-0000-000038080000}" name="23н.Н" dataDxfId="1206"/>
    <tableColumn id="2105" xr3:uid="{00000000-0010-0000-0000-000039080000}" name="23н.01*" dataDxfId="1205"/>
    <tableColumn id="2106" xr3:uid="{00000000-0010-0000-0000-00003A080000}" name="23н.02*" dataDxfId="1204"/>
    <tableColumn id="2107" xr3:uid="{00000000-0010-0000-0000-00003B080000}" name="23н.03*" dataDxfId="1203"/>
    <tableColumn id="2108" xr3:uid="{00000000-0010-0000-0000-00003C080000}" name="23н.04*" dataDxfId="1202"/>
    <tableColumn id="2109" xr3:uid="{00000000-0010-0000-0000-00003D080000}" name="23н.05*" dataDxfId="1201"/>
    <tableColumn id="2110" xr3:uid="{00000000-0010-0000-0000-00003E080000}" name="23н.06*" dataDxfId="1200"/>
    <tableColumn id="2111" xr3:uid="{00000000-0010-0000-0000-00003F080000}" name="23н.07*" dataDxfId="1199"/>
    <tableColumn id="2112" xr3:uid="{00000000-0010-0000-0000-000040080000}" name="23н.08*" dataDxfId="1198"/>
    <tableColumn id="2113" xr3:uid="{00000000-0010-0000-0000-000041080000}" name="23н.09*" dataDxfId="1197"/>
    <tableColumn id="2114" xr3:uid="{00000000-0010-0000-0000-000042080000}" name="23н.10*" dataDxfId="1196"/>
    <tableColumn id="2115" xr3:uid="{00000000-0010-0000-0000-000043080000}" name="23н.11*" dataDxfId="1195"/>
    <tableColumn id="2116" xr3:uid="{00000000-0010-0000-0000-000044080000}" name="23н.12*" dataDxfId="1194"/>
    <tableColumn id="2117" xr3:uid="{00000000-0010-0000-0000-000045080000}" name="23н.13*" dataDxfId="1193"/>
    <tableColumn id="2118" xr3:uid="{00000000-0010-0000-0000-000046080000}" name="23н.14*" dataDxfId="1192"/>
    <tableColumn id="2119" xr3:uid="{00000000-0010-0000-0000-000047080000}" name="23н.15*" dataDxfId="1191"/>
    <tableColumn id="2120" xr3:uid="{00000000-0010-0000-0000-000048080000}" name="23н.16*" dataDxfId="1190"/>
    <tableColumn id="2121" xr3:uid="{00000000-0010-0000-0000-000049080000}" name="23н.17*" dataDxfId="1189"/>
    <tableColumn id="2122" xr3:uid="{00000000-0010-0000-0000-00004A080000}" name="23н.18*" dataDxfId="1188"/>
    <tableColumn id="2123" xr3:uid="{00000000-0010-0000-0000-00004B080000}" name="23н.19*" dataDxfId="1187"/>
    <tableColumn id="2124" xr3:uid="{00000000-0010-0000-0000-00004C080000}" name="23н.20*" dataDxfId="1186"/>
    <tableColumn id="2125" xr3:uid="{00000000-0010-0000-0000-00004D080000}" name="23н.21*" dataDxfId="1185"/>
    <tableColumn id="2126" xr3:uid="{00000000-0010-0000-0000-00004E080000}" name="23н.22*" dataDxfId="1184"/>
    <tableColumn id="2127" xr3:uid="{00000000-0010-0000-0000-00004F080000}" name="23н.23*" dataDxfId="1183"/>
    <tableColumn id="2128" xr3:uid="{00000000-0010-0000-0000-000050080000}" name="23н.24*" dataDxfId="1182"/>
    <tableColumn id="2129" xr3:uid="{00000000-0010-0000-0000-000051080000}" name="23н.25*" dataDxfId="1181"/>
    <tableColumn id="2130" xr3:uid="{00000000-0010-0000-0000-000052080000}" name="23н.26*" dataDxfId="1180"/>
    <tableColumn id="2131" xr3:uid="{00000000-0010-0000-0000-000053080000}" name="23н.27*" dataDxfId="1179"/>
    <tableColumn id="2132" xr3:uid="{00000000-0010-0000-0000-000054080000}" name="23н.28*" dataDxfId="1178"/>
    <tableColumn id="2133" xr3:uid="{00000000-0010-0000-0000-000055080000}" name="23н.29*" dataDxfId="1177"/>
    <tableColumn id="2134" xr3:uid="{00000000-0010-0000-0000-000056080000}" name="23н.30*" dataDxfId="1176"/>
    <tableColumn id="2135" xr3:uid="{00000000-0010-0000-0000-000057080000}" name="23п.Н" dataDxfId="1175"/>
    <tableColumn id="2136" xr3:uid="{00000000-0010-0000-0000-000058080000}" name="23п.01*" dataDxfId="1174"/>
    <tableColumn id="2137" xr3:uid="{00000000-0010-0000-0000-000059080000}" name="23п.02*" dataDxfId="1173"/>
    <tableColumn id="2138" xr3:uid="{00000000-0010-0000-0000-00005A080000}" name="23п.03*" dataDxfId="1172"/>
    <tableColumn id="2139" xr3:uid="{00000000-0010-0000-0000-00005B080000}" name="23п.04*" dataDxfId="1171"/>
    <tableColumn id="2140" xr3:uid="{00000000-0010-0000-0000-00005C080000}" name="23п.05*" dataDxfId="1170"/>
    <tableColumn id="2141" xr3:uid="{00000000-0010-0000-0000-00005D080000}" name="23п.06*" dataDxfId="1169"/>
    <tableColumn id="2142" xr3:uid="{00000000-0010-0000-0000-00005E080000}" name="23п.07*" dataDxfId="1168"/>
    <tableColumn id="2143" xr3:uid="{00000000-0010-0000-0000-00005F080000}" name="23п.08*" dataDxfId="1167"/>
    <tableColumn id="2144" xr3:uid="{00000000-0010-0000-0000-000060080000}" name="23п.09*" dataDxfId="1166"/>
    <tableColumn id="2145" xr3:uid="{00000000-0010-0000-0000-000061080000}" name="23п.10*" dataDxfId="1165"/>
    <tableColumn id="2146" xr3:uid="{00000000-0010-0000-0000-000062080000}" name="23п.11*" dataDxfId="1164"/>
    <tableColumn id="2147" xr3:uid="{00000000-0010-0000-0000-000063080000}" name="23п.12*" dataDxfId="1163"/>
    <tableColumn id="2148" xr3:uid="{00000000-0010-0000-0000-000064080000}" name="23п.13*" dataDxfId="1162"/>
    <tableColumn id="2149" xr3:uid="{00000000-0010-0000-0000-000065080000}" name="23п.14*" dataDxfId="1161"/>
    <tableColumn id="2150" xr3:uid="{00000000-0010-0000-0000-000066080000}" name="23п.15*" dataDxfId="1160"/>
    <tableColumn id="2151" xr3:uid="{00000000-0010-0000-0000-000067080000}" name="23п.16*" dataDxfId="1159"/>
    <tableColumn id="2152" xr3:uid="{00000000-0010-0000-0000-000068080000}" name="23п.17*" dataDxfId="1158"/>
    <tableColumn id="2153" xr3:uid="{00000000-0010-0000-0000-000069080000}" name="23п.18*" dataDxfId="1157"/>
    <tableColumn id="2154" xr3:uid="{00000000-0010-0000-0000-00006A080000}" name="23п.19*" dataDxfId="1156"/>
    <tableColumn id="2155" xr3:uid="{00000000-0010-0000-0000-00006B080000}" name="23п.20*" dataDxfId="1155"/>
    <tableColumn id="2156" xr3:uid="{00000000-0010-0000-0000-00006C080000}" name="23п.21*" dataDxfId="1154"/>
    <tableColumn id="2157" xr3:uid="{00000000-0010-0000-0000-00006D080000}" name="23п.22*" dataDxfId="1153"/>
    <tableColumn id="2158" xr3:uid="{00000000-0010-0000-0000-00006E080000}" name="23п.23*" dataDxfId="1152"/>
    <tableColumn id="2159" xr3:uid="{00000000-0010-0000-0000-00006F080000}" name="23п.24*" dataDxfId="1151"/>
    <tableColumn id="2160" xr3:uid="{00000000-0010-0000-0000-000070080000}" name="23п.25*" dataDxfId="1150"/>
    <tableColumn id="2161" xr3:uid="{00000000-0010-0000-0000-000071080000}" name="23п.26*" dataDxfId="1149"/>
    <tableColumn id="2162" xr3:uid="{00000000-0010-0000-0000-000072080000}" name="23п.27*" dataDxfId="1148"/>
    <tableColumn id="2163" xr3:uid="{00000000-0010-0000-0000-000073080000}" name="23п.28*" dataDxfId="1147"/>
    <tableColumn id="2164" xr3:uid="{00000000-0010-0000-0000-000074080000}" name="23п.29*" dataDxfId="1146"/>
    <tableColumn id="2165" xr3:uid="{00000000-0010-0000-0000-000075080000}" name="23п.30*" dataDxfId="1145"/>
    <tableColumn id="2197" xr3:uid="{00000000-0010-0000-0000-000095080000}" name="24н.Н" dataDxfId="1144"/>
    <tableColumn id="2198" xr3:uid="{00000000-0010-0000-0000-000096080000}" name="24н.01*" dataDxfId="1143"/>
    <tableColumn id="2199" xr3:uid="{00000000-0010-0000-0000-000097080000}" name="24н.02*" dataDxfId="1142"/>
    <tableColumn id="2200" xr3:uid="{00000000-0010-0000-0000-000098080000}" name="24н.03*" dataDxfId="1141"/>
    <tableColumn id="2201" xr3:uid="{00000000-0010-0000-0000-000099080000}" name="24н.04*" dataDxfId="1140"/>
    <tableColumn id="2202" xr3:uid="{00000000-0010-0000-0000-00009A080000}" name="24н.05*" dataDxfId="1139"/>
    <tableColumn id="2203" xr3:uid="{00000000-0010-0000-0000-00009B080000}" name="24н.06*" dataDxfId="1138"/>
    <tableColumn id="2204" xr3:uid="{00000000-0010-0000-0000-00009C080000}" name="24н.07*" dataDxfId="1137"/>
    <tableColumn id="2205" xr3:uid="{00000000-0010-0000-0000-00009D080000}" name="24н.08*" dataDxfId="1136"/>
    <tableColumn id="2206" xr3:uid="{00000000-0010-0000-0000-00009E080000}" name="24н.09*" dataDxfId="1135"/>
    <tableColumn id="2207" xr3:uid="{00000000-0010-0000-0000-00009F080000}" name="24н.10*" dataDxfId="1134"/>
    <tableColumn id="2208" xr3:uid="{00000000-0010-0000-0000-0000A0080000}" name="24н.11*" dataDxfId="1133"/>
    <tableColumn id="2209" xr3:uid="{00000000-0010-0000-0000-0000A1080000}" name="24н.12*" dataDxfId="1132"/>
    <tableColumn id="2210" xr3:uid="{00000000-0010-0000-0000-0000A2080000}" name="24н.13*" dataDxfId="1131"/>
    <tableColumn id="2211" xr3:uid="{00000000-0010-0000-0000-0000A3080000}" name="24н.14*" dataDxfId="1130"/>
    <tableColumn id="2212" xr3:uid="{00000000-0010-0000-0000-0000A4080000}" name="24н.15*" dataDxfId="1129"/>
    <tableColumn id="2213" xr3:uid="{00000000-0010-0000-0000-0000A5080000}" name="24н.16*" dataDxfId="1128"/>
    <tableColumn id="2214" xr3:uid="{00000000-0010-0000-0000-0000A6080000}" name="24н.17*" dataDxfId="1127"/>
    <tableColumn id="2215" xr3:uid="{00000000-0010-0000-0000-0000A7080000}" name="24н.18*" dataDxfId="1126"/>
    <tableColumn id="2216" xr3:uid="{00000000-0010-0000-0000-0000A8080000}" name="24н.19*" dataDxfId="1125"/>
    <tableColumn id="2217" xr3:uid="{00000000-0010-0000-0000-0000A9080000}" name="24н.20*" dataDxfId="1124"/>
    <tableColumn id="2218" xr3:uid="{00000000-0010-0000-0000-0000AA080000}" name="24н.21*" dataDxfId="1123"/>
    <tableColumn id="2219" xr3:uid="{00000000-0010-0000-0000-0000AB080000}" name="24н.22*" dataDxfId="1122"/>
    <tableColumn id="2220" xr3:uid="{00000000-0010-0000-0000-0000AC080000}" name="24н.23*" dataDxfId="1121"/>
    <tableColumn id="2221" xr3:uid="{00000000-0010-0000-0000-0000AD080000}" name="24н.24*" dataDxfId="1120"/>
    <tableColumn id="2222" xr3:uid="{00000000-0010-0000-0000-0000AE080000}" name="24н.25*" dataDxfId="1119"/>
    <tableColumn id="2223" xr3:uid="{00000000-0010-0000-0000-0000AF080000}" name="24н.26*" dataDxfId="1118"/>
    <tableColumn id="2224" xr3:uid="{00000000-0010-0000-0000-0000B0080000}" name="24н.27*" dataDxfId="1117"/>
    <tableColumn id="2225" xr3:uid="{00000000-0010-0000-0000-0000B1080000}" name="24н.28*" dataDxfId="1116"/>
    <tableColumn id="2226" xr3:uid="{00000000-0010-0000-0000-0000B2080000}" name="24н.29*" dataDxfId="1115"/>
    <tableColumn id="2227" xr3:uid="{00000000-0010-0000-0000-0000B3080000}" name="24н.30*" dataDxfId="1114"/>
    <tableColumn id="2228" xr3:uid="{00000000-0010-0000-0000-0000B4080000}" name="24п.Н" dataDxfId="1113"/>
    <tableColumn id="2229" xr3:uid="{00000000-0010-0000-0000-0000B5080000}" name="24п.01*" dataDxfId="1112"/>
    <tableColumn id="2230" xr3:uid="{00000000-0010-0000-0000-0000B6080000}" name="24п.02*" dataDxfId="1111"/>
    <tableColumn id="2231" xr3:uid="{00000000-0010-0000-0000-0000B7080000}" name="24п.03*" dataDxfId="1110"/>
    <tableColumn id="2232" xr3:uid="{00000000-0010-0000-0000-0000B8080000}" name="24п.04*" dataDxfId="1109"/>
    <tableColumn id="2233" xr3:uid="{00000000-0010-0000-0000-0000B9080000}" name="24п.05*" dataDxfId="1108"/>
    <tableColumn id="2234" xr3:uid="{00000000-0010-0000-0000-0000BA080000}" name="24п.06*" dataDxfId="1107"/>
    <tableColumn id="2235" xr3:uid="{00000000-0010-0000-0000-0000BB080000}" name="24п.07*" dataDxfId="1106"/>
    <tableColumn id="2236" xr3:uid="{00000000-0010-0000-0000-0000BC080000}" name="24п.08*" dataDxfId="1105"/>
    <tableColumn id="2237" xr3:uid="{00000000-0010-0000-0000-0000BD080000}" name="24п.09*" dataDxfId="1104"/>
    <tableColumn id="2238" xr3:uid="{00000000-0010-0000-0000-0000BE080000}" name="24п.10*" dataDxfId="1103"/>
    <tableColumn id="2239" xr3:uid="{00000000-0010-0000-0000-0000BF080000}" name="24п.11*" dataDxfId="1102"/>
    <tableColumn id="2240" xr3:uid="{00000000-0010-0000-0000-0000C0080000}" name="24п.12*" dataDxfId="1101"/>
    <tableColumn id="2241" xr3:uid="{00000000-0010-0000-0000-0000C1080000}" name="24п.13*" dataDxfId="1100"/>
    <tableColumn id="2242" xr3:uid="{00000000-0010-0000-0000-0000C2080000}" name="24п.14*" dataDxfId="1099"/>
    <tableColumn id="2243" xr3:uid="{00000000-0010-0000-0000-0000C3080000}" name="24п.15*" dataDxfId="1098"/>
    <tableColumn id="2244" xr3:uid="{00000000-0010-0000-0000-0000C4080000}" name="24п.16*" dataDxfId="1097"/>
    <tableColumn id="2245" xr3:uid="{00000000-0010-0000-0000-0000C5080000}" name="24п.17*" dataDxfId="1096"/>
    <tableColumn id="2246" xr3:uid="{00000000-0010-0000-0000-0000C6080000}" name="24п.18*" dataDxfId="1095"/>
    <tableColumn id="2247" xr3:uid="{00000000-0010-0000-0000-0000C7080000}" name="24п.19*" dataDxfId="1094"/>
    <tableColumn id="2248" xr3:uid="{00000000-0010-0000-0000-0000C8080000}" name="24п.20*" dataDxfId="1093"/>
    <tableColumn id="2249" xr3:uid="{00000000-0010-0000-0000-0000C9080000}" name="24п.21*" dataDxfId="1092"/>
    <tableColumn id="2250" xr3:uid="{00000000-0010-0000-0000-0000CA080000}" name="24п.22*" dataDxfId="1091"/>
    <tableColumn id="2251" xr3:uid="{00000000-0010-0000-0000-0000CB080000}" name="24п.23*" dataDxfId="1090"/>
    <tableColumn id="2252" xr3:uid="{00000000-0010-0000-0000-0000CC080000}" name="24п.24*" dataDxfId="1089"/>
    <tableColumn id="2253" xr3:uid="{00000000-0010-0000-0000-0000CD080000}" name="24п.25*" dataDxfId="1088"/>
    <tableColumn id="2254" xr3:uid="{00000000-0010-0000-0000-0000CE080000}" name="24п.26*" dataDxfId="1087"/>
    <tableColumn id="2255" xr3:uid="{00000000-0010-0000-0000-0000CF080000}" name="24п.27*" dataDxfId="1086"/>
    <tableColumn id="2256" xr3:uid="{00000000-0010-0000-0000-0000D0080000}" name="24п.28*" dataDxfId="1085"/>
    <tableColumn id="2257" xr3:uid="{00000000-0010-0000-0000-0000D1080000}" name="24п.29*" dataDxfId="1084"/>
    <tableColumn id="2258" xr3:uid="{00000000-0010-0000-0000-0000D2080000}" name="24п.30*" dataDxfId="1083"/>
    <tableColumn id="2290" xr3:uid="{00000000-0010-0000-0000-0000F2080000}" name="25н.Н" dataDxfId="1082"/>
    <tableColumn id="2291" xr3:uid="{00000000-0010-0000-0000-0000F3080000}" name="25н.01*" dataDxfId="1081"/>
    <tableColumn id="2292" xr3:uid="{00000000-0010-0000-0000-0000F4080000}" name="25н.02*" dataDxfId="1080"/>
    <tableColumn id="2293" xr3:uid="{00000000-0010-0000-0000-0000F5080000}" name="25н.03*" dataDxfId="1079"/>
    <tableColumn id="2294" xr3:uid="{00000000-0010-0000-0000-0000F6080000}" name="25н.04*" dataDxfId="1078"/>
    <tableColumn id="2295" xr3:uid="{00000000-0010-0000-0000-0000F7080000}" name="25н.05*" dataDxfId="1077"/>
    <tableColumn id="2296" xr3:uid="{00000000-0010-0000-0000-0000F8080000}" name="25н.06*" dataDxfId="1076"/>
    <tableColumn id="2297" xr3:uid="{00000000-0010-0000-0000-0000F9080000}" name="25н.07*" dataDxfId="1075"/>
    <tableColumn id="2298" xr3:uid="{00000000-0010-0000-0000-0000FA080000}" name="25н.08*" dataDxfId="1074"/>
    <tableColumn id="2299" xr3:uid="{00000000-0010-0000-0000-0000FB080000}" name="25н.09*" dataDxfId="1073"/>
    <tableColumn id="2300" xr3:uid="{00000000-0010-0000-0000-0000FC080000}" name="25н.10*" dataDxfId="1072"/>
    <tableColumn id="2301" xr3:uid="{00000000-0010-0000-0000-0000FD080000}" name="25н.11*" dataDxfId="1071"/>
    <tableColumn id="2302" xr3:uid="{00000000-0010-0000-0000-0000FE080000}" name="25н.12*" dataDxfId="1070"/>
    <tableColumn id="2303" xr3:uid="{00000000-0010-0000-0000-0000FF080000}" name="25н.13*" dataDxfId="1069"/>
    <tableColumn id="2304" xr3:uid="{00000000-0010-0000-0000-000000090000}" name="25н.14*" dataDxfId="1068"/>
    <tableColumn id="2305" xr3:uid="{00000000-0010-0000-0000-000001090000}" name="25н.15*" dataDxfId="1067"/>
    <tableColumn id="2306" xr3:uid="{00000000-0010-0000-0000-000002090000}" name="25н.16*" dataDxfId="1066"/>
    <tableColumn id="2307" xr3:uid="{00000000-0010-0000-0000-000003090000}" name="25н.17*" dataDxfId="1065"/>
    <tableColumn id="2308" xr3:uid="{00000000-0010-0000-0000-000004090000}" name="25н.18*" dataDxfId="1064"/>
    <tableColumn id="2309" xr3:uid="{00000000-0010-0000-0000-000005090000}" name="25н.19*" dataDxfId="1063"/>
    <tableColumn id="2310" xr3:uid="{00000000-0010-0000-0000-000006090000}" name="25н.20*" dataDxfId="1062"/>
    <tableColumn id="2311" xr3:uid="{00000000-0010-0000-0000-000007090000}" name="25н.21*" dataDxfId="1061"/>
    <tableColumn id="2312" xr3:uid="{00000000-0010-0000-0000-000008090000}" name="25н.22*" dataDxfId="1060"/>
    <tableColumn id="2313" xr3:uid="{00000000-0010-0000-0000-000009090000}" name="25н.23*" dataDxfId="1059"/>
    <tableColumn id="2314" xr3:uid="{00000000-0010-0000-0000-00000A090000}" name="25н.24*" dataDxfId="1058"/>
    <tableColumn id="2315" xr3:uid="{00000000-0010-0000-0000-00000B090000}" name="25н.25*" dataDxfId="1057"/>
    <tableColumn id="2316" xr3:uid="{00000000-0010-0000-0000-00000C090000}" name="25н.26*" dataDxfId="1056"/>
    <tableColumn id="2317" xr3:uid="{00000000-0010-0000-0000-00000D090000}" name="25н.27*" dataDxfId="1055"/>
    <tableColumn id="2318" xr3:uid="{00000000-0010-0000-0000-00000E090000}" name="25н.28*" dataDxfId="1054"/>
    <tableColumn id="2319" xr3:uid="{00000000-0010-0000-0000-00000F090000}" name="25н.29*" dataDxfId="1053"/>
    <tableColumn id="2320" xr3:uid="{00000000-0010-0000-0000-000010090000}" name="25н.30*" dataDxfId="1052"/>
    <tableColumn id="2321" xr3:uid="{00000000-0010-0000-0000-000011090000}" name="25п.Н" dataDxfId="1051"/>
    <tableColumn id="2322" xr3:uid="{00000000-0010-0000-0000-000012090000}" name="25п.01*" dataDxfId="1050"/>
    <tableColumn id="2323" xr3:uid="{00000000-0010-0000-0000-000013090000}" name="25п.02*" dataDxfId="1049"/>
    <tableColumn id="2324" xr3:uid="{00000000-0010-0000-0000-000014090000}" name="25п.03*" dataDxfId="1048"/>
    <tableColumn id="2325" xr3:uid="{00000000-0010-0000-0000-000015090000}" name="25п.04*" dataDxfId="1047"/>
    <tableColumn id="2326" xr3:uid="{00000000-0010-0000-0000-000016090000}" name="25п.05*" dataDxfId="1046"/>
    <tableColumn id="2327" xr3:uid="{00000000-0010-0000-0000-000017090000}" name="25п.06*" dataDxfId="1045"/>
    <tableColumn id="2328" xr3:uid="{00000000-0010-0000-0000-000018090000}" name="25п.07*" dataDxfId="1044"/>
    <tableColumn id="2329" xr3:uid="{00000000-0010-0000-0000-000019090000}" name="25п.08*" dataDxfId="1043"/>
    <tableColumn id="2330" xr3:uid="{00000000-0010-0000-0000-00001A090000}" name="25п.09*" dataDxfId="1042"/>
    <tableColumn id="2331" xr3:uid="{00000000-0010-0000-0000-00001B090000}" name="25п.10*" dataDxfId="1041"/>
    <tableColumn id="2332" xr3:uid="{00000000-0010-0000-0000-00001C090000}" name="25п.11*" dataDxfId="1040"/>
    <tableColumn id="2333" xr3:uid="{00000000-0010-0000-0000-00001D090000}" name="25п.12*" dataDxfId="1039"/>
    <tableColumn id="2334" xr3:uid="{00000000-0010-0000-0000-00001E090000}" name="25п.13*" dataDxfId="1038"/>
    <tableColumn id="2335" xr3:uid="{00000000-0010-0000-0000-00001F090000}" name="25п.14*" dataDxfId="1037"/>
    <tableColumn id="2336" xr3:uid="{00000000-0010-0000-0000-000020090000}" name="25п.15*" dataDxfId="1036"/>
    <tableColumn id="2337" xr3:uid="{00000000-0010-0000-0000-000021090000}" name="25п.16*" dataDxfId="1035"/>
    <tableColumn id="2338" xr3:uid="{00000000-0010-0000-0000-000022090000}" name="25п.17*" dataDxfId="1034"/>
    <tableColumn id="2339" xr3:uid="{00000000-0010-0000-0000-000023090000}" name="25п.18*" dataDxfId="1033"/>
    <tableColumn id="2340" xr3:uid="{00000000-0010-0000-0000-000024090000}" name="25п.19*" dataDxfId="1032"/>
    <tableColumn id="2341" xr3:uid="{00000000-0010-0000-0000-000025090000}" name="25п.20*" dataDxfId="1031"/>
    <tableColumn id="2342" xr3:uid="{00000000-0010-0000-0000-000026090000}" name="25п.21*" dataDxfId="1030"/>
    <tableColumn id="2343" xr3:uid="{00000000-0010-0000-0000-000027090000}" name="25п.22*" dataDxfId="1029"/>
    <tableColumn id="2344" xr3:uid="{00000000-0010-0000-0000-000028090000}" name="25п.23*" dataDxfId="1028"/>
    <tableColumn id="2345" xr3:uid="{00000000-0010-0000-0000-000029090000}" name="25п.24*" dataDxfId="1027"/>
    <tableColumn id="2346" xr3:uid="{00000000-0010-0000-0000-00002A090000}" name="25п.25*" dataDxfId="1026"/>
    <tableColumn id="2347" xr3:uid="{00000000-0010-0000-0000-00002B090000}" name="25п.26*" dataDxfId="1025"/>
    <tableColumn id="2348" xr3:uid="{00000000-0010-0000-0000-00002C090000}" name="25п.27*" dataDxfId="1024"/>
    <tableColumn id="2349" xr3:uid="{00000000-0010-0000-0000-00002D090000}" name="25п.28*" dataDxfId="1023"/>
    <tableColumn id="2350" xr3:uid="{00000000-0010-0000-0000-00002E090000}" name="25п.29*" dataDxfId="1022"/>
    <tableColumn id="2351" xr3:uid="{00000000-0010-0000-0000-00002F090000}" name="25п.30*" dataDxfId="1021"/>
    <tableColumn id="2383" xr3:uid="{00000000-0010-0000-0000-00004F090000}" name="26н.Н" dataDxfId="1020"/>
    <tableColumn id="2384" xr3:uid="{00000000-0010-0000-0000-000050090000}" name="26н.01*" dataDxfId="1019"/>
    <tableColumn id="2385" xr3:uid="{00000000-0010-0000-0000-000051090000}" name="26н.02*" dataDxfId="1018"/>
    <tableColumn id="2386" xr3:uid="{00000000-0010-0000-0000-000052090000}" name="26н.03*" dataDxfId="1017"/>
    <tableColumn id="2387" xr3:uid="{00000000-0010-0000-0000-000053090000}" name="26н.04*" dataDxfId="1016"/>
    <tableColumn id="2388" xr3:uid="{00000000-0010-0000-0000-000054090000}" name="26н.05*" dataDxfId="1015"/>
    <tableColumn id="2389" xr3:uid="{00000000-0010-0000-0000-000055090000}" name="26н.06*" dataDxfId="1014"/>
    <tableColumn id="2390" xr3:uid="{00000000-0010-0000-0000-000056090000}" name="26н.07*" dataDxfId="1013"/>
    <tableColumn id="2391" xr3:uid="{00000000-0010-0000-0000-000057090000}" name="26н.08*" dataDxfId="1012"/>
    <tableColumn id="2392" xr3:uid="{00000000-0010-0000-0000-000058090000}" name="26н.09*" dataDxfId="1011"/>
    <tableColumn id="2393" xr3:uid="{00000000-0010-0000-0000-000059090000}" name="26н.10*" dataDxfId="1010"/>
    <tableColumn id="2394" xr3:uid="{00000000-0010-0000-0000-00005A090000}" name="26н.11*" dataDxfId="1009"/>
    <tableColumn id="2395" xr3:uid="{00000000-0010-0000-0000-00005B090000}" name="26н.12*" dataDxfId="1008"/>
    <tableColumn id="2396" xr3:uid="{00000000-0010-0000-0000-00005C090000}" name="26н.13*" dataDxfId="1007"/>
    <tableColumn id="2397" xr3:uid="{00000000-0010-0000-0000-00005D090000}" name="26н.14*" dataDxfId="1006"/>
    <tableColumn id="2398" xr3:uid="{00000000-0010-0000-0000-00005E090000}" name="26н.15*" dataDxfId="1005"/>
    <tableColumn id="2399" xr3:uid="{00000000-0010-0000-0000-00005F090000}" name="26н.16*" dataDxfId="1004"/>
    <tableColumn id="2400" xr3:uid="{00000000-0010-0000-0000-000060090000}" name="26н.17*" dataDxfId="1003"/>
    <tableColumn id="2401" xr3:uid="{00000000-0010-0000-0000-000061090000}" name="26н.18*" dataDxfId="1002"/>
    <tableColumn id="2402" xr3:uid="{00000000-0010-0000-0000-000062090000}" name="26н.19*" dataDxfId="1001"/>
    <tableColumn id="2403" xr3:uid="{00000000-0010-0000-0000-000063090000}" name="26н.20*" dataDxfId="1000"/>
    <tableColumn id="2404" xr3:uid="{00000000-0010-0000-0000-000064090000}" name="26н.21*" dataDxfId="999"/>
    <tableColumn id="2405" xr3:uid="{00000000-0010-0000-0000-000065090000}" name="26н.22*" dataDxfId="998"/>
    <tableColumn id="2406" xr3:uid="{00000000-0010-0000-0000-000066090000}" name="26н.23*" dataDxfId="997"/>
    <tableColumn id="2407" xr3:uid="{00000000-0010-0000-0000-000067090000}" name="26н.24*" dataDxfId="996"/>
    <tableColumn id="2408" xr3:uid="{00000000-0010-0000-0000-000068090000}" name="26н.25*" dataDxfId="995"/>
    <tableColumn id="2409" xr3:uid="{00000000-0010-0000-0000-000069090000}" name="26н.26*" dataDxfId="994"/>
    <tableColumn id="2410" xr3:uid="{00000000-0010-0000-0000-00006A090000}" name="26н.27*" dataDxfId="993"/>
    <tableColumn id="2411" xr3:uid="{00000000-0010-0000-0000-00006B090000}" name="26н.28*" dataDxfId="992"/>
    <tableColumn id="2412" xr3:uid="{00000000-0010-0000-0000-00006C090000}" name="26н.29*" dataDxfId="991"/>
    <tableColumn id="2413" xr3:uid="{00000000-0010-0000-0000-00006D090000}" name="26н.30*" dataDxfId="990"/>
    <tableColumn id="2414" xr3:uid="{00000000-0010-0000-0000-00006E090000}" name="26п.Н" dataDxfId="989"/>
    <tableColumn id="2415" xr3:uid="{00000000-0010-0000-0000-00006F090000}" name="26п.01*" dataDxfId="988"/>
    <tableColumn id="2416" xr3:uid="{00000000-0010-0000-0000-000070090000}" name="26п.02*" dataDxfId="987"/>
    <tableColumn id="2417" xr3:uid="{00000000-0010-0000-0000-000071090000}" name="26п.03*" dataDxfId="986"/>
    <tableColumn id="2418" xr3:uid="{00000000-0010-0000-0000-000072090000}" name="26п.04*" dataDxfId="985"/>
    <tableColumn id="2419" xr3:uid="{00000000-0010-0000-0000-000073090000}" name="26п.05*" dataDxfId="984"/>
    <tableColumn id="2420" xr3:uid="{00000000-0010-0000-0000-000074090000}" name="26п.06*" dataDxfId="983"/>
    <tableColumn id="2421" xr3:uid="{00000000-0010-0000-0000-000075090000}" name="26п.07*" dataDxfId="982"/>
    <tableColumn id="2422" xr3:uid="{00000000-0010-0000-0000-000076090000}" name="26п.08*" dataDxfId="981"/>
    <tableColumn id="2423" xr3:uid="{00000000-0010-0000-0000-000077090000}" name="26п.09*" dataDxfId="980"/>
    <tableColumn id="2424" xr3:uid="{00000000-0010-0000-0000-000078090000}" name="26п.10*" dataDxfId="979"/>
    <tableColumn id="2425" xr3:uid="{00000000-0010-0000-0000-000079090000}" name="26п.11*" dataDxfId="978"/>
    <tableColumn id="2426" xr3:uid="{00000000-0010-0000-0000-00007A090000}" name="26п.12*" dataDxfId="977"/>
    <tableColumn id="2427" xr3:uid="{00000000-0010-0000-0000-00007B090000}" name="26п.13*" dataDxfId="976"/>
    <tableColumn id="2428" xr3:uid="{00000000-0010-0000-0000-00007C090000}" name="26п.14*" dataDxfId="975"/>
    <tableColumn id="2429" xr3:uid="{00000000-0010-0000-0000-00007D090000}" name="26п.15*" dataDxfId="974"/>
    <tableColumn id="2430" xr3:uid="{00000000-0010-0000-0000-00007E090000}" name="26п.16*" dataDxfId="973"/>
    <tableColumn id="2431" xr3:uid="{00000000-0010-0000-0000-00007F090000}" name="26п.17*" dataDxfId="972"/>
    <tableColumn id="2432" xr3:uid="{00000000-0010-0000-0000-000080090000}" name="26п.18*" dataDxfId="971"/>
    <tableColumn id="2433" xr3:uid="{00000000-0010-0000-0000-000081090000}" name="26п.19*" dataDxfId="970"/>
    <tableColumn id="2434" xr3:uid="{00000000-0010-0000-0000-000082090000}" name="26п.20*" dataDxfId="969"/>
    <tableColumn id="2435" xr3:uid="{00000000-0010-0000-0000-000083090000}" name="26п.21*" dataDxfId="968"/>
    <tableColumn id="2436" xr3:uid="{00000000-0010-0000-0000-000084090000}" name="26п.22*" dataDxfId="967"/>
    <tableColumn id="2437" xr3:uid="{00000000-0010-0000-0000-000085090000}" name="26п.23*" dataDxfId="966"/>
    <tableColumn id="2438" xr3:uid="{00000000-0010-0000-0000-000086090000}" name="26п.24*" dataDxfId="965"/>
    <tableColumn id="2439" xr3:uid="{00000000-0010-0000-0000-000087090000}" name="26п.25*" dataDxfId="964"/>
    <tableColumn id="2440" xr3:uid="{00000000-0010-0000-0000-000088090000}" name="26п.26*" dataDxfId="963"/>
    <tableColumn id="2441" xr3:uid="{00000000-0010-0000-0000-000089090000}" name="26п.27*" dataDxfId="962"/>
    <tableColumn id="2442" xr3:uid="{00000000-0010-0000-0000-00008A090000}" name="26п.28*" dataDxfId="961"/>
    <tableColumn id="2443" xr3:uid="{00000000-0010-0000-0000-00008B090000}" name="26п.29*" dataDxfId="960"/>
    <tableColumn id="2444" xr3:uid="{00000000-0010-0000-0000-00008C090000}" name="26п.30*" dataDxfId="959"/>
    <tableColumn id="2476" xr3:uid="{00000000-0010-0000-0000-0000AC090000}" name="27н.Н" dataDxfId="958"/>
    <tableColumn id="2477" xr3:uid="{00000000-0010-0000-0000-0000AD090000}" name="27н.01*" dataDxfId="957"/>
    <tableColumn id="2478" xr3:uid="{00000000-0010-0000-0000-0000AE090000}" name="27н.02*" dataDxfId="956"/>
    <tableColumn id="2479" xr3:uid="{00000000-0010-0000-0000-0000AF090000}" name="27н.03*" dataDxfId="955"/>
    <tableColumn id="2480" xr3:uid="{00000000-0010-0000-0000-0000B0090000}" name="27н.04*" dataDxfId="954"/>
    <tableColumn id="2481" xr3:uid="{00000000-0010-0000-0000-0000B1090000}" name="27н.05*" dataDxfId="953"/>
    <tableColumn id="2482" xr3:uid="{00000000-0010-0000-0000-0000B2090000}" name="27н.06*" dataDxfId="952"/>
    <tableColumn id="2483" xr3:uid="{00000000-0010-0000-0000-0000B3090000}" name="27н.07*" dataDxfId="951"/>
    <tableColumn id="2484" xr3:uid="{00000000-0010-0000-0000-0000B4090000}" name="27н.08*" dataDxfId="950"/>
    <tableColumn id="2485" xr3:uid="{00000000-0010-0000-0000-0000B5090000}" name="27н.09*" dataDxfId="949"/>
    <tableColumn id="2486" xr3:uid="{00000000-0010-0000-0000-0000B6090000}" name="27н.10*" dataDxfId="948"/>
    <tableColumn id="2487" xr3:uid="{00000000-0010-0000-0000-0000B7090000}" name="27н.11*" dataDxfId="947"/>
    <tableColumn id="2488" xr3:uid="{00000000-0010-0000-0000-0000B8090000}" name="27н.12*" dataDxfId="946"/>
    <tableColumn id="2489" xr3:uid="{00000000-0010-0000-0000-0000B9090000}" name="27н.13*" dataDxfId="945"/>
    <tableColumn id="2490" xr3:uid="{00000000-0010-0000-0000-0000BA090000}" name="27н.14*" dataDxfId="944"/>
    <tableColumn id="2491" xr3:uid="{00000000-0010-0000-0000-0000BB090000}" name="27н.15*" dataDxfId="943"/>
    <tableColumn id="2492" xr3:uid="{00000000-0010-0000-0000-0000BC090000}" name="27н.16*" dataDxfId="942"/>
    <tableColumn id="2493" xr3:uid="{00000000-0010-0000-0000-0000BD090000}" name="27н.17*" dataDxfId="941"/>
    <tableColumn id="2494" xr3:uid="{00000000-0010-0000-0000-0000BE090000}" name="27н.18*" dataDxfId="940"/>
    <tableColumn id="2495" xr3:uid="{00000000-0010-0000-0000-0000BF090000}" name="27н.19*" dataDxfId="939"/>
    <tableColumn id="2496" xr3:uid="{00000000-0010-0000-0000-0000C0090000}" name="27н.20*" dataDxfId="938"/>
    <tableColumn id="2497" xr3:uid="{00000000-0010-0000-0000-0000C1090000}" name="27н.21*" dataDxfId="937"/>
    <tableColumn id="2498" xr3:uid="{00000000-0010-0000-0000-0000C2090000}" name="27н.22*" dataDxfId="936"/>
    <tableColumn id="2499" xr3:uid="{00000000-0010-0000-0000-0000C3090000}" name="27н.23*" dataDxfId="935"/>
    <tableColumn id="2500" xr3:uid="{00000000-0010-0000-0000-0000C4090000}" name="27н.24*" dataDxfId="934"/>
    <tableColumn id="2501" xr3:uid="{00000000-0010-0000-0000-0000C5090000}" name="27н.25*" dataDxfId="933"/>
    <tableColumn id="2502" xr3:uid="{00000000-0010-0000-0000-0000C6090000}" name="27н.26*" dataDxfId="932"/>
    <tableColumn id="2503" xr3:uid="{00000000-0010-0000-0000-0000C7090000}" name="27н.27*" dataDxfId="931"/>
    <tableColumn id="2504" xr3:uid="{00000000-0010-0000-0000-0000C8090000}" name="27н.28*" dataDxfId="930"/>
    <tableColumn id="2505" xr3:uid="{00000000-0010-0000-0000-0000C9090000}" name="27н.29*" dataDxfId="929"/>
    <tableColumn id="2506" xr3:uid="{00000000-0010-0000-0000-0000CA090000}" name="27н.30*" dataDxfId="928"/>
    <tableColumn id="2507" xr3:uid="{00000000-0010-0000-0000-0000CB090000}" name="27п.Н" dataDxfId="927"/>
    <tableColumn id="2508" xr3:uid="{00000000-0010-0000-0000-0000CC090000}" name="27п.01*" dataDxfId="926"/>
    <tableColumn id="2509" xr3:uid="{00000000-0010-0000-0000-0000CD090000}" name="27п.02*" dataDxfId="925"/>
    <tableColumn id="2510" xr3:uid="{00000000-0010-0000-0000-0000CE090000}" name="27п.03*" dataDxfId="924"/>
    <tableColumn id="2511" xr3:uid="{00000000-0010-0000-0000-0000CF090000}" name="27п.04*" dataDxfId="923"/>
    <tableColumn id="2512" xr3:uid="{00000000-0010-0000-0000-0000D0090000}" name="27п.05*" dataDxfId="922"/>
    <tableColumn id="2513" xr3:uid="{00000000-0010-0000-0000-0000D1090000}" name="27п.06*" dataDxfId="921"/>
    <tableColumn id="2514" xr3:uid="{00000000-0010-0000-0000-0000D2090000}" name="27п.07*" dataDxfId="920"/>
    <tableColumn id="2515" xr3:uid="{00000000-0010-0000-0000-0000D3090000}" name="27п.08*" dataDxfId="919"/>
    <tableColumn id="2516" xr3:uid="{00000000-0010-0000-0000-0000D4090000}" name="27п.09*" dataDxfId="918"/>
    <tableColumn id="2517" xr3:uid="{00000000-0010-0000-0000-0000D5090000}" name="27п.10*" dataDxfId="917"/>
    <tableColumn id="2518" xr3:uid="{00000000-0010-0000-0000-0000D6090000}" name="27п.11*" dataDxfId="916"/>
    <tableColumn id="2519" xr3:uid="{00000000-0010-0000-0000-0000D7090000}" name="27п.12*" dataDxfId="915"/>
    <tableColumn id="2520" xr3:uid="{00000000-0010-0000-0000-0000D8090000}" name="27п.13*" dataDxfId="914"/>
    <tableColumn id="2521" xr3:uid="{00000000-0010-0000-0000-0000D9090000}" name="27п.14*" dataDxfId="913"/>
    <tableColumn id="2522" xr3:uid="{00000000-0010-0000-0000-0000DA090000}" name="27п.15*" dataDxfId="912"/>
    <tableColumn id="2523" xr3:uid="{00000000-0010-0000-0000-0000DB090000}" name="27п.16*" dataDxfId="911"/>
    <tableColumn id="2524" xr3:uid="{00000000-0010-0000-0000-0000DC090000}" name="27п.17*" dataDxfId="910"/>
    <tableColumn id="2525" xr3:uid="{00000000-0010-0000-0000-0000DD090000}" name="27п.18*" dataDxfId="909"/>
    <tableColumn id="2526" xr3:uid="{00000000-0010-0000-0000-0000DE090000}" name="27п.19*" dataDxfId="908"/>
    <tableColumn id="2527" xr3:uid="{00000000-0010-0000-0000-0000DF090000}" name="27п.20*" dataDxfId="907"/>
    <tableColumn id="2528" xr3:uid="{00000000-0010-0000-0000-0000E0090000}" name="27п.21*" dataDxfId="906"/>
    <tableColumn id="2529" xr3:uid="{00000000-0010-0000-0000-0000E1090000}" name="27п.22*" dataDxfId="905"/>
    <tableColumn id="2530" xr3:uid="{00000000-0010-0000-0000-0000E2090000}" name="27п.23*" dataDxfId="904"/>
    <tableColumn id="2531" xr3:uid="{00000000-0010-0000-0000-0000E3090000}" name="27п.24*" dataDxfId="903"/>
    <tableColumn id="2532" xr3:uid="{00000000-0010-0000-0000-0000E4090000}" name="27п.25*" dataDxfId="902"/>
    <tableColumn id="2533" xr3:uid="{00000000-0010-0000-0000-0000E5090000}" name="27п.26*" dataDxfId="901"/>
    <tableColumn id="2534" xr3:uid="{00000000-0010-0000-0000-0000E6090000}" name="27п.27*" dataDxfId="900"/>
    <tableColumn id="2535" xr3:uid="{00000000-0010-0000-0000-0000E7090000}" name="27п.28*" dataDxfId="899"/>
    <tableColumn id="2536" xr3:uid="{00000000-0010-0000-0000-0000E8090000}" name="27п.29*" dataDxfId="898"/>
    <tableColumn id="2537" xr3:uid="{00000000-0010-0000-0000-0000E9090000}" name="27п.30*" dataDxfId="897"/>
    <tableColumn id="2569" xr3:uid="{00000000-0010-0000-0000-0000090A0000}" name="28н.Н" dataDxfId="896"/>
    <tableColumn id="2570" xr3:uid="{00000000-0010-0000-0000-00000A0A0000}" name="28н.01*" dataDxfId="895"/>
    <tableColumn id="2571" xr3:uid="{00000000-0010-0000-0000-00000B0A0000}" name="28н.02*" dataDxfId="894"/>
    <tableColumn id="2572" xr3:uid="{00000000-0010-0000-0000-00000C0A0000}" name="28н.03*" dataDxfId="893"/>
    <tableColumn id="2573" xr3:uid="{00000000-0010-0000-0000-00000D0A0000}" name="28н.04*" dataDxfId="892"/>
    <tableColumn id="2574" xr3:uid="{00000000-0010-0000-0000-00000E0A0000}" name="28н.05*" dataDxfId="891"/>
    <tableColumn id="2575" xr3:uid="{00000000-0010-0000-0000-00000F0A0000}" name="28н.06*" dataDxfId="890"/>
    <tableColumn id="2576" xr3:uid="{00000000-0010-0000-0000-0000100A0000}" name="28н.07*" dataDxfId="889"/>
    <tableColumn id="2577" xr3:uid="{00000000-0010-0000-0000-0000110A0000}" name="28н.08*" dataDxfId="888"/>
    <tableColumn id="2578" xr3:uid="{00000000-0010-0000-0000-0000120A0000}" name="28н.09*" dataDxfId="887"/>
    <tableColumn id="2579" xr3:uid="{00000000-0010-0000-0000-0000130A0000}" name="28н.10*" dataDxfId="886"/>
    <tableColumn id="2580" xr3:uid="{00000000-0010-0000-0000-0000140A0000}" name="28н.11*" dataDxfId="885"/>
    <tableColumn id="2581" xr3:uid="{00000000-0010-0000-0000-0000150A0000}" name="28н.12*" dataDxfId="884"/>
    <tableColumn id="2582" xr3:uid="{00000000-0010-0000-0000-0000160A0000}" name="28н.13*" dataDxfId="883"/>
    <tableColumn id="2583" xr3:uid="{00000000-0010-0000-0000-0000170A0000}" name="28н.14*" dataDxfId="882"/>
    <tableColumn id="2584" xr3:uid="{00000000-0010-0000-0000-0000180A0000}" name="28н.15*" dataDxfId="881"/>
    <tableColumn id="2585" xr3:uid="{00000000-0010-0000-0000-0000190A0000}" name="28н.16*" dataDxfId="880"/>
    <tableColumn id="2586" xr3:uid="{00000000-0010-0000-0000-00001A0A0000}" name="28н.17*" dataDxfId="879"/>
    <tableColumn id="2587" xr3:uid="{00000000-0010-0000-0000-00001B0A0000}" name="28н.18*" dataDxfId="878"/>
    <tableColumn id="2588" xr3:uid="{00000000-0010-0000-0000-00001C0A0000}" name="28н.19*" dataDxfId="877"/>
    <tableColumn id="2589" xr3:uid="{00000000-0010-0000-0000-00001D0A0000}" name="28н.20*" dataDxfId="876"/>
    <tableColumn id="2590" xr3:uid="{00000000-0010-0000-0000-00001E0A0000}" name="28н.21*" dataDxfId="875"/>
    <tableColumn id="2591" xr3:uid="{00000000-0010-0000-0000-00001F0A0000}" name="28н.22*" dataDxfId="874"/>
    <tableColumn id="2592" xr3:uid="{00000000-0010-0000-0000-0000200A0000}" name="28н.23*" dataDxfId="873"/>
    <tableColumn id="2593" xr3:uid="{00000000-0010-0000-0000-0000210A0000}" name="28н.24*" dataDxfId="872"/>
    <tableColumn id="2594" xr3:uid="{00000000-0010-0000-0000-0000220A0000}" name="28н.25*" dataDxfId="871"/>
    <tableColumn id="2595" xr3:uid="{00000000-0010-0000-0000-0000230A0000}" name="28н.26*" dataDxfId="870"/>
    <tableColumn id="2596" xr3:uid="{00000000-0010-0000-0000-0000240A0000}" name="28н.27*" dataDxfId="869"/>
    <tableColumn id="2597" xr3:uid="{00000000-0010-0000-0000-0000250A0000}" name="28н.28*" dataDxfId="868"/>
    <tableColumn id="2598" xr3:uid="{00000000-0010-0000-0000-0000260A0000}" name="28н.29*" dataDxfId="867"/>
    <tableColumn id="2599" xr3:uid="{00000000-0010-0000-0000-0000270A0000}" name="28н.30*" dataDxfId="866"/>
    <tableColumn id="2600" xr3:uid="{00000000-0010-0000-0000-0000280A0000}" name="28п.Н" dataDxfId="865"/>
    <tableColumn id="2601" xr3:uid="{00000000-0010-0000-0000-0000290A0000}" name="28п.01*" dataDxfId="864"/>
    <tableColumn id="2602" xr3:uid="{00000000-0010-0000-0000-00002A0A0000}" name="28п.02*" dataDxfId="863"/>
    <tableColumn id="2603" xr3:uid="{00000000-0010-0000-0000-00002B0A0000}" name="28п.03*" dataDxfId="862"/>
    <tableColumn id="2604" xr3:uid="{00000000-0010-0000-0000-00002C0A0000}" name="28п.04*" dataDxfId="861"/>
    <tableColumn id="2605" xr3:uid="{00000000-0010-0000-0000-00002D0A0000}" name="28п.05*" dataDxfId="860"/>
    <tableColumn id="2606" xr3:uid="{00000000-0010-0000-0000-00002E0A0000}" name="28п.06*" dataDxfId="859"/>
    <tableColumn id="2607" xr3:uid="{00000000-0010-0000-0000-00002F0A0000}" name="28п.07*" dataDxfId="858"/>
    <tableColumn id="2608" xr3:uid="{00000000-0010-0000-0000-0000300A0000}" name="28п.08*" dataDxfId="857"/>
    <tableColumn id="2609" xr3:uid="{00000000-0010-0000-0000-0000310A0000}" name="28п.09*" dataDxfId="856"/>
    <tableColumn id="2610" xr3:uid="{00000000-0010-0000-0000-0000320A0000}" name="28п.10*" dataDxfId="855"/>
    <tableColumn id="2611" xr3:uid="{00000000-0010-0000-0000-0000330A0000}" name="28п.11*" dataDxfId="854"/>
    <tableColumn id="2612" xr3:uid="{00000000-0010-0000-0000-0000340A0000}" name="28п.12*" dataDxfId="853"/>
    <tableColumn id="2613" xr3:uid="{00000000-0010-0000-0000-0000350A0000}" name="28п.13*" dataDxfId="852"/>
    <tableColumn id="2614" xr3:uid="{00000000-0010-0000-0000-0000360A0000}" name="28п.14*" dataDxfId="851"/>
    <tableColumn id="2615" xr3:uid="{00000000-0010-0000-0000-0000370A0000}" name="28п.15*" dataDxfId="850"/>
    <tableColumn id="2616" xr3:uid="{00000000-0010-0000-0000-0000380A0000}" name="28п.16*" dataDxfId="849"/>
    <tableColumn id="2617" xr3:uid="{00000000-0010-0000-0000-0000390A0000}" name="28п.17*" dataDxfId="848"/>
    <tableColumn id="2618" xr3:uid="{00000000-0010-0000-0000-00003A0A0000}" name="28п.18*" dataDxfId="847"/>
    <tableColumn id="2619" xr3:uid="{00000000-0010-0000-0000-00003B0A0000}" name="28п.19*" dataDxfId="846"/>
    <tableColumn id="2620" xr3:uid="{00000000-0010-0000-0000-00003C0A0000}" name="28п.20*" dataDxfId="845"/>
    <tableColumn id="2621" xr3:uid="{00000000-0010-0000-0000-00003D0A0000}" name="28п.21*" dataDxfId="844"/>
    <tableColumn id="2622" xr3:uid="{00000000-0010-0000-0000-00003E0A0000}" name="28п.22*" dataDxfId="843"/>
    <tableColumn id="2623" xr3:uid="{00000000-0010-0000-0000-00003F0A0000}" name="28п.23*" dataDxfId="842"/>
    <tableColumn id="2624" xr3:uid="{00000000-0010-0000-0000-0000400A0000}" name="28п.24*" dataDxfId="841"/>
    <tableColumn id="2625" xr3:uid="{00000000-0010-0000-0000-0000410A0000}" name="28п.25*" dataDxfId="840"/>
    <tableColumn id="2626" xr3:uid="{00000000-0010-0000-0000-0000420A0000}" name="28п.26*" dataDxfId="839"/>
    <tableColumn id="2627" xr3:uid="{00000000-0010-0000-0000-0000430A0000}" name="28п.27*" dataDxfId="838"/>
    <tableColumn id="2628" xr3:uid="{00000000-0010-0000-0000-0000440A0000}" name="28п.28*" dataDxfId="837"/>
    <tableColumn id="2629" xr3:uid="{00000000-0010-0000-0000-0000450A0000}" name="28п.29*" dataDxfId="836"/>
    <tableColumn id="2630" xr3:uid="{00000000-0010-0000-0000-0000460A0000}" name="28п.30*" dataDxfId="835"/>
    <tableColumn id="2662" xr3:uid="{00000000-0010-0000-0000-0000660A0000}" name="29н.Н" dataDxfId="834"/>
    <tableColumn id="2663" xr3:uid="{00000000-0010-0000-0000-0000670A0000}" name="29н.01*" dataDxfId="833"/>
    <tableColumn id="2664" xr3:uid="{00000000-0010-0000-0000-0000680A0000}" name="29н.02*" dataDxfId="832"/>
    <tableColumn id="2665" xr3:uid="{00000000-0010-0000-0000-0000690A0000}" name="29н.03*" dataDxfId="831"/>
    <tableColumn id="2666" xr3:uid="{00000000-0010-0000-0000-00006A0A0000}" name="29н.04*" dataDxfId="830"/>
    <tableColumn id="2667" xr3:uid="{00000000-0010-0000-0000-00006B0A0000}" name="29н.05*" dataDxfId="829"/>
    <tableColumn id="2668" xr3:uid="{00000000-0010-0000-0000-00006C0A0000}" name="29н.06*" dataDxfId="828"/>
    <tableColumn id="2669" xr3:uid="{00000000-0010-0000-0000-00006D0A0000}" name="29н.07*" dataDxfId="827"/>
    <tableColumn id="2670" xr3:uid="{00000000-0010-0000-0000-00006E0A0000}" name="29н.08*" dataDxfId="826"/>
    <tableColumn id="2671" xr3:uid="{00000000-0010-0000-0000-00006F0A0000}" name="29н.09*" dataDxfId="825"/>
    <tableColumn id="2672" xr3:uid="{00000000-0010-0000-0000-0000700A0000}" name="29н.10*" dataDxfId="824"/>
    <tableColumn id="2673" xr3:uid="{00000000-0010-0000-0000-0000710A0000}" name="29н.11*" dataDxfId="823"/>
    <tableColumn id="2674" xr3:uid="{00000000-0010-0000-0000-0000720A0000}" name="29н.12*" dataDxfId="822"/>
    <tableColumn id="2675" xr3:uid="{00000000-0010-0000-0000-0000730A0000}" name="29н.13*" dataDxfId="821"/>
    <tableColumn id="2676" xr3:uid="{00000000-0010-0000-0000-0000740A0000}" name="29н.14*" dataDxfId="820"/>
    <tableColumn id="2677" xr3:uid="{00000000-0010-0000-0000-0000750A0000}" name="29н.15*" dataDxfId="819"/>
    <tableColumn id="2678" xr3:uid="{00000000-0010-0000-0000-0000760A0000}" name="29н.16*" dataDxfId="818"/>
    <tableColumn id="2679" xr3:uid="{00000000-0010-0000-0000-0000770A0000}" name="29н.17*" dataDxfId="817"/>
    <tableColumn id="2680" xr3:uid="{00000000-0010-0000-0000-0000780A0000}" name="29н.18*" dataDxfId="816"/>
    <tableColumn id="2681" xr3:uid="{00000000-0010-0000-0000-0000790A0000}" name="29н.19*" dataDxfId="815"/>
    <tableColumn id="2682" xr3:uid="{00000000-0010-0000-0000-00007A0A0000}" name="29н.20*" dataDxfId="814"/>
    <tableColumn id="2683" xr3:uid="{00000000-0010-0000-0000-00007B0A0000}" name="29н.21*" dataDxfId="813"/>
    <tableColumn id="2684" xr3:uid="{00000000-0010-0000-0000-00007C0A0000}" name="29н.22*" dataDxfId="812"/>
    <tableColumn id="2685" xr3:uid="{00000000-0010-0000-0000-00007D0A0000}" name="29н.23*" dataDxfId="811"/>
    <tableColumn id="2686" xr3:uid="{00000000-0010-0000-0000-00007E0A0000}" name="29н.24*" dataDxfId="810"/>
    <tableColumn id="2687" xr3:uid="{00000000-0010-0000-0000-00007F0A0000}" name="29н.25*" dataDxfId="809"/>
    <tableColumn id="2688" xr3:uid="{00000000-0010-0000-0000-0000800A0000}" name="29н.26*" dataDxfId="808"/>
    <tableColumn id="2689" xr3:uid="{00000000-0010-0000-0000-0000810A0000}" name="29н.27*" dataDxfId="807"/>
    <tableColumn id="2690" xr3:uid="{00000000-0010-0000-0000-0000820A0000}" name="29н.28*" dataDxfId="806"/>
    <tableColumn id="2691" xr3:uid="{00000000-0010-0000-0000-0000830A0000}" name="29н.29*" dataDxfId="805"/>
    <tableColumn id="2692" xr3:uid="{00000000-0010-0000-0000-0000840A0000}" name="29н.30*" dataDxfId="804"/>
    <tableColumn id="2693" xr3:uid="{00000000-0010-0000-0000-0000850A0000}" name="29п.Н" dataDxfId="803"/>
    <tableColumn id="2694" xr3:uid="{00000000-0010-0000-0000-0000860A0000}" name="29п.01*" dataDxfId="802"/>
    <tableColumn id="2695" xr3:uid="{00000000-0010-0000-0000-0000870A0000}" name="29п.02*" dataDxfId="801"/>
    <tableColumn id="2696" xr3:uid="{00000000-0010-0000-0000-0000880A0000}" name="29п.03*" dataDxfId="800"/>
    <tableColumn id="2697" xr3:uid="{00000000-0010-0000-0000-0000890A0000}" name="29п.04*" dataDxfId="799"/>
    <tableColumn id="2698" xr3:uid="{00000000-0010-0000-0000-00008A0A0000}" name="29п.05*" dataDxfId="798"/>
    <tableColumn id="2699" xr3:uid="{00000000-0010-0000-0000-00008B0A0000}" name="29п.06*" dataDxfId="797"/>
    <tableColumn id="2700" xr3:uid="{00000000-0010-0000-0000-00008C0A0000}" name="29п.07*" dataDxfId="796"/>
    <tableColumn id="2701" xr3:uid="{00000000-0010-0000-0000-00008D0A0000}" name="29п.08*" dataDxfId="795"/>
    <tableColumn id="2702" xr3:uid="{00000000-0010-0000-0000-00008E0A0000}" name="29п.09*" dataDxfId="794"/>
    <tableColumn id="2703" xr3:uid="{00000000-0010-0000-0000-00008F0A0000}" name="29п.10*" dataDxfId="793"/>
    <tableColumn id="2704" xr3:uid="{00000000-0010-0000-0000-0000900A0000}" name="29п.11*" dataDxfId="792"/>
    <tableColumn id="2705" xr3:uid="{00000000-0010-0000-0000-0000910A0000}" name="29п.12*" dataDxfId="791"/>
    <tableColumn id="2706" xr3:uid="{00000000-0010-0000-0000-0000920A0000}" name="29п.13*" dataDxfId="790"/>
    <tableColumn id="2707" xr3:uid="{00000000-0010-0000-0000-0000930A0000}" name="29п.14*" dataDxfId="789"/>
    <tableColumn id="2708" xr3:uid="{00000000-0010-0000-0000-0000940A0000}" name="29п.15*" dataDxfId="788"/>
    <tableColumn id="2709" xr3:uid="{00000000-0010-0000-0000-0000950A0000}" name="29п.16*" dataDxfId="787"/>
    <tableColumn id="2710" xr3:uid="{00000000-0010-0000-0000-0000960A0000}" name="29п.17*" dataDxfId="786"/>
    <tableColumn id="2711" xr3:uid="{00000000-0010-0000-0000-0000970A0000}" name="29п.18*" dataDxfId="785"/>
    <tableColumn id="2712" xr3:uid="{00000000-0010-0000-0000-0000980A0000}" name="29п.19*" dataDxfId="784"/>
    <tableColumn id="2713" xr3:uid="{00000000-0010-0000-0000-0000990A0000}" name="29п.20*" dataDxfId="783"/>
    <tableColumn id="2714" xr3:uid="{00000000-0010-0000-0000-00009A0A0000}" name="29п.21*" dataDxfId="782"/>
    <tableColumn id="2715" xr3:uid="{00000000-0010-0000-0000-00009B0A0000}" name="29п.22*" dataDxfId="781"/>
    <tableColumn id="2716" xr3:uid="{00000000-0010-0000-0000-00009C0A0000}" name="29п.23*" dataDxfId="780"/>
    <tableColumn id="2717" xr3:uid="{00000000-0010-0000-0000-00009D0A0000}" name="29п.24*" dataDxfId="779"/>
    <tableColumn id="2718" xr3:uid="{00000000-0010-0000-0000-00009E0A0000}" name="29п.25*" dataDxfId="778"/>
    <tableColumn id="2719" xr3:uid="{00000000-0010-0000-0000-00009F0A0000}" name="29п.26*" dataDxfId="777"/>
    <tableColumn id="2720" xr3:uid="{00000000-0010-0000-0000-0000A00A0000}" name="29п.27*" dataDxfId="776"/>
    <tableColumn id="2721" xr3:uid="{00000000-0010-0000-0000-0000A10A0000}" name="29п.28*" dataDxfId="775"/>
    <tableColumn id="2722" xr3:uid="{00000000-0010-0000-0000-0000A20A0000}" name="29п.29*" dataDxfId="774"/>
    <tableColumn id="2723" xr3:uid="{00000000-0010-0000-0000-0000A30A0000}" name="29п.30*" dataDxfId="773"/>
    <tableColumn id="2755" xr3:uid="{00000000-0010-0000-0000-0000C30A0000}" name="30н.Н" dataDxfId="772"/>
    <tableColumn id="2756" xr3:uid="{00000000-0010-0000-0000-0000C40A0000}" name="30н.01*" dataDxfId="771"/>
    <tableColumn id="2757" xr3:uid="{00000000-0010-0000-0000-0000C50A0000}" name="30н.02*" dataDxfId="770"/>
    <tableColumn id="2758" xr3:uid="{00000000-0010-0000-0000-0000C60A0000}" name="30н.03*" dataDxfId="769"/>
    <tableColumn id="2759" xr3:uid="{00000000-0010-0000-0000-0000C70A0000}" name="30н.04*" dataDxfId="768"/>
    <tableColumn id="2760" xr3:uid="{00000000-0010-0000-0000-0000C80A0000}" name="30н.05*" dataDxfId="767"/>
    <tableColumn id="2761" xr3:uid="{00000000-0010-0000-0000-0000C90A0000}" name="30н.06*" dataDxfId="766"/>
    <tableColumn id="2762" xr3:uid="{00000000-0010-0000-0000-0000CA0A0000}" name="30н.07*" dataDxfId="765"/>
    <tableColumn id="2763" xr3:uid="{00000000-0010-0000-0000-0000CB0A0000}" name="30н.08*" dataDxfId="764"/>
    <tableColumn id="2764" xr3:uid="{00000000-0010-0000-0000-0000CC0A0000}" name="30н.09*" dataDxfId="763"/>
    <tableColumn id="2765" xr3:uid="{00000000-0010-0000-0000-0000CD0A0000}" name="30н.10*" dataDxfId="762"/>
    <tableColumn id="2766" xr3:uid="{00000000-0010-0000-0000-0000CE0A0000}" name="30н.11*" dataDxfId="761"/>
    <tableColumn id="2767" xr3:uid="{00000000-0010-0000-0000-0000CF0A0000}" name="30н.12*" dataDxfId="760"/>
    <tableColumn id="2768" xr3:uid="{00000000-0010-0000-0000-0000D00A0000}" name="30н.13*" dataDxfId="759"/>
    <tableColumn id="2769" xr3:uid="{00000000-0010-0000-0000-0000D10A0000}" name="30н.14*" dataDxfId="758"/>
    <tableColumn id="2770" xr3:uid="{00000000-0010-0000-0000-0000D20A0000}" name="30н.15*" dataDxfId="757"/>
    <tableColumn id="2771" xr3:uid="{00000000-0010-0000-0000-0000D30A0000}" name="30н.16*" dataDxfId="756"/>
    <tableColumn id="2772" xr3:uid="{00000000-0010-0000-0000-0000D40A0000}" name="30н.17*" dataDxfId="755"/>
    <tableColumn id="2773" xr3:uid="{00000000-0010-0000-0000-0000D50A0000}" name="30н.18*" dataDxfId="754"/>
    <tableColumn id="2774" xr3:uid="{00000000-0010-0000-0000-0000D60A0000}" name="30н.19*" dataDxfId="753"/>
    <tableColumn id="2775" xr3:uid="{00000000-0010-0000-0000-0000D70A0000}" name="30н.20*" dataDxfId="752"/>
    <tableColumn id="2776" xr3:uid="{00000000-0010-0000-0000-0000D80A0000}" name="30н.21*" dataDxfId="751"/>
    <tableColumn id="2777" xr3:uid="{00000000-0010-0000-0000-0000D90A0000}" name="30н.22*" dataDxfId="750"/>
    <tableColumn id="2778" xr3:uid="{00000000-0010-0000-0000-0000DA0A0000}" name="30н.23*" dataDxfId="749"/>
    <tableColumn id="2779" xr3:uid="{00000000-0010-0000-0000-0000DB0A0000}" name="30н.24*" dataDxfId="748"/>
    <tableColumn id="2780" xr3:uid="{00000000-0010-0000-0000-0000DC0A0000}" name="30н.25*" dataDxfId="747"/>
    <tableColumn id="2781" xr3:uid="{00000000-0010-0000-0000-0000DD0A0000}" name="30н.26*" dataDxfId="746"/>
    <tableColumn id="2782" xr3:uid="{00000000-0010-0000-0000-0000DE0A0000}" name="30н.27*" dataDxfId="745"/>
    <tableColumn id="2783" xr3:uid="{00000000-0010-0000-0000-0000DF0A0000}" name="30н.28*" dataDxfId="744"/>
    <tableColumn id="2784" xr3:uid="{00000000-0010-0000-0000-0000E00A0000}" name="30н.29*" dataDxfId="743"/>
    <tableColumn id="2785" xr3:uid="{00000000-0010-0000-0000-0000E10A0000}" name="30н.30*" dataDxfId="742"/>
    <tableColumn id="2786" xr3:uid="{00000000-0010-0000-0000-0000E20A0000}" name="30п.Н" dataDxfId="741"/>
    <tableColumn id="2787" xr3:uid="{00000000-0010-0000-0000-0000E30A0000}" name="30п.01*" dataDxfId="740"/>
    <tableColumn id="2788" xr3:uid="{00000000-0010-0000-0000-0000E40A0000}" name="30п.02*" dataDxfId="739"/>
    <tableColumn id="2789" xr3:uid="{00000000-0010-0000-0000-0000E50A0000}" name="30п.03*" dataDxfId="738"/>
    <tableColumn id="2790" xr3:uid="{00000000-0010-0000-0000-0000E60A0000}" name="30п.04*" dataDxfId="737"/>
    <tableColumn id="2791" xr3:uid="{00000000-0010-0000-0000-0000E70A0000}" name="30п.05*" dataDxfId="736"/>
    <tableColumn id="2792" xr3:uid="{00000000-0010-0000-0000-0000E80A0000}" name="30п.06*" dataDxfId="735"/>
    <tableColumn id="2793" xr3:uid="{00000000-0010-0000-0000-0000E90A0000}" name="30п.07*" dataDxfId="734"/>
    <tableColumn id="2794" xr3:uid="{00000000-0010-0000-0000-0000EA0A0000}" name="30п.08*" dataDxfId="733"/>
    <tableColumn id="2795" xr3:uid="{00000000-0010-0000-0000-0000EB0A0000}" name="30п.09*" dataDxfId="732"/>
    <tableColumn id="2796" xr3:uid="{00000000-0010-0000-0000-0000EC0A0000}" name="30п.10*" dataDxfId="731"/>
    <tableColumn id="2797" xr3:uid="{00000000-0010-0000-0000-0000ED0A0000}" name="30п.11*" dataDxfId="730"/>
    <tableColumn id="2798" xr3:uid="{00000000-0010-0000-0000-0000EE0A0000}" name="30п.12*" dataDxfId="729"/>
    <tableColumn id="2799" xr3:uid="{00000000-0010-0000-0000-0000EF0A0000}" name="30п.13*" dataDxfId="728"/>
    <tableColumn id="2800" xr3:uid="{00000000-0010-0000-0000-0000F00A0000}" name="30п.14*" dataDxfId="727"/>
    <tableColumn id="2801" xr3:uid="{00000000-0010-0000-0000-0000F10A0000}" name="30п.15*" dataDxfId="726"/>
    <tableColumn id="2802" xr3:uid="{00000000-0010-0000-0000-0000F20A0000}" name="30п.16*" dataDxfId="725"/>
    <tableColumn id="2803" xr3:uid="{00000000-0010-0000-0000-0000F30A0000}" name="30п.17*" dataDxfId="724"/>
    <tableColumn id="2804" xr3:uid="{00000000-0010-0000-0000-0000F40A0000}" name="30п.18*" dataDxfId="723"/>
    <tableColumn id="2805" xr3:uid="{00000000-0010-0000-0000-0000F50A0000}" name="30п.19*" dataDxfId="722"/>
    <tableColumn id="2806" xr3:uid="{00000000-0010-0000-0000-0000F60A0000}" name="30п.20*" dataDxfId="721"/>
    <tableColumn id="2807" xr3:uid="{00000000-0010-0000-0000-0000F70A0000}" name="30п.21*" dataDxfId="720"/>
    <tableColumn id="2808" xr3:uid="{00000000-0010-0000-0000-0000F80A0000}" name="30п.22*" dataDxfId="719"/>
    <tableColumn id="2809" xr3:uid="{00000000-0010-0000-0000-0000F90A0000}" name="30п.23*" dataDxfId="718"/>
    <tableColumn id="2810" xr3:uid="{00000000-0010-0000-0000-0000FA0A0000}" name="30п.24*" dataDxfId="717"/>
    <tableColumn id="2811" xr3:uid="{00000000-0010-0000-0000-0000FB0A0000}" name="30п.25*" dataDxfId="716"/>
    <tableColumn id="2812" xr3:uid="{00000000-0010-0000-0000-0000FC0A0000}" name="30п.26*" dataDxfId="715"/>
    <tableColumn id="2813" xr3:uid="{00000000-0010-0000-0000-0000FD0A0000}" name="30п.27*" dataDxfId="714"/>
    <tableColumn id="2814" xr3:uid="{00000000-0010-0000-0000-0000FE0A0000}" name="30п.28*" dataDxfId="713"/>
    <tableColumn id="2815" xr3:uid="{00000000-0010-0000-0000-0000FF0A0000}" name="30п.29*" dataDxfId="712"/>
    <tableColumn id="2816" xr3:uid="{00000000-0010-0000-0000-0000000B0000}" name="30п.30*" dataDxfId="711"/>
    <tableColumn id="2848" xr3:uid="{00000000-0010-0000-0000-0000200B0000}" name="31н.Н" dataDxfId="710"/>
    <tableColumn id="2849" xr3:uid="{00000000-0010-0000-0000-0000210B0000}" name="31н.01*" dataDxfId="709"/>
    <tableColumn id="2850" xr3:uid="{00000000-0010-0000-0000-0000220B0000}" name="31н.02*" dataDxfId="708"/>
    <tableColumn id="2851" xr3:uid="{00000000-0010-0000-0000-0000230B0000}" name="31н.03*" dataDxfId="707"/>
    <tableColumn id="2852" xr3:uid="{00000000-0010-0000-0000-0000240B0000}" name="31н.04*" dataDxfId="706"/>
    <tableColumn id="2853" xr3:uid="{00000000-0010-0000-0000-0000250B0000}" name="31н.05*" dataDxfId="705"/>
    <tableColumn id="2854" xr3:uid="{00000000-0010-0000-0000-0000260B0000}" name="31н.06*" dataDxfId="704"/>
    <tableColumn id="2855" xr3:uid="{00000000-0010-0000-0000-0000270B0000}" name="31н.07*" dataDxfId="703"/>
    <tableColumn id="2856" xr3:uid="{00000000-0010-0000-0000-0000280B0000}" name="31н.08*" dataDxfId="702"/>
    <tableColumn id="2857" xr3:uid="{00000000-0010-0000-0000-0000290B0000}" name="31н.09*" dataDxfId="701"/>
    <tableColumn id="2858" xr3:uid="{00000000-0010-0000-0000-00002A0B0000}" name="31н.10*" dataDxfId="700"/>
    <tableColumn id="2859" xr3:uid="{00000000-0010-0000-0000-00002B0B0000}" name="31н.11*" dataDxfId="699"/>
    <tableColumn id="2860" xr3:uid="{00000000-0010-0000-0000-00002C0B0000}" name="31н.12*" dataDxfId="698"/>
    <tableColumn id="2861" xr3:uid="{00000000-0010-0000-0000-00002D0B0000}" name="31н.13*" dataDxfId="697"/>
    <tableColumn id="2862" xr3:uid="{00000000-0010-0000-0000-00002E0B0000}" name="31н.14*" dataDxfId="696"/>
    <tableColumn id="2863" xr3:uid="{00000000-0010-0000-0000-00002F0B0000}" name="31н.15*" dataDxfId="695"/>
    <tableColumn id="2864" xr3:uid="{00000000-0010-0000-0000-0000300B0000}" name="31н.16*" dataDxfId="694"/>
    <tableColumn id="2865" xr3:uid="{00000000-0010-0000-0000-0000310B0000}" name="31н.17*" dataDxfId="693"/>
    <tableColumn id="2866" xr3:uid="{00000000-0010-0000-0000-0000320B0000}" name="31н.18*" dataDxfId="692"/>
    <tableColumn id="2867" xr3:uid="{00000000-0010-0000-0000-0000330B0000}" name="31н.19*" dataDxfId="691"/>
    <tableColumn id="2868" xr3:uid="{00000000-0010-0000-0000-0000340B0000}" name="31н.20*" dataDxfId="690"/>
    <tableColumn id="2869" xr3:uid="{00000000-0010-0000-0000-0000350B0000}" name="31н.21*" dataDxfId="689"/>
    <tableColumn id="2870" xr3:uid="{00000000-0010-0000-0000-0000360B0000}" name="31н.22*" dataDxfId="688"/>
    <tableColumn id="2871" xr3:uid="{00000000-0010-0000-0000-0000370B0000}" name="31н.23*" dataDxfId="687"/>
    <tableColumn id="2872" xr3:uid="{00000000-0010-0000-0000-0000380B0000}" name="31н.24*" dataDxfId="686"/>
    <tableColumn id="2873" xr3:uid="{00000000-0010-0000-0000-0000390B0000}" name="31н.25*" dataDxfId="685"/>
    <tableColumn id="2874" xr3:uid="{00000000-0010-0000-0000-00003A0B0000}" name="31н.26*" dataDxfId="684"/>
    <tableColumn id="2875" xr3:uid="{00000000-0010-0000-0000-00003B0B0000}" name="31н.27*" dataDxfId="683"/>
    <tableColumn id="2876" xr3:uid="{00000000-0010-0000-0000-00003C0B0000}" name="31н.28*" dataDxfId="682"/>
    <tableColumn id="2877" xr3:uid="{00000000-0010-0000-0000-00003D0B0000}" name="31н.29*" dataDxfId="681"/>
    <tableColumn id="2878" xr3:uid="{00000000-0010-0000-0000-00003E0B0000}" name="31н.30*" dataDxfId="680"/>
    <tableColumn id="2879" xr3:uid="{00000000-0010-0000-0000-00003F0B0000}" name="31п.Н" dataDxfId="679"/>
    <tableColumn id="2880" xr3:uid="{00000000-0010-0000-0000-0000400B0000}" name="31п.01*" dataDxfId="678"/>
    <tableColumn id="2881" xr3:uid="{00000000-0010-0000-0000-0000410B0000}" name="31п.02*" dataDxfId="677"/>
    <tableColumn id="2882" xr3:uid="{00000000-0010-0000-0000-0000420B0000}" name="31п.03*" dataDxfId="676"/>
    <tableColumn id="2883" xr3:uid="{00000000-0010-0000-0000-0000430B0000}" name="31п.04*" dataDxfId="675"/>
    <tableColumn id="2884" xr3:uid="{00000000-0010-0000-0000-0000440B0000}" name="31п.05*" dataDxfId="674"/>
    <tableColumn id="2885" xr3:uid="{00000000-0010-0000-0000-0000450B0000}" name="31п.06*" dataDxfId="673"/>
    <tableColumn id="2886" xr3:uid="{00000000-0010-0000-0000-0000460B0000}" name="31п.07*" dataDxfId="672"/>
    <tableColumn id="2887" xr3:uid="{00000000-0010-0000-0000-0000470B0000}" name="31п.08*" dataDxfId="671"/>
    <tableColumn id="2888" xr3:uid="{00000000-0010-0000-0000-0000480B0000}" name="31п.09*" dataDxfId="670"/>
    <tableColumn id="2889" xr3:uid="{00000000-0010-0000-0000-0000490B0000}" name="31п.10*" dataDxfId="669"/>
    <tableColumn id="2890" xr3:uid="{00000000-0010-0000-0000-00004A0B0000}" name="31п.11*" dataDxfId="668"/>
    <tableColumn id="2891" xr3:uid="{00000000-0010-0000-0000-00004B0B0000}" name="31п.12*" dataDxfId="667"/>
    <tableColumn id="2892" xr3:uid="{00000000-0010-0000-0000-00004C0B0000}" name="31п.13*" dataDxfId="666"/>
    <tableColumn id="2893" xr3:uid="{00000000-0010-0000-0000-00004D0B0000}" name="31п.14*" dataDxfId="665"/>
    <tableColumn id="2894" xr3:uid="{00000000-0010-0000-0000-00004E0B0000}" name="31п.15*" dataDxfId="664"/>
    <tableColumn id="2895" xr3:uid="{00000000-0010-0000-0000-00004F0B0000}" name="31п.16*" dataDxfId="663"/>
    <tableColumn id="2896" xr3:uid="{00000000-0010-0000-0000-0000500B0000}" name="31п.17*" dataDxfId="662"/>
    <tableColumn id="2897" xr3:uid="{00000000-0010-0000-0000-0000510B0000}" name="31п.18*" dataDxfId="661"/>
    <tableColumn id="2898" xr3:uid="{00000000-0010-0000-0000-0000520B0000}" name="31п.19*" dataDxfId="660"/>
    <tableColumn id="2899" xr3:uid="{00000000-0010-0000-0000-0000530B0000}" name="31п.20*" dataDxfId="659"/>
    <tableColumn id="2900" xr3:uid="{00000000-0010-0000-0000-0000540B0000}" name="31п.21*" dataDxfId="658"/>
    <tableColumn id="2901" xr3:uid="{00000000-0010-0000-0000-0000550B0000}" name="31п.22*" dataDxfId="657"/>
    <tableColumn id="2902" xr3:uid="{00000000-0010-0000-0000-0000560B0000}" name="31п.23*" dataDxfId="656"/>
    <tableColumn id="2903" xr3:uid="{00000000-0010-0000-0000-0000570B0000}" name="31п.24*" dataDxfId="655"/>
    <tableColumn id="2904" xr3:uid="{00000000-0010-0000-0000-0000580B0000}" name="31п.25*" dataDxfId="654"/>
    <tableColumn id="2905" xr3:uid="{00000000-0010-0000-0000-0000590B0000}" name="31п.26*" dataDxfId="653"/>
    <tableColumn id="2906" xr3:uid="{00000000-0010-0000-0000-00005A0B0000}" name="31п.27*" dataDxfId="652"/>
    <tableColumn id="2907" xr3:uid="{00000000-0010-0000-0000-00005B0B0000}" name="31п.28*" dataDxfId="651"/>
    <tableColumn id="2908" xr3:uid="{00000000-0010-0000-0000-00005C0B0000}" name="31п.29*" dataDxfId="650"/>
    <tableColumn id="2909" xr3:uid="{00000000-0010-0000-0000-00005D0B0000}" name="31п.30*" dataDxfId="649"/>
    <tableColumn id="2941" xr3:uid="{00000000-0010-0000-0000-00007D0B0000}" name="32н.Н" dataDxfId="648"/>
    <tableColumn id="2942" xr3:uid="{00000000-0010-0000-0000-00007E0B0000}" name="32н.01*" dataDxfId="647"/>
    <tableColumn id="2943" xr3:uid="{00000000-0010-0000-0000-00007F0B0000}" name="32н.02*" dataDxfId="646"/>
    <tableColumn id="2944" xr3:uid="{00000000-0010-0000-0000-0000800B0000}" name="32н.03*" dataDxfId="645"/>
    <tableColumn id="2945" xr3:uid="{00000000-0010-0000-0000-0000810B0000}" name="32н.04*" dataDxfId="644"/>
    <tableColumn id="2946" xr3:uid="{00000000-0010-0000-0000-0000820B0000}" name="32н.05*" dataDxfId="643"/>
    <tableColumn id="2947" xr3:uid="{00000000-0010-0000-0000-0000830B0000}" name="32н.06*" dataDxfId="642"/>
    <tableColumn id="2948" xr3:uid="{00000000-0010-0000-0000-0000840B0000}" name="32н.07*" dataDxfId="641"/>
    <tableColumn id="2949" xr3:uid="{00000000-0010-0000-0000-0000850B0000}" name="32н.08*" dataDxfId="640"/>
    <tableColumn id="2950" xr3:uid="{00000000-0010-0000-0000-0000860B0000}" name="32н.09*" dataDxfId="639"/>
    <tableColumn id="2951" xr3:uid="{00000000-0010-0000-0000-0000870B0000}" name="32н.10*" dataDxfId="638"/>
    <tableColumn id="2952" xr3:uid="{00000000-0010-0000-0000-0000880B0000}" name="32н.11*" dataDxfId="637"/>
    <tableColumn id="2953" xr3:uid="{00000000-0010-0000-0000-0000890B0000}" name="32н.12*" dataDxfId="636"/>
    <tableColumn id="2954" xr3:uid="{00000000-0010-0000-0000-00008A0B0000}" name="32н.13*" dataDxfId="635"/>
    <tableColumn id="2955" xr3:uid="{00000000-0010-0000-0000-00008B0B0000}" name="32н.14*" dataDxfId="634"/>
    <tableColumn id="2956" xr3:uid="{00000000-0010-0000-0000-00008C0B0000}" name="32н.15*" dataDxfId="633"/>
    <tableColumn id="2957" xr3:uid="{00000000-0010-0000-0000-00008D0B0000}" name="32н.16*" dataDxfId="632"/>
    <tableColumn id="2958" xr3:uid="{00000000-0010-0000-0000-00008E0B0000}" name="32н.17*" dataDxfId="631"/>
    <tableColumn id="2959" xr3:uid="{00000000-0010-0000-0000-00008F0B0000}" name="32н.18*" dataDxfId="630"/>
    <tableColumn id="2960" xr3:uid="{00000000-0010-0000-0000-0000900B0000}" name="32н.19*" dataDxfId="629"/>
    <tableColumn id="2961" xr3:uid="{00000000-0010-0000-0000-0000910B0000}" name="32н.20*" dataDxfId="628"/>
    <tableColumn id="2962" xr3:uid="{00000000-0010-0000-0000-0000920B0000}" name="32н.21*" dataDxfId="627"/>
    <tableColumn id="2963" xr3:uid="{00000000-0010-0000-0000-0000930B0000}" name="32н.22*" dataDxfId="626"/>
    <tableColumn id="2964" xr3:uid="{00000000-0010-0000-0000-0000940B0000}" name="32н.23*" dataDxfId="625"/>
    <tableColumn id="2965" xr3:uid="{00000000-0010-0000-0000-0000950B0000}" name="32н.24*" dataDxfId="624"/>
    <tableColumn id="2966" xr3:uid="{00000000-0010-0000-0000-0000960B0000}" name="32н.25*" dataDxfId="623"/>
    <tableColumn id="2967" xr3:uid="{00000000-0010-0000-0000-0000970B0000}" name="32н.26*" dataDxfId="622"/>
    <tableColumn id="2968" xr3:uid="{00000000-0010-0000-0000-0000980B0000}" name="32н.27*" dataDxfId="621"/>
    <tableColumn id="2969" xr3:uid="{00000000-0010-0000-0000-0000990B0000}" name="32н.28*" dataDxfId="620"/>
    <tableColumn id="2970" xr3:uid="{00000000-0010-0000-0000-00009A0B0000}" name="32н.29*" dataDxfId="619"/>
    <tableColumn id="2971" xr3:uid="{00000000-0010-0000-0000-00009B0B0000}" name="32н.30*" dataDxfId="618"/>
    <tableColumn id="2972" xr3:uid="{00000000-0010-0000-0000-00009C0B0000}" name="32п.Н" dataDxfId="617"/>
    <tableColumn id="2973" xr3:uid="{00000000-0010-0000-0000-00009D0B0000}" name="32п.01*" dataDxfId="616"/>
    <tableColumn id="2974" xr3:uid="{00000000-0010-0000-0000-00009E0B0000}" name="32п.02*" dataDxfId="615"/>
    <tableColumn id="2975" xr3:uid="{00000000-0010-0000-0000-00009F0B0000}" name="32п.03*" dataDxfId="614"/>
    <tableColumn id="2976" xr3:uid="{00000000-0010-0000-0000-0000A00B0000}" name="32п.04*" dataDxfId="613"/>
    <tableColumn id="2977" xr3:uid="{00000000-0010-0000-0000-0000A10B0000}" name="32п.05*" dataDxfId="612"/>
    <tableColumn id="2978" xr3:uid="{00000000-0010-0000-0000-0000A20B0000}" name="32п.06*" dataDxfId="611"/>
    <tableColumn id="2979" xr3:uid="{00000000-0010-0000-0000-0000A30B0000}" name="32п.07*" dataDxfId="610"/>
    <tableColumn id="2980" xr3:uid="{00000000-0010-0000-0000-0000A40B0000}" name="32п.08*" dataDxfId="609"/>
    <tableColumn id="2981" xr3:uid="{00000000-0010-0000-0000-0000A50B0000}" name="32п.09*" dataDxfId="608"/>
    <tableColumn id="2982" xr3:uid="{00000000-0010-0000-0000-0000A60B0000}" name="32п.10*" dataDxfId="607"/>
    <tableColumn id="2983" xr3:uid="{00000000-0010-0000-0000-0000A70B0000}" name="32п.11*" dataDxfId="606"/>
    <tableColumn id="2984" xr3:uid="{00000000-0010-0000-0000-0000A80B0000}" name="32п.12*" dataDxfId="605"/>
    <tableColumn id="2985" xr3:uid="{00000000-0010-0000-0000-0000A90B0000}" name="32п.13*" dataDxfId="604"/>
    <tableColumn id="2986" xr3:uid="{00000000-0010-0000-0000-0000AA0B0000}" name="32п.14*" dataDxfId="603"/>
    <tableColumn id="2987" xr3:uid="{00000000-0010-0000-0000-0000AB0B0000}" name="32п.15*" dataDxfId="602"/>
    <tableColumn id="2988" xr3:uid="{00000000-0010-0000-0000-0000AC0B0000}" name="32п.16*" dataDxfId="601"/>
    <tableColumn id="2989" xr3:uid="{00000000-0010-0000-0000-0000AD0B0000}" name="32п.17*" dataDxfId="600"/>
    <tableColumn id="2990" xr3:uid="{00000000-0010-0000-0000-0000AE0B0000}" name="32п.18*" dataDxfId="599"/>
    <tableColumn id="2991" xr3:uid="{00000000-0010-0000-0000-0000AF0B0000}" name="32п.19*" dataDxfId="598"/>
    <tableColumn id="2992" xr3:uid="{00000000-0010-0000-0000-0000B00B0000}" name="32п.20*" dataDxfId="597"/>
    <tableColumn id="2993" xr3:uid="{00000000-0010-0000-0000-0000B10B0000}" name="32п.21*" dataDxfId="596"/>
    <tableColumn id="2994" xr3:uid="{00000000-0010-0000-0000-0000B20B0000}" name="32п.22*" dataDxfId="595"/>
    <tableColumn id="2995" xr3:uid="{00000000-0010-0000-0000-0000B30B0000}" name="32п.23*" dataDxfId="594"/>
    <tableColumn id="2996" xr3:uid="{00000000-0010-0000-0000-0000B40B0000}" name="32п.24*" dataDxfId="593"/>
    <tableColumn id="2997" xr3:uid="{00000000-0010-0000-0000-0000B50B0000}" name="32п.25*" dataDxfId="592"/>
    <tableColumn id="2998" xr3:uid="{00000000-0010-0000-0000-0000B60B0000}" name="32п.26*" dataDxfId="591"/>
    <tableColumn id="2999" xr3:uid="{00000000-0010-0000-0000-0000B70B0000}" name="32п.27*" dataDxfId="590"/>
    <tableColumn id="3000" xr3:uid="{00000000-0010-0000-0000-0000B80B0000}" name="32п.28*" dataDxfId="589"/>
    <tableColumn id="3001" xr3:uid="{00000000-0010-0000-0000-0000B90B0000}" name="32п.29*" dataDxfId="588"/>
    <tableColumn id="3002" xr3:uid="{00000000-0010-0000-0000-0000BA0B0000}" name="32п.30*" dataDxfId="587"/>
    <tableColumn id="3034" xr3:uid="{00000000-0010-0000-0000-0000DA0B0000}" name="33н.Н" dataDxfId="586"/>
    <tableColumn id="3035" xr3:uid="{00000000-0010-0000-0000-0000DB0B0000}" name="33н.01*" dataDxfId="585"/>
    <tableColumn id="3036" xr3:uid="{00000000-0010-0000-0000-0000DC0B0000}" name="33н.02*" dataDxfId="584"/>
    <tableColumn id="3037" xr3:uid="{00000000-0010-0000-0000-0000DD0B0000}" name="33н.03*" dataDxfId="583"/>
    <tableColumn id="3038" xr3:uid="{00000000-0010-0000-0000-0000DE0B0000}" name="33н.04*" dataDxfId="582"/>
    <tableColumn id="3039" xr3:uid="{00000000-0010-0000-0000-0000DF0B0000}" name="33н.05*" dataDxfId="581"/>
    <tableColumn id="3040" xr3:uid="{00000000-0010-0000-0000-0000E00B0000}" name="33н.06*" dataDxfId="580"/>
    <tableColumn id="3041" xr3:uid="{00000000-0010-0000-0000-0000E10B0000}" name="33н.07*" dataDxfId="579"/>
    <tableColumn id="3042" xr3:uid="{00000000-0010-0000-0000-0000E20B0000}" name="33н.08*" dataDxfId="578"/>
    <tableColumn id="3043" xr3:uid="{00000000-0010-0000-0000-0000E30B0000}" name="33н.09*" dataDxfId="577"/>
    <tableColumn id="3044" xr3:uid="{00000000-0010-0000-0000-0000E40B0000}" name="33н.10*" dataDxfId="576"/>
    <tableColumn id="3045" xr3:uid="{00000000-0010-0000-0000-0000E50B0000}" name="33н.11*" dataDxfId="575"/>
    <tableColumn id="3046" xr3:uid="{00000000-0010-0000-0000-0000E60B0000}" name="33н.12*" dataDxfId="574"/>
    <tableColumn id="3047" xr3:uid="{00000000-0010-0000-0000-0000E70B0000}" name="33н.13*" dataDxfId="573"/>
    <tableColumn id="3048" xr3:uid="{00000000-0010-0000-0000-0000E80B0000}" name="33н.14*" dataDxfId="572"/>
    <tableColumn id="3049" xr3:uid="{00000000-0010-0000-0000-0000E90B0000}" name="33н.15*" dataDxfId="571"/>
    <tableColumn id="3050" xr3:uid="{00000000-0010-0000-0000-0000EA0B0000}" name="33н.16*" dataDxfId="570"/>
    <tableColumn id="3051" xr3:uid="{00000000-0010-0000-0000-0000EB0B0000}" name="33н.17*" dataDxfId="569"/>
    <tableColumn id="3052" xr3:uid="{00000000-0010-0000-0000-0000EC0B0000}" name="33н.18*" dataDxfId="568"/>
    <tableColumn id="3053" xr3:uid="{00000000-0010-0000-0000-0000ED0B0000}" name="33н.19*" dataDxfId="567"/>
    <tableColumn id="3054" xr3:uid="{00000000-0010-0000-0000-0000EE0B0000}" name="33н.20*" dataDxfId="566"/>
    <tableColumn id="3055" xr3:uid="{00000000-0010-0000-0000-0000EF0B0000}" name="33н.21*" dataDxfId="565"/>
    <tableColumn id="3056" xr3:uid="{00000000-0010-0000-0000-0000F00B0000}" name="33н.22*" dataDxfId="564"/>
    <tableColumn id="3057" xr3:uid="{00000000-0010-0000-0000-0000F10B0000}" name="33н.23*" dataDxfId="563"/>
    <tableColumn id="3058" xr3:uid="{00000000-0010-0000-0000-0000F20B0000}" name="33н.24*" dataDxfId="562"/>
    <tableColumn id="3059" xr3:uid="{00000000-0010-0000-0000-0000F30B0000}" name="33н.25*" dataDxfId="561"/>
    <tableColumn id="3060" xr3:uid="{00000000-0010-0000-0000-0000F40B0000}" name="33н.26*" dataDxfId="560"/>
    <tableColumn id="3061" xr3:uid="{00000000-0010-0000-0000-0000F50B0000}" name="33н.27*" dataDxfId="559"/>
    <tableColumn id="3062" xr3:uid="{00000000-0010-0000-0000-0000F60B0000}" name="33н.28*" dataDxfId="558"/>
    <tableColumn id="3063" xr3:uid="{00000000-0010-0000-0000-0000F70B0000}" name="33н.29*" dataDxfId="557"/>
    <tableColumn id="3064" xr3:uid="{00000000-0010-0000-0000-0000F80B0000}" name="33н.30*" dataDxfId="556"/>
    <tableColumn id="3065" xr3:uid="{00000000-0010-0000-0000-0000F90B0000}" name="33п.Н" dataDxfId="555"/>
    <tableColumn id="3066" xr3:uid="{00000000-0010-0000-0000-0000FA0B0000}" name="33п.01*" dataDxfId="554"/>
    <tableColumn id="3067" xr3:uid="{00000000-0010-0000-0000-0000FB0B0000}" name="33п.02*" dataDxfId="553"/>
    <tableColumn id="3068" xr3:uid="{00000000-0010-0000-0000-0000FC0B0000}" name="33п.03*" dataDxfId="552"/>
    <tableColumn id="3069" xr3:uid="{00000000-0010-0000-0000-0000FD0B0000}" name="33п.04*" dataDxfId="551"/>
    <tableColumn id="3070" xr3:uid="{00000000-0010-0000-0000-0000FE0B0000}" name="33п.05*" dataDxfId="550"/>
    <tableColumn id="3071" xr3:uid="{00000000-0010-0000-0000-0000FF0B0000}" name="33п.06*" dataDxfId="549"/>
    <tableColumn id="3072" xr3:uid="{00000000-0010-0000-0000-0000000C0000}" name="33п.07*" dataDxfId="548"/>
    <tableColumn id="3073" xr3:uid="{00000000-0010-0000-0000-0000010C0000}" name="33п.08*" dataDxfId="547"/>
    <tableColumn id="3074" xr3:uid="{00000000-0010-0000-0000-0000020C0000}" name="33п.09*" dataDxfId="546"/>
    <tableColumn id="3075" xr3:uid="{00000000-0010-0000-0000-0000030C0000}" name="33п.10*" dataDxfId="545"/>
    <tableColumn id="3076" xr3:uid="{00000000-0010-0000-0000-0000040C0000}" name="33п.11*" dataDxfId="544"/>
    <tableColumn id="3077" xr3:uid="{00000000-0010-0000-0000-0000050C0000}" name="33п.12*" dataDxfId="543"/>
    <tableColumn id="3078" xr3:uid="{00000000-0010-0000-0000-0000060C0000}" name="33п.13*" dataDxfId="542"/>
    <tableColumn id="3079" xr3:uid="{00000000-0010-0000-0000-0000070C0000}" name="33п.14*" dataDxfId="541"/>
    <tableColumn id="3080" xr3:uid="{00000000-0010-0000-0000-0000080C0000}" name="33п.15*" dataDxfId="540"/>
    <tableColumn id="3081" xr3:uid="{00000000-0010-0000-0000-0000090C0000}" name="33п.16*" dataDxfId="539"/>
    <tableColumn id="3082" xr3:uid="{00000000-0010-0000-0000-00000A0C0000}" name="33п.17*" dataDxfId="538"/>
    <tableColumn id="3083" xr3:uid="{00000000-0010-0000-0000-00000B0C0000}" name="33п.18*" dataDxfId="537"/>
    <tableColumn id="3084" xr3:uid="{00000000-0010-0000-0000-00000C0C0000}" name="33п.19*" dataDxfId="536"/>
    <tableColumn id="3085" xr3:uid="{00000000-0010-0000-0000-00000D0C0000}" name="33п.20*" dataDxfId="535"/>
    <tableColumn id="3086" xr3:uid="{00000000-0010-0000-0000-00000E0C0000}" name="33п.21*" dataDxfId="534"/>
    <tableColumn id="3087" xr3:uid="{00000000-0010-0000-0000-00000F0C0000}" name="33п.22*" dataDxfId="533"/>
    <tableColumn id="3088" xr3:uid="{00000000-0010-0000-0000-0000100C0000}" name="33п.23*" dataDxfId="532"/>
    <tableColumn id="3089" xr3:uid="{00000000-0010-0000-0000-0000110C0000}" name="33п.24*" dataDxfId="531"/>
    <tableColumn id="3090" xr3:uid="{00000000-0010-0000-0000-0000120C0000}" name="33п.25*" dataDxfId="530"/>
    <tableColumn id="3091" xr3:uid="{00000000-0010-0000-0000-0000130C0000}" name="33п.26*" dataDxfId="529"/>
    <tableColumn id="3092" xr3:uid="{00000000-0010-0000-0000-0000140C0000}" name="33п.27*" dataDxfId="528"/>
    <tableColumn id="3093" xr3:uid="{00000000-0010-0000-0000-0000150C0000}" name="33п.28*" dataDxfId="527"/>
    <tableColumn id="3094" xr3:uid="{00000000-0010-0000-0000-0000160C0000}" name="33п.29*" dataDxfId="526"/>
    <tableColumn id="3095" xr3:uid="{00000000-0010-0000-0000-0000170C0000}" name="33п.30*" dataDxfId="525"/>
    <tableColumn id="3127" xr3:uid="{00000000-0010-0000-0000-0000370C0000}" name="34н.Н" dataDxfId="524"/>
    <tableColumn id="3128" xr3:uid="{00000000-0010-0000-0000-0000380C0000}" name="34н.01*" dataDxfId="523"/>
    <tableColumn id="3129" xr3:uid="{00000000-0010-0000-0000-0000390C0000}" name="34н.02*" dataDxfId="522"/>
    <tableColumn id="3130" xr3:uid="{00000000-0010-0000-0000-00003A0C0000}" name="34н.03*" dataDxfId="521"/>
    <tableColumn id="3131" xr3:uid="{00000000-0010-0000-0000-00003B0C0000}" name="34н.04*" dataDxfId="520"/>
    <tableColumn id="3132" xr3:uid="{00000000-0010-0000-0000-00003C0C0000}" name="34н.05*" dataDxfId="519"/>
    <tableColumn id="3133" xr3:uid="{00000000-0010-0000-0000-00003D0C0000}" name="34н.06*" dataDxfId="518"/>
    <tableColumn id="3134" xr3:uid="{00000000-0010-0000-0000-00003E0C0000}" name="34н.07*" dataDxfId="517"/>
    <tableColumn id="3135" xr3:uid="{00000000-0010-0000-0000-00003F0C0000}" name="34н.08*" dataDxfId="516"/>
    <tableColumn id="3136" xr3:uid="{00000000-0010-0000-0000-0000400C0000}" name="34н.09*" dataDxfId="515"/>
    <tableColumn id="3137" xr3:uid="{00000000-0010-0000-0000-0000410C0000}" name="34н.10*" dataDxfId="514"/>
    <tableColumn id="3138" xr3:uid="{00000000-0010-0000-0000-0000420C0000}" name="34н.11*" dataDxfId="513"/>
    <tableColumn id="3139" xr3:uid="{00000000-0010-0000-0000-0000430C0000}" name="34н.12*" dataDxfId="512"/>
    <tableColumn id="3140" xr3:uid="{00000000-0010-0000-0000-0000440C0000}" name="34н.13*" dataDxfId="511"/>
    <tableColumn id="3141" xr3:uid="{00000000-0010-0000-0000-0000450C0000}" name="34н.14*" dataDxfId="510"/>
    <tableColumn id="3142" xr3:uid="{00000000-0010-0000-0000-0000460C0000}" name="34н.15*" dataDxfId="509"/>
    <tableColumn id="3143" xr3:uid="{00000000-0010-0000-0000-0000470C0000}" name="34н.16*" dataDxfId="508"/>
    <tableColumn id="3144" xr3:uid="{00000000-0010-0000-0000-0000480C0000}" name="34н.17*" dataDxfId="507"/>
    <tableColumn id="3145" xr3:uid="{00000000-0010-0000-0000-0000490C0000}" name="34н.18*" dataDxfId="506"/>
    <tableColumn id="3146" xr3:uid="{00000000-0010-0000-0000-00004A0C0000}" name="34н.19*" dataDxfId="505"/>
    <tableColumn id="3147" xr3:uid="{00000000-0010-0000-0000-00004B0C0000}" name="34н.20*" dataDxfId="504"/>
    <tableColumn id="3148" xr3:uid="{00000000-0010-0000-0000-00004C0C0000}" name="34н.21*" dataDxfId="503"/>
    <tableColumn id="3149" xr3:uid="{00000000-0010-0000-0000-00004D0C0000}" name="34н.22*" dataDxfId="502"/>
    <tableColumn id="3150" xr3:uid="{00000000-0010-0000-0000-00004E0C0000}" name="34н.23*" dataDxfId="501"/>
    <tableColumn id="3151" xr3:uid="{00000000-0010-0000-0000-00004F0C0000}" name="34н.24*" dataDxfId="500"/>
    <tableColumn id="3152" xr3:uid="{00000000-0010-0000-0000-0000500C0000}" name="34н.25*" dataDxfId="499"/>
    <tableColumn id="3153" xr3:uid="{00000000-0010-0000-0000-0000510C0000}" name="34н.26*" dataDxfId="498"/>
    <tableColumn id="3154" xr3:uid="{00000000-0010-0000-0000-0000520C0000}" name="34н.27*" dataDxfId="497"/>
    <tableColumn id="3155" xr3:uid="{00000000-0010-0000-0000-0000530C0000}" name="34н.28*" dataDxfId="496"/>
    <tableColumn id="3156" xr3:uid="{00000000-0010-0000-0000-0000540C0000}" name="34н.29*" dataDxfId="495"/>
    <tableColumn id="3157" xr3:uid="{00000000-0010-0000-0000-0000550C0000}" name="34н.30*" dataDxfId="494"/>
    <tableColumn id="3158" xr3:uid="{00000000-0010-0000-0000-0000560C0000}" name="34п.Н" dataDxfId="493"/>
    <tableColumn id="3159" xr3:uid="{00000000-0010-0000-0000-0000570C0000}" name="34п.01*" dataDxfId="492"/>
    <tableColumn id="3160" xr3:uid="{00000000-0010-0000-0000-0000580C0000}" name="34п.02*" dataDxfId="491"/>
    <tableColumn id="3161" xr3:uid="{00000000-0010-0000-0000-0000590C0000}" name="34п.03*" dataDxfId="490"/>
    <tableColumn id="3162" xr3:uid="{00000000-0010-0000-0000-00005A0C0000}" name="34п.04*" dataDxfId="489"/>
    <tableColumn id="3163" xr3:uid="{00000000-0010-0000-0000-00005B0C0000}" name="34п.05*" dataDxfId="488"/>
    <tableColumn id="3164" xr3:uid="{00000000-0010-0000-0000-00005C0C0000}" name="34п.06*" dataDxfId="487"/>
    <tableColumn id="3165" xr3:uid="{00000000-0010-0000-0000-00005D0C0000}" name="34п.07*" dataDxfId="486"/>
    <tableColumn id="3166" xr3:uid="{00000000-0010-0000-0000-00005E0C0000}" name="34п.08*" dataDxfId="485"/>
    <tableColumn id="3167" xr3:uid="{00000000-0010-0000-0000-00005F0C0000}" name="34п.09*" dataDxfId="484"/>
    <tableColumn id="3168" xr3:uid="{00000000-0010-0000-0000-0000600C0000}" name="34п.10*" dataDxfId="483"/>
    <tableColumn id="3169" xr3:uid="{00000000-0010-0000-0000-0000610C0000}" name="34п.11*" dataDxfId="482"/>
    <tableColumn id="3170" xr3:uid="{00000000-0010-0000-0000-0000620C0000}" name="34п.12*" dataDxfId="481"/>
    <tableColumn id="3171" xr3:uid="{00000000-0010-0000-0000-0000630C0000}" name="34п.13*" dataDxfId="480"/>
    <tableColumn id="3172" xr3:uid="{00000000-0010-0000-0000-0000640C0000}" name="34п.14*" dataDxfId="479"/>
    <tableColumn id="3173" xr3:uid="{00000000-0010-0000-0000-0000650C0000}" name="34п.15*" dataDxfId="478"/>
    <tableColumn id="3174" xr3:uid="{00000000-0010-0000-0000-0000660C0000}" name="34п.16*" dataDxfId="477"/>
    <tableColumn id="3175" xr3:uid="{00000000-0010-0000-0000-0000670C0000}" name="34п.17*" dataDxfId="476"/>
    <tableColumn id="3176" xr3:uid="{00000000-0010-0000-0000-0000680C0000}" name="34п.18*" dataDxfId="475"/>
    <tableColumn id="3177" xr3:uid="{00000000-0010-0000-0000-0000690C0000}" name="34п.19*" dataDxfId="474"/>
    <tableColumn id="3178" xr3:uid="{00000000-0010-0000-0000-00006A0C0000}" name="34п.20*" dataDxfId="473"/>
    <tableColumn id="3179" xr3:uid="{00000000-0010-0000-0000-00006B0C0000}" name="34п.21*" dataDxfId="472"/>
    <tableColumn id="3180" xr3:uid="{00000000-0010-0000-0000-00006C0C0000}" name="34п.22*" dataDxfId="471"/>
    <tableColumn id="3181" xr3:uid="{00000000-0010-0000-0000-00006D0C0000}" name="34п.23*" dataDxfId="470"/>
    <tableColumn id="3182" xr3:uid="{00000000-0010-0000-0000-00006E0C0000}" name="34п.24*" dataDxfId="469"/>
    <tableColumn id="3183" xr3:uid="{00000000-0010-0000-0000-00006F0C0000}" name="34п.25*" dataDxfId="468"/>
    <tableColumn id="3184" xr3:uid="{00000000-0010-0000-0000-0000700C0000}" name="34п.26*" dataDxfId="467"/>
    <tableColumn id="3185" xr3:uid="{00000000-0010-0000-0000-0000710C0000}" name="34п.27*" dataDxfId="466"/>
    <tableColumn id="3186" xr3:uid="{00000000-0010-0000-0000-0000720C0000}" name="34п.28*" dataDxfId="465"/>
    <tableColumn id="3187" xr3:uid="{00000000-0010-0000-0000-0000730C0000}" name="34п.29*" dataDxfId="464"/>
    <tableColumn id="3188" xr3:uid="{00000000-0010-0000-0000-0000740C0000}" name="34п.30*" dataDxfId="463"/>
    <tableColumn id="3220" xr3:uid="{00000000-0010-0000-0000-0000940C0000}" name="35н.Н" dataDxfId="462"/>
    <tableColumn id="3221" xr3:uid="{00000000-0010-0000-0000-0000950C0000}" name="35н.01*" dataDxfId="461"/>
    <tableColumn id="3222" xr3:uid="{00000000-0010-0000-0000-0000960C0000}" name="35н.02*" dataDxfId="460"/>
    <tableColumn id="3223" xr3:uid="{00000000-0010-0000-0000-0000970C0000}" name="35н.03*" dataDxfId="459"/>
    <tableColumn id="3224" xr3:uid="{00000000-0010-0000-0000-0000980C0000}" name="35н.04*" dataDxfId="458"/>
    <tableColumn id="3225" xr3:uid="{00000000-0010-0000-0000-0000990C0000}" name="35н.05*" dataDxfId="457"/>
    <tableColumn id="3226" xr3:uid="{00000000-0010-0000-0000-00009A0C0000}" name="35н.06*" dataDxfId="456"/>
    <tableColumn id="3227" xr3:uid="{00000000-0010-0000-0000-00009B0C0000}" name="35н.07*" dataDxfId="455"/>
    <tableColumn id="3228" xr3:uid="{00000000-0010-0000-0000-00009C0C0000}" name="35н.08*" dataDxfId="454"/>
    <tableColumn id="3229" xr3:uid="{00000000-0010-0000-0000-00009D0C0000}" name="35н.09*" dataDxfId="453"/>
    <tableColumn id="3230" xr3:uid="{00000000-0010-0000-0000-00009E0C0000}" name="35н.10*" dataDxfId="452"/>
    <tableColumn id="3231" xr3:uid="{00000000-0010-0000-0000-00009F0C0000}" name="35н.11*" dataDxfId="451"/>
    <tableColumn id="3232" xr3:uid="{00000000-0010-0000-0000-0000A00C0000}" name="35н.12*" dataDxfId="450"/>
    <tableColumn id="3233" xr3:uid="{00000000-0010-0000-0000-0000A10C0000}" name="35н.13*" dataDxfId="449"/>
    <tableColumn id="3234" xr3:uid="{00000000-0010-0000-0000-0000A20C0000}" name="35н.14*" dataDxfId="448"/>
    <tableColumn id="3235" xr3:uid="{00000000-0010-0000-0000-0000A30C0000}" name="35н.15*" dataDxfId="447"/>
    <tableColumn id="3236" xr3:uid="{00000000-0010-0000-0000-0000A40C0000}" name="35н.16*" dataDxfId="446"/>
    <tableColumn id="3237" xr3:uid="{00000000-0010-0000-0000-0000A50C0000}" name="35н.17*" dataDxfId="445"/>
    <tableColumn id="3238" xr3:uid="{00000000-0010-0000-0000-0000A60C0000}" name="35н.18*" dataDxfId="444"/>
    <tableColumn id="3239" xr3:uid="{00000000-0010-0000-0000-0000A70C0000}" name="35н.19*" dataDxfId="443"/>
    <tableColumn id="3240" xr3:uid="{00000000-0010-0000-0000-0000A80C0000}" name="35н.20*" dataDxfId="442"/>
    <tableColumn id="3241" xr3:uid="{00000000-0010-0000-0000-0000A90C0000}" name="35н.21*" dataDxfId="441"/>
    <tableColumn id="3242" xr3:uid="{00000000-0010-0000-0000-0000AA0C0000}" name="35н.22*" dataDxfId="440"/>
    <tableColumn id="3243" xr3:uid="{00000000-0010-0000-0000-0000AB0C0000}" name="35н.23*" dataDxfId="439"/>
    <tableColumn id="3244" xr3:uid="{00000000-0010-0000-0000-0000AC0C0000}" name="35н.24*" dataDxfId="438"/>
    <tableColumn id="3245" xr3:uid="{00000000-0010-0000-0000-0000AD0C0000}" name="35н.25*" dataDxfId="437"/>
    <tableColumn id="3246" xr3:uid="{00000000-0010-0000-0000-0000AE0C0000}" name="35н.26*" dataDxfId="436"/>
    <tableColumn id="3247" xr3:uid="{00000000-0010-0000-0000-0000AF0C0000}" name="35н.27*" dataDxfId="435"/>
    <tableColumn id="3248" xr3:uid="{00000000-0010-0000-0000-0000B00C0000}" name="35н.28*" dataDxfId="434"/>
    <tableColumn id="3249" xr3:uid="{00000000-0010-0000-0000-0000B10C0000}" name="35н.29*" dataDxfId="433"/>
    <tableColumn id="3250" xr3:uid="{00000000-0010-0000-0000-0000B20C0000}" name="35н.30*" dataDxfId="432"/>
    <tableColumn id="3251" xr3:uid="{00000000-0010-0000-0000-0000B30C0000}" name="35п.Н" dataDxfId="431"/>
    <tableColumn id="3252" xr3:uid="{00000000-0010-0000-0000-0000B40C0000}" name="35п.01*" dataDxfId="430"/>
    <tableColumn id="3253" xr3:uid="{00000000-0010-0000-0000-0000B50C0000}" name="35п.02*" dataDxfId="429"/>
    <tableColumn id="3254" xr3:uid="{00000000-0010-0000-0000-0000B60C0000}" name="35п.03*" dataDxfId="428"/>
    <tableColumn id="3255" xr3:uid="{00000000-0010-0000-0000-0000B70C0000}" name="35п.04*" dataDxfId="427"/>
    <tableColumn id="3256" xr3:uid="{00000000-0010-0000-0000-0000B80C0000}" name="35п.05*" dataDxfId="426"/>
    <tableColumn id="3257" xr3:uid="{00000000-0010-0000-0000-0000B90C0000}" name="35п.06*" dataDxfId="425"/>
    <tableColumn id="3258" xr3:uid="{00000000-0010-0000-0000-0000BA0C0000}" name="35п.07*" dataDxfId="424"/>
    <tableColumn id="3259" xr3:uid="{00000000-0010-0000-0000-0000BB0C0000}" name="35п.08*" dataDxfId="423"/>
    <tableColumn id="3260" xr3:uid="{00000000-0010-0000-0000-0000BC0C0000}" name="35п.09*" dataDxfId="422"/>
    <tableColumn id="3261" xr3:uid="{00000000-0010-0000-0000-0000BD0C0000}" name="35п.10*" dataDxfId="421"/>
    <tableColumn id="3262" xr3:uid="{00000000-0010-0000-0000-0000BE0C0000}" name="35п.11*" dataDxfId="420"/>
    <tableColumn id="3263" xr3:uid="{00000000-0010-0000-0000-0000BF0C0000}" name="35п.12*" dataDxfId="419"/>
    <tableColumn id="3264" xr3:uid="{00000000-0010-0000-0000-0000C00C0000}" name="35п.13*" dataDxfId="418"/>
    <tableColumn id="3265" xr3:uid="{00000000-0010-0000-0000-0000C10C0000}" name="35п.14*" dataDxfId="417"/>
    <tableColumn id="3266" xr3:uid="{00000000-0010-0000-0000-0000C20C0000}" name="35п.15*" dataDxfId="416"/>
    <tableColumn id="3267" xr3:uid="{00000000-0010-0000-0000-0000C30C0000}" name="35п.16*" dataDxfId="415"/>
    <tableColumn id="3268" xr3:uid="{00000000-0010-0000-0000-0000C40C0000}" name="35п.17*" dataDxfId="414"/>
    <tableColumn id="3269" xr3:uid="{00000000-0010-0000-0000-0000C50C0000}" name="35п.18*" dataDxfId="413"/>
    <tableColumn id="3270" xr3:uid="{00000000-0010-0000-0000-0000C60C0000}" name="35п.19*" dataDxfId="412"/>
    <tableColumn id="3271" xr3:uid="{00000000-0010-0000-0000-0000C70C0000}" name="35п.20*" dataDxfId="411"/>
    <tableColumn id="3272" xr3:uid="{00000000-0010-0000-0000-0000C80C0000}" name="35п.21*" dataDxfId="410"/>
    <tableColumn id="3273" xr3:uid="{00000000-0010-0000-0000-0000C90C0000}" name="35п.22*" dataDxfId="409"/>
    <tableColumn id="3274" xr3:uid="{00000000-0010-0000-0000-0000CA0C0000}" name="35п.23*" dataDxfId="408"/>
    <tableColumn id="3275" xr3:uid="{00000000-0010-0000-0000-0000CB0C0000}" name="35п.24*" dataDxfId="407"/>
    <tableColumn id="3276" xr3:uid="{00000000-0010-0000-0000-0000CC0C0000}" name="35п.25*" dataDxfId="406"/>
    <tableColumn id="3277" xr3:uid="{00000000-0010-0000-0000-0000CD0C0000}" name="35п.26*" dataDxfId="405"/>
    <tableColumn id="3278" xr3:uid="{00000000-0010-0000-0000-0000CE0C0000}" name="35п.27*" dataDxfId="404"/>
    <tableColumn id="3279" xr3:uid="{00000000-0010-0000-0000-0000CF0C0000}" name="35п.28*" dataDxfId="403"/>
    <tableColumn id="3280" xr3:uid="{00000000-0010-0000-0000-0000D00C0000}" name="35п.29*" dataDxfId="402"/>
    <tableColumn id="3281" xr3:uid="{00000000-0010-0000-0000-0000D10C0000}" name="35п.30*" dataDxfId="401"/>
    <tableColumn id="3313" xr3:uid="{00000000-0010-0000-0000-0000F10C0000}" name="36н.Н" dataDxfId="400"/>
    <tableColumn id="3314" xr3:uid="{00000000-0010-0000-0000-0000F20C0000}" name="36н.01*" dataDxfId="399"/>
    <tableColumn id="3315" xr3:uid="{00000000-0010-0000-0000-0000F30C0000}" name="36н.02*" dataDxfId="398"/>
    <tableColumn id="3316" xr3:uid="{00000000-0010-0000-0000-0000F40C0000}" name="36н.03*" dataDxfId="397"/>
    <tableColumn id="3317" xr3:uid="{00000000-0010-0000-0000-0000F50C0000}" name="36н.04*" dataDxfId="396"/>
    <tableColumn id="3318" xr3:uid="{00000000-0010-0000-0000-0000F60C0000}" name="36н.05*" dataDxfId="395"/>
    <tableColumn id="3319" xr3:uid="{00000000-0010-0000-0000-0000F70C0000}" name="36н.06*" dataDxfId="394"/>
    <tableColumn id="3320" xr3:uid="{00000000-0010-0000-0000-0000F80C0000}" name="36н.07*" dataDxfId="393"/>
    <tableColumn id="3321" xr3:uid="{00000000-0010-0000-0000-0000F90C0000}" name="36н.08*" dataDxfId="392"/>
    <tableColumn id="3322" xr3:uid="{00000000-0010-0000-0000-0000FA0C0000}" name="36н.09*" dataDxfId="391"/>
    <tableColumn id="3323" xr3:uid="{00000000-0010-0000-0000-0000FB0C0000}" name="36н.10*" dataDxfId="390"/>
    <tableColumn id="3324" xr3:uid="{00000000-0010-0000-0000-0000FC0C0000}" name="36н.11*" dataDxfId="389"/>
    <tableColumn id="3325" xr3:uid="{00000000-0010-0000-0000-0000FD0C0000}" name="36н.12*" dataDxfId="388"/>
    <tableColumn id="3326" xr3:uid="{00000000-0010-0000-0000-0000FE0C0000}" name="36н.13*" dataDxfId="387"/>
    <tableColumn id="3327" xr3:uid="{00000000-0010-0000-0000-0000FF0C0000}" name="36н.14*" dataDxfId="386"/>
    <tableColumn id="3328" xr3:uid="{00000000-0010-0000-0000-0000000D0000}" name="36н.15*" dataDxfId="385"/>
    <tableColumn id="3329" xr3:uid="{00000000-0010-0000-0000-0000010D0000}" name="36н.16*" dataDxfId="384"/>
    <tableColumn id="3330" xr3:uid="{00000000-0010-0000-0000-0000020D0000}" name="36н.17*" dataDxfId="383"/>
    <tableColumn id="3331" xr3:uid="{00000000-0010-0000-0000-0000030D0000}" name="36н.18*" dataDxfId="382"/>
    <tableColumn id="3332" xr3:uid="{00000000-0010-0000-0000-0000040D0000}" name="36н.19*" dataDxfId="381"/>
    <tableColumn id="3333" xr3:uid="{00000000-0010-0000-0000-0000050D0000}" name="36н.20*" dataDxfId="380"/>
    <tableColumn id="3334" xr3:uid="{00000000-0010-0000-0000-0000060D0000}" name="36н.21*" dataDxfId="379"/>
    <tableColumn id="3335" xr3:uid="{00000000-0010-0000-0000-0000070D0000}" name="36н.22*" dataDxfId="378"/>
    <tableColumn id="3336" xr3:uid="{00000000-0010-0000-0000-0000080D0000}" name="36н.23*" dataDxfId="377"/>
    <tableColumn id="3337" xr3:uid="{00000000-0010-0000-0000-0000090D0000}" name="36н.24*" dataDxfId="376"/>
    <tableColumn id="3338" xr3:uid="{00000000-0010-0000-0000-00000A0D0000}" name="36н.25*" dataDxfId="375"/>
    <tableColumn id="3339" xr3:uid="{00000000-0010-0000-0000-00000B0D0000}" name="36н.26*" dataDxfId="374"/>
    <tableColumn id="3340" xr3:uid="{00000000-0010-0000-0000-00000C0D0000}" name="36н.27*" dataDxfId="373"/>
    <tableColumn id="3341" xr3:uid="{00000000-0010-0000-0000-00000D0D0000}" name="36н.28*" dataDxfId="372"/>
    <tableColumn id="3342" xr3:uid="{00000000-0010-0000-0000-00000E0D0000}" name="36н.29*" dataDxfId="371"/>
    <tableColumn id="3343" xr3:uid="{00000000-0010-0000-0000-00000F0D0000}" name="36н.30*" dataDxfId="370"/>
    <tableColumn id="3344" xr3:uid="{00000000-0010-0000-0000-0000100D0000}" name="36п.Н" dataDxfId="369"/>
    <tableColumn id="3345" xr3:uid="{00000000-0010-0000-0000-0000110D0000}" name="36п.01*" dataDxfId="368"/>
    <tableColumn id="3346" xr3:uid="{00000000-0010-0000-0000-0000120D0000}" name="36п.02*" dataDxfId="367"/>
    <tableColumn id="3347" xr3:uid="{00000000-0010-0000-0000-0000130D0000}" name="36п.03*" dataDxfId="366"/>
    <tableColumn id="3348" xr3:uid="{00000000-0010-0000-0000-0000140D0000}" name="36п.04*" dataDxfId="365"/>
    <tableColumn id="3349" xr3:uid="{00000000-0010-0000-0000-0000150D0000}" name="36п.05*" dataDxfId="364"/>
    <tableColumn id="3350" xr3:uid="{00000000-0010-0000-0000-0000160D0000}" name="36п.06*" dataDxfId="363"/>
    <tableColumn id="3351" xr3:uid="{00000000-0010-0000-0000-0000170D0000}" name="36п.07*" dataDxfId="362"/>
    <tableColumn id="3352" xr3:uid="{00000000-0010-0000-0000-0000180D0000}" name="36п.08*" dataDxfId="361"/>
    <tableColumn id="3353" xr3:uid="{00000000-0010-0000-0000-0000190D0000}" name="36п.09*" dataDxfId="360"/>
    <tableColumn id="3354" xr3:uid="{00000000-0010-0000-0000-00001A0D0000}" name="36п.10*" dataDxfId="359"/>
    <tableColumn id="3355" xr3:uid="{00000000-0010-0000-0000-00001B0D0000}" name="36п.11*" dataDxfId="358"/>
    <tableColumn id="3356" xr3:uid="{00000000-0010-0000-0000-00001C0D0000}" name="36п.12*" dataDxfId="357"/>
    <tableColumn id="3357" xr3:uid="{00000000-0010-0000-0000-00001D0D0000}" name="36п.13*" dataDxfId="356"/>
    <tableColumn id="3358" xr3:uid="{00000000-0010-0000-0000-00001E0D0000}" name="36п.14*" dataDxfId="355"/>
    <tableColumn id="3359" xr3:uid="{00000000-0010-0000-0000-00001F0D0000}" name="36п.15*" dataDxfId="354"/>
    <tableColumn id="3360" xr3:uid="{00000000-0010-0000-0000-0000200D0000}" name="36п.16*" dataDxfId="353"/>
    <tableColumn id="3361" xr3:uid="{00000000-0010-0000-0000-0000210D0000}" name="36п.17*" dataDxfId="352"/>
    <tableColumn id="3362" xr3:uid="{00000000-0010-0000-0000-0000220D0000}" name="36п.18*" dataDxfId="351"/>
    <tableColumn id="3363" xr3:uid="{00000000-0010-0000-0000-0000230D0000}" name="36п.19*" dataDxfId="350"/>
    <tableColumn id="3364" xr3:uid="{00000000-0010-0000-0000-0000240D0000}" name="36п.20*" dataDxfId="349"/>
    <tableColumn id="3365" xr3:uid="{00000000-0010-0000-0000-0000250D0000}" name="36п.21*" dataDxfId="348"/>
    <tableColumn id="3366" xr3:uid="{00000000-0010-0000-0000-0000260D0000}" name="36п.22*" dataDxfId="347"/>
    <tableColumn id="3367" xr3:uid="{00000000-0010-0000-0000-0000270D0000}" name="36п.23*" dataDxfId="346"/>
    <tableColumn id="3368" xr3:uid="{00000000-0010-0000-0000-0000280D0000}" name="36п.24*" dataDxfId="345"/>
    <tableColumn id="3369" xr3:uid="{00000000-0010-0000-0000-0000290D0000}" name="36п.25*" dataDxfId="344"/>
    <tableColumn id="3370" xr3:uid="{00000000-0010-0000-0000-00002A0D0000}" name="36п.26*" dataDxfId="343"/>
    <tableColumn id="3371" xr3:uid="{00000000-0010-0000-0000-00002B0D0000}" name="36п.27*" dataDxfId="342"/>
    <tableColumn id="3372" xr3:uid="{00000000-0010-0000-0000-00002C0D0000}" name="36п.28*" dataDxfId="341"/>
    <tableColumn id="3373" xr3:uid="{00000000-0010-0000-0000-00002D0D0000}" name="36п.29*" dataDxfId="340"/>
    <tableColumn id="3374" xr3:uid="{00000000-0010-0000-0000-00002E0D0000}" name="36п.30*" dataDxfId="339"/>
    <tableColumn id="3406" xr3:uid="{00000000-0010-0000-0000-00004E0D0000}" name="37н.Н" dataDxfId="338"/>
    <tableColumn id="3407" xr3:uid="{00000000-0010-0000-0000-00004F0D0000}" name="37н.01*" dataDxfId="337"/>
    <tableColumn id="3408" xr3:uid="{00000000-0010-0000-0000-0000500D0000}" name="37н.02*" dataDxfId="336"/>
    <tableColumn id="3409" xr3:uid="{00000000-0010-0000-0000-0000510D0000}" name="37н.03*" dataDxfId="335"/>
    <tableColumn id="3410" xr3:uid="{00000000-0010-0000-0000-0000520D0000}" name="37н.04*" dataDxfId="334"/>
    <tableColumn id="3411" xr3:uid="{00000000-0010-0000-0000-0000530D0000}" name="37н.05*" dataDxfId="333"/>
    <tableColumn id="3412" xr3:uid="{00000000-0010-0000-0000-0000540D0000}" name="37н.06*" dataDxfId="332"/>
    <tableColumn id="3413" xr3:uid="{00000000-0010-0000-0000-0000550D0000}" name="37н.07*" dataDxfId="331"/>
    <tableColumn id="3414" xr3:uid="{00000000-0010-0000-0000-0000560D0000}" name="37н.08*" dataDxfId="330"/>
    <tableColumn id="3415" xr3:uid="{00000000-0010-0000-0000-0000570D0000}" name="37н.09*" dataDxfId="329"/>
    <tableColumn id="3416" xr3:uid="{00000000-0010-0000-0000-0000580D0000}" name="37н.10*" dataDxfId="328"/>
    <tableColumn id="3417" xr3:uid="{00000000-0010-0000-0000-0000590D0000}" name="37н.11*" dataDxfId="327"/>
    <tableColumn id="3418" xr3:uid="{00000000-0010-0000-0000-00005A0D0000}" name="37н.12*" dataDxfId="326"/>
    <tableColumn id="3419" xr3:uid="{00000000-0010-0000-0000-00005B0D0000}" name="37н.13*" dataDxfId="325"/>
    <tableColumn id="3420" xr3:uid="{00000000-0010-0000-0000-00005C0D0000}" name="37н.14*" dataDxfId="324"/>
    <tableColumn id="3421" xr3:uid="{00000000-0010-0000-0000-00005D0D0000}" name="37н.15*" dataDxfId="323"/>
    <tableColumn id="3422" xr3:uid="{00000000-0010-0000-0000-00005E0D0000}" name="37н.16*" dataDxfId="322"/>
    <tableColumn id="3423" xr3:uid="{00000000-0010-0000-0000-00005F0D0000}" name="37н.17*" dataDxfId="321"/>
    <tableColumn id="3424" xr3:uid="{00000000-0010-0000-0000-0000600D0000}" name="37н.18*" dataDxfId="320"/>
    <tableColumn id="3425" xr3:uid="{00000000-0010-0000-0000-0000610D0000}" name="37н.19*" dataDxfId="319"/>
    <tableColumn id="3426" xr3:uid="{00000000-0010-0000-0000-0000620D0000}" name="37н.20*" dataDxfId="318"/>
    <tableColumn id="3427" xr3:uid="{00000000-0010-0000-0000-0000630D0000}" name="37н.21*" dataDxfId="317"/>
    <tableColumn id="3428" xr3:uid="{00000000-0010-0000-0000-0000640D0000}" name="37н.22*" dataDxfId="316"/>
    <tableColumn id="3429" xr3:uid="{00000000-0010-0000-0000-0000650D0000}" name="37н.23*" dataDxfId="315"/>
    <tableColumn id="3430" xr3:uid="{00000000-0010-0000-0000-0000660D0000}" name="37н.24*" dataDxfId="314"/>
    <tableColumn id="3431" xr3:uid="{00000000-0010-0000-0000-0000670D0000}" name="37н.25*" dataDxfId="313"/>
    <tableColumn id="3432" xr3:uid="{00000000-0010-0000-0000-0000680D0000}" name="37н.26*" dataDxfId="312"/>
    <tableColumn id="3433" xr3:uid="{00000000-0010-0000-0000-0000690D0000}" name="37н.27*" dataDxfId="311"/>
    <tableColumn id="3434" xr3:uid="{00000000-0010-0000-0000-00006A0D0000}" name="37н.28*" dataDxfId="310"/>
    <tableColumn id="3435" xr3:uid="{00000000-0010-0000-0000-00006B0D0000}" name="37н.29*" dataDxfId="309"/>
    <tableColumn id="3436" xr3:uid="{00000000-0010-0000-0000-00006C0D0000}" name="37н.30*" dataDxfId="308"/>
    <tableColumn id="3437" xr3:uid="{00000000-0010-0000-0000-00006D0D0000}" name="37п.Н" dataDxfId="307"/>
    <tableColumn id="3438" xr3:uid="{00000000-0010-0000-0000-00006E0D0000}" name="37п.01*" dataDxfId="306"/>
    <tableColumn id="3439" xr3:uid="{00000000-0010-0000-0000-00006F0D0000}" name="37п.02*" dataDxfId="305"/>
    <tableColumn id="3440" xr3:uid="{00000000-0010-0000-0000-0000700D0000}" name="37п.03*" dataDxfId="304"/>
    <tableColumn id="3441" xr3:uid="{00000000-0010-0000-0000-0000710D0000}" name="37п.04*" dataDxfId="303"/>
    <tableColumn id="3442" xr3:uid="{00000000-0010-0000-0000-0000720D0000}" name="37п.05*" dataDxfId="302"/>
    <tableColumn id="3443" xr3:uid="{00000000-0010-0000-0000-0000730D0000}" name="37п.06*" dataDxfId="301"/>
    <tableColumn id="3444" xr3:uid="{00000000-0010-0000-0000-0000740D0000}" name="37п.07*" dataDxfId="300"/>
    <tableColumn id="3445" xr3:uid="{00000000-0010-0000-0000-0000750D0000}" name="37п.08*" dataDxfId="299"/>
    <tableColumn id="3446" xr3:uid="{00000000-0010-0000-0000-0000760D0000}" name="37п.09*" dataDxfId="298"/>
    <tableColumn id="3447" xr3:uid="{00000000-0010-0000-0000-0000770D0000}" name="37п.10*" dataDxfId="297"/>
    <tableColumn id="3448" xr3:uid="{00000000-0010-0000-0000-0000780D0000}" name="37п.11*" dataDxfId="296"/>
    <tableColumn id="3449" xr3:uid="{00000000-0010-0000-0000-0000790D0000}" name="37п.12*" dataDxfId="295"/>
    <tableColumn id="3450" xr3:uid="{00000000-0010-0000-0000-00007A0D0000}" name="37п.13*" dataDxfId="294"/>
    <tableColumn id="3451" xr3:uid="{00000000-0010-0000-0000-00007B0D0000}" name="37п.14*" dataDxfId="293"/>
    <tableColumn id="3452" xr3:uid="{00000000-0010-0000-0000-00007C0D0000}" name="37п.15*" dataDxfId="292"/>
    <tableColumn id="3453" xr3:uid="{00000000-0010-0000-0000-00007D0D0000}" name="37п.16*" dataDxfId="291"/>
    <tableColumn id="3454" xr3:uid="{00000000-0010-0000-0000-00007E0D0000}" name="37п.17*" dataDxfId="290"/>
    <tableColumn id="3455" xr3:uid="{00000000-0010-0000-0000-00007F0D0000}" name="37п.18*" dataDxfId="289"/>
    <tableColumn id="3456" xr3:uid="{00000000-0010-0000-0000-0000800D0000}" name="37п.19*" dataDxfId="288"/>
    <tableColumn id="3457" xr3:uid="{00000000-0010-0000-0000-0000810D0000}" name="37п.20*" dataDxfId="287"/>
    <tableColumn id="3458" xr3:uid="{00000000-0010-0000-0000-0000820D0000}" name="37п.21*" dataDxfId="286"/>
    <tableColumn id="3459" xr3:uid="{00000000-0010-0000-0000-0000830D0000}" name="37п.22*" dataDxfId="285"/>
    <tableColumn id="3460" xr3:uid="{00000000-0010-0000-0000-0000840D0000}" name="37п.23*" dataDxfId="284"/>
    <tableColumn id="3461" xr3:uid="{00000000-0010-0000-0000-0000850D0000}" name="37п.24*" dataDxfId="283"/>
    <tableColumn id="3462" xr3:uid="{00000000-0010-0000-0000-0000860D0000}" name="37п.25*" dataDxfId="282"/>
    <tableColumn id="3463" xr3:uid="{00000000-0010-0000-0000-0000870D0000}" name="37п.26*" dataDxfId="281"/>
    <tableColumn id="3464" xr3:uid="{00000000-0010-0000-0000-0000880D0000}" name="37п.27*" dataDxfId="280"/>
    <tableColumn id="3465" xr3:uid="{00000000-0010-0000-0000-0000890D0000}" name="37п.28*" dataDxfId="279"/>
    <tableColumn id="3466" xr3:uid="{00000000-0010-0000-0000-00008A0D0000}" name="37п.29*" dataDxfId="278"/>
    <tableColumn id="3467" xr3:uid="{00000000-0010-0000-0000-00008B0D0000}" name="37п.30*" dataDxfId="277"/>
    <tableColumn id="3499" xr3:uid="{00000000-0010-0000-0000-0000AB0D0000}" name="38н.Н" dataDxfId="276"/>
    <tableColumn id="3500" xr3:uid="{00000000-0010-0000-0000-0000AC0D0000}" name="38н.01*" dataDxfId="275"/>
    <tableColumn id="3501" xr3:uid="{00000000-0010-0000-0000-0000AD0D0000}" name="38н.02*" dataDxfId="274"/>
    <tableColumn id="3502" xr3:uid="{00000000-0010-0000-0000-0000AE0D0000}" name="38н.03*" dataDxfId="273"/>
    <tableColumn id="3503" xr3:uid="{00000000-0010-0000-0000-0000AF0D0000}" name="38н.04*" dataDxfId="272"/>
    <tableColumn id="3504" xr3:uid="{00000000-0010-0000-0000-0000B00D0000}" name="38н.05*" dataDxfId="271"/>
    <tableColumn id="3505" xr3:uid="{00000000-0010-0000-0000-0000B10D0000}" name="38н.06*" dataDxfId="270"/>
    <tableColumn id="3506" xr3:uid="{00000000-0010-0000-0000-0000B20D0000}" name="38н.07*" dataDxfId="269"/>
    <tableColumn id="3507" xr3:uid="{00000000-0010-0000-0000-0000B30D0000}" name="38н.08*" dataDxfId="268"/>
    <tableColumn id="3508" xr3:uid="{00000000-0010-0000-0000-0000B40D0000}" name="38н.09*" dataDxfId="267"/>
    <tableColumn id="3509" xr3:uid="{00000000-0010-0000-0000-0000B50D0000}" name="38н.10*" dataDxfId="266"/>
    <tableColumn id="3510" xr3:uid="{00000000-0010-0000-0000-0000B60D0000}" name="38н.11*" dataDxfId="265"/>
    <tableColumn id="3511" xr3:uid="{00000000-0010-0000-0000-0000B70D0000}" name="38н.12*" dataDxfId="264"/>
    <tableColumn id="3512" xr3:uid="{00000000-0010-0000-0000-0000B80D0000}" name="38н.13*" dataDxfId="263"/>
    <tableColumn id="3513" xr3:uid="{00000000-0010-0000-0000-0000B90D0000}" name="38н.14*" dataDxfId="262"/>
    <tableColumn id="3514" xr3:uid="{00000000-0010-0000-0000-0000BA0D0000}" name="38н.15*" dataDxfId="261"/>
    <tableColumn id="3515" xr3:uid="{00000000-0010-0000-0000-0000BB0D0000}" name="38н.16*" dataDxfId="260"/>
    <tableColumn id="3516" xr3:uid="{00000000-0010-0000-0000-0000BC0D0000}" name="38н.17*" dataDxfId="259"/>
    <tableColumn id="3517" xr3:uid="{00000000-0010-0000-0000-0000BD0D0000}" name="38н.18*" dataDxfId="258"/>
    <tableColumn id="3518" xr3:uid="{00000000-0010-0000-0000-0000BE0D0000}" name="38н.19*" dataDxfId="257"/>
    <tableColumn id="3519" xr3:uid="{00000000-0010-0000-0000-0000BF0D0000}" name="38н.20*" dataDxfId="256"/>
    <tableColumn id="3520" xr3:uid="{00000000-0010-0000-0000-0000C00D0000}" name="38н.21*" dataDxfId="255"/>
    <tableColumn id="3521" xr3:uid="{00000000-0010-0000-0000-0000C10D0000}" name="38н.22*" dataDxfId="254"/>
    <tableColumn id="3522" xr3:uid="{00000000-0010-0000-0000-0000C20D0000}" name="38н.23*" dataDxfId="253"/>
    <tableColumn id="3523" xr3:uid="{00000000-0010-0000-0000-0000C30D0000}" name="38н.24*" dataDxfId="252"/>
    <tableColumn id="3524" xr3:uid="{00000000-0010-0000-0000-0000C40D0000}" name="38н.25*" dataDxfId="251"/>
    <tableColumn id="3525" xr3:uid="{00000000-0010-0000-0000-0000C50D0000}" name="38н.26*" dataDxfId="250"/>
    <tableColumn id="3526" xr3:uid="{00000000-0010-0000-0000-0000C60D0000}" name="38н.27*" dataDxfId="249"/>
    <tableColumn id="3527" xr3:uid="{00000000-0010-0000-0000-0000C70D0000}" name="38н.28*" dataDxfId="248"/>
    <tableColumn id="3528" xr3:uid="{00000000-0010-0000-0000-0000C80D0000}" name="38н.29*" dataDxfId="247"/>
    <tableColumn id="3529" xr3:uid="{00000000-0010-0000-0000-0000C90D0000}" name="38н.30*" dataDxfId="246"/>
    <tableColumn id="3530" xr3:uid="{00000000-0010-0000-0000-0000CA0D0000}" name="38п.Н" dataDxfId="245"/>
    <tableColumn id="3531" xr3:uid="{00000000-0010-0000-0000-0000CB0D0000}" name="38п.01*" dataDxfId="244"/>
    <tableColumn id="3532" xr3:uid="{00000000-0010-0000-0000-0000CC0D0000}" name="38п.02*" dataDxfId="243"/>
    <tableColumn id="3533" xr3:uid="{00000000-0010-0000-0000-0000CD0D0000}" name="38п.03*" dataDxfId="242"/>
    <tableColumn id="3534" xr3:uid="{00000000-0010-0000-0000-0000CE0D0000}" name="38п.04*" dataDxfId="241"/>
    <tableColumn id="3535" xr3:uid="{00000000-0010-0000-0000-0000CF0D0000}" name="38п.05*" dataDxfId="240"/>
    <tableColumn id="3536" xr3:uid="{00000000-0010-0000-0000-0000D00D0000}" name="38п.06*" dataDxfId="239"/>
    <tableColumn id="3537" xr3:uid="{00000000-0010-0000-0000-0000D10D0000}" name="38п.07*" dataDxfId="238"/>
    <tableColumn id="3538" xr3:uid="{00000000-0010-0000-0000-0000D20D0000}" name="38п.08*" dataDxfId="237"/>
    <tableColumn id="3539" xr3:uid="{00000000-0010-0000-0000-0000D30D0000}" name="38п.09*" dataDxfId="236"/>
    <tableColumn id="3540" xr3:uid="{00000000-0010-0000-0000-0000D40D0000}" name="38п.10*" dataDxfId="235"/>
    <tableColumn id="3541" xr3:uid="{00000000-0010-0000-0000-0000D50D0000}" name="38п.11*" dataDxfId="234"/>
    <tableColumn id="3542" xr3:uid="{00000000-0010-0000-0000-0000D60D0000}" name="38п.12*" dataDxfId="233"/>
    <tableColumn id="3543" xr3:uid="{00000000-0010-0000-0000-0000D70D0000}" name="38п.13*" dataDxfId="232"/>
    <tableColumn id="3544" xr3:uid="{00000000-0010-0000-0000-0000D80D0000}" name="38п.14*" dataDxfId="231"/>
    <tableColumn id="3545" xr3:uid="{00000000-0010-0000-0000-0000D90D0000}" name="38п.15*" dataDxfId="230"/>
    <tableColumn id="3546" xr3:uid="{00000000-0010-0000-0000-0000DA0D0000}" name="38п.16*" dataDxfId="229"/>
    <tableColumn id="3547" xr3:uid="{00000000-0010-0000-0000-0000DB0D0000}" name="38п.17*" dataDxfId="228"/>
    <tableColumn id="3548" xr3:uid="{00000000-0010-0000-0000-0000DC0D0000}" name="38п.18*" dataDxfId="227"/>
    <tableColumn id="3549" xr3:uid="{00000000-0010-0000-0000-0000DD0D0000}" name="38п.19*" dataDxfId="226"/>
    <tableColumn id="3550" xr3:uid="{00000000-0010-0000-0000-0000DE0D0000}" name="38п.20*" dataDxfId="225"/>
    <tableColumn id="3551" xr3:uid="{00000000-0010-0000-0000-0000DF0D0000}" name="38п.21*" dataDxfId="224"/>
    <tableColumn id="3552" xr3:uid="{00000000-0010-0000-0000-0000E00D0000}" name="38п.22*" dataDxfId="223"/>
    <tableColumn id="3553" xr3:uid="{00000000-0010-0000-0000-0000E10D0000}" name="38п.23*" dataDxfId="222"/>
    <tableColumn id="3554" xr3:uid="{00000000-0010-0000-0000-0000E20D0000}" name="38п.24*" dataDxfId="221"/>
    <tableColumn id="3555" xr3:uid="{00000000-0010-0000-0000-0000E30D0000}" name="38п.25*" dataDxfId="220"/>
    <tableColumn id="3556" xr3:uid="{00000000-0010-0000-0000-0000E40D0000}" name="38п.26*" dataDxfId="219"/>
    <tableColumn id="3557" xr3:uid="{00000000-0010-0000-0000-0000E50D0000}" name="38п.27*" dataDxfId="218"/>
    <tableColumn id="3558" xr3:uid="{00000000-0010-0000-0000-0000E60D0000}" name="38п.28*" dataDxfId="217"/>
    <tableColumn id="3559" xr3:uid="{00000000-0010-0000-0000-0000E70D0000}" name="38п.29*" dataDxfId="216"/>
    <tableColumn id="3560" xr3:uid="{00000000-0010-0000-0000-0000E80D0000}" name="38п.30*" dataDxfId="215"/>
    <tableColumn id="3592" xr3:uid="{00000000-0010-0000-0000-0000080E0000}" name="39н.Н" dataDxfId="214"/>
    <tableColumn id="3593" xr3:uid="{00000000-0010-0000-0000-0000090E0000}" name="39н.01*" dataDxfId="213"/>
    <tableColumn id="3594" xr3:uid="{00000000-0010-0000-0000-00000A0E0000}" name="39н.02*" dataDxfId="212"/>
    <tableColumn id="3595" xr3:uid="{00000000-0010-0000-0000-00000B0E0000}" name="39н.03*" dataDxfId="211"/>
    <tableColumn id="3596" xr3:uid="{00000000-0010-0000-0000-00000C0E0000}" name="39н.04*" dataDxfId="210"/>
    <tableColumn id="3597" xr3:uid="{00000000-0010-0000-0000-00000D0E0000}" name="39н.05*" dataDxfId="209"/>
    <tableColumn id="3598" xr3:uid="{00000000-0010-0000-0000-00000E0E0000}" name="39н.06*" dataDxfId="208"/>
    <tableColumn id="3599" xr3:uid="{00000000-0010-0000-0000-00000F0E0000}" name="39н.07*" dataDxfId="207"/>
    <tableColumn id="3600" xr3:uid="{00000000-0010-0000-0000-0000100E0000}" name="39н.08*" dataDxfId="206"/>
    <tableColumn id="3601" xr3:uid="{00000000-0010-0000-0000-0000110E0000}" name="39н.09*" dataDxfId="205"/>
    <tableColumn id="3602" xr3:uid="{00000000-0010-0000-0000-0000120E0000}" name="39н.10*" dataDxfId="204"/>
    <tableColumn id="3603" xr3:uid="{00000000-0010-0000-0000-0000130E0000}" name="39н.11*" dataDxfId="203"/>
    <tableColumn id="3604" xr3:uid="{00000000-0010-0000-0000-0000140E0000}" name="39н.12*" dataDxfId="202"/>
    <tableColumn id="3605" xr3:uid="{00000000-0010-0000-0000-0000150E0000}" name="39н.13*" dataDxfId="201"/>
    <tableColumn id="3606" xr3:uid="{00000000-0010-0000-0000-0000160E0000}" name="39н.14*" dataDxfId="200"/>
    <tableColumn id="3607" xr3:uid="{00000000-0010-0000-0000-0000170E0000}" name="39н.15*" dataDxfId="199"/>
    <tableColumn id="3608" xr3:uid="{00000000-0010-0000-0000-0000180E0000}" name="39н.16*" dataDxfId="198"/>
    <tableColumn id="3609" xr3:uid="{00000000-0010-0000-0000-0000190E0000}" name="39н.17*" dataDxfId="197"/>
    <tableColumn id="3610" xr3:uid="{00000000-0010-0000-0000-00001A0E0000}" name="39н.18*" dataDxfId="196"/>
    <tableColumn id="3611" xr3:uid="{00000000-0010-0000-0000-00001B0E0000}" name="39н.19*" dataDxfId="195"/>
    <tableColumn id="3612" xr3:uid="{00000000-0010-0000-0000-00001C0E0000}" name="39н.20*" dataDxfId="194"/>
    <tableColumn id="3613" xr3:uid="{00000000-0010-0000-0000-00001D0E0000}" name="39н.21*" dataDxfId="193"/>
    <tableColumn id="3614" xr3:uid="{00000000-0010-0000-0000-00001E0E0000}" name="39н.22*" dataDxfId="192"/>
    <tableColumn id="3615" xr3:uid="{00000000-0010-0000-0000-00001F0E0000}" name="39н.23*" dataDxfId="191"/>
    <tableColumn id="3616" xr3:uid="{00000000-0010-0000-0000-0000200E0000}" name="39н.24*" dataDxfId="190"/>
    <tableColumn id="3617" xr3:uid="{00000000-0010-0000-0000-0000210E0000}" name="39н.25*" dataDxfId="189"/>
    <tableColumn id="3618" xr3:uid="{00000000-0010-0000-0000-0000220E0000}" name="39н.26*" dataDxfId="188"/>
    <tableColumn id="3619" xr3:uid="{00000000-0010-0000-0000-0000230E0000}" name="39н.27*" dataDxfId="187"/>
    <tableColumn id="3620" xr3:uid="{00000000-0010-0000-0000-0000240E0000}" name="39н.28*" dataDxfId="186"/>
    <tableColumn id="3621" xr3:uid="{00000000-0010-0000-0000-0000250E0000}" name="39н.29*" dataDxfId="185"/>
    <tableColumn id="3622" xr3:uid="{00000000-0010-0000-0000-0000260E0000}" name="39н.30*" dataDxfId="184"/>
    <tableColumn id="3623" xr3:uid="{00000000-0010-0000-0000-0000270E0000}" name="39п.Н" dataDxfId="183"/>
    <tableColumn id="3624" xr3:uid="{00000000-0010-0000-0000-0000280E0000}" name="39п.01*" dataDxfId="182"/>
    <tableColumn id="3625" xr3:uid="{00000000-0010-0000-0000-0000290E0000}" name="39п.02*" dataDxfId="181"/>
    <tableColumn id="3626" xr3:uid="{00000000-0010-0000-0000-00002A0E0000}" name="39п.03*" dataDxfId="180"/>
    <tableColumn id="3627" xr3:uid="{00000000-0010-0000-0000-00002B0E0000}" name="39п.04*" dataDxfId="179"/>
    <tableColumn id="3628" xr3:uid="{00000000-0010-0000-0000-00002C0E0000}" name="39п.05*" dataDxfId="178"/>
    <tableColumn id="3629" xr3:uid="{00000000-0010-0000-0000-00002D0E0000}" name="39п.06*" dataDxfId="177"/>
    <tableColumn id="3630" xr3:uid="{00000000-0010-0000-0000-00002E0E0000}" name="39п.07*" dataDxfId="176"/>
    <tableColumn id="3631" xr3:uid="{00000000-0010-0000-0000-00002F0E0000}" name="39п.08*" dataDxfId="175"/>
    <tableColumn id="3632" xr3:uid="{00000000-0010-0000-0000-0000300E0000}" name="39п.09*" dataDxfId="174"/>
    <tableColumn id="3633" xr3:uid="{00000000-0010-0000-0000-0000310E0000}" name="39п.10*" dataDxfId="173"/>
    <tableColumn id="3634" xr3:uid="{00000000-0010-0000-0000-0000320E0000}" name="39п.11*" dataDxfId="172"/>
    <tableColumn id="3635" xr3:uid="{00000000-0010-0000-0000-0000330E0000}" name="39п.12*" dataDxfId="171"/>
    <tableColumn id="3636" xr3:uid="{00000000-0010-0000-0000-0000340E0000}" name="39п.13*" dataDxfId="170"/>
    <tableColumn id="3637" xr3:uid="{00000000-0010-0000-0000-0000350E0000}" name="39п.14*" dataDxfId="169"/>
    <tableColumn id="3638" xr3:uid="{00000000-0010-0000-0000-0000360E0000}" name="39п.15*" dataDxfId="168"/>
    <tableColumn id="3639" xr3:uid="{00000000-0010-0000-0000-0000370E0000}" name="39п.16*" dataDxfId="167"/>
    <tableColumn id="3640" xr3:uid="{00000000-0010-0000-0000-0000380E0000}" name="39п.17*" dataDxfId="166"/>
    <tableColumn id="3641" xr3:uid="{00000000-0010-0000-0000-0000390E0000}" name="39п.18*" dataDxfId="165"/>
    <tableColumn id="3642" xr3:uid="{00000000-0010-0000-0000-00003A0E0000}" name="39п.19*" dataDxfId="164"/>
    <tableColumn id="3643" xr3:uid="{00000000-0010-0000-0000-00003B0E0000}" name="39п.20*" dataDxfId="163"/>
    <tableColumn id="3644" xr3:uid="{00000000-0010-0000-0000-00003C0E0000}" name="39п.21*" dataDxfId="162"/>
    <tableColumn id="3645" xr3:uid="{00000000-0010-0000-0000-00003D0E0000}" name="39п.22*" dataDxfId="161"/>
    <tableColumn id="3646" xr3:uid="{00000000-0010-0000-0000-00003E0E0000}" name="39п.23*" dataDxfId="160"/>
    <tableColumn id="3647" xr3:uid="{00000000-0010-0000-0000-00003F0E0000}" name="39п.24*" dataDxfId="159"/>
    <tableColumn id="3648" xr3:uid="{00000000-0010-0000-0000-0000400E0000}" name="39п.25*" dataDxfId="158"/>
    <tableColumn id="3649" xr3:uid="{00000000-0010-0000-0000-0000410E0000}" name="39п.26*" dataDxfId="157"/>
    <tableColumn id="3650" xr3:uid="{00000000-0010-0000-0000-0000420E0000}" name="39п.27*" dataDxfId="156"/>
    <tableColumn id="3651" xr3:uid="{00000000-0010-0000-0000-0000430E0000}" name="39п.28*" dataDxfId="155"/>
    <tableColumn id="3652" xr3:uid="{00000000-0010-0000-0000-0000440E0000}" name="39п.29*" dataDxfId="154"/>
    <tableColumn id="3653" xr3:uid="{00000000-0010-0000-0000-0000450E0000}" name="39п.30*" dataDxfId="153"/>
    <tableColumn id="3685" xr3:uid="{00000000-0010-0000-0000-0000650E0000}" name="40н.Н" dataDxfId="152"/>
    <tableColumn id="3686" xr3:uid="{00000000-0010-0000-0000-0000660E0000}" name="40н.01*" dataDxfId="151"/>
    <tableColumn id="3687" xr3:uid="{00000000-0010-0000-0000-0000670E0000}" name="40н.02*" dataDxfId="150"/>
    <tableColumn id="3688" xr3:uid="{00000000-0010-0000-0000-0000680E0000}" name="40н.03*" dataDxfId="149"/>
    <tableColumn id="3689" xr3:uid="{00000000-0010-0000-0000-0000690E0000}" name="40н.04*" dataDxfId="148"/>
    <tableColumn id="3690" xr3:uid="{00000000-0010-0000-0000-00006A0E0000}" name="40н.05*" dataDxfId="147"/>
    <tableColumn id="3691" xr3:uid="{00000000-0010-0000-0000-00006B0E0000}" name="40н.06*" dataDxfId="146"/>
    <tableColumn id="3692" xr3:uid="{00000000-0010-0000-0000-00006C0E0000}" name="40н.07*" dataDxfId="145"/>
    <tableColumn id="3693" xr3:uid="{00000000-0010-0000-0000-00006D0E0000}" name="40н.08*" dataDxfId="144"/>
    <tableColumn id="3694" xr3:uid="{00000000-0010-0000-0000-00006E0E0000}" name="40н.09*" dataDxfId="143"/>
    <tableColumn id="3695" xr3:uid="{00000000-0010-0000-0000-00006F0E0000}" name="40н.10*" dataDxfId="142"/>
    <tableColumn id="3696" xr3:uid="{00000000-0010-0000-0000-0000700E0000}" name="40н.11*" dataDxfId="141"/>
    <tableColumn id="3697" xr3:uid="{00000000-0010-0000-0000-0000710E0000}" name="40н.12*" dataDxfId="140"/>
    <tableColumn id="3698" xr3:uid="{00000000-0010-0000-0000-0000720E0000}" name="40н.13*" dataDxfId="139"/>
    <tableColumn id="3699" xr3:uid="{00000000-0010-0000-0000-0000730E0000}" name="40н.14*" dataDxfId="138"/>
    <tableColumn id="3700" xr3:uid="{00000000-0010-0000-0000-0000740E0000}" name="40н.15*" dataDxfId="137"/>
    <tableColumn id="3701" xr3:uid="{00000000-0010-0000-0000-0000750E0000}" name="40н.16*" dataDxfId="136"/>
    <tableColumn id="3702" xr3:uid="{00000000-0010-0000-0000-0000760E0000}" name="40н.17*" dataDxfId="135"/>
    <tableColumn id="3703" xr3:uid="{00000000-0010-0000-0000-0000770E0000}" name="40н.18*" dataDxfId="134"/>
    <tableColumn id="3704" xr3:uid="{00000000-0010-0000-0000-0000780E0000}" name="40н.19*" dataDxfId="133"/>
    <tableColumn id="3705" xr3:uid="{00000000-0010-0000-0000-0000790E0000}" name="40н.20*" dataDxfId="132"/>
    <tableColumn id="3706" xr3:uid="{00000000-0010-0000-0000-00007A0E0000}" name="40н.21*" dataDxfId="131"/>
    <tableColumn id="3707" xr3:uid="{00000000-0010-0000-0000-00007B0E0000}" name="40н.22*" dataDxfId="130"/>
    <tableColumn id="3708" xr3:uid="{00000000-0010-0000-0000-00007C0E0000}" name="40н.23*" dataDxfId="129"/>
    <tableColumn id="3709" xr3:uid="{00000000-0010-0000-0000-00007D0E0000}" name="40н.24*" dataDxfId="128"/>
    <tableColumn id="3710" xr3:uid="{00000000-0010-0000-0000-00007E0E0000}" name="40н.25*" dataDxfId="127"/>
    <tableColumn id="3711" xr3:uid="{00000000-0010-0000-0000-00007F0E0000}" name="40н.26*" dataDxfId="126"/>
    <tableColumn id="3712" xr3:uid="{00000000-0010-0000-0000-0000800E0000}" name="40н.27*" dataDxfId="125"/>
    <tableColumn id="3713" xr3:uid="{00000000-0010-0000-0000-0000810E0000}" name="40н.28*" dataDxfId="124"/>
    <tableColumn id="3714" xr3:uid="{00000000-0010-0000-0000-0000820E0000}" name="40н.29*" dataDxfId="123"/>
    <tableColumn id="3715" xr3:uid="{00000000-0010-0000-0000-0000830E0000}" name="40н.30*" dataDxfId="122"/>
    <tableColumn id="3716" xr3:uid="{00000000-0010-0000-0000-0000840E0000}" name="40п.Н" dataDxfId="121"/>
    <tableColumn id="3717" xr3:uid="{00000000-0010-0000-0000-0000850E0000}" name="40п.01*" dataDxfId="120"/>
    <tableColumn id="3718" xr3:uid="{00000000-0010-0000-0000-0000860E0000}" name="40п.02*" dataDxfId="119"/>
    <tableColumn id="3719" xr3:uid="{00000000-0010-0000-0000-0000870E0000}" name="40п.03*" dataDxfId="118"/>
    <tableColumn id="3720" xr3:uid="{00000000-0010-0000-0000-0000880E0000}" name="40п.04*" dataDxfId="117"/>
    <tableColumn id="3721" xr3:uid="{00000000-0010-0000-0000-0000890E0000}" name="40п.05*" dataDxfId="116"/>
    <tableColumn id="3722" xr3:uid="{00000000-0010-0000-0000-00008A0E0000}" name="40п.06*" dataDxfId="115"/>
    <tableColumn id="3723" xr3:uid="{00000000-0010-0000-0000-00008B0E0000}" name="40п.07*" dataDxfId="114"/>
    <tableColumn id="3724" xr3:uid="{00000000-0010-0000-0000-00008C0E0000}" name="40п.08*" dataDxfId="113"/>
    <tableColumn id="3725" xr3:uid="{00000000-0010-0000-0000-00008D0E0000}" name="40п.09*" dataDxfId="112"/>
    <tableColumn id="3726" xr3:uid="{00000000-0010-0000-0000-00008E0E0000}" name="40п.10*" dataDxfId="111"/>
    <tableColumn id="3727" xr3:uid="{00000000-0010-0000-0000-00008F0E0000}" name="40п.11*" dataDxfId="110"/>
    <tableColumn id="3728" xr3:uid="{00000000-0010-0000-0000-0000900E0000}" name="40п.12*" dataDxfId="109"/>
    <tableColumn id="3729" xr3:uid="{00000000-0010-0000-0000-0000910E0000}" name="40п.13*" dataDxfId="108"/>
    <tableColumn id="3730" xr3:uid="{00000000-0010-0000-0000-0000920E0000}" name="40п.14*" dataDxfId="107"/>
    <tableColumn id="3731" xr3:uid="{00000000-0010-0000-0000-0000930E0000}" name="40п.15*" dataDxfId="106"/>
    <tableColumn id="3732" xr3:uid="{00000000-0010-0000-0000-0000940E0000}" name="40п.16*" dataDxfId="105"/>
    <tableColumn id="3733" xr3:uid="{00000000-0010-0000-0000-0000950E0000}" name="40п.17*" dataDxfId="104"/>
    <tableColumn id="3734" xr3:uid="{00000000-0010-0000-0000-0000960E0000}" name="40п.18*" dataDxfId="103"/>
    <tableColumn id="3735" xr3:uid="{00000000-0010-0000-0000-0000970E0000}" name="40п.19*" dataDxfId="102"/>
    <tableColumn id="3736" xr3:uid="{00000000-0010-0000-0000-0000980E0000}" name="40п.20*" dataDxfId="101"/>
    <tableColumn id="3737" xr3:uid="{00000000-0010-0000-0000-0000990E0000}" name="40п.21*" dataDxfId="100"/>
    <tableColumn id="3738" xr3:uid="{00000000-0010-0000-0000-00009A0E0000}" name="40п.22*" dataDxfId="99"/>
    <tableColumn id="3739" xr3:uid="{00000000-0010-0000-0000-00009B0E0000}" name="40п.23*" dataDxfId="98"/>
    <tableColumn id="3740" xr3:uid="{00000000-0010-0000-0000-00009C0E0000}" name="40п.24*" dataDxfId="97"/>
    <tableColumn id="3741" xr3:uid="{00000000-0010-0000-0000-00009D0E0000}" name="40п.25*" dataDxfId="96"/>
    <tableColumn id="3742" xr3:uid="{00000000-0010-0000-0000-00009E0E0000}" name="40п.26*" dataDxfId="95"/>
    <tableColumn id="3743" xr3:uid="{00000000-0010-0000-0000-00009F0E0000}" name="40п.27*" dataDxfId="94"/>
    <tableColumn id="3744" xr3:uid="{00000000-0010-0000-0000-0000A00E0000}" name="40п.28*" dataDxfId="93"/>
    <tableColumn id="3745" xr3:uid="{00000000-0010-0000-0000-0000A10E0000}" name="40п.29*" dataDxfId="92"/>
    <tableColumn id="3746" xr3:uid="{00000000-0010-0000-0000-0000A20E0000}" name="40п.30*" dataDxfId="91"/>
    <tableColumn id="3778" xr3:uid="{00000000-0010-0000-0000-0000C20E0000}" name="X" dataDxfId="90">
      <calculatedColumnFormula>"X"</calculatedColumnFormula>
    </tableColumn>
    <tableColumn id="3779" xr3:uid="{00000000-0010-0000-0000-0000C30E0000}" name="б01" dataDxfId="89">
      <calculatedColumnFormula>IF(SUM(OFFSET($BA6:$DJ6,0,62*(CSL$1-1),,62))&gt;0,1,"")</calculatedColumnFormula>
    </tableColumn>
    <tableColumn id="3780" xr3:uid="{00000000-0010-0000-0000-0000C40E0000}" name="б02" dataDxfId="88">
      <calculatedColumnFormula>IF(SUM(OFFSET($BA6:$DJ6,0,62*(CSM$1-1),,62))&gt;0,1,"")</calculatedColumnFormula>
    </tableColumn>
    <tableColumn id="3781" xr3:uid="{00000000-0010-0000-0000-0000C50E0000}" name="б03" dataDxfId="87">
      <calculatedColumnFormula>IF(SUM(OFFSET($BA6:$DJ6,0,62*(CSN$1-1),,62))&gt;0,1,"")</calculatedColumnFormula>
    </tableColumn>
    <tableColumn id="3782" xr3:uid="{00000000-0010-0000-0000-0000C60E0000}" name="б04" dataDxfId="86">
      <calculatedColumnFormula>IF(SUM(OFFSET($BA6:$DJ6,0,62*(CSO$1-1),,62))&gt;0,1,"")</calculatedColumnFormula>
    </tableColumn>
    <tableColumn id="3783" xr3:uid="{00000000-0010-0000-0000-0000C70E0000}" name="б05" dataDxfId="85">
      <calculatedColumnFormula>IF(SUM(OFFSET($BA6:$DJ6,0,62*(CSP$1-1),,62))&gt;0,1,"")</calculatedColumnFormula>
    </tableColumn>
    <tableColumn id="3784" xr3:uid="{00000000-0010-0000-0000-0000C80E0000}" name="б06" dataDxfId="84">
      <calculatedColumnFormula>IF(SUM(OFFSET($BA6:$DJ6,0,62*(CSQ$1-1),,62))&gt;0,1,"")</calculatedColumnFormula>
    </tableColumn>
    <tableColumn id="3785" xr3:uid="{00000000-0010-0000-0000-0000C90E0000}" name="б07" dataDxfId="83">
      <calculatedColumnFormula>IF(SUM(OFFSET($BA6:$DJ6,0,62*(CSR$1-1),,62))&gt;0,1,"")</calculatedColumnFormula>
    </tableColumn>
    <tableColumn id="3786" xr3:uid="{00000000-0010-0000-0000-0000CA0E0000}" name="б08" dataDxfId="82">
      <calculatedColumnFormula>IF(SUM(OFFSET($BA6:$DJ6,0,62*(CSS$1-1),,62))&gt;0,1,"")</calculatedColumnFormula>
    </tableColumn>
    <tableColumn id="3787" xr3:uid="{00000000-0010-0000-0000-0000CB0E0000}" name="б09" dataDxfId="81">
      <calculatedColumnFormula>IF(SUM(OFFSET($BA6:$DJ6,0,62*(CST$1-1),,62))&gt;0,1,"")</calculatedColumnFormula>
    </tableColumn>
    <tableColumn id="3788" xr3:uid="{00000000-0010-0000-0000-0000CC0E0000}" name="б10" dataDxfId="80">
      <calculatedColumnFormula>IF(SUM(OFFSET($BA6:$DJ6,0,62*(CSU$1-1),,62))&gt;0,1,"")</calculatedColumnFormula>
    </tableColumn>
    <tableColumn id="3789" xr3:uid="{00000000-0010-0000-0000-0000CD0E0000}" name="б11" dataDxfId="79">
      <calculatedColumnFormula>IF(SUM(OFFSET($BA6:$DJ6,0,62*(CSV$1-1),,62))&gt;0,1,"")</calculatedColumnFormula>
    </tableColumn>
    <tableColumn id="3790" xr3:uid="{00000000-0010-0000-0000-0000CE0E0000}" name="б12" dataDxfId="78">
      <calculatedColumnFormula>IF(SUM(OFFSET($BA6:$DJ6,0,62*(CSW$1-1),,62))&gt;0,1,"")</calculatedColumnFormula>
    </tableColumn>
    <tableColumn id="3791" xr3:uid="{00000000-0010-0000-0000-0000CF0E0000}" name="б13" dataDxfId="77">
      <calculatedColumnFormula>IF(SUM(OFFSET($BA6:$DJ6,0,62*(CSX$1-1),,62))&gt;0,1,"")</calculatedColumnFormula>
    </tableColumn>
    <tableColumn id="3792" xr3:uid="{00000000-0010-0000-0000-0000D00E0000}" name="б14" dataDxfId="76">
      <calculatedColumnFormula>IF(SUM(OFFSET($BA6:$DJ6,0,62*(CSY$1-1),,62))&gt;0,1,"")</calculatedColumnFormula>
    </tableColumn>
    <tableColumn id="3793" xr3:uid="{00000000-0010-0000-0000-0000D10E0000}" name="б15" dataDxfId="75">
      <calculatedColumnFormula>IF(SUM(OFFSET($BA6:$DJ6,0,62*(CSZ$1-1),,62))&gt;0,1,"")</calculatedColumnFormula>
    </tableColumn>
    <tableColumn id="3794" xr3:uid="{00000000-0010-0000-0000-0000D20E0000}" name="б16" dataDxfId="74">
      <calculatedColumnFormula>IF(SUM(OFFSET($BA6:$DJ6,0,62*(CTA$1-1),,62))&gt;0,1,"")</calculatedColumnFormula>
    </tableColumn>
    <tableColumn id="3795" xr3:uid="{00000000-0010-0000-0000-0000D30E0000}" name="б17" dataDxfId="73">
      <calculatedColumnFormula>IF(SUM(OFFSET($BA6:$DJ6,0,62*(CTB$1-1),,62))&gt;0,1,"")</calculatedColumnFormula>
    </tableColumn>
    <tableColumn id="3796" xr3:uid="{00000000-0010-0000-0000-0000D40E0000}" name="б18" dataDxfId="72">
      <calculatedColumnFormula>IF(SUM(OFFSET($BA6:$DJ6,0,62*(CTC$1-1),,62))&gt;0,1,"")</calculatedColumnFormula>
    </tableColumn>
    <tableColumn id="3797" xr3:uid="{00000000-0010-0000-0000-0000D50E0000}" name="б19" dataDxfId="71">
      <calculatedColumnFormula>IF(SUM(OFFSET($BA6:$DJ6,0,62*(CTD$1-1),,62))&gt;0,1,"")</calculatedColumnFormula>
    </tableColumn>
    <tableColumn id="3798" xr3:uid="{00000000-0010-0000-0000-0000D60E0000}" name="б20" dataDxfId="70">
      <calculatedColumnFormula>IF(SUM(OFFSET($BA6:$DJ6,0,62*(CTE$1-1),,62))&gt;0,1,"")</calculatedColumnFormula>
    </tableColumn>
    <tableColumn id="3799" xr3:uid="{00000000-0010-0000-0000-0000D70E0000}" name="б21" dataDxfId="69">
      <calculatedColumnFormula>IF(SUM(OFFSET($BA6:$DJ6,0,62*(CTF$1-1),,62))&gt;0,1,"")</calculatedColumnFormula>
    </tableColumn>
    <tableColumn id="3800" xr3:uid="{00000000-0010-0000-0000-0000D80E0000}" name="б22" dataDxfId="68">
      <calculatedColumnFormula>IF(SUM(OFFSET($BA6:$DJ6,0,62*(CTG$1-1),,62))&gt;0,1,"")</calculatedColumnFormula>
    </tableColumn>
    <tableColumn id="3801" xr3:uid="{00000000-0010-0000-0000-0000D90E0000}" name="б23" dataDxfId="67">
      <calculatedColumnFormula>IF(SUM(OFFSET($BA6:$DJ6,0,62*(CTH$1-1),,62))&gt;0,1,"")</calculatedColumnFormula>
    </tableColumn>
    <tableColumn id="3802" xr3:uid="{00000000-0010-0000-0000-0000DA0E0000}" name="б24" dataDxfId="66">
      <calculatedColumnFormula>IF(SUM(OFFSET($BA6:$DJ6,0,62*(CTI$1-1),,62))&gt;0,1,"")</calculatedColumnFormula>
    </tableColumn>
    <tableColumn id="3803" xr3:uid="{00000000-0010-0000-0000-0000DB0E0000}" name="б25" dataDxfId="65">
      <calculatedColumnFormula>IF(SUM(OFFSET($BA6:$DJ6,0,62*(CTJ$1-1),,62))&gt;0,1,"")</calculatedColumnFormula>
    </tableColumn>
    <tableColumn id="3804" xr3:uid="{00000000-0010-0000-0000-0000DC0E0000}" name="б26" dataDxfId="64">
      <calculatedColumnFormula>IF(SUM(OFFSET($BA6:$DJ6,0,62*(CTK$1-1),,62))&gt;0,1,"")</calculatedColumnFormula>
    </tableColumn>
    <tableColumn id="3805" xr3:uid="{00000000-0010-0000-0000-0000DD0E0000}" name="б27" dataDxfId="63">
      <calculatedColumnFormula>IF(SUM(OFFSET($BA6:$DJ6,0,62*(CTL$1-1),,62))&gt;0,1,"")</calculatedColumnFormula>
    </tableColumn>
    <tableColumn id="3806" xr3:uid="{00000000-0010-0000-0000-0000DE0E0000}" name="б28" dataDxfId="62">
      <calculatedColumnFormula>IF(SUM(OFFSET($BA6:$DJ6,0,62*(CTM$1-1),,62))&gt;0,1,"")</calculatedColumnFormula>
    </tableColumn>
    <tableColumn id="3807" xr3:uid="{00000000-0010-0000-0000-0000DF0E0000}" name="б29" dataDxfId="61">
      <calculatedColumnFormula>IF(SUM(OFFSET($BA6:$DJ6,0,62*(CTN$1-1),,62))&gt;0,1,"")</calculatedColumnFormula>
    </tableColumn>
    <tableColumn id="3808" xr3:uid="{00000000-0010-0000-0000-0000E00E0000}" name="б30" dataDxfId="60">
      <calculatedColumnFormula>IF(SUM(OFFSET($BA6:$DJ6,0,62*(CTO$1-1),,62))&gt;0,1,"")</calculatedColumnFormula>
    </tableColumn>
    <tableColumn id="3809" xr3:uid="{00000000-0010-0000-0000-0000E10E0000}" name="б31" dataDxfId="59">
      <calculatedColumnFormula>IF(SUM(OFFSET($BA6:$DJ6,0,62*(CTP$1-1),,62))&gt;0,1,"")</calculatedColumnFormula>
    </tableColumn>
    <tableColumn id="3810" xr3:uid="{00000000-0010-0000-0000-0000E20E0000}" name="б32" dataDxfId="58">
      <calculatedColumnFormula>IF(SUM(OFFSET($BA6:$DJ6,0,62*(CTQ$1-1),,62))&gt;0,1,"")</calculatedColumnFormula>
    </tableColumn>
    <tableColumn id="3811" xr3:uid="{00000000-0010-0000-0000-0000E30E0000}" name="б33" dataDxfId="57">
      <calculatedColumnFormula>IF(SUM(OFFSET($BA6:$DJ6,0,62*(CTR$1-1),,62))&gt;0,1,"")</calculatedColumnFormula>
    </tableColumn>
    <tableColumn id="3812" xr3:uid="{00000000-0010-0000-0000-0000E40E0000}" name="б34" dataDxfId="56">
      <calculatedColumnFormula>IF(SUM(OFFSET($BA6:$DJ6,0,62*(CTS$1-1),,62))&gt;0,1,"")</calculatedColumnFormula>
    </tableColumn>
    <tableColumn id="3813" xr3:uid="{00000000-0010-0000-0000-0000E50E0000}" name="б35" dataDxfId="55">
      <calculatedColumnFormula>IF(SUM(OFFSET($BA6:$DJ6,0,62*(CTT$1-1),,62))&gt;0,1,"")</calculatedColumnFormula>
    </tableColumn>
    <tableColumn id="3814" xr3:uid="{00000000-0010-0000-0000-0000E60E0000}" name="б36" dataDxfId="54">
      <calculatedColumnFormula>IF(SUM(OFFSET($BA6:$DJ6,0,62*(CTU$1-1),,62))&gt;0,1,"")</calculatedColumnFormula>
    </tableColumn>
    <tableColumn id="3815" xr3:uid="{00000000-0010-0000-0000-0000E70E0000}" name="б37" dataDxfId="53">
      <calculatedColumnFormula>IF(SUM(OFFSET($BA6:$DJ6,0,62*(CTV$1-1),,62))&gt;0,1,"")</calculatedColumnFormula>
    </tableColumn>
    <tableColumn id="3816" xr3:uid="{00000000-0010-0000-0000-0000E80E0000}" name="б38" dataDxfId="52">
      <calculatedColumnFormula>IF(SUM(OFFSET($BA6:$DJ6,0,62*(CTW$1-1),,62))&gt;0,1,"")</calculatedColumnFormula>
    </tableColumn>
    <tableColumn id="3817" xr3:uid="{00000000-0010-0000-0000-0000E90E0000}" name="б39" dataDxfId="51">
      <calculatedColumnFormula>IF(SUM(OFFSET($BA6:$DJ6,0,62*(CTX$1-1),,62))&gt;0,1,"")</calculatedColumnFormula>
    </tableColumn>
    <tableColumn id="3818" xr3:uid="{00000000-0010-0000-0000-0000EA0E0000}" name="б40" dataDxfId="50">
      <calculatedColumnFormula>IF(SUM(OFFSET($BA6:$DJ6,0,62*(CTY$1-1),,62))&gt;0,1,"")</calculatedColumnFormula>
    </tableColumn>
    <tableColumn id="3861" xr3:uid="{F79CE168-5425-4938-A933-D76AA6D4DF26}" name="Y" dataDxfId="49">
      <calculatedColumnFormula>"X"</calculatedColumnFormula>
    </tableColumn>
    <tableColumn id="3821" xr3:uid="{4E88E02A-7415-45E6-91E8-3E6AAE96B126}" name="б012" dataDxfId="48">
      <calculatedColumnFormula>IF(AND(ISNUMBER(CSL6),CSL6&gt;0),SUM(OFFSET($BA6:$DJ6,0,62*(CUA$1-1),,62))-1,"")</calculatedColumnFormula>
    </tableColumn>
    <tableColumn id="3822" xr3:uid="{E7994D01-67D1-478F-8915-6B0CB4F8F863}" name="б022" dataDxfId="47">
      <calculatedColumnFormula>IF(AND(ISNUMBER(CSM6),CSM6&gt;0),SUM(OFFSET($BA6:$DJ6,0,62*(CUB$1-1),,62))-1,"")</calculatedColumnFormula>
    </tableColumn>
    <tableColumn id="3823" xr3:uid="{679E40C0-5EF5-44FF-B644-38637D1283E1}" name="б033" dataDxfId="46">
      <calculatedColumnFormula>IF(AND(ISNUMBER(CSN6),CSN6&gt;0),SUM(OFFSET($BA6:$DJ6,0,62*(CUC$1-1),,62))-1,"")</calculatedColumnFormula>
    </tableColumn>
    <tableColumn id="3824" xr3:uid="{1EB6EC26-804E-4494-AF8F-3519A57EE266}" name="б044" dataDxfId="45">
      <calculatedColumnFormula>IF(AND(ISNUMBER(CSO6),CSO6&gt;0),SUM(OFFSET($BA6:$DJ6,0,62*(CUD$1-1),,62))-1,"")</calculatedColumnFormula>
    </tableColumn>
    <tableColumn id="3825" xr3:uid="{954E8AE9-7AEE-4735-A508-B4579F163FD9}" name="б055" dataDxfId="44">
      <calculatedColumnFormula>IF(AND(ISNUMBER(CSP6),CSP6&gt;0),SUM(OFFSET($BA6:$DJ6,0,62*(CUE$1-1),,62))-1,"")</calculatedColumnFormula>
    </tableColumn>
    <tableColumn id="3826" xr3:uid="{FFB8F22F-6D56-4905-B92D-23EA419F469B}" name="б066" dataDxfId="43">
      <calculatedColumnFormula>IF(AND(ISNUMBER(CSQ6),CSQ6&gt;0),SUM(OFFSET($BA6:$DJ6,0,62*(CUF$1-1),,62))-1,"")</calculatedColumnFormula>
    </tableColumn>
    <tableColumn id="3827" xr3:uid="{D37D8284-1074-4094-8202-7091CB7B148F}" name="б077" dataDxfId="42">
      <calculatedColumnFormula>IF(AND(ISNUMBER(CSR6),CSR6&gt;0),SUM(OFFSET($BA6:$DJ6,0,62*(CUG$1-1),,62))-1,"")</calculatedColumnFormula>
    </tableColumn>
    <tableColumn id="3828" xr3:uid="{94A96ACB-F779-4159-A18B-2FF3BF1F9118}" name="б088" dataDxfId="41">
      <calculatedColumnFormula>IF(AND(ISNUMBER(CSS6),CSS6&gt;0),SUM(OFFSET($BA6:$DJ6,0,62*(CUH$1-1),,62))-1,"")</calculatedColumnFormula>
    </tableColumn>
    <tableColumn id="3829" xr3:uid="{CBC2BA73-10DE-4964-833E-F7E532F33804}" name="б099" dataDxfId="40">
      <calculatedColumnFormula>IF(AND(ISNUMBER(CST6),CST6&gt;0),SUM(OFFSET($BA6:$DJ6,0,62*(CUI$1-1),,62))-1,"")</calculatedColumnFormula>
    </tableColumn>
    <tableColumn id="3830" xr3:uid="{3BC4FAFE-D545-43FD-BA18-30827CC30E13}" name="б1010" dataDxfId="39">
      <calculatedColumnFormula>IF(AND(ISNUMBER(CSU6),CSU6&gt;0),SUM(OFFSET($BA6:$DJ6,0,62*(CUJ$1-1),,62))-1,"")</calculatedColumnFormula>
    </tableColumn>
    <tableColumn id="3831" xr3:uid="{88A3471E-E032-4B3C-9103-A91B640C5EBA}" name="б1111" dataDxfId="38">
      <calculatedColumnFormula>IF(AND(ISNUMBER(CSV6),CSV6&gt;0),SUM(OFFSET($BA6:$DJ6,0,62*(CUK$1-1),,62))-1,"")</calculatedColumnFormula>
    </tableColumn>
    <tableColumn id="3832" xr3:uid="{B502E2A8-4A55-4B4D-8C17-0A9A736FF8ED}" name="б1212" dataDxfId="37">
      <calculatedColumnFormula>IF(AND(ISNUMBER(CSW6),CSW6&gt;0),SUM(OFFSET($BA6:$DJ6,0,62*(CUL$1-1),,62))-1,"")</calculatedColumnFormula>
    </tableColumn>
    <tableColumn id="3833" xr3:uid="{E3CD0C8B-A12A-4793-9D61-43C7ECAA70D8}" name="б1313" dataDxfId="36">
      <calculatedColumnFormula>IF(AND(ISNUMBER(CSX6),CSX6&gt;0),SUM(OFFSET($BA6:$DJ6,0,62*(CUM$1-1),,62))-1,"")</calculatedColumnFormula>
    </tableColumn>
    <tableColumn id="3834" xr3:uid="{D798286F-C6D8-455C-96AB-B596C324F6C2}" name="б1414" dataDxfId="35">
      <calculatedColumnFormula>IF(AND(ISNUMBER(CSY6),CSY6&gt;0),SUM(OFFSET($BA6:$DJ6,0,62*(CUN$1-1),,62))-1,"")</calculatedColumnFormula>
    </tableColumn>
    <tableColumn id="3835" xr3:uid="{7D238D70-ECD1-44C8-AD68-A8FBEDCD305C}" name="б1515" dataDxfId="34">
      <calculatedColumnFormula>IF(AND(ISNUMBER(CSZ6),CSZ6&gt;0),SUM(OFFSET($BA6:$DJ6,0,62*(CUO$1-1),,62))-1,"")</calculatedColumnFormula>
    </tableColumn>
    <tableColumn id="3836" xr3:uid="{5DC0BE10-AC10-48BF-B085-26A0B4417872}" name="б1616" dataDxfId="33">
      <calculatedColumnFormula>IF(AND(ISNUMBER(CTA6),CTA6&gt;0),SUM(OFFSET($BA6:$DJ6,0,62*(CUP$1-1),,62))-1,"")</calculatedColumnFormula>
    </tableColumn>
    <tableColumn id="3837" xr3:uid="{5B77A79D-CA0F-4B2C-8DEF-DF06B39D9BF2}" name="б1717" dataDxfId="32">
      <calculatedColumnFormula>IF(AND(ISNUMBER(CTB6),CTB6&gt;0),SUM(OFFSET($BA6:$DJ6,0,62*(CUQ$1-1),,62))-1,"")</calculatedColumnFormula>
    </tableColumn>
    <tableColumn id="3838" xr3:uid="{E938F16A-F26A-4B58-9E83-57CD76BA18EA}" name="б1818" dataDxfId="31">
      <calculatedColumnFormula>IF(AND(ISNUMBER(CTC6),CTC6&gt;0),SUM(OFFSET($BA6:$DJ6,0,62*(CUR$1-1),,62))-1,"")</calculatedColumnFormula>
    </tableColumn>
    <tableColumn id="3839" xr3:uid="{C1900EE1-D51D-4C83-BE96-6AB7B3718943}" name="б1919" dataDxfId="30">
      <calculatedColumnFormula>IF(AND(ISNUMBER(CTD6),CTD6&gt;0),SUM(OFFSET($BA6:$DJ6,0,62*(CUS$1-1),,62))-1,"")</calculatedColumnFormula>
    </tableColumn>
    <tableColumn id="3840" xr3:uid="{EDBCBB93-F7DF-4322-9D0E-7381169C7EBC}" name="б2020" dataDxfId="29">
      <calculatedColumnFormula>IF(AND(ISNUMBER(CTE6),CTE6&gt;0),SUM(OFFSET($BA6:$DJ6,0,62*(CUT$1-1),,62))-1,"")</calculatedColumnFormula>
    </tableColumn>
    <tableColumn id="3841" xr3:uid="{0EC32C2D-A37B-4DBE-B177-4553ECDB9B94}" name="б2121" dataDxfId="28">
      <calculatedColumnFormula>IF(AND(ISNUMBER(CTF6),CTF6&gt;0),SUM(OFFSET($BA6:$DJ6,0,62*(CUU$1-1),,62))-1,"")</calculatedColumnFormula>
    </tableColumn>
    <tableColumn id="3842" xr3:uid="{39084E4C-F51D-4599-A108-2C42FE820897}" name="б2222" dataDxfId="27">
      <calculatedColumnFormula>IF(AND(ISNUMBER(CTG6),CTG6&gt;0),SUM(OFFSET($BA6:$DJ6,0,62*(CUV$1-1),,62))-1,"")</calculatedColumnFormula>
    </tableColumn>
    <tableColumn id="3843" xr3:uid="{FD05802E-017B-4FA5-847A-0C3E602B2E80}" name="б2323" dataDxfId="26">
      <calculatedColumnFormula>IF(AND(ISNUMBER(CTH6),CTH6&gt;0),SUM(OFFSET($BA6:$DJ6,0,62*(CUW$1-1),,62))-1,"")</calculatedColumnFormula>
    </tableColumn>
    <tableColumn id="3844" xr3:uid="{A7152C1E-C481-48CA-9781-E91E521613CF}" name="б2424" dataDxfId="25">
      <calculatedColumnFormula>IF(AND(ISNUMBER(CTI6),CTI6&gt;0),SUM(OFFSET($BA6:$DJ6,0,62*(CUX$1-1),,62))-1,"")</calculatedColumnFormula>
    </tableColumn>
    <tableColumn id="3845" xr3:uid="{40125D52-AA44-40BD-8304-B2CB1E9545BD}" name="б2525" dataDxfId="24">
      <calculatedColumnFormula>IF(AND(ISNUMBER(CTJ6),CTJ6&gt;0),SUM(OFFSET($BA6:$DJ6,0,62*(CUY$1-1),,62))-1,"")</calculatedColumnFormula>
    </tableColumn>
    <tableColumn id="3846" xr3:uid="{7A5C50CD-F29A-44FE-AD99-AAE1CB6E90F4}" name="б2626" dataDxfId="23">
      <calculatedColumnFormula>IF(AND(ISNUMBER(CTK6),CTK6&gt;0),SUM(OFFSET($BA6:$DJ6,0,62*(CUZ$1-1),,62))-1,"")</calculatedColumnFormula>
    </tableColumn>
    <tableColumn id="3847" xr3:uid="{5720EAA8-82D8-4579-8F70-E3EE5D02BF18}" name="б2727" dataDxfId="22">
      <calculatedColumnFormula>IF(AND(ISNUMBER(CTL6),CTL6&gt;0),SUM(OFFSET($BA6:$DJ6,0,62*(CVA$1-1),,62))-1,"")</calculatedColumnFormula>
    </tableColumn>
    <tableColumn id="3848" xr3:uid="{A2A1857D-124F-43D8-9C14-C2E56DA709FB}" name="б2828" dataDxfId="21">
      <calculatedColumnFormula>IF(AND(ISNUMBER(CTM6),CTM6&gt;0),SUM(OFFSET($BA6:$DJ6,0,62*(CVB$1-1),,62))-1,"")</calculatedColumnFormula>
    </tableColumn>
    <tableColumn id="3849" xr3:uid="{8CF91878-22B3-4721-B8E9-70BDADB2F6C7}" name="б2929" dataDxfId="20">
      <calculatedColumnFormula>IF(AND(ISNUMBER(CTN6),CTN6&gt;0),SUM(OFFSET($BA6:$DJ6,0,62*(CVC$1-1),,62))-1,"")</calculatedColumnFormula>
    </tableColumn>
    <tableColumn id="3850" xr3:uid="{2415D38A-D93A-4E77-95C5-5DCF6E0CC006}" name="б3030" dataDxfId="19">
      <calculatedColumnFormula>IF(AND(ISNUMBER(CTO6),CTO6&gt;0),SUM(OFFSET($BA6:$DJ6,0,62*(CVD$1-1),,62))-1,"")</calculatedColumnFormula>
    </tableColumn>
    <tableColumn id="3851" xr3:uid="{5BA7CC71-ACC7-4C8E-89A9-C8544D739D37}" name="б3131" dataDxfId="18">
      <calculatedColumnFormula>IF(AND(ISNUMBER(CTP6),CTP6&gt;0),SUM(OFFSET($BA6:$DJ6,0,62*(CVE$1-1),,62))-1,"")</calculatedColumnFormula>
    </tableColumn>
    <tableColumn id="3852" xr3:uid="{F4E487DA-BE78-483C-BD7D-5815887C4668}" name="б3232" dataDxfId="17">
      <calculatedColumnFormula>IF(AND(ISNUMBER(CTQ6),CTQ6&gt;0),SUM(OFFSET($BA6:$DJ6,0,62*(CVF$1-1),,62))-1,"")</calculatedColumnFormula>
    </tableColumn>
    <tableColumn id="3853" xr3:uid="{B3114685-D11F-4A15-AC52-70164E9481B6}" name="б3333" dataDxfId="16">
      <calculatedColumnFormula>IF(AND(ISNUMBER(CTR6),CTR6&gt;0),SUM(OFFSET($BA6:$DJ6,0,62*(CVG$1-1),,62))-1,"")</calculatedColumnFormula>
    </tableColumn>
    <tableColumn id="3854" xr3:uid="{50952A6D-5978-47F9-A6A3-AA6AB1925DDE}" name="б3434" dataDxfId="15">
      <calculatedColumnFormula>IF(AND(ISNUMBER(CTS6),CTS6&gt;0),SUM(OFFSET($BA6:$DJ6,0,62*(CVH$1-1),,62))-1,"")</calculatedColumnFormula>
    </tableColumn>
    <tableColumn id="3855" xr3:uid="{9EEEA7B7-2ECB-4578-B548-E54F2BE5B322}" name="б3535" dataDxfId="14">
      <calculatedColumnFormula>IF(AND(ISNUMBER(CTT6),CTT6&gt;0),SUM(OFFSET($BA6:$DJ6,0,62*(CVI$1-1),,62))-1,"")</calculatedColumnFormula>
    </tableColumn>
    <tableColumn id="3856" xr3:uid="{5DC81B4B-6CBD-4AF6-9198-89A9F46A3FC3}" name="б3636" dataDxfId="13">
      <calculatedColumnFormula>IF(AND(ISNUMBER(CTU6),CTU6&gt;0),SUM(OFFSET($BA6:$DJ6,0,62*(CVJ$1-1),,62))-1,"")</calculatedColumnFormula>
    </tableColumn>
    <tableColumn id="3857" xr3:uid="{90BE49B8-975E-4871-B63B-2918E831F6D5}" name="б3737" dataDxfId="12">
      <calculatedColumnFormula>IF(AND(ISNUMBER(CTV6),CTV6&gt;0),SUM(OFFSET($BA6:$DJ6,0,62*(CVK$1-1),,62))-1,"")</calculatedColumnFormula>
    </tableColumn>
    <tableColumn id="3858" xr3:uid="{11D67921-18FF-488F-B509-73E1F75C0839}" name="б3838" dataDxfId="11">
      <calculatedColumnFormula>IF(AND(ISNUMBER(CTW6),CTW6&gt;0),SUM(OFFSET($BA6:$DJ6,0,62*(CVL$1-1),,62))-1,"")</calculatedColumnFormula>
    </tableColumn>
    <tableColumn id="3859" xr3:uid="{4470522E-4C1F-477C-99E0-0F44E7D4219B}" name="б3629" dataDxfId="10">
      <calculatedColumnFormula>IF(AND(ISNUMBER(CTX6),CTX6&gt;0),SUM(OFFSET($BA6:$DJ6,0,62*(CVM$1-1),,62))-1,"")</calculatedColumnFormula>
    </tableColumn>
    <tableColumn id="3860" xr3:uid="{370E25EE-215D-4F5A-9F3E-8B65C28244CA}" name="б4040" dataDxfId="9">
      <calculatedColumnFormula>IF(AND(ISNUMBER(CTY6),CTY6&gt;0),SUM(OFFSET($BA6:$DJ6,0,62*(CVN$1-1),,62))-1,"")</calculatedColumnFormula>
    </tableColumn>
    <tableColumn id="120" xr3:uid="{C213893F-A447-4A81-896E-C2FDFE72F2A7}" name="Ключ" dataDxfId="8">
      <calculatedColumnFormula>SUBSTITUTE(SUBSTITUTE(LOWER(A6&amp;B6),"ё","е")," ","")</calculatedColumnFormula>
    </tableColumn>
    <tableColumn id="8" xr3:uid="{928A60D4-4758-44E5-B2CF-E5C5CC69FA44}" name="Поиск" dataDxfId="7">
      <calculatedColumnFormula>IFERROR(VLOOKUP(CVO6,'Внешние данные'!A:Z,4,FALSE),"")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960A35-4BB4-4C26-B996-F672DBD1934C}" name="Таблица2" displayName="Таблица2" ref="A1:D12" totalsRowShown="0" headerRowDxfId="6">
  <autoFilter ref="A1:D12" xr:uid="{01CE0656-5934-4E9A-87EC-95C2C5509DDA}"/>
  <tableColumns count="4">
    <tableColumn id="1" xr3:uid="{FD1860D2-C0FB-4CC2-BA14-802C277FCD5B}" name="Форматирование" dataDxfId="5"/>
    <tableColumn id="2" xr3:uid="{13735677-B26E-4A73-B12C-CCAA6DB20DF7}" name="Условие" dataDxfId="4"/>
    <tableColumn id="3" xr3:uid="{D80BE910-72A2-4621-BA3C-D695B3C19A3C}" name="Диапазон" dataDxfId="3"/>
    <tableColumn id="4" xr3:uid="{9F51F1A9-9982-4BC1-84CC-85BDF1EDFF4F}" name="Комментарий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Таблица3" displayName="Таблица3" ref="A1:G41" totalsRowShown="0">
  <autoFilter ref="A1:G41" xr:uid="{00000000-0009-0000-0100-000003000000}"/>
  <tableColumns count="7">
    <tableColumn id="1" xr3:uid="{00000000-0010-0000-0300-000001000000}" name="Занятие"/>
    <tableColumn id="2" xr3:uid="{00000000-0010-0000-0300-000002000000}" name="Начинающие"/>
    <tableColumn id="3" xr3:uid="{00000000-0010-0000-0300-000003000000}" name="Продолжающие"/>
    <tableColumn id="4" xr3:uid="{00000000-0010-0000-0300-000004000000}" name="Сильные"/>
    <tableColumn id="5" xr3:uid="{00000000-0010-0000-0300-000005000000}" name="Показ: Начинающие" dataDxfId="1"/>
    <tableColumn id="6" xr3:uid="{00000000-0010-0000-0300-000006000000}" name="Показ: Продолжающие"/>
    <tableColumn id="7" xr3:uid="{00000000-0010-0000-0300-000007000000}" name="Показ: Сильные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99441A-ED05-4FD7-8181-8087A8BDA46C}" name="Таблица4" displayName="Таблица4" ref="A1:D2" totalsRowShown="0">
  <autoFilter ref="A1:D2" xr:uid="{8A9CB5CD-C7DE-4AFB-A15B-942FF8AF558D}"/>
  <tableColumns count="4">
    <tableColumn id="1" xr3:uid="{1A9FA3D5-C1C8-4E43-A8BC-F0991908CD8D}" name="Ключ">
      <calculatedColumnFormula>SUBSTITUTE(SUBSTITUTE(LOWER(B2&amp;C2),"ё","е")," ","")</calculatedColumnFormula>
    </tableColumn>
    <tableColumn id="2" xr3:uid="{8EED184A-6048-43F9-B4E5-F6EB64A035DA}" name="Фамилия"/>
    <tableColumn id="3" xr3:uid="{9BBC08E4-D94A-4632-821B-A03DA02C71DC}" name="Имя"/>
    <tableColumn id="4" xr3:uid="{66EC7E5F-8E8A-413F-87A3-CCF2860D1E9E}" name="Данны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VP45"/>
  <sheetViews>
    <sheetView tabSelected="1" zoomScaleNormal="100" workbookViewId="0">
      <pane xSplit="12" ySplit="5" topLeftCell="M6" activePane="bottomRight" state="frozen"/>
      <selection pane="topRight" activeCell="P1" sqref="P1"/>
      <selection pane="bottomLeft" activeCell="A6" sqref="A6"/>
      <selection pane="bottomRight" activeCell="T13" sqref="T13"/>
    </sheetView>
  </sheetViews>
  <sheetFormatPr defaultColWidth="8.85546875" defaultRowHeight="16.5" x14ac:dyDescent="0.3"/>
  <cols>
    <col min="1" max="1" width="13.85546875" style="2" bestFit="1" customWidth="1"/>
    <col min="2" max="2" width="13.28515625" style="2" bestFit="1" customWidth="1"/>
    <col min="3" max="3" width="5" style="5" customWidth="1"/>
    <col min="4" max="4" width="4.28515625" style="3" customWidth="1"/>
    <col min="5" max="5" width="6.5703125" style="2" customWidth="1"/>
    <col min="6" max="6" width="4.140625" style="16" customWidth="1"/>
    <col min="7" max="7" width="2.5703125" style="16" customWidth="1"/>
    <col min="8" max="8" width="4.42578125" style="3" bestFit="1" customWidth="1"/>
    <col min="9" max="9" width="3.42578125" style="3" customWidth="1"/>
    <col min="10" max="10" width="5" style="16" customWidth="1"/>
    <col min="11" max="11" width="5" style="50" customWidth="1"/>
    <col min="12" max="12" width="4.7109375" style="1" customWidth="1"/>
    <col min="13" max="52" width="3.5703125" style="4" customWidth="1"/>
    <col min="53" max="58" width="2.85546875" style="1" customWidth="1"/>
    <col min="59" max="2532" width="2.85546875" style="17" customWidth="1"/>
    <col min="2533" max="2533" width="2.85546875" style="25" customWidth="1"/>
    <col min="2534" max="2538" width="3.28515625" style="17" customWidth="1"/>
    <col min="2539" max="2539" width="3.28515625" style="22" customWidth="1"/>
    <col min="2540" max="2573" width="3.28515625" style="3" customWidth="1"/>
    <col min="2574" max="2574" width="1.5703125" style="37" customWidth="1"/>
    <col min="2575" max="2580" width="3" style="3" customWidth="1"/>
    <col min="2581" max="2614" width="3" style="1" customWidth="1"/>
    <col min="2615" max="2615" width="8.85546875" style="2"/>
    <col min="2616" max="16384" width="8.85546875" style="1"/>
  </cols>
  <sheetData>
    <row r="1" spans="1:2616" s="13" customFormat="1" x14ac:dyDescent="0.3">
      <c r="A1" s="38" t="s">
        <v>1412</v>
      </c>
      <c r="B1" s="60">
        <v>1</v>
      </c>
      <c r="C1" s="40"/>
      <c r="D1" s="14"/>
      <c r="E1" s="38"/>
      <c r="F1" s="41"/>
      <c r="G1" s="41"/>
      <c r="H1" s="42"/>
      <c r="I1" s="42"/>
      <c r="J1" s="43" t="s">
        <v>7</v>
      </c>
      <c r="K1" s="44" t="s">
        <v>8</v>
      </c>
      <c r="L1" s="45" t="s">
        <v>6</v>
      </c>
      <c r="M1" s="70" t="str">
        <f>RIGHT(M5,2)</f>
        <v>01</v>
      </c>
      <c r="N1" s="70" t="str">
        <f t="shared" ref="N1:AZ1" si="0">RIGHT(N5,2)</f>
        <v>02</v>
      </c>
      <c r="O1" s="70" t="str">
        <f t="shared" si="0"/>
        <v>03</v>
      </c>
      <c r="P1" s="70" t="str">
        <f t="shared" si="0"/>
        <v>04</v>
      </c>
      <c r="Q1" s="70" t="str">
        <f t="shared" si="0"/>
        <v>05</v>
      </c>
      <c r="R1" s="70" t="str">
        <f t="shared" si="0"/>
        <v>06</v>
      </c>
      <c r="S1" s="70" t="str">
        <f t="shared" si="0"/>
        <v>07</v>
      </c>
      <c r="T1" s="70" t="str">
        <f t="shared" si="0"/>
        <v>08</v>
      </c>
      <c r="U1" s="70" t="str">
        <f t="shared" si="0"/>
        <v>09</v>
      </c>
      <c r="V1" s="70" t="str">
        <f t="shared" si="0"/>
        <v>10</v>
      </c>
      <c r="W1" s="70" t="str">
        <f t="shared" si="0"/>
        <v>11</v>
      </c>
      <c r="X1" s="70" t="str">
        <f t="shared" si="0"/>
        <v>12</v>
      </c>
      <c r="Y1" s="70" t="str">
        <f t="shared" si="0"/>
        <v>13</v>
      </c>
      <c r="Z1" s="70" t="str">
        <f t="shared" si="0"/>
        <v>14</v>
      </c>
      <c r="AA1" s="70" t="str">
        <f t="shared" si="0"/>
        <v>15</v>
      </c>
      <c r="AB1" s="70" t="str">
        <f t="shared" si="0"/>
        <v>16</v>
      </c>
      <c r="AC1" s="70" t="str">
        <f t="shared" si="0"/>
        <v>17</v>
      </c>
      <c r="AD1" s="70" t="str">
        <f t="shared" si="0"/>
        <v>18</v>
      </c>
      <c r="AE1" s="70" t="str">
        <f t="shared" si="0"/>
        <v>19</v>
      </c>
      <c r="AF1" s="70" t="str">
        <f t="shared" si="0"/>
        <v>20</v>
      </c>
      <c r="AG1" s="70" t="str">
        <f t="shared" si="0"/>
        <v>21</v>
      </c>
      <c r="AH1" s="70" t="str">
        <f t="shared" si="0"/>
        <v>22</v>
      </c>
      <c r="AI1" s="70" t="str">
        <f t="shared" si="0"/>
        <v>23</v>
      </c>
      <c r="AJ1" s="70" t="str">
        <f t="shared" si="0"/>
        <v>24</v>
      </c>
      <c r="AK1" s="70" t="str">
        <f t="shared" si="0"/>
        <v>25</v>
      </c>
      <c r="AL1" s="70" t="str">
        <f t="shared" si="0"/>
        <v>26</v>
      </c>
      <c r="AM1" s="70" t="str">
        <f t="shared" si="0"/>
        <v>27</v>
      </c>
      <c r="AN1" s="70" t="str">
        <f t="shared" si="0"/>
        <v>28</v>
      </c>
      <c r="AO1" s="70" t="str">
        <f t="shared" si="0"/>
        <v>29</v>
      </c>
      <c r="AP1" s="70" t="str">
        <f t="shared" si="0"/>
        <v>30</v>
      </c>
      <c r="AQ1" s="70" t="str">
        <f t="shared" si="0"/>
        <v>31</v>
      </c>
      <c r="AR1" s="70" t="str">
        <f t="shared" si="0"/>
        <v>32</v>
      </c>
      <c r="AS1" s="70" t="str">
        <f t="shared" si="0"/>
        <v>33</v>
      </c>
      <c r="AT1" s="70" t="str">
        <f t="shared" si="0"/>
        <v>34</v>
      </c>
      <c r="AU1" s="70" t="str">
        <f t="shared" si="0"/>
        <v>35</v>
      </c>
      <c r="AV1" s="70" t="str">
        <f t="shared" si="0"/>
        <v>36</v>
      </c>
      <c r="AW1" s="70" t="str">
        <f t="shared" si="0"/>
        <v>37</v>
      </c>
      <c r="AX1" s="70" t="str">
        <f t="shared" si="0"/>
        <v>38</v>
      </c>
      <c r="AY1" s="70" t="str">
        <f t="shared" si="0"/>
        <v>39</v>
      </c>
      <c r="AZ1" s="70" t="str">
        <f t="shared" si="0"/>
        <v>40</v>
      </c>
      <c r="BA1" s="15" t="str">
        <f>IF(RIGHT(BA$5,1)="Н",RIGHT(BA$5,3),MID(BA$5,FIND(".",BA$5)+1,5))</f>
        <v>н.Н</v>
      </c>
      <c r="BB1" s="15" t="str">
        <f t="shared" ref="BB1:DJ1" si="1">IF(RIGHT(BB$5,1)="Н",RIGHT(BB$5,3),MID(BB$5,FIND(".",BB$5)+1,5))</f>
        <v>01*</v>
      </c>
      <c r="BC1" s="15" t="str">
        <f t="shared" si="1"/>
        <v>02*</v>
      </c>
      <c r="BD1" s="15" t="str">
        <f t="shared" si="1"/>
        <v>03*</v>
      </c>
      <c r="BE1" s="15" t="str">
        <f t="shared" si="1"/>
        <v>04*</v>
      </c>
      <c r="BF1" s="15" t="str">
        <f t="shared" si="1"/>
        <v>05*</v>
      </c>
      <c r="BG1" s="15" t="str">
        <f t="shared" si="1"/>
        <v>06*</v>
      </c>
      <c r="BH1" s="15" t="str">
        <f t="shared" si="1"/>
        <v>07*</v>
      </c>
      <c r="BI1" s="15" t="str">
        <f t="shared" si="1"/>
        <v>08*</v>
      </c>
      <c r="BJ1" s="15" t="str">
        <f t="shared" si="1"/>
        <v>09*</v>
      </c>
      <c r="BK1" s="15" t="str">
        <f t="shared" si="1"/>
        <v>10*</v>
      </c>
      <c r="BL1" s="15" t="str">
        <f t="shared" si="1"/>
        <v>11*</v>
      </c>
      <c r="BM1" s="15" t="str">
        <f t="shared" si="1"/>
        <v>12*</v>
      </c>
      <c r="BN1" s="15" t="str">
        <f t="shared" si="1"/>
        <v>13*</v>
      </c>
      <c r="BO1" s="15" t="str">
        <f t="shared" si="1"/>
        <v>14*</v>
      </c>
      <c r="BP1" s="15" t="str">
        <f t="shared" si="1"/>
        <v>15*</v>
      </c>
      <c r="BQ1" s="15" t="str">
        <f t="shared" si="1"/>
        <v>16*</v>
      </c>
      <c r="BR1" s="15" t="str">
        <f t="shared" si="1"/>
        <v>17*</v>
      </c>
      <c r="BS1" s="15" t="str">
        <f t="shared" si="1"/>
        <v>18*</v>
      </c>
      <c r="BT1" s="15" t="str">
        <f t="shared" si="1"/>
        <v>19*</v>
      </c>
      <c r="BU1" s="15" t="str">
        <f t="shared" si="1"/>
        <v>20*</v>
      </c>
      <c r="BV1" s="15" t="str">
        <f t="shared" si="1"/>
        <v>21*</v>
      </c>
      <c r="BW1" s="15" t="str">
        <f t="shared" si="1"/>
        <v>22*</v>
      </c>
      <c r="BX1" s="15" t="str">
        <f t="shared" si="1"/>
        <v>23*</v>
      </c>
      <c r="BY1" s="15" t="str">
        <f t="shared" si="1"/>
        <v>24*</v>
      </c>
      <c r="BZ1" s="15" t="str">
        <f t="shared" si="1"/>
        <v>25*</v>
      </c>
      <c r="CA1" s="15" t="str">
        <f t="shared" si="1"/>
        <v>26*</v>
      </c>
      <c r="CB1" s="15" t="str">
        <f t="shared" si="1"/>
        <v>27*</v>
      </c>
      <c r="CC1" s="15" t="str">
        <f t="shared" si="1"/>
        <v>28*</v>
      </c>
      <c r="CD1" s="15" t="str">
        <f t="shared" si="1"/>
        <v>29*</v>
      </c>
      <c r="CE1" s="15" t="str">
        <f t="shared" si="1"/>
        <v>30*</v>
      </c>
      <c r="CF1" s="15" t="str">
        <f t="shared" si="1"/>
        <v>п.Н</v>
      </c>
      <c r="CG1" s="15" t="str">
        <f t="shared" si="1"/>
        <v>01*</v>
      </c>
      <c r="CH1" s="15" t="str">
        <f t="shared" si="1"/>
        <v>02*</v>
      </c>
      <c r="CI1" s="15" t="str">
        <f t="shared" si="1"/>
        <v>03*</v>
      </c>
      <c r="CJ1" s="15" t="str">
        <f t="shared" si="1"/>
        <v>04*</v>
      </c>
      <c r="CK1" s="15" t="str">
        <f t="shared" si="1"/>
        <v>05*</v>
      </c>
      <c r="CL1" s="15" t="str">
        <f t="shared" si="1"/>
        <v>06*</v>
      </c>
      <c r="CM1" s="15" t="str">
        <f t="shared" si="1"/>
        <v>07*</v>
      </c>
      <c r="CN1" s="15" t="str">
        <f t="shared" si="1"/>
        <v>08*</v>
      </c>
      <c r="CO1" s="15" t="str">
        <f t="shared" si="1"/>
        <v>09*</v>
      </c>
      <c r="CP1" s="15" t="str">
        <f t="shared" si="1"/>
        <v>10*</v>
      </c>
      <c r="CQ1" s="15" t="str">
        <f t="shared" si="1"/>
        <v>11*</v>
      </c>
      <c r="CR1" s="15" t="str">
        <f t="shared" si="1"/>
        <v>12*</v>
      </c>
      <c r="CS1" s="15" t="str">
        <f t="shared" si="1"/>
        <v>13*</v>
      </c>
      <c r="CT1" s="15" t="str">
        <f t="shared" si="1"/>
        <v>14*</v>
      </c>
      <c r="CU1" s="15" t="str">
        <f t="shared" si="1"/>
        <v>15*</v>
      </c>
      <c r="CV1" s="15" t="str">
        <f t="shared" si="1"/>
        <v>16*</v>
      </c>
      <c r="CW1" s="15" t="str">
        <f t="shared" si="1"/>
        <v>17*</v>
      </c>
      <c r="CX1" s="15" t="str">
        <f t="shared" si="1"/>
        <v>18*</v>
      </c>
      <c r="CY1" s="15" t="str">
        <f t="shared" si="1"/>
        <v>19*</v>
      </c>
      <c r="CZ1" s="15" t="str">
        <f t="shared" si="1"/>
        <v>20*</v>
      </c>
      <c r="DA1" s="15" t="str">
        <f t="shared" si="1"/>
        <v>21*</v>
      </c>
      <c r="DB1" s="15" t="str">
        <f t="shared" si="1"/>
        <v>22*</v>
      </c>
      <c r="DC1" s="15" t="str">
        <f t="shared" si="1"/>
        <v>23*</v>
      </c>
      <c r="DD1" s="15" t="str">
        <f t="shared" si="1"/>
        <v>24*</v>
      </c>
      <c r="DE1" s="15" t="str">
        <f t="shared" si="1"/>
        <v>25*</v>
      </c>
      <c r="DF1" s="15" t="str">
        <f t="shared" si="1"/>
        <v>26*</v>
      </c>
      <c r="DG1" s="15" t="str">
        <f t="shared" si="1"/>
        <v>27*</v>
      </c>
      <c r="DH1" s="15" t="str">
        <f t="shared" si="1"/>
        <v>28*</v>
      </c>
      <c r="DI1" s="15" t="str">
        <f t="shared" si="1"/>
        <v>29*</v>
      </c>
      <c r="DJ1" s="15" t="str">
        <f t="shared" si="1"/>
        <v>30*</v>
      </c>
      <c r="DK1" s="15" t="str">
        <f t="shared" ref="DK1:ET1" si="2">IF(RIGHT(DK$5,1)="Н",RIGHT(DK$5,3),MID(DK$5,FIND(".",DK$5)+1,5))</f>
        <v>н.Н</v>
      </c>
      <c r="DL1" s="15" t="str">
        <f t="shared" si="2"/>
        <v>01*</v>
      </c>
      <c r="DM1" s="15" t="str">
        <f t="shared" si="2"/>
        <v>02*</v>
      </c>
      <c r="DN1" s="15" t="str">
        <f t="shared" si="2"/>
        <v>03*</v>
      </c>
      <c r="DO1" s="15" t="str">
        <f t="shared" si="2"/>
        <v>04*</v>
      </c>
      <c r="DP1" s="15" t="str">
        <f t="shared" si="2"/>
        <v>05*</v>
      </c>
      <c r="DQ1" s="15" t="str">
        <f t="shared" si="2"/>
        <v>06*</v>
      </c>
      <c r="DR1" s="15" t="str">
        <f t="shared" si="2"/>
        <v>07*</v>
      </c>
      <c r="DS1" s="15" t="str">
        <f t="shared" si="2"/>
        <v>08*</v>
      </c>
      <c r="DT1" s="15" t="str">
        <f t="shared" si="2"/>
        <v>09*</v>
      </c>
      <c r="DU1" s="15" t="str">
        <f t="shared" si="2"/>
        <v>10*</v>
      </c>
      <c r="DV1" s="15" t="str">
        <f t="shared" si="2"/>
        <v>11*</v>
      </c>
      <c r="DW1" s="15" t="str">
        <f t="shared" si="2"/>
        <v>12*</v>
      </c>
      <c r="DX1" s="15" t="str">
        <f t="shared" si="2"/>
        <v>13*</v>
      </c>
      <c r="DY1" s="15" t="str">
        <f t="shared" si="2"/>
        <v>14*</v>
      </c>
      <c r="DZ1" s="15" t="str">
        <f t="shared" si="2"/>
        <v>15*</v>
      </c>
      <c r="EA1" s="15" t="str">
        <f t="shared" si="2"/>
        <v>16*</v>
      </c>
      <c r="EB1" s="15" t="str">
        <f t="shared" si="2"/>
        <v>17*</v>
      </c>
      <c r="EC1" s="15" t="str">
        <f t="shared" si="2"/>
        <v>18*</v>
      </c>
      <c r="ED1" s="15" t="str">
        <f t="shared" si="2"/>
        <v>19*</v>
      </c>
      <c r="EE1" s="15" t="str">
        <f t="shared" si="2"/>
        <v>20*</v>
      </c>
      <c r="EF1" s="15" t="str">
        <f t="shared" si="2"/>
        <v>21*</v>
      </c>
      <c r="EG1" s="15" t="str">
        <f t="shared" si="2"/>
        <v>22*</v>
      </c>
      <c r="EH1" s="15" t="str">
        <f t="shared" si="2"/>
        <v>23*</v>
      </c>
      <c r="EI1" s="15" t="str">
        <f t="shared" si="2"/>
        <v>24*</v>
      </c>
      <c r="EJ1" s="15" t="str">
        <f t="shared" si="2"/>
        <v>25*</v>
      </c>
      <c r="EK1" s="15" t="str">
        <f t="shared" si="2"/>
        <v>26*</v>
      </c>
      <c r="EL1" s="15" t="str">
        <f t="shared" si="2"/>
        <v>27*</v>
      </c>
      <c r="EM1" s="15" t="str">
        <f t="shared" si="2"/>
        <v>28*</v>
      </c>
      <c r="EN1" s="15" t="str">
        <f t="shared" si="2"/>
        <v>29*</v>
      </c>
      <c r="EO1" s="15" t="str">
        <f t="shared" si="2"/>
        <v>30*</v>
      </c>
      <c r="EP1" s="15" t="str">
        <f t="shared" si="2"/>
        <v>п.Н</v>
      </c>
      <c r="EQ1" s="15" t="str">
        <f t="shared" si="2"/>
        <v>01*</v>
      </c>
      <c r="ER1" s="15" t="str">
        <f t="shared" si="2"/>
        <v>02*</v>
      </c>
      <c r="ES1" s="15" t="str">
        <f t="shared" si="2"/>
        <v>03*</v>
      </c>
      <c r="ET1" s="15" t="str">
        <f t="shared" si="2"/>
        <v>04*</v>
      </c>
      <c r="EU1" s="15" t="str">
        <f t="shared" ref="EU1:GA1" si="3">IF(RIGHT(EU$5,1)="Н",RIGHT(EU$5,3),MID(EU$5,FIND(".",EU$5)+1,5))</f>
        <v>05*</v>
      </c>
      <c r="EV1" s="15" t="str">
        <f t="shared" si="3"/>
        <v>06*</v>
      </c>
      <c r="EW1" s="15" t="str">
        <f t="shared" si="3"/>
        <v>07*</v>
      </c>
      <c r="EX1" s="15" t="str">
        <f t="shared" si="3"/>
        <v>08*</v>
      </c>
      <c r="EY1" s="15" t="str">
        <f t="shared" si="3"/>
        <v>09*</v>
      </c>
      <c r="EZ1" s="15" t="str">
        <f t="shared" si="3"/>
        <v>10*</v>
      </c>
      <c r="FA1" s="15" t="str">
        <f t="shared" si="3"/>
        <v>11*</v>
      </c>
      <c r="FB1" s="15" t="str">
        <f t="shared" si="3"/>
        <v>12*</v>
      </c>
      <c r="FC1" s="15" t="str">
        <f t="shared" si="3"/>
        <v>13*</v>
      </c>
      <c r="FD1" s="15" t="str">
        <f t="shared" si="3"/>
        <v>14*</v>
      </c>
      <c r="FE1" s="15" t="str">
        <f t="shared" si="3"/>
        <v>15*</v>
      </c>
      <c r="FF1" s="15" t="str">
        <f t="shared" si="3"/>
        <v>16*</v>
      </c>
      <c r="FG1" s="15" t="str">
        <f t="shared" si="3"/>
        <v>17*</v>
      </c>
      <c r="FH1" s="15" t="str">
        <f t="shared" si="3"/>
        <v>18*</v>
      </c>
      <c r="FI1" s="15" t="str">
        <f t="shared" si="3"/>
        <v>19*</v>
      </c>
      <c r="FJ1" s="15" t="str">
        <f t="shared" si="3"/>
        <v>20*</v>
      </c>
      <c r="FK1" s="15" t="str">
        <f t="shared" si="3"/>
        <v>21*</v>
      </c>
      <c r="FL1" s="15" t="str">
        <f t="shared" si="3"/>
        <v>22*</v>
      </c>
      <c r="FM1" s="15" t="str">
        <f t="shared" si="3"/>
        <v>23*</v>
      </c>
      <c r="FN1" s="15" t="str">
        <f t="shared" si="3"/>
        <v>24*</v>
      </c>
      <c r="FO1" s="15" t="str">
        <f t="shared" si="3"/>
        <v>25*</v>
      </c>
      <c r="FP1" s="15" t="str">
        <f t="shared" si="3"/>
        <v>26*</v>
      </c>
      <c r="FQ1" s="15" t="str">
        <f t="shared" si="3"/>
        <v>27*</v>
      </c>
      <c r="FR1" s="15" t="str">
        <f t="shared" si="3"/>
        <v>28*</v>
      </c>
      <c r="FS1" s="15" t="str">
        <f t="shared" si="3"/>
        <v>29*</v>
      </c>
      <c r="FT1" s="15" t="str">
        <f t="shared" si="3"/>
        <v>30*</v>
      </c>
      <c r="FU1" s="15" t="str">
        <f t="shared" si="3"/>
        <v>н.Н</v>
      </c>
      <c r="FV1" s="15" t="str">
        <f t="shared" si="3"/>
        <v>01*</v>
      </c>
      <c r="FW1" s="15" t="str">
        <f t="shared" si="3"/>
        <v>02*</v>
      </c>
      <c r="FX1" s="15" t="str">
        <f t="shared" si="3"/>
        <v>03*</v>
      </c>
      <c r="FY1" s="15" t="str">
        <f t="shared" si="3"/>
        <v>04*</v>
      </c>
      <c r="FZ1" s="15" t="str">
        <f t="shared" si="3"/>
        <v>05*</v>
      </c>
      <c r="GA1" s="15" t="str">
        <f t="shared" si="3"/>
        <v>06*</v>
      </c>
      <c r="GB1" s="15" t="str">
        <f t="shared" ref="GB1:ID1" si="4">IF(RIGHT(GB$5,1)="Н",RIGHT(GB$5,3),MID(GB$5,FIND(".",GB$5)+1,5))</f>
        <v>07*</v>
      </c>
      <c r="GC1" s="15" t="str">
        <f t="shared" si="4"/>
        <v>08*</v>
      </c>
      <c r="GD1" s="15" t="str">
        <f t="shared" si="4"/>
        <v>09*</v>
      </c>
      <c r="GE1" s="15" t="str">
        <f t="shared" si="4"/>
        <v>10*</v>
      </c>
      <c r="GF1" s="15" t="str">
        <f t="shared" si="4"/>
        <v>11*</v>
      </c>
      <c r="GG1" s="15" t="str">
        <f t="shared" si="4"/>
        <v>12*</v>
      </c>
      <c r="GH1" s="15" t="str">
        <f t="shared" si="4"/>
        <v>13*</v>
      </c>
      <c r="GI1" s="15" t="str">
        <f t="shared" si="4"/>
        <v>14*</v>
      </c>
      <c r="GJ1" s="15" t="str">
        <f t="shared" si="4"/>
        <v>15*</v>
      </c>
      <c r="GK1" s="15" t="str">
        <f t="shared" si="4"/>
        <v>16*</v>
      </c>
      <c r="GL1" s="15" t="str">
        <f t="shared" si="4"/>
        <v>17*</v>
      </c>
      <c r="GM1" s="15" t="str">
        <f t="shared" si="4"/>
        <v>18*</v>
      </c>
      <c r="GN1" s="15" t="str">
        <f t="shared" si="4"/>
        <v>19*</v>
      </c>
      <c r="GO1" s="15" t="str">
        <f t="shared" si="4"/>
        <v>20*</v>
      </c>
      <c r="GP1" s="15" t="str">
        <f t="shared" si="4"/>
        <v>21*</v>
      </c>
      <c r="GQ1" s="15" t="str">
        <f t="shared" si="4"/>
        <v>22*</v>
      </c>
      <c r="GR1" s="15" t="str">
        <f t="shared" si="4"/>
        <v>23*</v>
      </c>
      <c r="GS1" s="15" t="str">
        <f t="shared" si="4"/>
        <v>24*</v>
      </c>
      <c r="GT1" s="15" t="str">
        <f t="shared" si="4"/>
        <v>25*</v>
      </c>
      <c r="GU1" s="15" t="str">
        <f t="shared" si="4"/>
        <v>26*</v>
      </c>
      <c r="GV1" s="15" t="str">
        <f t="shared" si="4"/>
        <v>27*</v>
      </c>
      <c r="GW1" s="15" t="str">
        <f t="shared" si="4"/>
        <v>28*</v>
      </c>
      <c r="GX1" s="15" t="str">
        <f t="shared" si="4"/>
        <v>29*</v>
      </c>
      <c r="GY1" s="15" t="str">
        <f t="shared" si="4"/>
        <v>30*</v>
      </c>
      <c r="GZ1" s="15" t="str">
        <f t="shared" si="4"/>
        <v>п.Н</v>
      </c>
      <c r="HA1" s="15" t="str">
        <f t="shared" si="4"/>
        <v>01*</v>
      </c>
      <c r="HB1" s="15" t="str">
        <f t="shared" si="4"/>
        <v>02*</v>
      </c>
      <c r="HC1" s="15" t="str">
        <f t="shared" si="4"/>
        <v>03*</v>
      </c>
      <c r="HD1" s="15" t="str">
        <f t="shared" si="4"/>
        <v>04*</v>
      </c>
      <c r="HE1" s="15" t="str">
        <f t="shared" si="4"/>
        <v>05*</v>
      </c>
      <c r="HF1" s="15" t="str">
        <f t="shared" si="4"/>
        <v>06*</v>
      </c>
      <c r="HG1" s="15" t="str">
        <f t="shared" si="4"/>
        <v>07*</v>
      </c>
      <c r="HH1" s="15" t="str">
        <f t="shared" si="4"/>
        <v>08*</v>
      </c>
      <c r="HI1" s="15" t="str">
        <f t="shared" si="4"/>
        <v>09*</v>
      </c>
      <c r="HJ1" s="15" t="str">
        <f t="shared" si="4"/>
        <v>10*</v>
      </c>
      <c r="HK1" s="15" t="str">
        <f t="shared" si="4"/>
        <v>11*</v>
      </c>
      <c r="HL1" s="15" t="str">
        <f t="shared" si="4"/>
        <v>12*</v>
      </c>
      <c r="HM1" s="15" t="str">
        <f t="shared" si="4"/>
        <v>13*</v>
      </c>
      <c r="HN1" s="15" t="str">
        <f t="shared" si="4"/>
        <v>14*</v>
      </c>
      <c r="HO1" s="15" t="str">
        <f t="shared" si="4"/>
        <v>15*</v>
      </c>
      <c r="HP1" s="15" t="str">
        <f t="shared" si="4"/>
        <v>16*</v>
      </c>
      <c r="HQ1" s="15" t="str">
        <f t="shared" si="4"/>
        <v>17*</v>
      </c>
      <c r="HR1" s="15" t="str">
        <f t="shared" si="4"/>
        <v>18*</v>
      </c>
      <c r="HS1" s="15" t="str">
        <f t="shared" si="4"/>
        <v>19*</v>
      </c>
      <c r="HT1" s="15" t="str">
        <f t="shared" si="4"/>
        <v>20*</v>
      </c>
      <c r="HU1" s="15" t="str">
        <f t="shared" si="4"/>
        <v>21*</v>
      </c>
      <c r="HV1" s="15" t="str">
        <f t="shared" si="4"/>
        <v>22*</v>
      </c>
      <c r="HW1" s="15" t="str">
        <f t="shared" si="4"/>
        <v>23*</v>
      </c>
      <c r="HX1" s="15" t="str">
        <f t="shared" si="4"/>
        <v>24*</v>
      </c>
      <c r="HY1" s="15" t="str">
        <f t="shared" si="4"/>
        <v>25*</v>
      </c>
      <c r="HZ1" s="15" t="str">
        <f t="shared" si="4"/>
        <v>26*</v>
      </c>
      <c r="IA1" s="15" t="str">
        <f t="shared" si="4"/>
        <v>27*</v>
      </c>
      <c r="IB1" s="15" t="str">
        <f t="shared" si="4"/>
        <v>28*</v>
      </c>
      <c r="IC1" s="15" t="str">
        <f t="shared" si="4"/>
        <v>29*</v>
      </c>
      <c r="ID1" s="15" t="str">
        <f t="shared" si="4"/>
        <v>30*</v>
      </c>
      <c r="IE1" s="15" t="str">
        <f t="shared" ref="IE1:JT1" si="5">IF(RIGHT(IE$5,1)="Н",RIGHT(IE$5,3),MID(IE$5,FIND(".",IE$5)+1,5))</f>
        <v>н.Н</v>
      </c>
      <c r="IF1" s="15" t="str">
        <f t="shared" si="5"/>
        <v>01*</v>
      </c>
      <c r="IG1" s="15" t="str">
        <f t="shared" si="5"/>
        <v>02*</v>
      </c>
      <c r="IH1" s="15" t="str">
        <f t="shared" si="5"/>
        <v>03*</v>
      </c>
      <c r="II1" s="15" t="str">
        <f t="shared" si="5"/>
        <v>04*</v>
      </c>
      <c r="IJ1" s="15" t="str">
        <f t="shared" si="5"/>
        <v>05*</v>
      </c>
      <c r="IK1" s="15" t="str">
        <f t="shared" si="5"/>
        <v>06*</v>
      </c>
      <c r="IL1" s="15" t="str">
        <f t="shared" si="5"/>
        <v>07*</v>
      </c>
      <c r="IM1" s="15" t="str">
        <f t="shared" si="5"/>
        <v>08*</v>
      </c>
      <c r="IN1" s="15" t="str">
        <f t="shared" si="5"/>
        <v>09*</v>
      </c>
      <c r="IO1" s="15" t="str">
        <f t="shared" si="5"/>
        <v>10*</v>
      </c>
      <c r="IP1" s="15" t="str">
        <f t="shared" si="5"/>
        <v>11*</v>
      </c>
      <c r="IQ1" s="15" t="str">
        <f t="shared" si="5"/>
        <v>12*</v>
      </c>
      <c r="IR1" s="15" t="str">
        <f t="shared" si="5"/>
        <v>13*</v>
      </c>
      <c r="IS1" s="15" t="str">
        <f t="shared" si="5"/>
        <v>14*</v>
      </c>
      <c r="IT1" s="15" t="str">
        <f t="shared" si="5"/>
        <v>15*</v>
      </c>
      <c r="IU1" s="15" t="str">
        <f t="shared" si="5"/>
        <v>16*</v>
      </c>
      <c r="IV1" s="15" t="str">
        <f t="shared" si="5"/>
        <v>17*</v>
      </c>
      <c r="IW1" s="15" t="str">
        <f t="shared" si="5"/>
        <v>18*</v>
      </c>
      <c r="IX1" s="15" t="str">
        <f t="shared" si="5"/>
        <v>19*</v>
      </c>
      <c r="IY1" s="15" t="str">
        <f t="shared" si="5"/>
        <v>20*</v>
      </c>
      <c r="IZ1" s="15" t="str">
        <f t="shared" si="5"/>
        <v>21*</v>
      </c>
      <c r="JA1" s="15" t="str">
        <f t="shared" si="5"/>
        <v>22*</v>
      </c>
      <c r="JB1" s="15" t="str">
        <f t="shared" si="5"/>
        <v>23*</v>
      </c>
      <c r="JC1" s="15" t="str">
        <f t="shared" si="5"/>
        <v>24*</v>
      </c>
      <c r="JD1" s="15" t="str">
        <f t="shared" si="5"/>
        <v>25*</v>
      </c>
      <c r="JE1" s="15" t="str">
        <f t="shared" si="5"/>
        <v>26*</v>
      </c>
      <c r="JF1" s="15" t="str">
        <f t="shared" si="5"/>
        <v>27*</v>
      </c>
      <c r="JG1" s="15" t="str">
        <f t="shared" si="5"/>
        <v>28*</v>
      </c>
      <c r="JH1" s="15" t="str">
        <f t="shared" si="5"/>
        <v>29*</v>
      </c>
      <c r="JI1" s="15" t="str">
        <f t="shared" si="5"/>
        <v>30*</v>
      </c>
      <c r="JJ1" s="15" t="str">
        <f t="shared" si="5"/>
        <v>п.Н</v>
      </c>
      <c r="JK1" s="15" t="str">
        <f t="shared" si="5"/>
        <v>01*</v>
      </c>
      <c r="JL1" s="15" t="str">
        <f t="shared" si="5"/>
        <v>02*</v>
      </c>
      <c r="JM1" s="15" t="str">
        <f t="shared" si="5"/>
        <v>03*</v>
      </c>
      <c r="JN1" s="15" t="str">
        <f t="shared" si="5"/>
        <v>04*</v>
      </c>
      <c r="JO1" s="15" t="str">
        <f t="shared" si="5"/>
        <v>05*</v>
      </c>
      <c r="JP1" s="15" t="str">
        <f t="shared" si="5"/>
        <v>06*</v>
      </c>
      <c r="JQ1" s="15" t="str">
        <f t="shared" si="5"/>
        <v>07*</v>
      </c>
      <c r="JR1" s="15" t="str">
        <f t="shared" si="5"/>
        <v>08*</v>
      </c>
      <c r="JS1" s="15" t="str">
        <f t="shared" si="5"/>
        <v>09*</v>
      </c>
      <c r="JT1" s="15" t="str">
        <f t="shared" si="5"/>
        <v>10*</v>
      </c>
      <c r="JU1" s="15" t="str">
        <f t="shared" ref="JU1:LA1" si="6">IF(RIGHT(JU$5,1)="Н",RIGHT(JU$5,3),MID(JU$5,FIND(".",JU$5)+1,5))</f>
        <v>11*</v>
      </c>
      <c r="JV1" s="15" t="str">
        <f t="shared" si="6"/>
        <v>12*</v>
      </c>
      <c r="JW1" s="15" t="str">
        <f t="shared" si="6"/>
        <v>13*</v>
      </c>
      <c r="JX1" s="15" t="str">
        <f t="shared" si="6"/>
        <v>14*</v>
      </c>
      <c r="JY1" s="15" t="str">
        <f t="shared" si="6"/>
        <v>15*</v>
      </c>
      <c r="JZ1" s="15" t="str">
        <f t="shared" si="6"/>
        <v>16*</v>
      </c>
      <c r="KA1" s="15" t="str">
        <f t="shared" si="6"/>
        <v>17*</v>
      </c>
      <c r="KB1" s="15" t="str">
        <f t="shared" si="6"/>
        <v>18*</v>
      </c>
      <c r="KC1" s="15" t="str">
        <f t="shared" si="6"/>
        <v>19*</v>
      </c>
      <c r="KD1" s="15" t="str">
        <f t="shared" si="6"/>
        <v>20*</v>
      </c>
      <c r="KE1" s="15" t="str">
        <f t="shared" si="6"/>
        <v>21*</v>
      </c>
      <c r="KF1" s="15" t="str">
        <f t="shared" si="6"/>
        <v>22*</v>
      </c>
      <c r="KG1" s="15" t="str">
        <f t="shared" si="6"/>
        <v>23*</v>
      </c>
      <c r="KH1" s="15" t="str">
        <f t="shared" si="6"/>
        <v>24*</v>
      </c>
      <c r="KI1" s="15" t="str">
        <f t="shared" si="6"/>
        <v>25*</v>
      </c>
      <c r="KJ1" s="15" t="str">
        <f t="shared" si="6"/>
        <v>26*</v>
      </c>
      <c r="KK1" s="15" t="str">
        <f t="shared" si="6"/>
        <v>27*</v>
      </c>
      <c r="KL1" s="15" t="str">
        <f t="shared" si="6"/>
        <v>28*</v>
      </c>
      <c r="KM1" s="15" t="str">
        <f t="shared" si="6"/>
        <v>29*</v>
      </c>
      <c r="KN1" s="15" t="str">
        <f t="shared" si="6"/>
        <v>30*</v>
      </c>
      <c r="KO1" s="15" t="str">
        <f t="shared" si="6"/>
        <v>н.Н</v>
      </c>
      <c r="KP1" s="15" t="str">
        <f t="shared" si="6"/>
        <v>01*</v>
      </c>
      <c r="KQ1" s="15" t="str">
        <f t="shared" si="6"/>
        <v>02*</v>
      </c>
      <c r="KR1" s="15" t="str">
        <f t="shared" si="6"/>
        <v>03*</v>
      </c>
      <c r="KS1" s="15" t="str">
        <f t="shared" si="6"/>
        <v>04*</v>
      </c>
      <c r="KT1" s="15" t="str">
        <f t="shared" si="6"/>
        <v>05*</v>
      </c>
      <c r="KU1" s="15" t="str">
        <f t="shared" si="6"/>
        <v>06*</v>
      </c>
      <c r="KV1" s="15" t="str">
        <f t="shared" si="6"/>
        <v>07*</v>
      </c>
      <c r="KW1" s="15" t="str">
        <f t="shared" si="6"/>
        <v>08*</v>
      </c>
      <c r="KX1" s="15" t="str">
        <f t="shared" si="6"/>
        <v>09*</v>
      </c>
      <c r="KY1" s="15" t="str">
        <f t="shared" si="6"/>
        <v>10*</v>
      </c>
      <c r="KZ1" s="15" t="str">
        <f t="shared" si="6"/>
        <v>11*</v>
      </c>
      <c r="LA1" s="15" t="str">
        <f t="shared" si="6"/>
        <v>12*</v>
      </c>
      <c r="LB1" s="15" t="str">
        <f t="shared" ref="LB1:MX1" si="7">IF(RIGHT(LB$5,1)="Н",RIGHT(LB$5,3),MID(LB$5,FIND(".",LB$5)+1,5))</f>
        <v>13*</v>
      </c>
      <c r="LC1" s="15" t="str">
        <f t="shared" si="7"/>
        <v>14*</v>
      </c>
      <c r="LD1" s="15" t="str">
        <f t="shared" si="7"/>
        <v>15*</v>
      </c>
      <c r="LE1" s="15" t="str">
        <f t="shared" si="7"/>
        <v>16*</v>
      </c>
      <c r="LF1" s="15" t="str">
        <f t="shared" si="7"/>
        <v>17*</v>
      </c>
      <c r="LG1" s="15" t="str">
        <f t="shared" si="7"/>
        <v>18*</v>
      </c>
      <c r="LH1" s="15" t="str">
        <f t="shared" si="7"/>
        <v>19*</v>
      </c>
      <c r="LI1" s="15" t="str">
        <f t="shared" si="7"/>
        <v>20*</v>
      </c>
      <c r="LJ1" s="15" t="str">
        <f t="shared" si="7"/>
        <v>21*</v>
      </c>
      <c r="LK1" s="15" t="str">
        <f t="shared" si="7"/>
        <v>22*</v>
      </c>
      <c r="LL1" s="15" t="str">
        <f t="shared" si="7"/>
        <v>23*</v>
      </c>
      <c r="LM1" s="15" t="str">
        <f t="shared" si="7"/>
        <v>24*</v>
      </c>
      <c r="LN1" s="15" t="str">
        <f t="shared" si="7"/>
        <v>25*</v>
      </c>
      <c r="LO1" s="15" t="str">
        <f t="shared" si="7"/>
        <v>26*</v>
      </c>
      <c r="LP1" s="15" t="str">
        <f t="shared" si="7"/>
        <v>27*</v>
      </c>
      <c r="LQ1" s="15" t="str">
        <f t="shared" si="7"/>
        <v>28*</v>
      </c>
      <c r="LR1" s="15" t="str">
        <f t="shared" si="7"/>
        <v>29*</v>
      </c>
      <c r="LS1" s="15" t="str">
        <f t="shared" si="7"/>
        <v>30*</v>
      </c>
      <c r="LT1" s="15" t="str">
        <f t="shared" si="7"/>
        <v>п.Н</v>
      </c>
      <c r="LU1" s="15" t="str">
        <f t="shared" si="7"/>
        <v>01*</v>
      </c>
      <c r="LV1" s="15" t="str">
        <f t="shared" si="7"/>
        <v>02*</v>
      </c>
      <c r="LW1" s="15" t="str">
        <f t="shared" si="7"/>
        <v>03*</v>
      </c>
      <c r="LX1" s="15" t="str">
        <f t="shared" si="7"/>
        <v>04*</v>
      </c>
      <c r="LY1" s="15" t="str">
        <f t="shared" si="7"/>
        <v>05*</v>
      </c>
      <c r="LZ1" s="15" t="str">
        <f t="shared" si="7"/>
        <v>06*</v>
      </c>
      <c r="MA1" s="15" t="str">
        <f t="shared" si="7"/>
        <v>07*</v>
      </c>
      <c r="MB1" s="15" t="str">
        <f t="shared" si="7"/>
        <v>08*</v>
      </c>
      <c r="MC1" s="15" t="str">
        <f t="shared" si="7"/>
        <v>09*</v>
      </c>
      <c r="MD1" s="15" t="str">
        <f t="shared" si="7"/>
        <v>10*</v>
      </c>
      <c r="ME1" s="15" t="str">
        <f t="shared" si="7"/>
        <v>11*</v>
      </c>
      <c r="MF1" s="15" t="str">
        <f t="shared" si="7"/>
        <v>12*</v>
      </c>
      <c r="MG1" s="15" t="str">
        <f t="shared" si="7"/>
        <v>13*</v>
      </c>
      <c r="MH1" s="15" t="str">
        <f t="shared" si="7"/>
        <v>14*</v>
      </c>
      <c r="MI1" s="15" t="str">
        <f t="shared" si="7"/>
        <v>15*</v>
      </c>
      <c r="MJ1" s="15" t="str">
        <f t="shared" si="7"/>
        <v>16*</v>
      </c>
      <c r="MK1" s="15" t="str">
        <f t="shared" si="7"/>
        <v>17*</v>
      </c>
      <c r="ML1" s="15" t="str">
        <f t="shared" si="7"/>
        <v>18*</v>
      </c>
      <c r="MM1" s="15" t="str">
        <f t="shared" si="7"/>
        <v>19*</v>
      </c>
      <c r="MN1" s="15" t="str">
        <f t="shared" si="7"/>
        <v>20*</v>
      </c>
      <c r="MO1" s="15" t="str">
        <f t="shared" si="7"/>
        <v>21*</v>
      </c>
      <c r="MP1" s="15" t="str">
        <f t="shared" si="7"/>
        <v>22*</v>
      </c>
      <c r="MQ1" s="15" t="str">
        <f t="shared" si="7"/>
        <v>23*</v>
      </c>
      <c r="MR1" s="15" t="str">
        <f t="shared" si="7"/>
        <v>24*</v>
      </c>
      <c r="MS1" s="15" t="str">
        <f t="shared" si="7"/>
        <v>25*</v>
      </c>
      <c r="MT1" s="15" t="str">
        <f t="shared" si="7"/>
        <v>26*</v>
      </c>
      <c r="MU1" s="15" t="str">
        <f t="shared" si="7"/>
        <v>27*</v>
      </c>
      <c r="MV1" s="15" t="str">
        <f t="shared" si="7"/>
        <v>28*</v>
      </c>
      <c r="MW1" s="15" t="str">
        <f t="shared" si="7"/>
        <v>29*</v>
      </c>
      <c r="MX1" s="15" t="str">
        <f t="shared" si="7"/>
        <v>30*</v>
      </c>
      <c r="MY1" s="15" t="str">
        <f t="shared" ref="MY1:OT1" si="8">IF(RIGHT(MY$5,1)="Н",RIGHT(MY$5,3),MID(MY$5,FIND(".",MY$5)+1,5))</f>
        <v>н.Н</v>
      </c>
      <c r="MZ1" s="15" t="str">
        <f t="shared" si="8"/>
        <v>01*</v>
      </c>
      <c r="NA1" s="15" t="str">
        <f t="shared" si="8"/>
        <v>02*</v>
      </c>
      <c r="NB1" s="15" t="str">
        <f t="shared" si="8"/>
        <v>03*</v>
      </c>
      <c r="NC1" s="15" t="str">
        <f t="shared" si="8"/>
        <v>04*</v>
      </c>
      <c r="ND1" s="15" t="str">
        <f t="shared" si="8"/>
        <v>05*</v>
      </c>
      <c r="NE1" s="15" t="str">
        <f t="shared" si="8"/>
        <v>06*</v>
      </c>
      <c r="NF1" s="15" t="str">
        <f t="shared" si="8"/>
        <v>07*</v>
      </c>
      <c r="NG1" s="15" t="str">
        <f t="shared" si="8"/>
        <v>08*</v>
      </c>
      <c r="NH1" s="15" t="str">
        <f t="shared" si="8"/>
        <v>09*</v>
      </c>
      <c r="NI1" s="15" t="str">
        <f t="shared" si="8"/>
        <v>10*</v>
      </c>
      <c r="NJ1" s="15" t="str">
        <f t="shared" si="8"/>
        <v>11*</v>
      </c>
      <c r="NK1" s="15" t="str">
        <f t="shared" si="8"/>
        <v>12*</v>
      </c>
      <c r="NL1" s="15" t="str">
        <f t="shared" si="8"/>
        <v>13*</v>
      </c>
      <c r="NM1" s="15" t="str">
        <f t="shared" si="8"/>
        <v>14*</v>
      </c>
      <c r="NN1" s="15" t="str">
        <f t="shared" si="8"/>
        <v>15*</v>
      </c>
      <c r="NO1" s="15" t="str">
        <f t="shared" si="8"/>
        <v>16*</v>
      </c>
      <c r="NP1" s="15" t="str">
        <f t="shared" si="8"/>
        <v>17*</v>
      </c>
      <c r="NQ1" s="15" t="str">
        <f t="shared" si="8"/>
        <v>18*</v>
      </c>
      <c r="NR1" s="15" t="str">
        <f t="shared" si="8"/>
        <v>19*</v>
      </c>
      <c r="NS1" s="15" t="str">
        <f t="shared" si="8"/>
        <v>20*</v>
      </c>
      <c r="NT1" s="15" t="str">
        <f t="shared" si="8"/>
        <v>21*</v>
      </c>
      <c r="NU1" s="15" t="str">
        <f t="shared" si="8"/>
        <v>22*</v>
      </c>
      <c r="NV1" s="15" t="str">
        <f t="shared" si="8"/>
        <v>23*</v>
      </c>
      <c r="NW1" s="15" t="str">
        <f t="shared" si="8"/>
        <v>24*</v>
      </c>
      <c r="NX1" s="15" t="str">
        <f t="shared" si="8"/>
        <v>25*</v>
      </c>
      <c r="NY1" s="15" t="str">
        <f t="shared" si="8"/>
        <v>26*</v>
      </c>
      <c r="NZ1" s="15" t="str">
        <f t="shared" si="8"/>
        <v>27*</v>
      </c>
      <c r="OA1" s="15" t="str">
        <f t="shared" si="8"/>
        <v>28*</v>
      </c>
      <c r="OB1" s="15" t="str">
        <f t="shared" si="8"/>
        <v>29*</v>
      </c>
      <c r="OC1" s="15" t="str">
        <f t="shared" si="8"/>
        <v>30*</v>
      </c>
      <c r="OD1" s="15" t="str">
        <f t="shared" si="8"/>
        <v>п.Н</v>
      </c>
      <c r="OE1" s="15" t="str">
        <f t="shared" si="8"/>
        <v>01*</v>
      </c>
      <c r="OF1" s="15" t="str">
        <f t="shared" si="8"/>
        <v>02*</v>
      </c>
      <c r="OG1" s="15" t="str">
        <f t="shared" si="8"/>
        <v>03*</v>
      </c>
      <c r="OH1" s="15" t="str">
        <f t="shared" si="8"/>
        <v>04*</v>
      </c>
      <c r="OI1" s="15" t="str">
        <f t="shared" si="8"/>
        <v>05*</v>
      </c>
      <c r="OJ1" s="15" t="str">
        <f t="shared" si="8"/>
        <v>06*</v>
      </c>
      <c r="OK1" s="15" t="str">
        <f t="shared" si="8"/>
        <v>07*</v>
      </c>
      <c r="OL1" s="15" t="str">
        <f t="shared" si="8"/>
        <v>08*</v>
      </c>
      <c r="OM1" s="15" t="str">
        <f t="shared" si="8"/>
        <v>09*</v>
      </c>
      <c r="ON1" s="15" t="str">
        <f t="shared" si="8"/>
        <v>10*</v>
      </c>
      <c r="OO1" s="15" t="str">
        <f t="shared" si="8"/>
        <v>11*</v>
      </c>
      <c r="OP1" s="15" t="str">
        <f t="shared" si="8"/>
        <v>12*</v>
      </c>
      <c r="OQ1" s="15" t="str">
        <f t="shared" si="8"/>
        <v>13*</v>
      </c>
      <c r="OR1" s="15" t="str">
        <f t="shared" si="8"/>
        <v>14*</v>
      </c>
      <c r="OS1" s="15" t="str">
        <f t="shared" si="8"/>
        <v>15*</v>
      </c>
      <c r="OT1" s="15" t="str">
        <f t="shared" si="8"/>
        <v>16*</v>
      </c>
      <c r="OU1" s="15" t="str">
        <f t="shared" ref="OU1:QA1" si="9">IF(RIGHT(OU$5,1)="Н",RIGHT(OU$5,3),MID(OU$5,FIND(".",OU$5)+1,5))</f>
        <v>17*</v>
      </c>
      <c r="OV1" s="15" t="str">
        <f t="shared" si="9"/>
        <v>18*</v>
      </c>
      <c r="OW1" s="15" t="str">
        <f t="shared" si="9"/>
        <v>19*</v>
      </c>
      <c r="OX1" s="15" t="str">
        <f t="shared" si="9"/>
        <v>20*</v>
      </c>
      <c r="OY1" s="15" t="str">
        <f t="shared" si="9"/>
        <v>21*</v>
      </c>
      <c r="OZ1" s="15" t="str">
        <f t="shared" si="9"/>
        <v>22*</v>
      </c>
      <c r="PA1" s="15" t="str">
        <f t="shared" si="9"/>
        <v>23*</v>
      </c>
      <c r="PB1" s="15" t="str">
        <f t="shared" si="9"/>
        <v>24*</v>
      </c>
      <c r="PC1" s="15" t="str">
        <f t="shared" si="9"/>
        <v>25*</v>
      </c>
      <c r="PD1" s="15" t="str">
        <f t="shared" si="9"/>
        <v>26*</v>
      </c>
      <c r="PE1" s="15" t="str">
        <f t="shared" si="9"/>
        <v>27*</v>
      </c>
      <c r="PF1" s="15" t="str">
        <f t="shared" si="9"/>
        <v>28*</v>
      </c>
      <c r="PG1" s="15" t="str">
        <f t="shared" si="9"/>
        <v>29*</v>
      </c>
      <c r="PH1" s="15" t="str">
        <f t="shared" si="9"/>
        <v>30*</v>
      </c>
      <c r="PI1" s="15" t="str">
        <f t="shared" si="9"/>
        <v>н.Н</v>
      </c>
      <c r="PJ1" s="15" t="str">
        <f t="shared" si="9"/>
        <v>01*</v>
      </c>
      <c r="PK1" s="15" t="str">
        <f t="shared" si="9"/>
        <v>02*</v>
      </c>
      <c r="PL1" s="15" t="str">
        <f t="shared" si="9"/>
        <v>03*</v>
      </c>
      <c r="PM1" s="15" t="str">
        <f t="shared" si="9"/>
        <v>04*</v>
      </c>
      <c r="PN1" s="15" t="str">
        <f t="shared" si="9"/>
        <v>05*</v>
      </c>
      <c r="PO1" s="15" t="str">
        <f t="shared" si="9"/>
        <v>06*</v>
      </c>
      <c r="PP1" s="15" t="str">
        <f t="shared" si="9"/>
        <v>07*</v>
      </c>
      <c r="PQ1" s="15" t="str">
        <f t="shared" si="9"/>
        <v>08*</v>
      </c>
      <c r="PR1" s="15" t="str">
        <f t="shared" si="9"/>
        <v>09*</v>
      </c>
      <c r="PS1" s="15" t="str">
        <f t="shared" si="9"/>
        <v>10*</v>
      </c>
      <c r="PT1" s="15" t="str">
        <f t="shared" si="9"/>
        <v>11*</v>
      </c>
      <c r="PU1" s="15" t="str">
        <f t="shared" si="9"/>
        <v>12*</v>
      </c>
      <c r="PV1" s="15" t="str">
        <f t="shared" si="9"/>
        <v>13*</v>
      </c>
      <c r="PW1" s="15" t="str">
        <f t="shared" si="9"/>
        <v>14*</v>
      </c>
      <c r="PX1" s="15" t="str">
        <f t="shared" si="9"/>
        <v>15*</v>
      </c>
      <c r="PY1" s="15" t="str">
        <f t="shared" si="9"/>
        <v>16*</v>
      </c>
      <c r="PZ1" s="15" t="str">
        <f t="shared" si="9"/>
        <v>17*</v>
      </c>
      <c r="QA1" s="15" t="str">
        <f t="shared" si="9"/>
        <v>18*</v>
      </c>
      <c r="QB1" s="15" t="str">
        <f t="shared" ref="QB1:RR1" si="10">IF(RIGHT(QB$5,1)="Н",RIGHT(QB$5,3),MID(QB$5,FIND(".",QB$5)+1,5))</f>
        <v>19*</v>
      </c>
      <c r="QC1" s="15" t="str">
        <f t="shared" si="10"/>
        <v>20*</v>
      </c>
      <c r="QD1" s="15" t="str">
        <f t="shared" si="10"/>
        <v>21*</v>
      </c>
      <c r="QE1" s="15" t="str">
        <f t="shared" si="10"/>
        <v>22*</v>
      </c>
      <c r="QF1" s="15" t="str">
        <f t="shared" si="10"/>
        <v>23*</v>
      </c>
      <c r="QG1" s="15" t="str">
        <f t="shared" si="10"/>
        <v>24*</v>
      </c>
      <c r="QH1" s="15" t="str">
        <f t="shared" si="10"/>
        <v>25*</v>
      </c>
      <c r="QI1" s="15" t="str">
        <f t="shared" si="10"/>
        <v>26*</v>
      </c>
      <c r="QJ1" s="15" t="str">
        <f t="shared" si="10"/>
        <v>27*</v>
      </c>
      <c r="QK1" s="15" t="str">
        <f t="shared" si="10"/>
        <v>28*</v>
      </c>
      <c r="QL1" s="15" t="str">
        <f t="shared" si="10"/>
        <v>29*</v>
      </c>
      <c r="QM1" s="15" t="str">
        <f t="shared" si="10"/>
        <v>30*</v>
      </c>
      <c r="QN1" s="15" t="str">
        <f t="shared" si="10"/>
        <v>п.Н</v>
      </c>
      <c r="QO1" s="15" t="str">
        <f t="shared" si="10"/>
        <v>01*</v>
      </c>
      <c r="QP1" s="15" t="str">
        <f t="shared" si="10"/>
        <v>02*</v>
      </c>
      <c r="QQ1" s="15" t="str">
        <f t="shared" si="10"/>
        <v>03*</v>
      </c>
      <c r="QR1" s="15" t="str">
        <f t="shared" si="10"/>
        <v>04*</v>
      </c>
      <c r="QS1" s="15" t="str">
        <f t="shared" si="10"/>
        <v>05*</v>
      </c>
      <c r="QT1" s="15" t="str">
        <f t="shared" si="10"/>
        <v>06*</v>
      </c>
      <c r="QU1" s="15" t="str">
        <f t="shared" si="10"/>
        <v>07*</v>
      </c>
      <c r="QV1" s="15" t="str">
        <f t="shared" si="10"/>
        <v>08*</v>
      </c>
      <c r="QW1" s="15" t="str">
        <f t="shared" si="10"/>
        <v>09*</v>
      </c>
      <c r="QX1" s="15" t="str">
        <f t="shared" si="10"/>
        <v>10*</v>
      </c>
      <c r="QY1" s="15" t="str">
        <f t="shared" si="10"/>
        <v>11*</v>
      </c>
      <c r="QZ1" s="15" t="str">
        <f t="shared" si="10"/>
        <v>12*</v>
      </c>
      <c r="RA1" s="15" t="str">
        <f t="shared" si="10"/>
        <v>13*</v>
      </c>
      <c r="RB1" s="15" t="str">
        <f t="shared" si="10"/>
        <v>14*</v>
      </c>
      <c r="RC1" s="15" t="str">
        <f t="shared" si="10"/>
        <v>15*</v>
      </c>
      <c r="RD1" s="15" t="str">
        <f t="shared" si="10"/>
        <v>16*</v>
      </c>
      <c r="RE1" s="15" t="str">
        <f t="shared" si="10"/>
        <v>17*</v>
      </c>
      <c r="RF1" s="15" t="str">
        <f t="shared" si="10"/>
        <v>18*</v>
      </c>
      <c r="RG1" s="15" t="str">
        <f t="shared" si="10"/>
        <v>19*</v>
      </c>
      <c r="RH1" s="15" t="str">
        <f t="shared" si="10"/>
        <v>20*</v>
      </c>
      <c r="RI1" s="15" t="str">
        <f t="shared" si="10"/>
        <v>21*</v>
      </c>
      <c r="RJ1" s="15" t="str">
        <f t="shared" si="10"/>
        <v>22*</v>
      </c>
      <c r="RK1" s="15" t="str">
        <f t="shared" si="10"/>
        <v>23*</v>
      </c>
      <c r="RL1" s="15" t="str">
        <f t="shared" si="10"/>
        <v>24*</v>
      </c>
      <c r="RM1" s="15" t="str">
        <f t="shared" si="10"/>
        <v>25*</v>
      </c>
      <c r="RN1" s="15" t="str">
        <f t="shared" si="10"/>
        <v>26*</v>
      </c>
      <c r="RO1" s="15" t="str">
        <f t="shared" si="10"/>
        <v>27*</v>
      </c>
      <c r="RP1" s="15" t="str">
        <f t="shared" si="10"/>
        <v>28*</v>
      </c>
      <c r="RQ1" s="15" t="str">
        <f t="shared" si="10"/>
        <v>29*</v>
      </c>
      <c r="RR1" s="15" t="str">
        <f t="shared" si="10"/>
        <v>30*</v>
      </c>
      <c r="RS1" s="15" t="str">
        <f t="shared" ref="RS1:TT1" si="11">IF(RIGHT(RS$5,1)="Н",RIGHT(RS$5,3),MID(RS$5,FIND(".",RS$5)+1,5))</f>
        <v>н.Н</v>
      </c>
      <c r="RT1" s="15" t="str">
        <f t="shared" si="11"/>
        <v>01*</v>
      </c>
      <c r="RU1" s="15" t="str">
        <f t="shared" si="11"/>
        <v>02*</v>
      </c>
      <c r="RV1" s="15" t="str">
        <f t="shared" si="11"/>
        <v>03*</v>
      </c>
      <c r="RW1" s="15" t="str">
        <f t="shared" si="11"/>
        <v>04*</v>
      </c>
      <c r="RX1" s="15" t="str">
        <f t="shared" si="11"/>
        <v>05*</v>
      </c>
      <c r="RY1" s="15" t="str">
        <f t="shared" si="11"/>
        <v>06*</v>
      </c>
      <c r="RZ1" s="15" t="str">
        <f t="shared" si="11"/>
        <v>07*</v>
      </c>
      <c r="SA1" s="15" t="str">
        <f t="shared" si="11"/>
        <v>08*</v>
      </c>
      <c r="SB1" s="15" t="str">
        <f t="shared" si="11"/>
        <v>09*</v>
      </c>
      <c r="SC1" s="15" t="str">
        <f t="shared" si="11"/>
        <v>10*</v>
      </c>
      <c r="SD1" s="15" t="str">
        <f t="shared" si="11"/>
        <v>11*</v>
      </c>
      <c r="SE1" s="15" t="str">
        <f t="shared" si="11"/>
        <v>12*</v>
      </c>
      <c r="SF1" s="15" t="str">
        <f t="shared" si="11"/>
        <v>13*</v>
      </c>
      <c r="SG1" s="15" t="str">
        <f t="shared" si="11"/>
        <v>14*</v>
      </c>
      <c r="SH1" s="15" t="str">
        <f t="shared" si="11"/>
        <v>15*</v>
      </c>
      <c r="SI1" s="15" t="str">
        <f t="shared" si="11"/>
        <v>16*</v>
      </c>
      <c r="SJ1" s="15" t="str">
        <f t="shared" si="11"/>
        <v>17*</v>
      </c>
      <c r="SK1" s="15" t="str">
        <f t="shared" si="11"/>
        <v>18*</v>
      </c>
      <c r="SL1" s="15" t="str">
        <f t="shared" si="11"/>
        <v>19*</v>
      </c>
      <c r="SM1" s="15" t="str">
        <f t="shared" si="11"/>
        <v>20*</v>
      </c>
      <c r="SN1" s="15" t="str">
        <f t="shared" si="11"/>
        <v>21*</v>
      </c>
      <c r="SO1" s="15" t="str">
        <f t="shared" si="11"/>
        <v>22*</v>
      </c>
      <c r="SP1" s="15" t="str">
        <f t="shared" si="11"/>
        <v>23*</v>
      </c>
      <c r="SQ1" s="15" t="str">
        <f t="shared" si="11"/>
        <v>24*</v>
      </c>
      <c r="SR1" s="15" t="str">
        <f t="shared" si="11"/>
        <v>25*</v>
      </c>
      <c r="SS1" s="15" t="str">
        <f t="shared" si="11"/>
        <v>26*</v>
      </c>
      <c r="ST1" s="15" t="str">
        <f t="shared" si="11"/>
        <v>27*</v>
      </c>
      <c r="SU1" s="15" t="str">
        <f t="shared" si="11"/>
        <v>28*</v>
      </c>
      <c r="SV1" s="15" t="str">
        <f t="shared" si="11"/>
        <v>29*</v>
      </c>
      <c r="SW1" s="15" t="str">
        <f t="shared" si="11"/>
        <v>30*</v>
      </c>
      <c r="SX1" s="15" t="str">
        <f t="shared" si="11"/>
        <v>п.Н</v>
      </c>
      <c r="SY1" s="15" t="str">
        <f t="shared" si="11"/>
        <v>01*</v>
      </c>
      <c r="SZ1" s="15" t="str">
        <f t="shared" si="11"/>
        <v>02*</v>
      </c>
      <c r="TA1" s="15" t="str">
        <f t="shared" si="11"/>
        <v>03*</v>
      </c>
      <c r="TB1" s="15" t="str">
        <f t="shared" si="11"/>
        <v>04*</v>
      </c>
      <c r="TC1" s="15" t="str">
        <f t="shared" si="11"/>
        <v>05*</v>
      </c>
      <c r="TD1" s="15" t="str">
        <f t="shared" si="11"/>
        <v>06*</v>
      </c>
      <c r="TE1" s="15" t="str">
        <f t="shared" si="11"/>
        <v>07*</v>
      </c>
      <c r="TF1" s="15" t="str">
        <f t="shared" si="11"/>
        <v>08*</v>
      </c>
      <c r="TG1" s="15" t="str">
        <f t="shared" si="11"/>
        <v>09*</v>
      </c>
      <c r="TH1" s="15" t="str">
        <f t="shared" si="11"/>
        <v>10*</v>
      </c>
      <c r="TI1" s="15" t="str">
        <f t="shared" si="11"/>
        <v>11*</v>
      </c>
      <c r="TJ1" s="15" t="str">
        <f t="shared" si="11"/>
        <v>12*</v>
      </c>
      <c r="TK1" s="15" t="str">
        <f t="shared" si="11"/>
        <v>13*</v>
      </c>
      <c r="TL1" s="15" t="str">
        <f t="shared" si="11"/>
        <v>14*</v>
      </c>
      <c r="TM1" s="15" t="str">
        <f t="shared" si="11"/>
        <v>15*</v>
      </c>
      <c r="TN1" s="15" t="str">
        <f t="shared" si="11"/>
        <v>16*</v>
      </c>
      <c r="TO1" s="15" t="str">
        <f t="shared" si="11"/>
        <v>17*</v>
      </c>
      <c r="TP1" s="15" t="str">
        <f t="shared" si="11"/>
        <v>18*</v>
      </c>
      <c r="TQ1" s="15" t="str">
        <f t="shared" si="11"/>
        <v>19*</v>
      </c>
      <c r="TR1" s="15" t="str">
        <f t="shared" si="11"/>
        <v>20*</v>
      </c>
      <c r="TS1" s="15" t="str">
        <f t="shared" si="11"/>
        <v>21*</v>
      </c>
      <c r="TT1" s="15" t="str">
        <f t="shared" si="11"/>
        <v>22*</v>
      </c>
      <c r="TU1" s="15" t="str">
        <f t="shared" ref="TU1:VA1" si="12">IF(RIGHT(TU$5,1)="Н",RIGHT(TU$5,3),MID(TU$5,FIND(".",TU$5)+1,5))</f>
        <v>23*</v>
      </c>
      <c r="TV1" s="15" t="str">
        <f t="shared" si="12"/>
        <v>24*</v>
      </c>
      <c r="TW1" s="15" t="str">
        <f t="shared" si="12"/>
        <v>25*</v>
      </c>
      <c r="TX1" s="15" t="str">
        <f t="shared" si="12"/>
        <v>26*</v>
      </c>
      <c r="TY1" s="15" t="str">
        <f t="shared" si="12"/>
        <v>27*</v>
      </c>
      <c r="TZ1" s="15" t="str">
        <f t="shared" si="12"/>
        <v>28*</v>
      </c>
      <c r="UA1" s="15" t="str">
        <f t="shared" si="12"/>
        <v>29*</v>
      </c>
      <c r="UB1" s="15" t="str">
        <f t="shared" si="12"/>
        <v>30*</v>
      </c>
      <c r="UC1" s="15" t="str">
        <f t="shared" si="12"/>
        <v>н.Н</v>
      </c>
      <c r="UD1" s="15" t="str">
        <f t="shared" si="12"/>
        <v>01*</v>
      </c>
      <c r="UE1" s="15" t="str">
        <f t="shared" si="12"/>
        <v>02*</v>
      </c>
      <c r="UF1" s="15" t="str">
        <f t="shared" si="12"/>
        <v>03*</v>
      </c>
      <c r="UG1" s="15" t="str">
        <f t="shared" si="12"/>
        <v>04*</v>
      </c>
      <c r="UH1" s="15" t="str">
        <f t="shared" si="12"/>
        <v>05*</v>
      </c>
      <c r="UI1" s="15" t="str">
        <f t="shared" si="12"/>
        <v>06*</v>
      </c>
      <c r="UJ1" s="15" t="str">
        <f t="shared" si="12"/>
        <v>07*</v>
      </c>
      <c r="UK1" s="15" t="str">
        <f t="shared" si="12"/>
        <v>08*</v>
      </c>
      <c r="UL1" s="15" t="str">
        <f t="shared" si="12"/>
        <v>09*</v>
      </c>
      <c r="UM1" s="15" t="str">
        <f t="shared" si="12"/>
        <v>10*</v>
      </c>
      <c r="UN1" s="15" t="str">
        <f t="shared" si="12"/>
        <v>11*</v>
      </c>
      <c r="UO1" s="15" t="str">
        <f t="shared" si="12"/>
        <v>12*</v>
      </c>
      <c r="UP1" s="15" t="str">
        <f t="shared" si="12"/>
        <v>13*</v>
      </c>
      <c r="UQ1" s="15" t="str">
        <f t="shared" si="12"/>
        <v>14*</v>
      </c>
      <c r="UR1" s="15" t="str">
        <f t="shared" si="12"/>
        <v>15*</v>
      </c>
      <c r="US1" s="15" t="str">
        <f t="shared" si="12"/>
        <v>16*</v>
      </c>
      <c r="UT1" s="15" t="str">
        <f t="shared" si="12"/>
        <v>17*</v>
      </c>
      <c r="UU1" s="15" t="str">
        <f t="shared" si="12"/>
        <v>18*</v>
      </c>
      <c r="UV1" s="15" t="str">
        <f t="shared" si="12"/>
        <v>19*</v>
      </c>
      <c r="UW1" s="15" t="str">
        <f t="shared" si="12"/>
        <v>20*</v>
      </c>
      <c r="UX1" s="15" t="str">
        <f t="shared" si="12"/>
        <v>21*</v>
      </c>
      <c r="UY1" s="15" t="str">
        <f t="shared" si="12"/>
        <v>22*</v>
      </c>
      <c r="UZ1" s="15" t="str">
        <f t="shared" si="12"/>
        <v>23*</v>
      </c>
      <c r="VA1" s="15" t="str">
        <f t="shared" si="12"/>
        <v>24*</v>
      </c>
      <c r="VB1" s="15" t="str">
        <f t="shared" ref="VB1:WL1" si="13">IF(RIGHT(VB$5,1)="Н",RIGHT(VB$5,3),MID(VB$5,FIND(".",VB$5)+1,5))</f>
        <v>25*</v>
      </c>
      <c r="VC1" s="15" t="str">
        <f t="shared" si="13"/>
        <v>26*</v>
      </c>
      <c r="VD1" s="15" t="str">
        <f t="shared" si="13"/>
        <v>27*</v>
      </c>
      <c r="VE1" s="15" t="str">
        <f t="shared" si="13"/>
        <v>28*</v>
      </c>
      <c r="VF1" s="15" t="str">
        <f t="shared" si="13"/>
        <v>29*</v>
      </c>
      <c r="VG1" s="15" t="str">
        <f t="shared" si="13"/>
        <v>30*</v>
      </c>
      <c r="VH1" s="15" t="str">
        <f t="shared" si="13"/>
        <v>п.Н</v>
      </c>
      <c r="VI1" s="15" t="str">
        <f t="shared" si="13"/>
        <v>01*</v>
      </c>
      <c r="VJ1" s="15" t="str">
        <f t="shared" si="13"/>
        <v>02*</v>
      </c>
      <c r="VK1" s="15" t="str">
        <f t="shared" si="13"/>
        <v>03*</v>
      </c>
      <c r="VL1" s="15" t="str">
        <f t="shared" si="13"/>
        <v>04*</v>
      </c>
      <c r="VM1" s="15" t="str">
        <f t="shared" si="13"/>
        <v>05*</v>
      </c>
      <c r="VN1" s="15" t="str">
        <f t="shared" si="13"/>
        <v>06*</v>
      </c>
      <c r="VO1" s="15" t="str">
        <f t="shared" si="13"/>
        <v>07*</v>
      </c>
      <c r="VP1" s="15" t="str">
        <f t="shared" si="13"/>
        <v>08*</v>
      </c>
      <c r="VQ1" s="15" t="str">
        <f t="shared" si="13"/>
        <v>09*</v>
      </c>
      <c r="VR1" s="15" t="str">
        <f t="shared" si="13"/>
        <v>10*</v>
      </c>
      <c r="VS1" s="15" t="str">
        <f t="shared" si="13"/>
        <v>11*</v>
      </c>
      <c r="VT1" s="15" t="str">
        <f t="shared" si="13"/>
        <v>12*</v>
      </c>
      <c r="VU1" s="15" t="str">
        <f t="shared" si="13"/>
        <v>13*</v>
      </c>
      <c r="VV1" s="15" t="str">
        <f t="shared" si="13"/>
        <v>14*</v>
      </c>
      <c r="VW1" s="15" t="str">
        <f t="shared" si="13"/>
        <v>15*</v>
      </c>
      <c r="VX1" s="15" t="str">
        <f t="shared" si="13"/>
        <v>16*</v>
      </c>
      <c r="VY1" s="15" t="str">
        <f t="shared" si="13"/>
        <v>17*</v>
      </c>
      <c r="VZ1" s="15" t="str">
        <f t="shared" si="13"/>
        <v>18*</v>
      </c>
      <c r="WA1" s="15" t="str">
        <f t="shared" si="13"/>
        <v>19*</v>
      </c>
      <c r="WB1" s="15" t="str">
        <f t="shared" si="13"/>
        <v>20*</v>
      </c>
      <c r="WC1" s="15" t="str">
        <f t="shared" si="13"/>
        <v>21*</v>
      </c>
      <c r="WD1" s="15" t="str">
        <f t="shared" si="13"/>
        <v>22*</v>
      </c>
      <c r="WE1" s="15" t="str">
        <f t="shared" si="13"/>
        <v>23*</v>
      </c>
      <c r="WF1" s="15" t="str">
        <f t="shared" si="13"/>
        <v>24*</v>
      </c>
      <c r="WG1" s="15" t="str">
        <f t="shared" si="13"/>
        <v>25*</v>
      </c>
      <c r="WH1" s="15" t="str">
        <f t="shared" si="13"/>
        <v>26*</v>
      </c>
      <c r="WI1" s="15" t="str">
        <f t="shared" si="13"/>
        <v>27*</v>
      </c>
      <c r="WJ1" s="15" t="str">
        <f t="shared" si="13"/>
        <v>28*</v>
      </c>
      <c r="WK1" s="15" t="str">
        <f t="shared" si="13"/>
        <v>29*</v>
      </c>
      <c r="WL1" s="15" t="str">
        <f t="shared" si="13"/>
        <v>30*</v>
      </c>
      <c r="WM1" s="15" t="str">
        <f t="shared" ref="WM1:YT1" si="14">IF(RIGHT(WM$5,1)="Н",RIGHT(WM$5,3),MID(WM$5,FIND(".",WM$5)+1,5))</f>
        <v>н.Н</v>
      </c>
      <c r="WN1" s="15" t="str">
        <f t="shared" si="14"/>
        <v>01*</v>
      </c>
      <c r="WO1" s="15" t="str">
        <f t="shared" si="14"/>
        <v>02*</v>
      </c>
      <c r="WP1" s="15" t="str">
        <f t="shared" si="14"/>
        <v>03*</v>
      </c>
      <c r="WQ1" s="15" t="str">
        <f t="shared" si="14"/>
        <v>04*</v>
      </c>
      <c r="WR1" s="15" t="str">
        <f t="shared" si="14"/>
        <v>05*</v>
      </c>
      <c r="WS1" s="15" t="str">
        <f t="shared" si="14"/>
        <v>06*</v>
      </c>
      <c r="WT1" s="15" t="str">
        <f t="shared" si="14"/>
        <v>07*</v>
      </c>
      <c r="WU1" s="15" t="str">
        <f t="shared" si="14"/>
        <v>08*</v>
      </c>
      <c r="WV1" s="15" t="str">
        <f t="shared" si="14"/>
        <v>09*</v>
      </c>
      <c r="WW1" s="15" t="str">
        <f t="shared" si="14"/>
        <v>10*</v>
      </c>
      <c r="WX1" s="15" t="str">
        <f t="shared" si="14"/>
        <v>11*</v>
      </c>
      <c r="WY1" s="15" t="str">
        <f t="shared" si="14"/>
        <v>12*</v>
      </c>
      <c r="WZ1" s="15" t="str">
        <f t="shared" si="14"/>
        <v>13*</v>
      </c>
      <c r="XA1" s="15" t="str">
        <f t="shared" si="14"/>
        <v>14*</v>
      </c>
      <c r="XB1" s="15" t="str">
        <f t="shared" si="14"/>
        <v>15*</v>
      </c>
      <c r="XC1" s="15" t="str">
        <f t="shared" si="14"/>
        <v>16*</v>
      </c>
      <c r="XD1" s="15" t="str">
        <f t="shared" si="14"/>
        <v>17*</v>
      </c>
      <c r="XE1" s="15" t="str">
        <f t="shared" si="14"/>
        <v>18*</v>
      </c>
      <c r="XF1" s="15" t="str">
        <f t="shared" si="14"/>
        <v>19*</v>
      </c>
      <c r="XG1" s="15" t="str">
        <f t="shared" si="14"/>
        <v>20*</v>
      </c>
      <c r="XH1" s="15" t="str">
        <f t="shared" si="14"/>
        <v>21*</v>
      </c>
      <c r="XI1" s="15" t="str">
        <f t="shared" si="14"/>
        <v>22*</v>
      </c>
      <c r="XJ1" s="15" t="str">
        <f t="shared" si="14"/>
        <v>23*</v>
      </c>
      <c r="XK1" s="15" t="str">
        <f t="shared" si="14"/>
        <v>24*</v>
      </c>
      <c r="XL1" s="15" t="str">
        <f t="shared" si="14"/>
        <v>25*</v>
      </c>
      <c r="XM1" s="15" t="str">
        <f t="shared" si="14"/>
        <v>26*</v>
      </c>
      <c r="XN1" s="15" t="str">
        <f t="shared" si="14"/>
        <v>27*</v>
      </c>
      <c r="XO1" s="15" t="str">
        <f t="shared" si="14"/>
        <v>28*</v>
      </c>
      <c r="XP1" s="15" t="str">
        <f t="shared" si="14"/>
        <v>29*</v>
      </c>
      <c r="XQ1" s="15" t="str">
        <f t="shared" si="14"/>
        <v>30*</v>
      </c>
      <c r="XR1" s="15" t="str">
        <f t="shared" si="14"/>
        <v>п.Н</v>
      </c>
      <c r="XS1" s="15" t="str">
        <f t="shared" si="14"/>
        <v>01*</v>
      </c>
      <c r="XT1" s="15" t="str">
        <f t="shared" si="14"/>
        <v>02*</v>
      </c>
      <c r="XU1" s="15" t="str">
        <f t="shared" si="14"/>
        <v>03*</v>
      </c>
      <c r="XV1" s="15" t="str">
        <f t="shared" si="14"/>
        <v>04*</v>
      </c>
      <c r="XW1" s="15" t="str">
        <f t="shared" si="14"/>
        <v>05*</v>
      </c>
      <c r="XX1" s="15" t="str">
        <f t="shared" si="14"/>
        <v>06*</v>
      </c>
      <c r="XY1" s="15" t="str">
        <f t="shared" si="14"/>
        <v>07*</v>
      </c>
      <c r="XZ1" s="15" t="str">
        <f t="shared" si="14"/>
        <v>08*</v>
      </c>
      <c r="YA1" s="15" t="str">
        <f t="shared" si="14"/>
        <v>09*</v>
      </c>
      <c r="YB1" s="15" t="str">
        <f t="shared" si="14"/>
        <v>10*</v>
      </c>
      <c r="YC1" s="15" t="str">
        <f t="shared" si="14"/>
        <v>11*</v>
      </c>
      <c r="YD1" s="15" t="str">
        <f t="shared" si="14"/>
        <v>12*</v>
      </c>
      <c r="YE1" s="15" t="str">
        <f t="shared" si="14"/>
        <v>13*</v>
      </c>
      <c r="YF1" s="15" t="str">
        <f t="shared" si="14"/>
        <v>14*</v>
      </c>
      <c r="YG1" s="15" t="str">
        <f t="shared" si="14"/>
        <v>15*</v>
      </c>
      <c r="YH1" s="15" t="str">
        <f t="shared" si="14"/>
        <v>16*</v>
      </c>
      <c r="YI1" s="15" t="str">
        <f t="shared" si="14"/>
        <v>17*</v>
      </c>
      <c r="YJ1" s="15" t="str">
        <f t="shared" si="14"/>
        <v>18*</v>
      </c>
      <c r="YK1" s="15" t="str">
        <f t="shared" si="14"/>
        <v>19*</v>
      </c>
      <c r="YL1" s="15" t="str">
        <f t="shared" si="14"/>
        <v>20*</v>
      </c>
      <c r="YM1" s="15" t="str">
        <f t="shared" si="14"/>
        <v>21*</v>
      </c>
      <c r="YN1" s="15" t="str">
        <f t="shared" si="14"/>
        <v>22*</v>
      </c>
      <c r="YO1" s="15" t="str">
        <f t="shared" si="14"/>
        <v>23*</v>
      </c>
      <c r="YP1" s="15" t="str">
        <f t="shared" si="14"/>
        <v>24*</v>
      </c>
      <c r="YQ1" s="15" t="str">
        <f t="shared" si="14"/>
        <v>25*</v>
      </c>
      <c r="YR1" s="15" t="str">
        <f t="shared" si="14"/>
        <v>26*</v>
      </c>
      <c r="YS1" s="15" t="str">
        <f t="shared" si="14"/>
        <v>27*</v>
      </c>
      <c r="YT1" s="15" t="str">
        <f t="shared" si="14"/>
        <v>28*</v>
      </c>
      <c r="YU1" s="15" t="str">
        <f t="shared" ref="YU1:AAA1" si="15">IF(RIGHT(YU$5,1)="Н",RIGHT(YU$5,3),MID(YU$5,FIND(".",YU$5)+1,5))</f>
        <v>29*</v>
      </c>
      <c r="YV1" s="15" t="str">
        <f t="shared" si="15"/>
        <v>30*</v>
      </c>
      <c r="YW1" s="15" t="str">
        <f t="shared" si="15"/>
        <v>н.Н</v>
      </c>
      <c r="YX1" s="15" t="str">
        <f t="shared" si="15"/>
        <v>01*</v>
      </c>
      <c r="YY1" s="15" t="str">
        <f t="shared" si="15"/>
        <v>02*</v>
      </c>
      <c r="YZ1" s="15" t="str">
        <f t="shared" si="15"/>
        <v>03*</v>
      </c>
      <c r="ZA1" s="15" t="str">
        <f t="shared" si="15"/>
        <v>04*</v>
      </c>
      <c r="ZB1" s="15" t="str">
        <f t="shared" si="15"/>
        <v>05*</v>
      </c>
      <c r="ZC1" s="15" t="str">
        <f t="shared" si="15"/>
        <v>06*</v>
      </c>
      <c r="ZD1" s="15" t="str">
        <f t="shared" si="15"/>
        <v>07*</v>
      </c>
      <c r="ZE1" s="15" t="str">
        <f t="shared" si="15"/>
        <v>08*</v>
      </c>
      <c r="ZF1" s="15" t="str">
        <f t="shared" si="15"/>
        <v>09*</v>
      </c>
      <c r="ZG1" s="15" t="str">
        <f t="shared" si="15"/>
        <v>10*</v>
      </c>
      <c r="ZH1" s="15" t="str">
        <f t="shared" si="15"/>
        <v>11*</v>
      </c>
      <c r="ZI1" s="15" t="str">
        <f t="shared" si="15"/>
        <v>12*</v>
      </c>
      <c r="ZJ1" s="15" t="str">
        <f t="shared" si="15"/>
        <v>13*</v>
      </c>
      <c r="ZK1" s="15" t="str">
        <f t="shared" si="15"/>
        <v>14*</v>
      </c>
      <c r="ZL1" s="15" t="str">
        <f t="shared" si="15"/>
        <v>15*</v>
      </c>
      <c r="ZM1" s="15" t="str">
        <f t="shared" si="15"/>
        <v>16*</v>
      </c>
      <c r="ZN1" s="15" t="str">
        <f t="shared" si="15"/>
        <v>17*</v>
      </c>
      <c r="ZO1" s="15" t="str">
        <f t="shared" si="15"/>
        <v>18*</v>
      </c>
      <c r="ZP1" s="15" t="str">
        <f t="shared" si="15"/>
        <v>19*</v>
      </c>
      <c r="ZQ1" s="15" t="str">
        <f t="shared" si="15"/>
        <v>20*</v>
      </c>
      <c r="ZR1" s="15" t="str">
        <f t="shared" si="15"/>
        <v>21*</v>
      </c>
      <c r="ZS1" s="15" t="str">
        <f t="shared" si="15"/>
        <v>22*</v>
      </c>
      <c r="ZT1" s="15" t="str">
        <f t="shared" si="15"/>
        <v>23*</v>
      </c>
      <c r="ZU1" s="15" t="str">
        <f t="shared" si="15"/>
        <v>24*</v>
      </c>
      <c r="ZV1" s="15" t="str">
        <f t="shared" si="15"/>
        <v>25*</v>
      </c>
      <c r="ZW1" s="15" t="str">
        <f t="shared" si="15"/>
        <v>26*</v>
      </c>
      <c r="ZX1" s="15" t="str">
        <f t="shared" si="15"/>
        <v>27*</v>
      </c>
      <c r="ZY1" s="15" t="str">
        <f t="shared" si="15"/>
        <v>28*</v>
      </c>
      <c r="ZZ1" s="15" t="str">
        <f t="shared" si="15"/>
        <v>29*</v>
      </c>
      <c r="AAA1" s="15" t="str">
        <f t="shared" si="15"/>
        <v>30*</v>
      </c>
      <c r="AAB1" s="15" t="str">
        <f t="shared" ref="AAB1:ABH1" si="16">IF(RIGHT(AAB$5,1)="Н",RIGHT(AAB$5,3),MID(AAB$5,FIND(".",AAB$5)+1,5))</f>
        <v>п.Н</v>
      </c>
      <c r="AAC1" s="15" t="str">
        <f t="shared" si="16"/>
        <v>01*</v>
      </c>
      <c r="AAD1" s="15" t="str">
        <f t="shared" si="16"/>
        <v>02*</v>
      </c>
      <c r="AAE1" s="15" t="str">
        <f t="shared" si="16"/>
        <v>03*</v>
      </c>
      <c r="AAF1" s="15" t="str">
        <f t="shared" si="16"/>
        <v>04*</v>
      </c>
      <c r="AAG1" s="15" t="str">
        <f t="shared" si="16"/>
        <v>05*</v>
      </c>
      <c r="AAH1" s="15" t="str">
        <f t="shared" si="16"/>
        <v>06*</v>
      </c>
      <c r="AAI1" s="15" t="str">
        <f t="shared" si="16"/>
        <v>07*</v>
      </c>
      <c r="AAJ1" s="15" t="str">
        <f t="shared" si="16"/>
        <v>08*</v>
      </c>
      <c r="AAK1" s="15" t="str">
        <f t="shared" si="16"/>
        <v>09*</v>
      </c>
      <c r="AAL1" s="15" t="str">
        <f t="shared" si="16"/>
        <v>10*</v>
      </c>
      <c r="AAM1" s="15" t="str">
        <f t="shared" si="16"/>
        <v>11*</v>
      </c>
      <c r="AAN1" s="15" t="str">
        <f t="shared" si="16"/>
        <v>12*</v>
      </c>
      <c r="AAO1" s="15" t="str">
        <f t="shared" si="16"/>
        <v>13*</v>
      </c>
      <c r="AAP1" s="15" t="str">
        <f t="shared" si="16"/>
        <v>14*</v>
      </c>
      <c r="AAQ1" s="15" t="str">
        <f t="shared" si="16"/>
        <v>15*</v>
      </c>
      <c r="AAR1" s="15" t="str">
        <f t="shared" si="16"/>
        <v>16*</v>
      </c>
      <c r="AAS1" s="15" t="str">
        <f t="shared" si="16"/>
        <v>17*</v>
      </c>
      <c r="AAT1" s="15" t="str">
        <f t="shared" si="16"/>
        <v>18*</v>
      </c>
      <c r="AAU1" s="15" t="str">
        <f t="shared" si="16"/>
        <v>19*</v>
      </c>
      <c r="AAV1" s="15" t="str">
        <f t="shared" si="16"/>
        <v>20*</v>
      </c>
      <c r="AAW1" s="15" t="str">
        <f t="shared" si="16"/>
        <v>21*</v>
      </c>
      <c r="AAX1" s="15" t="str">
        <f t="shared" si="16"/>
        <v>22*</v>
      </c>
      <c r="AAY1" s="15" t="str">
        <f t="shared" si="16"/>
        <v>23*</v>
      </c>
      <c r="AAZ1" s="15" t="str">
        <f t="shared" si="16"/>
        <v>24*</v>
      </c>
      <c r="ABA1" s="15" t="str">
        <f t="shared" si="16"/>
        <v>25*</v>
      </c>
      <c r="ABB1" s="15" t="str">
        <f t="shared" si="16"/>
        <v>26*</v>
      </c>
      <c r="ABC1" s="15" t="str">
        <f t="shared" si="16"/>
        <v>27*</v>
      </c>
      <c r="ABD1" s="15" t="str">
        <f t="shared" si="16"/>
        <v>28*</v>
      </c>
      <c r="ABE1" s="15" t="str">
        <f t="shared" si="16"/>
        <v>29*</v>
      </c>
      <c r="ABF1" s="15" t="str">
        <f t="shared" si="16"/>
        <v>30*</v>
      </c>
      <c r="ABG1" s="15" t="str">
        <f t="shared" si="16"/>
        <v>н.Н</v>
      </c>
      <c r="ABH1" s="15" t="str">
        <f t="shared" si="16"/>
        <v>01*</v>
      </c>
      <c r="ABI1" s="15" t="str">
        <f t="shared" ref="ABI1:ADP1" si="17">IF(RIGHT(ABI$5,1)="Н",RIGHT(ABI$5,3),MID(ABI$5,FIND(".",ABI$5)+1,5))</f>
        <v>02*</v>
      </c>
      <c r="ABJ1" s="15" t="str">
        <f t="shared" si="17"/>
        <v>03*</v>
      </c>
      <c r="ABK1" s="15" t="str">
        <f t="shared" si="17"/>
        <v>04*</v>
      </c>
      <c r="ABL1" s="15" t="str">
        <f t="shared" si="17"/>
        <v>05*</v>
      </c>
      <c r="ABM1" s="15" t="str">
        <f t="shared" si="17"/>
        <v>06*</v>
      </c>
      <c r="ABN1" s="15" t="str">
        <f t="shared" si="17"/>
        <v>07*</v>
      </c>
      <c r="ABO1" s="15" t="str">
        <f t="shared" si="17"/>
        <v>08*</v>
      </c>
      <c r="ABP1" s="15" t="str">
        <f t="shared" si="17"/>
        <v>09*</v>
      </c>
      <c r="ABQ1" s="15" t="str">
        <f t="shared" si="17"/>
        <v>10*</v>
      </c>
      <c r="ABR1" s="15" t="str">
        <f t="shared" si="17"/>
        <v>11*</v>
      </c>
      <c r="ABS1" s="15" t="str">
        <f t="shared" si="17"/>
        <v>12*</v>
      </c>
      <c r="ABT1" s="15" t="str">
        <f t="shared" si="17"/>
        <v>13*</v>
      </c>
      <c r="ABU1" s="15" t="str">
        <f t="shared" si="17"/>
        <v>14*</v>
      </c>
      <c r="ABV1" s="15" t="str">
        <f t="shared" si="17"/>
        <v>15*</v>
      </c>
      <c r="ABW1" s="15" t="str">
        <f t="shared" si="17"/>
        <v>16*</v>
      </c>
      <c r="ABX1" s="15" t="str">
        <f t="shared" si="17"/>
        <v>17*</v>
      </c>
      <c r="ABY1" s="15" t="str">
        <f t="shared" si="17"/>
        <v>18*</v>
      </c>
      <c r="ABZ1" s="15" t="str">
        <f t="shared" si="17"/>
        <v>19*</v>
      </c>
      <c r="ACA1" s="15" t="str">
        <f t="shared" si="17"/>
        <v>20*</v>
      </c>
      <c r="ACB1" s="15" t="str">
        <f t="shared" si="17"/>
        <v>21*</v>
      </c>
      <c r="ACC1" s="15" t="str">
        <f t="shared" si="17"/>
        <v>22*</v>
      </c>
      <c r="ACD1" s="15" t="str">
        <f t="shared" si="17"/>
        <v>23*</v>
      </c>
      <c r="ACE1" s="15" t="str">
        <f t="shared" si="17"/>
        <v>24*</v>
      </c>
      <c r="ACF1" s="15" t="str">
        <f t="shared" si="17"/>
        <v>25*</v>
      </c>
      <c r="ACG1" s="15" t="str">
        <f t="shared" si="17"/>
        <v>26*</v>
      </c>
      <c r="ACH1" s="15" t="str">
        <f t="shared" si="17"/>
        <v>27*</v>
      </c>
      <c r="ACI1" s="15" t="str">
        <f t="shared" si="17"/>
        <v>28*</v>
      </c>
      <c r="ACJ1" s="15" t="str">
        <f t="shared" si="17"/>
        <v>29*</v>
      </c>
      <c r="ACK1" s="15" t="str">
        <f t="shared" si="17"/>
        <v>30*</v>
      </c>
      <c r="ACL1" s="15" t="str">
        <f t="shared" si="17"/>
        <v>п.Н</v>
      </c>
      <c r="ACM1" s="15" t="str">
        <f t="shared" si="17"/>
        <v>01*</v>
      </c>
      <c r="ACN1" s="15" t="str">
        <f t="shared" si="17"/>
        <v>02*</v>
      </c>
      <c r="ACO1" s="15" t="str">
        <f t="shared" si="17"/>
        <v>03*</v>
      </c>
      <c r="ACP1" s="15" t="str">
        <f t="shared" si="17"/>
        <v>04*</v>
      </c>
      <c r="ACQ1" s="15" t="str">
        <f t="shared" si="17"/>
        <v>05*</v>
      </c>
      <c r="ACR1" s="15" t="str">
        <f t="shared" si="17"/>
        <v>06*</v>
      </c>
      <c r="ACS1" s="15" t="str">
        <f t="shared" si="17"/>
        <v>07*</v>
      </c>
      <c r="ACT1" s="15" t="str">
        <f t="shared" si="17"/>
        <v>08*</v>
      </c>
      <c r="ACU1" s="15" t="str">
        <f t="shared" si="17"/>
        <v>09*</v>
      </c>
      <c r="ACV1" s="15" t="str">
        <f t="shared" si="17"/>
        <v>10*</v>
      </c>
      <c r="ACW1" s="15" t="str">
        <f t="shared" si="17"/>
        <v>11*</v>
      </c>
      <c r="ACX1" s="15" t="str">
        <f t="shared" si="17"/>
        <v>12*</v>
      </c>
      <c r="ACY1" s="15" t="str">
        <f t="shared" si="17"/>
        <v>13*</v>
      </c>
      <c r="ACZ1" s="15" t="str">
        <f t="shared" si="17"/>
        <v>14*</v>
      </c>
      <c r="ADA1" s="15" t="str">
        <f t="shared" si="17"/>
        <v>15*</v>
      </c>
      <c r="ADB1" s="15" t="str">
        <f t="shared" si="17"/>
        <v>16*</v>
      </c>
      <c r="ADC1" s="15" t="str">
        <f t="shared" si="17"/>
        <v>17*</v>
      </c>
      <c r="ADD1" s="15" t="str">
        <f t="shared" si="17"/>
        <v>18*</v>
      </c>
      <c r="ADE1" s="15" t="str">
        <f t="shared" si="17"/>
        <v>19*</v>
      </c>
      <c r="ADF1" s="15" t="str">
        <f t="shared" si="17"/>
        <v>20*</v>
      </c>
      <c r="ADG1" s="15" t="str">
        <f t="shared" si="17"/>
        <v>21*</v>
      </c>
      <c r="ADH1" s="15" t="str">
        <f t="shared" si="17"/>
        <v>22*</v>
      </c>
      <c r="ADI1" s="15" t="str">
        <f t="shared" si="17"/>
        <v>23*</v>
      </c>
      <c r="ADJ1" s="15" t="str">
        <f t="shared" si="17"/>
        <v>24*</v>
      </c>
      <c r="ADK1" s="15" t="str">
        <f t="shared" si="17"/>
        <v>25*</v>
      </c>
      <c r="ADL1" s="15" t="str">
        <f t="shared" si="17"/>
        <v>26*</v>
      </c>
      <c r="ADM1" s="15" t="str">
        <f t="shared" si="17"/>
        <v>27*</v>
      </c>
      <c r="ADN1" s="15" t="str">
        <f t="shared" si="17"/>
        <v>28*</v>
      </c>
      <c r="ADO1" s="15" t="str">
        <f t="shared" si="17"/>
        <v>29*</v>
      </c>
      <c r="ADP1" s="15" t="str">
        <f t="shared" si="17"/>
        <v>30*</v>
      </c>
      <c r="ADQ1" s="15" t="str">
        <f t="shared" ref="ADQ1:AFA1" si="18">IF(RIGHT(ADQ$5,1)="Н",RIGHT(ADQ$5,3),MID(ADQ$5,FIND(".",ADQ$5)+1,5))</f>
        <v>н.Н</v>
      </c>
      <c r="ADR1" s="15" t="str">
        <f t="shared" si="18"/>
        <v>01*</v>
      </c>
      <c r="ADS1" s="15" t="str">
        <f t="shared" si="18"/>
        <v>02*</v>
      </c>
      <c r="ADT1" s="15" t="str">
        <f t="shared" si="18"/>
        <v>03*</v>
      </c>
      <c r="ADU1" s="15" t="str">
        <f t="shared" si="18"/>
        <v>04*</v>
      </c>
      <c r="ADV1" s="15" t="str">
        <f t="shared" si="18"/>
        <v>05*</v>
      </c>
      <c r="ADW1" s="15" t="str">
        <f t="shared" si="18"/>
        <v>06*</v>
      </c>
      <c r="ADX1" s="15" t="str">
        <f t="shared" si="18"/>
        <v>07*</v>
      </c>
      <c r="ADY1" s="15" t="str">
        <f t="shared" si="18"/>
        <v>08*</v>
      </c>
      <c r="ADZ1" s="15" t="str">
        <f t="shared" si="18"/>
        <v>09*</v>
      </c>
      <c r="AEA1" s="15" t="str">
        <f t="shared" si="18"/>
        <v>10*</v>
      </c>
      <c r="AEB1" s="15" t="str">
        <f t="shared" si="18"/>
        <v>11*</v>
      </c>
      <c r="AEC1" s="15" t="str">
        <f t="shared" si="18"/>
        <v>12*</v>
      </c>
      <c r="AED1" s="15" t="str">
        <f t="shared" si="18"/>
        <v>13*</v>
      </c>
      <c r="AEE1" s="15" t="str">
        <f t="shared" si="18"/>
        <v>14*</v>
      </c>
      <c r="AEF1" s="15" t="str">
        <f t="shared" si="18"/>
        <v>15*</v>
      </c>
      <c r="AEG1" s="15" t="str">
        <f t="shared" si="18"/>
        <v>16*</v>
      </c>
      <c r="AEH1" s="15" t="str">
        <f t="shared" si="18"/>
        <v>17*</v>
      </c>
      <c r="AEI1" s="15" t="str">
        <f t="shared" si="18"/>
        <v>18*</v>
      </c>
      <c r="AEJ1" s="15" t="str">
        <f t="shared" si="18"/>
        <v>19*</v>
      </c>
      <c r="AEK1" s="15" t="str">
        <f t="shared" si="18"/>
        <v>20*</v>
      </c>
      <c r="AEL1" s="15" t="str">
        <f t="shared" si="18"/>
        <v>21*</v>
      </c>
      <c r="AEM1" s="15" t="str">
        <f t="shared" si="18"/>
        <v>22*</v>
      </c>
      <c r="AEN1" s="15" t="str">
        <f t="shared" si="18"/>
        <v>23*</v>
      </c>
      <c r="AEO1" s="15" t="str">
        <f t="shared" si="18"/>
        <v>24*</v>
      </c>
      <c r="AEP1" s="15" t="str">
        <f t="shared" si="18"/>
        <v>25*</v>
      </c>
      <c r="AEQ1" s="15" t="str">
        <f t="shared" si="18"/>
        <v>26*</v>
      </c>
      <c r="AER1" s="15" t="str">
        <f t="shared" si="18"/>
        <v>27*</v>
      </c>
      <c r="AES1" s="15" t="str">
        <f t="shared" si="18"/>
        <v>28*</v>
      </c>
      <c r="AET1" s="15" t="str">
        <f t="shared" si="18"/>
        <v>29*</v>
      </c>
      <c r="AEU1" s="15" t="str">
        <f t="shared" si="18"/>
        <v>30*</v>
      </c>
      <c r="AEV1" s="15" t="str">
        <f t="shared" si="18"/>
        <v>п.Н</v>
      </c>
      <c r="AEW1" s="15" t="str">
        <f t="shared" si="18"/>
        <v>01*</v>
      </c>
      <c r="AEX1" s="15" t="str">
        <f t="shared" si="18"/>
        <v>02*</v>
      </c>
      <c r="AEY1" s="15" t="str">
        <f t="shared" si="18"/>
        <v>03*</v>
      </c>
      <c r="AEZ1" s="15" t="str">
        <f t="shared" si="18"/>
        <v>04*</v>
      </c>
      <c r="AFA1" s="15" t="str">
        <f t="shared" si="18"/>
        <v>05*</v>
      </c>
      <c r="AFB1" s="15" t="str">
        <f t="shared" ref="AFB1:AGH1" si="19">IF(RIGHT(AFB$5,1)="Н",RIGHT(AFB$5,3),MID(AFB$5,FIND(".",AFB$5)+1,5))</f>
        <v>06*</v>
      </c>
      <c r="AFC1" s="15" t="str">
        <f t="shared" si="19"/>
        <v>07*</v>
      </c>
      <c r="AFD1" s="15" t="str">
        <f t="shared" si="19"/>
        <v>08*</v>
      </c>
      <c r="AFE1" s="15" t="str">
        <f t="shared" si="19"/>
        <v>09*</v>
      </c>
      <c r="AFF1" s="15" t="str">
        <f t="shared" si="19"/>
        <v>10*</v>
      </c>
      <c r="AFG1" s="15" t="str">
        <f t="shared" si="19"/>
        <v>11*</v>
      </c>
      <c r="AFH1" s="15" t="str">
        <f t="shared" si="19"/>
        <v>12*</v>
      </c>
      <c r="AFI1" s="15" t="str">
        <f t="shared" si="19"/>
        <v>13*</v>
      </c>
      <c r="AFJ1" s="15" t="str">
        <f t="shared" si="19"/>
        <v>14*</v>
      </c>
      <c r="AFK1" s="15" t="str">
        <f t="shared" si="19"/>
        <v>15*</v>
      </c>
      <c r="AFL1" s="15" t="str">
        <f t="shared" si="19"/>
        <v>16*</v>
      </c>
      <c r="AFM1" s="15" t="str">
        <f t="shared" si="19"/>
        <v>17*</v>
      </c>
      <c r="AFN1" s="15" t="str">
        <f t="shared" si="19"/>
        <v>18*</v>
      </c>
      <c r="AFO1" s="15" t="str">
        <f t="shared" si="19"/>
        <v>19*</v>
      </c>
      <c r="AFP1" s="15" t="str">
        <f t="shared" si="19"/>
        <v>20*</v>
      </c>
      <c r="AFQ1" s="15" t="str">
        <f t="shared" si="19"/>
        <v>21*</v>
      </c>
      <c r="AFR1" s="15" t="str">
        <f t="shared" si="19"/>
        <v>22*</v>
      </c>
      <c r="AFS1" s="15" t="str">
        <f t="shared" si="19"/>
        <v>23*</v>
      </c>
      <c r="AFT1" s="15" t="str">
        <f t="shared" si="19"/>
        <v>24*</v>
      </c>
      <c r="AFU1" s="15" t="str">
        <f t="shared" si="19"/>
        <v>25*</v>
      </c>
      <c r="AFV1" s="15" t="str">
        <f t="shared" si="19"/>
        <v>26*</v>
      </c>
      <c r="AFW1" s="15" t="str">
        <f t="shared" si="19"/>
        <v>27*</v>
      </c>
      <c r="AFX1" s="15" t="str">
        <f t="shared" si="19"/>
        <v>28*</v>
      </c>
      <c r="AFY1" s="15" t="str">
        <f t="shared" si="19"/>
        <v>29*</v>
      </c>
      <c r="AFZ1" s="15" t="str">
        <f t="shared" si="19"/>
        <v>30*</v>
      </c>
      <c r="AGA1" s="15" t="str">
        <f t="shared" si="19"/>
        <v>н.Н</v>
      </c>
      <c r="AGB1" s="15" t="str">
        <f t="shared" si="19"/>
        <v>01*</v>
      </c>
      <c r="AGC1" s="15" t="str">
        <f t="shared" si="19"/>
        <v>02*</v>
      </c>
      <c r="AGD1" s="15" t="str">
        <f t="shared" si="19"/>
        <v>03*</v>
      </c>
      <c r="AGE1" s="15" t="str">
        <f t="shared" si="19"/>
        <v>04*</v>
      </c>
      <c r="AGF1" s="15" t="str">
        <f t="shared" si="19"/>
        <v>05*</v>
      </c>
      <c r="AGG1" s="15" t="str">
        <f t="shared" si="19"/>
        <v>06*</v>
      </c>
      <c r="AGH1" s="15" t="str">
        <f t="shared" si="19"/>
        <v>07*</v>
      </c>
      <c r="AGI1" s="15" t="str">
        <f t="shared" ref="AGI1:AIJ1" si="20">IF(RIGHT(AGI$5,1)="Н",RIGHT(AGI$5,3),MID(AGI$5,FIND(".",AGI$5)+1,5))</f>
        <v>08*</v>
      </c>
      <c r="AGJ1" s="15" t="str">
        <f t="shared" si="20"/>
        <v>09*</v>
      </c>
      <c r="AGK1" s="15" t="str">
        <f t="shared" si="20"/>
        <v>10*</v>
      </c>
      <c r="AGL1" s="15" t="str">
        <f t="shared" si="20"/>
        <v>11*</v>
      </c>
      <c r="AGM1" s="15" t="str">
        <f t="shared" si="20"/>
        <v>12*</v>
      </c>
      <c r="AGN1" s="15" t="str">
        <f t="shared" si="20"/>
        <v>13*</v>
      </c>
      <c r="AGO1" s="15" t="str">
        <f t="shared" si="20"/>
        <v>14*</v>
      </c>
      <c r="AGP1" s="15" t="str">
        <f t="shared" si="20"/>
        <v>15*</v>
      </c>
      <c r="AGQ1" s="15" t="str">
        <f t="shared" si="20"/>
        <v>16*</v>
      </c>
      <c r="AGR1" s="15" t="str">
        <f t="shared" si="20"/>
        <v>17*</v>
      </c>
      <c r="AGS1" s="15" t="str">
        <f t="shared" si="20"/>
        <v>18*</v>
      </c>
      <c r="AGT1" s="15" t="str">
        <f t="shared" si="20"/>
        <v>19*</v>
      </c>
      <c r="AGU1" s="15" t="str">
        <f t="shared" si="20"/>
        <v>20*</v>
      </c>
      <c r="AGV1" s="15" t="str">
        <f t="shared" si="20"/>
        <v>21*</v>
      </c>
      <c r="AGW1" s="15" t="str">
        <f t="shared" si="20"/>
        <v>22*</v>
      </c>
      <c r="AGX1" s="15" t="str">
        <f t="shared" si="20"/>
        <v>23*</v>
      </c>
      <c r="AGY1" s="15" t="str">
        <f t="shared" si="20"/>
        <v>24*</v>
      </c>
      <c r="AGZ1" s="15" t="str">
        <f t="shared" si="20"/>
        <v>25*</v>
      </c>
      <c r="AHA1" s="15" t="str">
        <f t="shared" si="20"/>
        <v>26*</v>
      </c>
      <c r="AHB1" s="15" t="str">
        <f t="shared" si="20"/>
        <v>27*</v>
      </c>
      <c r="AHC1" s="15" t="str">
        <f t="shared" si="20"/>
        <v>28*</v>
      </c>
      <c r="AHD1" s="15" t="str">
        <f t="shared" si="20"/>
        <v>29*</v>
      </c>
      <c r="AHE1" s="15" t="str">
        <f t="shared" si="20"/>
        <v>30*</v>
      </c>
      <c r="AHF1" s="15" t="str">
        <f t="shared" si="20"/>
        <v>п.Н</v>
      </c>
      <c r="AHG1" s="15" t="str">
        <f t="shared" si="20"/>
        <v>01*</v>
      </c>
      <c r="AHH1" s="15" t="str">
        <f t="shared" si="20"/>
        <v>02*</v>
      </c>
      <c r="AHI1" s="15" t="str">
        <f t="shared" si="20"/>
        <v>03*</v>
      </c>
      <c r="AHJ1" s="15" t="str">
        <f t="shared" si="20"/>
        <v>04*</v>
      </c>
      <c r="AHK1" s="15" t="str">
        <f t="shared" si="20"/>
        <v>05*</v>
      </c>
      <c r="AHL1" s="15" t="str">
        <f t="shared" si="20"/>
        <v>06*</v>
      </c>
      <c r="AHM1" s="15" t="str">
        <f t="shared" si="20"/>
        <v>07*</v>
      </c>
      <c r="AHN1" s="15" t="str">
        <f t="shared" si="20"/>
        <v>08*</v>
      </c>
      <c r="AHO1" s="15" t="str">
        <f t="shared" si="20"/>
        <v>09*</v>
      </c>
      <c r="AHP1" s="15" t="str">
        <f t="shared" si="20"/>
        <v>10*</v>
      </c>
      <c r="AHQ1" s="15" t="str">
        <f t="shared" si="20"/>
        <v>11*</v>
      </c>
      <c r="AHR1" s="15" t="str">
        <f t="shared" si="20"/>
        <v>12*</v>
      </c>
      <c r="AHS1" s="15" t="str">
        <f t="shared" si="20"/>
        <v>13*</v>
      </c>
      <c r="AHT1" s="15" t="str">
        <f t="shared" si="20"/>
        <v>14*</v>
      </c>
      <c r="AHU1" s="15" t="str">
        <f t="shared" si="20"/>
        <v>15*</v>
      </c>
      <c r="AHV1" s="15" t="str">
        <f t="shared" si="20"/>
        <v>16*</v>
      </c>
      <c r="AHW1" s="15" t="str">
        <f t="shared" si="20"/>
        <v>17*</v>
      </c>
      <c r="AHX1" s="15" t="str">
        <f t="shared" si="20"/>
        <v>18*</v>
      </c>
      <c r="AHY1" s="15" t="str">
        <f t="shared" si="20"/>
        <v>19*</v>
      </c>
      <c r="AHZ1" s="15" t="str">
        <f t="shared" si="20"/>
        <v>20*</v>
      </c>
      <c r="AIA1" s="15" t="str">
        <f t="shared" si="20"/>
        <v>21*</v>
      </c>
      <c r="AIB1" s="15" t="str">
        <f t="shared" si="20"/>
        <v>22*</v>
      </c>
      <c r="AIC1" s="15" t="str">
        <f t="shared" si="20"/>
        <v>23*</v>
      </c>
      <c r="AID1" s="15" t="str">
        <f t="shared" si="20"/>
        <v>24*</v>
      </c>
      <c r="AIE1" s="15" t="str">
        <f t="shared" si="20"/>
        <v>25*</v>
      </c>
      <c r="AIF1" s="15" t="str">
        <f t="shared" si="20"/>
        <v>26*</v>
      </c>
      <c r="AIG1" s="15" t="str">
        <f t="shared" si="20"/>
        <v>27*</v>
      </c>
      <c r="AIH1" s="15" t="str">
        <f t="shared" si="20"/>
        <v>28*</v>
      </c>
      <c r="AII1" s="15" t="str">
        <f t="shared" si="20"/>
        <v>29*</v>
      </c>
      <c r="AIJ1" s="15" t="str">
        <f t="shared" si="20"/>
        <v>30*</v>
      </c>
      <c r="AIK1" s="15" t="str">
        <f t="shared" ref="AIK1:AKA1" si="21">IF(RIGHT(AIK$5,1)="Н",RIGHT(AIK$5,3),MID(AIK$5,FIND(".",AIK$5)+1,5))</f>
        <v>н.Н</v>
      </c>
      <c r="AIL1" s="15" t="str">
        <f t="shared" si="21"/>
        <v>01*</v>
      </c>
      <c r="AIM1" s="15" t="str">
        <f t="shared" si="21"/>
        <v>02*</v>
      </c>
      <c r="AIN1" s="15" t="str">
        <f t="shared" si="21"/>
        <v>03*</v>
      </c>
      <c r="AIO1" s="15" t="str">
        <f t="shared" si="21"/>
        <v>04*</v>
      </c>
      <c r="AIP1" s="15" t="str">
        <f t="shared" si="21"/>
        <v>05*</v>
      </c>
      <c r="AIQ1" s="15" t="str">
        <f t="shared" si="21"/>
        <v>06*</v>
      </c>
      <c r="AIR1" s="15" t="str">
        <f t="shared" si="21"/>
        <v>07*</v>
      </c>
      <c r="AIS1" s="15" t="str">
        <f t="shared" si="21"/>
        <v>08*</v>
      </c>
      <c r="AIT1" s="15" t="str">
        <f t="shared" si="21"/>
        <v>09*</v>
      </c>
      <c r="AIU1" s="15" t="str">
        <f t="shared" si="21"/>
        <v>10*</v>
      </c>
      <c r="AIV1" s="15" t="str">
        <f t="shared" si="21"/>
        <v>11*</v>
      </c>
      <c r="AIW1" s="15" t="str">
        <f t="shared" si="21"/>
        <v>12*</v>
      </c>
      <c r="AIX1" s="15" t="str">
        <f t="shared" si="21"/>
        <v>13*</v>
      </c>
      <c r="AIY1" s="15" t="str">
        <f t="shared" si="21"/>
        <v>14*</v>
      </c>
      <c r="AIZ1" s="15" t="str">
        <f t="shared" si="21"/>
        <v>15*</v>
      </c>
      <c r="AJA1" s="15" t="str">
        <f t="shared" si="21"/>
        <v>16*</v>
      </c>
      <c r="AJB1" s="15" t="str">
        <f t="shared" si="21"/>
        <v>17*</v>
      </c>
      <c r="AJC1" s="15" t="str">
        <f t="shared" si="21"/>
        <v>18*</v>
      </c>
      <c r="AJD1" s="15" t="str">
        <f t="shared" si="21"/>
        <v>19*</v>
      </c>
      <c r="AJE1" s="15" t="str">
        <f t="shared" si="21"/>
        <v>20*</v>
      </c>
      <c r="AJF1" s="15" t="str">
        <f t="shared" si="21"/>
        <v>21*</v>
      </c>
      <c r="AJG1" s="15" t="str">
        <f t="shared" si="21"/>
        <v>22*</v>
      </c>
      <c r="AJH1" s="15" t="str">
        <f t="shared" si="21"/>
        <v>23*</v>
      </c>
      <c r="AJI1" s="15" t="str">
        <f t="shared" si="21"/>
        <v>24*</v>
      </c>
      <c r="AJJ1" s="15" t="str">
        <f t="shared" si="21"/>
        <v>25*</v>
      </c>
      <c r="AJK1" s="15" t="str">
        <f t="shared" si="21"/>
        <v>26*</v>
      </c>
      <c r="AJL1" s="15" t="str">
        <f t="shared" si="21"/>
        <v>27*</v>
      </c>
      <c r="AJM1" s="15" t="str">
        <f t="shared" si="21"/>
        <v>28*</v>
      </c>
      <c r="AJN1" s="15" t="str">
        <f t="shared" si="21"/>
        <v>29*</v>
      </c>
      <c r="AJO1" s="15" t="str">
        <f t="shared" si="21"/>
        <v>30*</v>
      </c>
      <c r="AJP1" s="15" t="str">
        <f t="shared" si="21"/>
        <v>п.Н</v>
      </c>
      <c r="AJQ1" s="15" t="str">
        <f t="shared" si="21"/>
        <v>01*</v>
      </c>
      <c r="AJR1" s="15" t="str">
        <f t="shared" si="21"/>
        <v>02*</v>
      </c>
      <c r="AJS1" s="15" t="str">
        <f t="shared" si="21"/>
        <v>03*</v>
      </c>
      <c r="AJT1" s="15" t="str">
        <f t="shared" si="21"/>
        <v>04*</v>
      </c>
      <c r="AJU1" s="15" t="str">
        <f t="shared" si="21"/>
        <v>05*</v>
      </c>
      <c r="AJV1" s="15" t="str">
        <f t="shared" si="21"/>
        <v>06*</v>
      </c>
      <c r="AJW1" s="15" t="str">
        <f t="shared" si="21"/>
        <v>07*</v>
      </c>
      <c r="AJX1" s="15" t="str">
        <f t="shared" si="21"/>
        <v>08*</v>
      </c>
      <c r="AJY1" s="15" t="str">
        <f t="shared" si="21"/>
        <v>09*</v>
      </c>
      <c r="AJZ1" s="15" t="str">
        <f t="shared" si="21"/>
        <v>10*</v>
      </c>
      <c r="AKA1" s="15" t="str">
        <f t="shared" si="21"/>
        <v>11*</v>
      </c>
      <c r="AKB1" s="15" t="str">
        <f t="shared" ref="AKB1:ALH1" si="22">IF(RIGHT(AKB$5,1)="Н",RIGHT(AKB$5,3),MID(AKB$5,FIND(".",AKB$5)+1,5))</f>
        <v>12*</v>
      </c>
      <c r="AKC1" s="15" t="str">
        <f t="shared" si="22"/>
        <v>13*</v>
      </c>
      <c r="AKD1" s="15" t="str">
        <f t="shared" si="22"/>
        <v>14*</v>
      </c>
      <c r="AKE1" s="15" t="str">
        <f t="shared" si="22"/>
        <v>15*</v>
      </c>
      <c r="AKF1" s="15" t="str">
        <f t="shared" si="22"/>
        <v>16*</v>
      </c>
      <c r="AKG1" s="15" t="str">
        <f t="shared" si="22"/>
        <v>17*</v>
      </c>
      <c r="AKH1" s="15" t="str">
        <f t="shared" si="22"/>
        <v>18*</v>
      </c>
      <c r="AKI1" s="15" t="str">
        <f t="shared" si="22"/>
        <v>19*</v>
      </c>
      <c r="AKJ1" s="15" t="str">
        <f t="shared" si="22"/>
        <v>20*</v>
      </c>
      <c r="AKK1" s="15" t="str">
        <f t="shared" si="22"/>
        <v>21*</v>
      </c>
      <c r="AKL1" s="15" t="str">
        <f t="shared" si="22"/>
        <v>22*</v>
      </c>
      <c r="AKM1" s="15" t="str">
        <f t="shared" si="22"/>
        <v>23*</v>
      </c>
      <c r="AKN1" s="15" t="str">
        <f t="shared" si="22"/>
        <v>24*</v>
      </c>
      <c r="AKO1" s="15" t="str">
        <f t="shared" si="22"/>
        <v>25*</v>
      </c>
      <c r="AKP1" s="15" t="str">
        <f t="shared" si="22"/>
        <v>26*</v>
      </c>
      <c r="AKQ1" s="15" t="str">
        <f t="shared" si="22"/>
        <v>27*</v>
      </c>
      <c r="AKR1" s="15" t="str">
        <f t="shared" si="22"/>
        <v>28*</v>
      </c>
      <c r="AKS1" s="15" t="str">
        <f t="shared" si="22"/>
        <v>29*</v>
      </c>
      <c r="AKT1" s="15" t="str">
        <f t="shared" si="22"/>
        <v>30*</v>
      </c>
      <c r="AKU1" s="15" t="str">
        <f t="shared" si="22"/>
        <v>н.Н</v>
      </c>
      <c r="AKV1" s="15" t="str">
        <f t="shared" si="22"/>
        <v>01*</v>
      </c>
      <c r="AKW1" s="15" t="str">
        <f t="shared" si="22"/>
        <v>02*</v>
      </c>
      <c r="AKX1" s="15" t="str">
        <f t="shared" si="22"/>
        <v>03*</v>
      </c>
      <c r="AKY1" s="15" t="str">
        <f t="shared" si="22"/>
        <v>04*</v>
      </c>
      <c r="AKZ1" s="15" t="str">
        <f t="shared" si="22"/>
        <v>05*</v>
      </c>
      <c r="ALA1" s="15" t="str">
        <f t="shared" si="22"/>
        <v>06*</v>
      </c>
      <c r="ALB1" s="15" t="str">
        <f t="shared" si="22"/>
        <v>07*</v>
      </c>
      <c r="ALC1" s="15" t="str">
        <f t="shared" si="22"/>
        <v>08*</v>
      </c>
      <c r="ALD1" s="15" t="str">
        <f t="shared" si="22"/>
        <v>09*</v>
      </c>
      <c r="ALE1" s="15" t="str">
        <f t="shared" si="22"/>
        <v>10*</v>
      </c>
      <c r="ALF1" s="15" t="str">
        <f t="shared" si="22"/>
        <v>11*</v>
      </c>
      <c r="ALG1" s="15" t="str">
        <f t="shared" si="22"/>
        <v>12*</v>
      </c>
      <c r="ALH1" s="15" t="str">
        <f t="shared" si="22"/>
        <v>13*</v>
      </c>
      <c r="ALI1" s="15" t="str">
        <f t="shared" ref="ALI1:AND1" si="23">IF(RIGHT(ALI$5,1)="Н",RIGHT(ALI$5,3),MID(ALI$5,FIND(".",ALI$5)+1,5))</f>
        <v>14*</v>
      </c>
      <c r="ALJ1" s="15" t="str">
        <f t="shared" si="23"/>
        <v>15*</v>
      </c>
      <c r="ALK1" s="15" t="str">
        <f t="shared" si="23"/>
        <v>16*</v>
      </c>
      <c r="ALL1" s="15" t="str">
        <f t="shared" si="23"/>
        <v>17*</v>
      </c>
      <c r="ALM1" s="15" t="str">
        <f t="shared" si="23"/>
        <v>18*</v>
      </c>
      <c r="ALN1" s="15" t="str">
        <f t="shared" si="23"/>
        <v>19*</v>
      </c>
      <c r="ALO1" s="15" t="str">
        <f t="shared" si="23"/>
        <v>20*</v>
      </c>
      <c r="ALP1" s="15" t="str">
        <f t="shared" si="23"/>
        <v>21*</v>
      </c>
      <c r="ALQ1" s="15" t="str">
        <f t="shared" si="23"/>
        <v>22*</v>
      </c>
      <c r="ALR1" s="15" t="str">
        <f t="shared" si="23"/>
        <v>23*</v>
      </c>
      <c r="ALS1" s="15" t="str">
        <f t="shared" si="23"/>
        <v>24*</v>
      </c>
      <c r="ALT1" s="15" t="str">
        <f t="shared" si="23"/>
        <v>25*</v>
      </c>
      <c r="ALU1" s="15" t="str">
        <f t="shared" si="23"/>
        <v>26*</v>
      </c>
      <c r="ALV1" s="15" t="str">
        <f t="shared" si="23"/>
        <v>27*</v>
      </c>
      <c r="ALW1" s="15" t="str">
        <f t="shared" si="23"/>
        <v>28*</v>
      </c>
      <c r="ALX1" s="15" t="str">
        <f t="shared" si="23"/>
        <v>29*</v>
      </c>
      <c r="ALY1" s="15" t="str">
        <f t="shared" si="23"/>
        <v>30*</v>
      </c>
      <c r="ALZ1" s="15" t="str">
        <f t="shared" si="23"/>
        <v>п.Н</v>
      </c>
      <c r="AMA1" s="15" t="str">
        <f t="shared" si="23"/>
        <v>01*</v>
      </c>
      <c r="AMB1" s="15" t="str">
        <f t="shared" si="23"/>
        <v>02*</v>
      </c>
      <c r="AMC1" s="15" t="str">
        <f t="shared" si="23"/>
        <v>03*</v>
      </c>
      <c r="AMD1" s="15" t="str">
        <f t="shared" si="23"/>
        <v>04*</v>
      </c>
      <c r="AME1" s="15" t="str">
        <f t="shared" si="23"/>
        <v>05*</v>
      </c>
      <c r="AMF1" s="15" t="str">
        <f t="shared" si="23"/>
        <v>06*</v>
      </c>
      <c r="AMG1" s="15" t="str">
        <f t="shared" si="23"/>
        <v>07*</v>
      </c>
      <c r="AMH1" s="15" t="str">
        <f t="shared" si="23"/>
        <v>08*</v>
      </c>
      <c r="AMI1" s="15" t="str">
        <f t="shared" si="23"/>
        <v>09*</v>
      </c>
      <c r="AMJ1" s="15" t="str">
        <f t="shared" si="23"/>
        <v>10*</v>
      </c>
      <c r="AMK1" s="15" t="str">
        <f t="shared" si="23"/>
        <v>11*</v>
      </c>
      <c r="AML1" s="15" t="str">
        <f t="shared" si="23"/>
        <v>12*</v>
      </c>
      <c r="AMM1" s="15" t="str">
        <f t="shared" si="23"/>
        <v>13*</v>
      </c>
      <c r="AMN1" s="15" t="str">
        <f t="shared" si="23"/>
        <v>14*</v>
      </c>
      <c r="AMO1" s="15" t="str">
        <f t="shared" si="23"/>
        <v>15*</v>
      </c>
      <c r="AMP1" s="15" t="str">
        <f t="shared" si="23"/>
        <v>16*</v>
      </c>
      <c r="AMQ1" s="15" t="str">
        <f t="shared" si="23"/>
        <v>17*</v>
      </c>
      <c r="AMR1" s="15" t="str">
        <f t="shared" si="23"/>
        <v>18*</v>
      </c>
      <c r="AMS1" s="15" t="str">
        <f t="shared" si="23"/>
        <v>19*</v>
      </c>
      <c r="AMT1" s="15" t="str">
        <f t="shared" si="23"/>
        <v>20*</v>
      </c>
      <c r="AMU1" s="15" t="str">
        <f t="shared" si="23"/>
        <v>21*</v>
      </c>
      <c r="AMV1" s="15" t="str">
        <f t="shared" si="23"/>
        <v>22*</v>
      </c>
      <c r="AMW1" s="15" t="str">
        <f t="shared" si="23"/>
        <v>23*</v>
      </c>
      <c r="AMX1" s="15" t="str">
        <f t="shared" si="23"/>
        <v>24*</v>
      </c>
      <c r="AMY1" s="15" t="str">
        <f t="shared" si="23"/>
        <v>25*</v>
      </c>
      <c r="AMZ1" s="15" t="str">
        <f t="shared" si="23"/>
        <v>26*</v>
      </c>
      <c r="ANA1" s="15" t="str">
        <f t="shared" si="23"/>
        <v>27*</v>
      </c>
      <c r="ANB1" s="15" t="str">
        <f t="shared" si="23"/>
        <v>28*</v>
      </c>
      <c r="ANC1" s="15" t="str">
        <f t="shared" si="23"/>
        <v>29*</v>
      </c>
      <c r="AND1" s="15" t="str">
        <f t="shared" si="23"/>
        <v>30*</v>
      </c>
      <c r="ANE1" s="15" t="str">
        <f t="shared" ref="ANE1:APA1" si="24">IF(RIGHT(ANE$5,1)="Н",RIGHT(ANE$5,3),MID(ANE$5,FIND(".",ANE$5)+1,5))</f>
        <v>н.Н</v>
      </c>
      <c r="ANF1" s="15" t="str">
        <f t="shared" si="24"/>
        <v>01*</v>
      </c>
      <c r="ANG1" s="15" t="str">
        <f t="shared" si="24"/>
        <v>02*</v>
      </c>
      <c r="ANH1" s="15" t="str">
        <f t="shared" si="24"/>
        <v>03*</v>
      </c>
      <c r="ANI1" s="15" t="str">
        <f t="shared" si="24"/>
        <v>04*</v>
      </c>
      <c r="ANJ1" s="15" t="str">
        <f t="shared" si="24"/>
        <v>05*</v>
      </c>
      <c r="ANK1" s="15" t="str">
        <f t="shared" si="24"/>
        <v>06*</v>
      </c>
      <c r="ANL1" s="15" t="str">
        <f t="shared" si="24"/>
        <v>07*</v>
      </c>
      <c r="ANM1" s="15" t="str">
        <f t="shared" si="24"/>
        <v>08*</v>
      </c>
      <c r="ANN1" s="15" t="str">
        <f t="shared" si="24"/>
        <v>09*</v>
      </c>
      <c r="ANO1" s="15" t="str">
        <f t="shared" si="24"/>
        <v>10*</v>
      </c>
      <c r="ANP1" s="15" t="str">
        <f t="shared" si="24"/>
        <v>11*</v>
      </c>
      <c r="ANQ1" s="15" t="str">
        <f t="shared" si="24"/>
        <v>12*</v>
      </c>
      <c r="ANR1" s="15" t="str">
        <f t="shared" si="24"/>
        <v>13*</v>
      </c>
      <c r="ANS1" s="15" t="str">
        <f t="shared" si="24"/>
        <v>14*</v>
      </c>
      <c r="ANT1" s="15" t="str">
        <f t="shared" si="24"/>
        <v>15*</v>
      </c>
      <c r="ANU1" s="15" t="str">
        <f t="shared" si="24"/>
        <v>16*</v>
      </c>
      <c r="ANV1" s="15" t="str">
        <f t="shared" si="24"/>
        <v>17*</v>
      </c>
      <c r="ANW1" s="15" t="str">
        <f t="shared" si="24"/>
        <v>18*</v>
      </c>
      <c r="ANX1" s="15" t="str">
        <f t="shared" si="24"/>
        <v>19*</v>
      </c>
      <c r="ANY1" s="15" t="str">
        <f t="shared" si="24"/>
        <v>20*</v>
      </c>
      <c r="ANZ1" s="15" t="str">
        <f t="shared" si="24"/>
        <v>21*</v>
      </c>
      <c r="AOA1" s="15" t="str">
        <f t="shared" si="24"/>
        <v>22*</v>
      </c>
      <c r="AOB1" s="15" t="str">
        <f t="shared" si="24"/>
        <v>23*</v>
      </c>
      <c r="AOC1" s="15" t="str">
        <f t="shared" si="24"/>
        <v>24*</v>
      </c>
      <c r="AOD1" s="15" t="str">
        <f t="shared" si="24"/>
        <v>25*</v>
      </c>
      <c r="AOE1" s="15" t="str">
        <f t="shared" si="24"/>
        <v>26*</v>
      </c>
      <c r="AOF1" s="15" t="str">
        <f t="shared" si="24"/>
        <v>27*</v>
      </c>
      <c r="AOG1" s="15" t="str">
        <f t="shared" si="24"/>
        <v>28*</v>
      </c>
      <c r="AOH1" s="15" t="str">
        <f t="shared" si="24"/>
        <v>29*</v>
      </c>
      <c r="AOI1" s="15" t="str">
        <f t="shared" si="24"/>
        <v>30*</v>
      </c>
      <c r="AOJ1" s="15" t="str">
        <f t="shared" si="24"/>
        <v>п.Н</v>
      </c>
      <c r="AOK1" s="15" t="str">
        <f t="shared" si="24"/>
        <v>01*</v>
      </c>
      <c r="AOL1" s="15" t="str">
        <f t="shared" si="24"/>
        <v>02*</v>
      </c>
      <c r="AOM1" s="15" t="str">
        <f t="shared" si="24"/>
        <v>03*</v>
      </c>
      <c r="AON1" s="15" t="str">
        <f t="shared" si="24"/>
        <v>04*</v>
      </c>
      <c r="AOO1" s="15" t="str">
        <f t="shared" si="24"/>
        <v>05*</v>
      </c>
      <c r="AOP1" s="15" t="str">
        <f t="shared" si="24"/>
        <v>06*</v>
      </c>
      <c r="AOQ1" s="15" t="str">
        <f t="shared" si="24"/>
        <v>07*</v>
      </c>
      <c r="AOR1" s="15" t="str">
        <f t="shared" si="24"/>
        <v>08*</v>
      </c>
      <c r="AOS1" s="15" t="str">
        <f t="shared" si="24"/>
        <v>09*</v>
      </c>
      <c r="AOT1" s="15" t="str">
        <f t="shared" si="24"/>
        <v>10*</v>
      </c>
      <c r="AOU1" s="15" t="str">
        <f t="shared" si="24"/>
        <v>11*</v>
      </c>
      <c r="AOV1" s="15" t="str">
        <f t="shared" si="24"/>
        <v>12*</v>
      </c>
      <c r="AOW1" s="15" t="str">
        <f t="shared" si="24"/>
        <v>13*</v>
      </c>
      <c r="AOX1" s="15" t="str">
        <f t="shared" si="24"/>
        <v>14*</v>
      </c>
      <c r="AOY1" s="15" t="str">
        <f t="shared" si="24"/>
        <v>15*</v>
      </c>
      <c r="AOZ1" s="15" t="str">
        <f t="shared" si="24"/>
        <v>16*</v>
      </c>
      <c r="APA1" s="15" t="str">
        <f t="shared" si="24"/>
        <v>17*</v>
      </c>
      <c r="APB1" s="15" t="str">
        <f t="shared" ref="APB1:AQH1" si="25">IF(RIGHT(APB$5,1)="Н",RIGHT(APB$5,3),MID(APB$5,FIND(".",APB$5)+1,5))</f>
        <v>18*</v>
      </c>
      <c r="APC1" s="15" t="str">
        <f t="shared" si="25"/>
        <v>19*</v>
      </c>
      <c r="APD1" s="15" t="str">
        <f t="shared" si="25"/>
        <v>20*</v>
      </c>
      <c r="APE1" s="15" t="str">
        <f t="shared" si="25"/>
        <v>21*</v>
      </c>
      <c r="APF1" s="15" t="str">
        <f t="shared" si="25"/>
        <v>22*</v>
      </c>
      <c r="APG1" s="15" t="str">
        <f t="shared" si="25"/>
        <v>23*</v>
      </c>
      <c r="APH1" s="15" t="str">
        <f t="shared" si="25"/>
        <v>24*</v>
      </c>
      <c r="API1" s="15" t="str">
        <f t="shared" si="25"/>
        <v>25*</v>
      </c>
      <c r="APJ1" s="15" t="str">
        <f t="shared" si="25"/>
        <v>26*</v>
      </c>
      <c r="APK1" s="15" t="str">
        <f t="shared" si="25"/>
        <v>27*</v>
      </c>
      <c r="APL1" s="15" t="str">
        <f t="shared" si="25"/>
        <v>28*</v>
      </c>
      <c r="APM1" s="15" t="str">
        <f t="shared" si="25"/>
        <v>29*</v>
      </c>
      <c r="APN1" s="15" t="str">
        <f t="shared" si="25"/>
        <v>30*</v>
      </c>
      <c r="APO1" s="15" t="str">
        <f t="shared" si="25"/>
        <v>н.Н</v>
      </c>
      <c r="APP1" s="15" t="str">
        <f t="shared" si="25"/>
        <v>01*</v>
      </c>
      <c r="APQ1" s="15" t="str">
        <f t="shared" si="25"/>
        <v>02*</v>
      </c>
      <c r="APR1" s="15" t="str">
        <f t="shared" si="25"/>
        <v>03*</v>
      </c>
      <c r="APS1" s="15" t="str">
        <f t="shared" si="25"/>
        <v>04*</v>
      </c>
      <c r="APT1" s="15" t="str">
        <f t="shared" si="25"/>
        <v>05*</v>
      </c>
      <c r="APU1" s="15" t="str">
        <f t="shared" si="25"/>
        <v>06*</v>
      </c>
      <c r="APV1" s="15" t="str">
        <f t="shared" si="25"/>
        <v>07*</v>
      </c>
      <c r="APW1" s="15" t="str">
        <f t="shared" si="25"/>
        <v>08*</v>
      </c>
      <c r="APX1" s="15" t="str">
        <f t="shared" si="25"/>
        <v>09*</v>
      </c>
      <c r="APY1" s="15" t="str">
        <f t="shared" si="25"/>
        <v>10*</v>
      </c>
      <c r="APZ1" s="15" t="str">
        <f t="shared" si="25"/>
        <v>11*</v>
      </c>
      <c r="AQA1" s="15" t="str">
        <f t="shared" si="25"/>
        <v>12*</v>
      </c>
      <c r="AQB1" s="15" t="str">
        <f t="shared" si="25"/>
        <v>13*</v>
      </c>
      <c r="AQC1" s="15" t="str">
        <f t="shared" si="25"/>
        <v>14*</v>
      </c>
      <c r="AQD1" s="15" t="str">
        <f t="shared" si="25"/>
        <v>15*</v>
      </c>
      <c r="AQE1" s="15" t="str">
        <f t="shared" si="25"/>
        <v>16*</v>
      </c>
      <c r="AQF1" s="15" t="str">
        <f t="shared" si="25"/>
        <v>17*</v>
      </c>
      <c r="AQG1" s="15" t="str">
        <f t="shared" si="25"/>
        <v>18*</v>
      </c>
      <c r="AQH1" s="15" t="str">
        <f t="shared" si="25"/>
        <v>19*</v>
      </c>
      <c r="AQI1" s="15" t="str">
        <f t="shared" ref="AQI1:ARX1" si="26">IF(RIGHT(AQI$5,1)="Н",RIGHT(AQI$5,3),MID(AQI$5,FIND(".",AQI$5)+1,5))</f>
        <v>20*</v>
      </c>
      <c r="AQJ1" s="15" t="str">
        <f t="shared" si="26"/>
        <v>21*</v>
      </c>
      <c r="AQK1" s="15" t="str">
        <f t="shared" si="26"/>
        <v>22*</v>
      </c>
      <c r="AQL1" s="15" t="str">
        <f t="shared" si="26"/>
        <v>23*</v>
      </c>
      <c r="AQM1" s="15" t="str">
        <f t="shared" si="26"/>
        <v>24*</v>
      </c>
      <c r="AQN1" s="15" t="str">
        <f t="shared" si="26"/>
        <v>25*</v>
      </c>
      <c r="AQO1" s="15" t="str">
        <f t="shared" si="26"/>
        <v>26*</v>
      </c>
      <c r="AQP1" s="15" t="str">
        <f t="shared" si="26"/>
        <v>27*</v>
      </c>
      <c r="AQQ1" s="15" t="str">
        <f t="shared" si="26"/>
        <v>28*</v>
      </c>
      <c r="AQR1" s="15" t="str">
        <f t="shared" si="26"/>
        <v>29*</v>
      </c>
      <c r="AQS1" s="15" t="str">
        <f t="shared" si="26"/>
        <v>30*</v>
      </c>
      <c r="AQT1" s="15" t="str">
        <f t="shared" si="26"/>
        <v>п.Н</v>
      </c>
      <c r="AQU1" s="15" t="str">
        <f t="shared" si="26"/>
        <v>01*</v>
      </c>
      <c r="AQV1" s="15" t="str">
        <f t="shared" si="26"/>
        <v>02*</v>
      </c>
      <c r="AQW1" s="15" t="str">
        <f t="shared" si="26"/>
        <v>03*</v>
      </c>
      <c r="AQX1" s="15" t="str">
        <f t="shared" si="26"/>
        <v>04*</v>
      </c>
      <c r="AQY1" s="15" t="str">
        <f t="shared" si="26"/>
        <v>05*</v>
      </c>
      <c r="AQZ1" s="15" t="str">
        <f t="shared" si="26"/>
        <v>06*</v>
      </c>
      <c r="ARA1" s="15" t="str">
        <f t="shared" si="26"/>
        <v>07*</v>
      </c>
      <c r="ARB1" s="15" t="str">
        <f t="shared" si="26"/>
        <v>08*</v>
      </c>
      <c r="ARC1" s="15" t="str">
        <f t="shared" si="26"/>
        <v>09*</v>
      </c>
      <c r="ARD1" s="15" t="str">
        <f t="shared" si="26"/>
        <v>10*</v>
      </c>
      <c r="ARE1" s="15" t="str">
        <f t="shared" si="26"/>
        <v>11*</v>
      </c>
      <c r="ARF1" s="15" t="str">
        <f t="shared" si="26"/>
        <v>12*</v>
      </c>
      <c r="ARG1" s="15" t="str">
        <f t="shared" si="26"/>
        <v>13*</v>
      </c>
      <c r="ARH1" s="15" t="str">
        <f t="shared" si="26"/>
        <v>14*</v>
      </c>
      <c r="ARI1" s="15" t="str">
        <f t="shared" si="26"/>
        <v>15*</v>
      </c>
      <c r="ARJ1" s="15" t="str">
        <f t="shared" si="26"/>
        <v>16*</v>
      </c>
      <c r="ARK1" s="15" t="str">
        <f t="shared" si="26"/>
        <v>17*</v>
      </c>
      <c r="ARL1" s="15" t="str">
        <f t="shared" si="26"/>
        <v>18*</v>
      </c>
      <c r="ARM1" s="15" t="str">
        <f t="shared" si="26"/>
        <v>19*</v>
      </c>
      <c r="ARN1" s="15" t="str">
        <f t="shared" si="26"/>
        <v>20*</v>
      </c>
      <c r="ARO1" s="15" t="str">
        <f t="shared" si="26"/>
        <v>21*</v>
      </c>
      <c r="ARP1" s="15" t="str">
        <f t="shared" si="26"/>
        <v>22*</v>
      </c>
      <c r="ARQ1" s="15" t="str">
        <f t="shared" si="26"/>
        <v>23*</v>
      </c>
      <c r="ARR1" s="15" t="str">
        <f t="shared" si="26"/>
        <v>24*</v>
      </c>
      <c r="ARS1" s="15" t="str">
        <f t="shared" si="26"/>
        <v>25*</v>
      </c>
      <c r="ART1" s="15" t="str">
        <f t="shared" si="26"/>
        <v>26*</v>
      </c>
      <c r="ARU1" s="15" t="str">
        <f t="shared" si="26"/>
        <v>27*</v>
      </c>
      <c r="ARV1" s="15" t="str">
        <f t="shared" si="26"/>
        <v>28*</v>
      </c>
      <c r="ARW1" s="15" t="str">
        <f t="shared" si="26"/>
        <v>29*</v>
      </c>
      <c r="ARX1" s="15" t="str">
        <f t="shared" si="26"/>
        <v>30*</v>
      </c>
      <c r="ARY1" s="15" t="str">
        <f t="shared" ref="ARY1:AUA1" si="27">IF(RIGHT(ARY$5,1)="Н",RIGHT(ARY$5,3),MID(ARY$5,FIND(".",ARY$5)+1,5))</f>
        <v>н.Н</v>
      </c>
      <c r="ARZ1" s="15" t="str">
        <f t="shared" si="27"/>
        <v>01*</v>
      </c>
      <c r="ASA1" s="15" t="str">
        <f t="shared" si="27"/>
        <v>02*</v>
      </c>
      <c r="ASB1" s="15" t="str">
        <f t="shared" si="27"/>
        <v>03*</v>
      </c>
      <c r="ASC1" s="15" t="str">
        <f t="shared" si="27"/>
        <v>04*</v>
      </c>
      <c r="ASD1" s="15" t="str">
        <f t="shared" si="27"/>
        <v>05*</v>
      </c>
      <c r="ASE1" s="15" t="str">
        <f t="shared" si="27"/>
        <v>06*</v>
      </c>
      <c r="ASF1" s="15" t="str">
        <f t="shared" si="27"/>
        <v>07*</v>
      </c>
      <c r="ASG1" s="15" t="str">
        <f t="shared" si="27"/>
        <v>08*</v>
      </c>
      <c r="ASH1" s="15" t="str">
        <f t="shared" si="27"/>
        <v>09*</v>
      </c>
      <c r="ASI1" s="15" t="str">
        <f t="shared" si="27"/>
        <v>10*</v>
      </c>
      <c r="ASJ1" s="15" t="str">
        <f t="shared" si="27"/>
        <v>11*</v>
      </c>
      <c r="ASK1" s="15" t="str">
        <f t="shared" si="27"/>
        <v>12*</v>
      </c>
      <c r="ASL1" s="15" t="str">
        <f t="shared" si="27"/>
        <v>13*</v>
      </c>
      <c r="ASM1" s="15" t="str">
        <f t="shared" si="27"/>
        <v>14*</v>
      </c>
      <c r="ASN1" s="15" t="str">
        <f t="shared" si="27"/>
        <v>15*</v>
      </c>
      <c r="ASO1" s="15" t="str">
        <f t="shared" si="27"/>
        <v>16*</v>
      </c>
      <c r="ASP1" s="15" t="str">
        <f t="shared" si="27"/>
        <v>17*</v>
      </c>
      <c r="ASQ1" s="15" t="str">
        <f t="shared" si="27"/>
        <v>18*</v>
      </c>
      <c r="ASR1" s="15" t="str">
        <f t="shared" si="27"/>
        <v>19*</v>
      </c>
      <c r="ASS1" s="15" t="str">
        <f t="shared" si="27"/>
        <v>20*</v>
      </c>
      <c r="AST1" s="15" t="str">
        <f t="shared" si="27"/>
        <v>21*</v>
      </c>
      <c r="ASU1" s="15" t="str">
        <f t="shared" si="27"/>
        <v>22*</v>
      </c>
      <c r="ASV1" s="15" t="str">
        <f t="shared" si="27"/>
        <v>23*</v>
      </c>
      <c r="ASW1" s="15" t="str">
        <f t="shared" si="27"/>
        <v>24*</v>
      </c>
      <c r="ASX1" s="15" t="str">
        <f t="shared" si="27"/>
        <v>25*</v>
      </c>
      <c r="ASY1" s="15" t="str">
        <f t="shared" si="27"/>
        <v>26*</v>
      </c>
      <c r="ASZ1" s="15" t="str">
        <f t="shared" si="27"/>
        <v>27*</v>
      </c>
      <c r="ATA1" s="15" t="str">
        <f t="shared" si="27"/>
        <v>28*</v>
      </c>
      <c r="ATB1" s="15" t="str">
        <f t="shared" si="27"/>
        <v>29*</v>
      </c>
      <c r="ATC1" s="15" t="str">
        <f t="shared" si="27"/>
        <v>30*</v>
      </c>
      <c r="ATD1" s="15" t="str">
        <f t="shared" si="27"/>
        <v>п.Н</v>
      </c>
      <c r="ATE1" s="15" t="str">
        <f t="shared" si="27"/>
        <v>01*</v>
      </c>
      <c r="ATF1" s="15" t="str">
        <f t="shared" si="27"/>
        <v>02*</v>
      </c>
      <c r="ATG1" s="15" t="str">
        <f t="shared" si="27"/>
        <v>03*</v>
      </c>
      <c r="ATH1" s="15" t="str">
        <f t="shared" si="27"/>
        <v>04*</v>
      </c>
      <c r="ATI1" s="15" t="str">
        <f t="shared" si="27"/>
        <v>05*</v>
      </c>
      <c r="ATJ1" s="15" t="str">
        <f t="shared" si="27"/>
        <v>06*</v>
      </c>
      <c r="ATK1" s="15" t="str">
        <f t="shared" si="27"/>
        <v>07*</v>
      </c>
      <c r="ATL1" s="15" t="str">
        <f t="shared" si="27"/>
        <v>08*</v>
      </c>
      <c r="ATM1" s="15" t="str">
        <f t="shared" si="27"/>
        <v>09*</v>
      </c>
      <c r="ATN1" s="15" t="str">
        <f t="shared" si="27"/>
        <v>10*</v>
      </c>
      <c r="ATO1" s="15" t="str">
        <f t="shared" si="27"/>
        <v>11*</v>
      </c>
      <c r="ATP1" s="15" t="str">
        <f t="shared" si="27"/>
        <v>12*</v>
      </c>
      <c r="ATQ1" s="15" t="str">
        <f t="shared" si="27"/>
        <v>13*</v>
      </c>
      <c r="ATR1" s="15" t="str">
        <f t="shared" si="27"/>
        <v>14*</v>
      </c>
      <c r="ATS1" s="15" t="str">
        <f t="shared" si="27"/>
        <v>15*</v>
      </c>
      <c r="ATT1" s="15" t="str">
        <f t="shared" si="27"/>
        <v>16*</v>
      </c>
      <c r="ATU1" s="15" t="str">
        <f t="shared" si="27"/>
        <v>17*</v>
      </c>
      <c r="ATV1" s="15" t="str">
        <f t="shared" si="27"/>
        <v>18*</v>
      </c>
      <c r="ATW1" s="15" t="str">
        <f t="shared" si="27"/>
        <v>19*</v>
      </c>
      <c r="ATX1" s="15" t="str">
        <f t="shared" si="27"/>
        <v>20*</v>
      </c>
      <c r="ATY1" s="15" t="str">
        <f t="shared" si="27"/>
        <v>21*</v>
      </c>
      <c r="ATZ1" s="15" t="str">
        <f t="shared" si="27"/>
        <v>22*</v>
      </c>
      <c r="AUA1" s="15" t="str">
        <f t="shared" si="27"/>
        <v>23*</v>
      </c>
      <c r="AUB1" s="15" t="str">
        <f t="shared" ref="AUB1:AVH1" si="28">IF(RIGHT(AUB$5,1)="Н",RIGHT(AUB$5,3),MID(AUB$5,FIND(".",AUB$5)+1,5))</f>
        <v>24*</v>
      </c>
      <c r="AUC1" s="15" t="str">
        <f t="shared" si="28"/>
        <v>25*</v>
      </c>
      <c r="AUD1" s="15" t="str">
        <f t="shared" si="28"/>
        <v>26*</v>
      </c>
      <c r="AUE1" s="15" t="str">
        <f t="shared" si="28"/>
        <v>27*</v>
      </c>
      <c r="AUF1" s="15" t="str">
        <f t="shared" si="28"/>
        <v>28*</v>
      </c>
      <c r="AUG1" s="15" t="str">
        <f t="shared" si="28"/>
        <v>29*</v>
      </c>
      <c r="AUH1" s="15" t="str">
        <f t="shared" si="28"/>
        <v>30*</v>
      </c>
      <c r="AUI1" s="15" t="str">
        <f t="shared" si="28"/>
        <v>н.Н</v>
      </c>
      <c r="AUJ1" s="15" t="str">
        <f t="shared" si="28"/>
        <v>01*</v>
      </c>
      <c r="AUK1" s="15" t="str">
        <f t="shared" si="28"/>
        <v>02*</v>
      </c>
      <c r="AUL1" s="15" t="str">
        <f t="shared" si="28"/>
        <v>03*</v>
      </c>
      <c r="AUM1" s="15" t="str">
        <f t="shared" si="28"/>
        <v>04*</v>
      </c>
      <c r="AUN1" s="15" t="str">
        <f t="shared" si="28"/>
        <v>05*</v>
      </c>
      <c r="AUO1" s="15" t="str">
        <f t="shared" si="28"/>
        <v>06*</v>
      </c>
      <c r="AUP1" s="15" t="str">
        <f t="shared" si="28"/>
        <v>07*</v>
      </c>
      <c r="AUQ1" s="15" t="str">
        <f t="shared" si="28"/>
        <v>08*</v>
      </c>
      <c r="AUR1" s="15" t="str">
        <f t="shared" si="28"/>
        <v>09*</v>
      </c>
      <c r="AUS1" s="15" t="str">
        <f t="shared" si="28"/>
        <v>10*</v>
      </c>
      <c r="AUT1" s="15" t="str">
        <f t="shared" si="28"/>
        <v>11*</v>
      </c>
      <c r="AUU1" s="15" t="str">
        <f t="shared" si="28"/>
        <v>12*</v>
      </c>
      <c r="AUV1" s="15" t="str">
        <f t="shared" si="28"/>
        <v>13*</v>
      </c>
      <c r="AUW1" s="15" t="str">
        <f t="shared" si="28"/>
        <v>14*</v>
      </c>
      <c r="AUX1" s="15" t="str">
        <f t="shared" si="28"/>
        <v>15*</v>
      </c>
      <c r="AUY1" s="15" t="str">
        <f t="shared" si="28"/>
        <v>16*</v>
      </c>
      <c r="AUZ1" s="15" t="str">
        <f t="shared" si="28"/>
        <v>17*</v>
      </c>
      <c r="AVA1" s="15" t="str">
        <f t="shared" si="28"/>
        <v>18*</v>
      </c>
      <c r="AVB1" s="15" t="str">
        <f t="shared" si="28"/>
        <v>19*</v>
      </c>
      <c r="AVC1" s="15" t="str">
        <f t="shared" si="28"/>
        <v>20*</v>
      </c>
      <c r="AVD1" s="15" t="str">
        <f t="shared" si="28"/>
        <v>21*</v>
      </c>
      <c r="AVE1" s="15" t="str">
        <f t="shared" si="28"/>
        <v>22*</v>
      </c>
      <c r="AVF1" s="15" t="str">
        <f t="shared" si="28"/>
        <v>23*</v>
      </c>
      <c r="AVG1" s="15" t="str">
        <f t="shared" si="28"/>
        <v>24*</v>
      </c>
      <c r="AVH1" s="15" t="str">
        <f t="shared" si="28"/>
        <v>25*</v>
      </c>
      <c r="AVI1" s="15" t="str">
        <f t="shared" ref="AVI1:AWR1" si="29">IF(RIGHT(AVI$5,1)="Н",RIGHT(AVI$5,3),MID(AVI$5,FIND(".",AVI$5)+1,5))</f>
        <v>26*</v>
      </c>
      <c r="AVJ1" s="15" t="str">
        <f t="shared" si="29"/>
        <v>27*</v>
      </c>
      <c r="AVK1" s="15" t="str">
        <f t="shared" si="29"/>
        <v>28*</v>
      </c>
      <c r="AVL1" s="15" t="str">
        <f t="shared" si="29"/>
        <v>29*</v>
      </c>
      <c r="AVM1" s="15" t="str">
        <f t="shared" si="29"/>
        <v>30*</v>
      </c>
      <c r="AVN1" s="15" t="str">
        <f t="shared" si="29"/>
        <v>п.Н</v>
      </c>
      <c r="AVO1" s="15" t="str">
        <f t="shared" si="29"/>
        <v>01*</v>
      </c>
      <c r="AVP1" s="15" t="str">
        <f t="shared" si="29"/>
        <v>02*</v>
      </c>
      <c r="AVQ1" s="15" t="str">
        <f t="shared" si="29"/>
        <v>03*</v>
      </c>
      <c r="AVR1" s="15" t="str">
        <f t="shared" si="29"/>
        <v>04*</v>
      </c>
      <c r="AVS1" s="15" t="str">
        <f t="shared" si="29"/>
        <v>05*</v>
      </c>
      <c r="AVT1" s="15" t="str">
        <f t="shared" si="29"/>
        <v>06*</v>
      </c>
      <c r="AVU1" s="15" t="str">
        <f t="shared" si="29"/>
        <v>07*</v>
      </c>
      <c r="AVV1" s="15" t="str">
        <f t="shared" si="29"/>
        <v>08*</v>
      </c>
      <c r="AVW1" s="15" t="str">
        <f t="shared" si="29"/>
        <v>09*</v>
      </c>
      <c r="AVX1" s="15" t="str">
        <f t="shared" si="29"/>
        <v>10*</v>
      </c>
      <c r="AVY1" s="15" t="str">
        <f t="shared" si="29"/>
        <v>11*</v>
      </c>
      <c r="AVZ1" s="15" t="str">
        <f t="shared" si="29"/>
        <v>12*</v>
      </c>
      <c r="AWA1" s="15" t="str">
        <f t="shared" si="29"/>
        <v>13*</v>
      </c>
      <c r="AWB1" s="15" t="str">
        <f t="shared" si="29"/>
        <v>14*</v>
      </c>
      <c r="AWC1" s="15" t="str">
        <f t="shared" si="29"/>
        <v>15*</v>
      </c>
      <c r="AWD1" s="15" t="str">
        <f t="shared" si="29"/>
        <v>16*</v>
      </c>
      <c r="AWE1" s="15" t="str">
        <f t="shared" si="29"/>
        <v>17*</v>
      </c>
      <c r="AWF1" s="15" t="str">
        <f t="shared" si="29"/>
        <v>18*</v>
      </c>
      <c r="AWG1" s="15" t="str">
        <f t="shared" si="29"/>
        <v>19*</v>
      </c>
      <c r="AWH1" s="15" t="str">
        <f t="shared" si="29"/>
        <v>20*</v>
      </c>
      <c r="AWI1" s="15" t="str">
        <f t="shared" si="29"/>
        <v>21*</v>
      </c>
      <c r="AWJ1" s="15" t="str">
        <f t="shared" si="29"/>
        <v>22*</v>
      </c>
      <c r="AWK1" s="15" t="str">
        <f t="shared" si="29"/>
        <v>23*</v>
      </c>
      <c r="AWL1" s="15" t="str">
        <f t="shared" si="29"/>
        <v>24*</v>
      </c>
      <c r="AWM1" s="15" t="str">
        <f t="shared" si="29"/>
        <v>25*</v>
      </c>
      <c r="AWN1" s="15" t="str">
        <f t="shared" si="29"/>
        <v>26*</v>
      </c>
      <c r="AWO1" s="15" t="str">
        <f t="shared" si="29"/>
        <v>27*</v>
      </c>
      <c r="AWP1" s="15" t="str">
        <f t="shared" si="29"/>
        <v>28*</v>
      </c>
      <c r="AWQ1" s="15" t="str">
        <f t="shared" si="29"/>
        <v>29*</v>
      </c>
      <c r="AWR1" s="15" t="str">
        <f t="shared" si="29"/>
        <v>30*</v>
      </c>
      <c r="AWS1" s="15" t="str">
        <f t="shared" ref="AWS1:AZA1" si="30">IF(RIGHT(AWS$5,1)="Н",RIGHT(AWS$5,3),MID(AWS$5,FIND(".",AWS$5)+1,5))</f>
        <v>н.Н</v>
      </c>
      <c r="AWT1" s="15" t="str">
        <f t="shared" si="30"/>
        <v>01*</v>
      </c>
      <c r="AWU1" s="15" t="str">
        <f t="shared" si="30"/>
        <v>02*</v>
      </c>
      <c r="AWV1" s="15" t="str">
        <f t="shared" si="30"/>
        <v>03*</v>
      </c>
      <c r="AWW1" s="15" t="str">
        <f t="shared" si="30"/>
        <v>04*</v>
      </c>
      <c r="AWX1" s="15" t="str">
        <f t="shared" si="30"/>
        <v>05*</v>
      </c>
      <c r="AWY1" s="15" t="str">
        <f t="shared" si="30"/>
        <v>06*</v>
      </c>
      <c r="AWZ1" s="15" t="str">
        <f t="shared" si="30"/>
        <v>07*</v>
      </c>
      <c r="AXA1" s="15" t="str">
        <f t="shared" si="30"/>
        <v>08*</v>
      </c>
      <c r="AXB1" s="15" t="str">
        <f t="shared" si="30"/>
        <v>09*</v>
      </c>
      <c r="AXC1" s="15" t="str">
        <f t="shared" si="30"/>
        <v>10*</v>
      </c>
      <c r="AXD1" s="15" t="str">
        <f t="shared" si="30"/>
        <v>11*</v>
      </c>
      <c r="AXE1" s="15" t="str">
        <f t="shared" si="30"/>
        <v>12*</v>
      </c>
      <c r="AXF1" s="15" t="str">
        <f t="shared" si="30"/>
        <v>13*</v>
      </c>
      <c r="AXG1" s="15" t="str">
        <f t="shared" si="30"/>
        <v>14*</v>
      </c>
      <c r="AXH1" s="15" t="str">
        <f t="shared" si="30"/>
        <v>15*</v>
      </c>
      <c r="AXI1" s="15" t="str">
        <f t="shared" si="30"/>
        <v>16*</v>
      </c>
      <c r="AXJ1" s="15" t="str">
        <f t="shared" si="30"/>
        <v>17*</v>
      </c>
      <c r="AXK1" s="15" t="str">
        <f t="shared" si="30"/>
        <v>18*</v>
      </c>
      <c r="AXL1" s="15" t="str">
        <f t="shared" si="30"/>
        <v>19*</v>
      </c>
      <c r="AXM1" s="15" t="str">
        <f t="shared" si="30"/>
        <v>20*</v>
      </c>
      <c r="AXN1" s="15" t="str">
        <f t="shared" si="30"/>
        <v>21*</v>
      </c>
      <c r="AXO1" s="15" t="str">
        <f t="shared" si="30"/>
        <v>22*</v>
      </c>
      <c r="AXP1" s="15" t="str">
        <f t="shared" si="30"/>
        <v>23*</v>
      </c>
      <c r="AXQ1" s="15" t="str">
        <f t="shared" si="30"/>
        <v>24*</v>
      </c>
      <c r="AXR1" s="15" t="str">
        <f t="shared" si="30"/>
        <v>25*</v>
      </c>
      <c r="AXS1" s="15" t="str">
        <f t="shared" si="30"/>
        <v>26*</v>
      </c>
      <c r="AXT1" s="15" t="str">
        <f t="shared" si="30"/>
        <v>27*</v>
      </c>
      <c r="AXU1" s="15" t="str">
        <f t="shared" si="30"/>
        <v>28*</v>
      </c>
      <c r="AXV1" s="15" t="str">
        <f t="shared" si="30"/>
        <v>29*</v>
      </c>
      <c r="AXW1" s="15" t="str">
        <f t="shared" si="30"/>
        <v>30*</v>
      </c>
      <c r="AXX1" s="15" t="str">
        <f t="shared" si="30"/>
        <v>п.Н</v>
      </c>
      <c r="AXY1" s="15" t="str">
        <f t="shared" si="30"/>
        <v>01*</v>
      </c>
      <c r="AXZ1" s="15" t="str">
        <f t="shared" si="30"/>
        <v>02*</v>
      </c>
      <c r="AYA1" s="15" t="str">
        <f t="shared" si="30"/>
        <v>03*</v>
      </c>
      <c r="AYB1" s="15" t="str">
        <f t="shared" si="30"/>
        <v>04*</v>
      </c>
      <c r="AYC1" s="15" t="str">
        <f t="shared" si="30"/>
        <v>05*</v>
      </c>
      <c r="AYD1" s="15" t="str">
        <f t="shared" si="30"/>
        <v>06*</v>
      </c>
      <c r="AYE1" s="15" t="str">
        <f t="shared" si="30"/>
        <v>07*</v>
      </c>
      <c r="AYF1" s="15" t="str">
        <f t="shared" si="30"/>
        <v>08*</v>
      </c>
      <c r="AYG1" s="15" t="str">
        <f t="shared" si="30"/>
        <v>09*</v>
      </c>
      <c r="AYH1" s="15" t="str">
        <f t="shared" si="30"/>
        <v>10*</v>
      </c>
      <c r="AYI1" s="15" t="str">
        <f t="shared" si="30"/>
        <v>11*</v>
      </c>
      <c r="AYJ1" s="15" t="str">
        <f t="shared" si="30"/>
        <v>12*</v>
      </c>
      <c r="AYK1" s="15" t="str">
        <f t="shared" si="30"/>
        <v>13*</v>
      </c>
      <c r="AYL1" s="15" t="str">
        <f t="shared" si="30"/>
        <v>14*</v>
      </c>
      <c r="AYM1" s="15" t="str">
        <f t="shared" si="30"/>
        <v>15*</v>
      </c>
      <c r="AYN1" s="15" t="str">
        <f t="shared" si="30"/>
        <v>16*</v>
      </c>
      <c r="AYO1" s="15" t="str">
        <f t="shared" si="30"/>
        <v>17*</v>
      </c>
      <c r="AYP1" s="15" t="str">
        <f t="shared" si="30"/>
        <v>18*</v>
      </c>
      <c r="AYQ1" s="15" t="str">
        <f t="shared" si="30"/>
        <v>19*</v>
      </c>
      <c r="AYR1" s="15" t="str">
        <f t="shared" si="30"/>
        <v>20*</v>
      </c>
      <c r="AYS1" s="15" t="str">
        <f t="shared" si="30"/>
        <v>21*</v>
      </c>
      <c r="AYT1" s="15" t="str">
        <f t="shared" si="30"/>
        <v>22*</v>
      </c>
      <c r="AYU1" s="15" t="str">
        <f t="shared" si="30"/>
        <v>23*</v>
      </c>
      <c r="AYV1" s="15" t="str">
        <f t="shared" si="30"/>
        <v>24*</v>
      </c>
      <c r="AYW1" s="15" t="str">
        <f t="shared" si="30"/>
        <v>25*</v>
      </c>
      <c r="AYX1" s="15" t="str">
        <f t="shared" si="30"/>
        <v>26*</v>
      </c>
      <c r="AYY1" s="15" t="str">
        <f t="shared" si="30"/>
        <v>27*</v>
      </c>
      <c r="AYZ1" s="15" t="str">
        <f t="shared" si="30"/>
        <v>28*</v>
      </c>
      <c r="AZA1" s="15" t="str">
        <f t="shared" si="30"/>
        <v>29*</v>
      </c>
      <c r="AZB1" s="15" t="str">
        <f t="shared" ref="AZB1:BAH1" si="31">IF(RIGHT(AZB$5,1)="Н",RIGHT(AZB$5,3),MID(AZB$5,FIND(".",AZB$5)+1,5))</f>
        <v>30*</v>
      </c>
      <c r="AZC1" s="15" t="str">
        <f t="shared" si="31"/>
        <v>н.Н</v>
      </c>
      <c r="AZD1" s="15" t="str">
        <f t="shared" si="31"/>
        <v>01*</v>
      </c>
      <c r="AZE1" s="15" t="str">
        <f t="shared" si="31"/>
        <v>02*</v>
      </c>
      <c r="AZF1" s="15" t="str">
        <f t="shared" si="31"/>
        <v>03*</v>
      </c>
      <c r="AZG1" s="15" t="str">
        <f t="shared" si="31"/>
        <v>04*</v>
      </c>
      <c r="AZH1" s="15" t="str">
        <f t="shared" si="31"/>
        <v>05*</v>
      </c>
      <c r="AZI1" s="15" t="str">
        <f t="shared" si="31"/>
        <v>06*</v>
      </c>
      <c r="AZJ1" s="15" t="str">
        <f t="shared" si="31"/>
        <v>07*</v>
      </c>
      <c r="AZK1" s="15" t="str">
        <f t="shared" si="31"/>
        <v>08*</v>
      </c>
      <c r="AZL1" s="15" t="str">
        <f t="shared" si="31"/>
        <v>09*</v>
      </c>
      <c r="AZM1" s="15" t="str">
        <f t="shared" si="31"/>
        <v>10*</v>
      </c>
      <c r="AZN1" s="15" t="str">
        <f t="shared" si="31"/>
        <v>11*</v>
      </c>
      <c r="AZO1" s="15" t="str">
        <f t="shared" si="31"/>
        <v>12*</v>
      </c>
      <c r="AZP1" s="15" t="str">
        <f t="shared" si="31"/>
        <v>13*</v>
      </c>
      <c r="AZQ1" s="15" t="str">
        <f t="shared" si="31"/>
        <v>14*</v>
      </c>
      <c r="AZR1" s="15" t="str">
        <f t="shared" si="31"/>
        <v>15*</v>
      </c>
      <c r="AZS1" s="15" t="str">
        <f t="shared" si="31"/>
        <v>16*</v>
      </c>
      <c r="AZT1" s="15" t="str">
        <f t="shared" si="31"/>
        <v>17*</v>
      </c>
      <c r="AZU1" s="15" t="str">
        <f t="shared" si="31"/>
        <v>18*</v>
      </c>
      <c r="AZV1" s="15" t="str">
        <f t="shared" si="31"/>
        <v>19*</v>
      </c>
      <c r="AZW1" s="15" t="str">
        <f t="shared" si="31"/>
        <v>20*</v>
      </c>
      <c r="AZX1" s="15" t="str">
        <f t="shared" si="31"/>
        <v>21*</v>
      </c>
      <c r="AZY1" s="15" t="str">
        <f t="shared" si="31"/>
        <v>22*</v>
      </c>
      <c r="AZZ1" s="15" t="str">
        <f t="shared" si="31"/>
        <v>23*</v>
      </c>
      <c r="BAA1" s="15" t="str">
        <f t="shared" si="31"/>
        <v>24*</v>
      </c>
      <c r="BAB1" s="15" t="str">
        <f t="shared" si="31"/>
        <v>25*</v>
      </c>
      <c r="BAC1" s="15" t="str">
        <f t="shared" si="31"/>
        <v>26*</v>
      </c>
      <c r="BAD1" s="15" t="str">
        <f t="shared" si="31"/>
        <v>27*</v>
      </c>
      <c r="BAE1" s="15" t="str">
        <f t="shared" si="31"/>
        <v>28*</v>
      </c>
      <c r="BAF1" s="15" t="str">
        <f t="shared" si="31"/>
        <v>29*</v>
      </c>
      <c r="BAG1" s="15" t="str">
        <f t="shared" si="31"/>
        <v>30*</v>
      </c>
      <c r="BAH1" s="15" t="str">
        <f t="shared" si="31"/>
        <v>п.Н</v>
      </c>
      <c r="BAI1" s="15" t="str">
        <f t="shared" ref="BAI1:BBO1" si="32">IF(RIGHT(BAI$5,1)="Н",RIGHT(BAI$5,3),MID(BAI$5,FIND(".",BAI$5)+1,5))</f>
        <v>01*</v>
      </c>
      <c r="BAJ1" s="15" t="str">
        <f t="shared" si="32"/>
        <v>02*</v>
      </c>
      <c r="BAK1" s="15" t="str">
        <f t="shared" si="32"/>
        <v>03*</v>
      </c>
      <c r="BAL1" s="15" t="str">
        <f t="shared" si="32"/>
        <v>04*</v>
      </c>
      <c r="BAM1" s="15" t="str">
        <f t="shared" si="32"/>
        <v>05*</v>
      </c>
      <c r="BAN1" s="15" t="str">
        <f t="shared" si="32"/>
        <v>06*</v>
      </c>
      <c r="BAO1" s="15" t="str">
        <f t="shared" si="32"/>
        <v>07*</v>
      </c>
      <c r="BAP1" s="15" t="str">
        <f t="shared" si="32"/>
        <v>08*</v>
      </c>
      <c r="BAQ1" s="15" t="str">
        <f t="shared" si="32"/>
        <v>09*</v>
      </c>
      <c r="BAR1" s="15" t="str">
        <f t="shared" si="32"/>
        <v>10*</v>
      </c>
      <c r="BAS1" s="15" t="str">
        <f t="shared" si="32"/>
        <v>11*</v>
      </c>
      <c r="BAT1" s="15" t="str">
        <f t="shared" si="32"/>
        <v>12*</v>
      </c>
      <c r="BAU1" s="15" t="str">
        <f t="shared" si="32"/>
        <v>13*</v>
      </c>
      <c r="BAV1" s="15" t="str">
        <f t="shared" si="32"/>
        <v>14*</v>
      </c>
      <c r="BAW1" s="15" t="str">
        <f t="shared" si="32"/>
        <v>15*</v>
      </c>
      <c r="BAX1" s="15" t="str">
        <f t="shared" si="32"/>
        <v>16*</v>
      </c>
      <c r="BAY1" s="15" t="str">
        <f t="shared" si="32"/>
        <v>17*</v>
      </c>
      <c r="BAZ1" s="15" t="str">
        <f t="shared" si="32"/>
        <v>18*</v>
      </c>
      <c r="BBA1" s="15" t="str">
        <f t="shared" si="32"/>
        <v>19*</v>
      </c>
      <c r="BBB1" s="15" t="str">
        <f t="shared" si="32"/>
        <v>20*</v>
      </c>
      <c r="BBC1" s="15" t="str">
        <f t="shared" si="32"/>
        <v>21*</v>
      </c>
      <c r="BBD1" s="15" t="str">
        <f t="shared" si="32"/>
        <v>22*</v>
      </c>
      <c r="BBE1" s="15" t="str">
        <f t="shared" si="32"/>
        <v>23*</v>
      </c>
      <c r="BBF1" s="15" t="str">
        <f t="shared" si="32"/>
        <v>24*</v>
      </c>
      <c r="BBG1" s="15" t="str">
        <f t="shared" si="32"/>
        <v>25*</v>
      </c>
      <c r="BBH1" s="15" t="str">
        <f t="shared" si="32"/>
        <v>26*</v>
      </c>
      <c r="BBI1" s="15" t="str">
        <f t="shared" si="32"/>
        <v>27*</v>
      </c>
      <c r="BBJ1" s="15" t="str">
        <f t="shared" si="32"/>
        <v>28*</v>
      </c>
      <c r="BBK1" s="15" t="str">
        <f t="shared" si="32"/>
        <v>29*</v>
      </c>
      <c r="BBL1" s="15" t="str">
        <f t="shared" si="32"/>
        <v>30*</v>
      </c>
      <c r="BBM1" s="15" t="str">
        <f t="shared" si="32"/>
        <v>н.Н</v>
      </c>
      <c r="BBN1" s="15" t="str">
        <f t="shared" si="32"/>
        <v>01*</v>
      </c>
      <c r="BBO1" s="15" t="str">
        <f t="shared" si="32"/>
        <v>02*</v>
      </c>
      <c r="BBP1" s="15" t="str">
        <f t="shared" ref="BBP1:BDV1" si="33">IF(RIGHT(BBP$5,1)="Н",RIGHT(BBP$5,3),MID(BBP$5,FIND(".",BBP$5)+1,5))</f>
        <v>03*</v>
      </c>
      <c r="BBQ1" s="15" t="str">
        <f t="shared" si="33"/>
        <v>04*</v>
      </c>
      <c r="BBR1" s="15" t="str">
        <f t="shared" si="33"/>
        <v>05*</v>
      </c>
      <c r="BBS1" s="15" t="str">
        <f t="shared" si="33"/>
        <v>06*</v>
      </c>
      <c r="BBT1" s="15" t="str">
        <f t="shared" si="33"/>
        <v>07*</v>
      </c>
      <c r="BBU1" s="15" t="str">
        <f t="shared" si="33"/>
        <v>08*</v>
      </c>
      <c r="BBV1" s="15" t="str">
        <f t="shared" si="33"/>
        <v>09*</v>
      </c>
      <c r="BBW1" s="15" t="str">
        <f t="shared" si="33"/>
        <v>10*</v>
      </c>
      <c r="BBX1" s="15" t="str">
        <f t="shared" si="33"/>
        <v>11*</v>
      </c>
      <c r="BBY1" s="15" t="str">
        <f t="shared" si="33"/>
        <v>12*</v>
      </c>
      <c r="BBZ1" s="15" t="str">
        <f t="shared" si="33"/>
        <v>13*</v>
      </c>
      <c r="BCA1" s="15" t="str">
        <f t="shared" si="33"/>
        <v>14*</v>
      </c>
      <c r="BCB1" s="15" t="str">
        <f t="shared" si="33"/>
        <v>15*</v>
      </c>
      <c r="BCC1" s="15" t="str">
        <f t="shared" si="33"/>
        <v>16*</v>
      </c>
      <c r="BCD1" s="15" t="str">
        <f t="shared" si="33"/>
        <v>17*</v>
      </c>
      <c r="BCE1" s="15" t="str">
        <f t="shared" si="33"/>
        <v>18*</v>
      </c>
      <c r="BCF1" s="15" t="str">
        <f t="shared" si="33"/>
        <v>19*</v>
      </c>
      <c r="BCG1" s="15" t="str">
        <f t="shared" si="33"/>
        <v>20*</v>
      </c>
      <c r="BCH1" s="15" t="str">
        <f t="shared" si="33"/>
        <v>21*</v>
      </c>
      <c r="BCI1" s="15" t="str">
        <f t="shared" si="33"/>
        <v>22*</v>
      </c>
      <c r="BCJ1" s="15" t="str">
        <f t="shared" si="33"/>
        <v>23*</v>
      </c>
      <c r="BCK1" s="15" t="str">
        <f t="shared" si="33"/>
        <v>24*</v>
      </c>
      <c r="BCL1" s="15" t="str">
        <f t="shared" si="33"/>
        <v>25*</v>
      </c>
      <c r="BCM1" s="15" t="str">
        <f t="shared" si="33"/>
        <v>26*</v>
      </c>
      <c r="BCN1" s="15" t="str">
        <f t="shared" si="33"/>
        <v>27*</v>
      </c>
      <c r="BCO1" s="15" t="str">
        <f t="shared" si="33"/>
        <v>28*</v>
      </c>
      <c r="BCP1" s="15" t="str">
        <f t="shared" si="33"/>
        <v>29*</v>
      </c>
      <c r="BCQ1" s="15" t="str">
        <f t="shared" si="33"/>
        <v>30*</v>
      </c>
      <c r="BCR1" s="15" t="str">
        <f t="shared" si="33"/>
        <v>п.Н</v>
      </c>
      <c r="BCS1" s="15" t="str">
        <f t="shared" si="33"/>
        <v>01*</v>
      </c>
      <c r="BCT1" s="15" t="str">
        <f t="shared" si="33"/>
        <v>02*</v>
      </c>
      <c r="BCU1" s="15" t="str">
        <f t="shared" si="33"/>
        <v>03*</v>
      </c>
      <c r="BCV1" s="15" t="str">
        <f t="shared" si="33"/>
        <v>04*</v>
      </c>
      <c r="BCW1" s="15" t="str">
        <f t="shared" si="33"/>
        <v>05*</v>
      </c>
      <c r="BCX1" s="15" t="str">
        <f t="shared" si="33"/>
        <v>06*</v>
      </c>
      <c r="BCY1" s="15" t="str">
        <f t="shared" si="33"/>
        <v>07*</v>
      </c>
      <c r="BCZ1" s="15" t="str">
        <f t="shared" si="33"/>
        <v>08*</v>
      </c>
      <c r="BDA1" s="15" t="str">
        <f t="shared" si="33"/>
        <v>09*</v>
      </c>
      <c r="BDB1" s="15" t="str">
        <f t="shared" si="33"/>
        <v>10*</v>
      </c>
      <c r="BDC1" s="15" t="str">
        <f t="shared" si="33"/>
        <v>11*</v>
      </c>
      <c r="BDD1" s="15" t="str">
        <f t="shared" si="33"/>
        <v>12*</v>
      </c>
      <c r="BDE1" s="15" t="str">
        <f t="shared" si="33"/>
        <v>13*</v>
      </c>
      <c r="BDF1" s="15" t="str">
        <f t="shared" si="33"/>
        <v>14*</v>
      </c>
      <c r="BDG1" s="15" t="str">
        <f t="shared" si="33"/>
        <v>15*</v>
      </c>
      <c r="BDH1" s="15" t="str">
        <f t="shared" si="33"/>
        <v>16*</v>
      </c>
      <c r="BDI1" s="15" t="str">
        <f t="shared" si="33"/>
        <v>17*</v>
      </c>
      <c r="BDJ1" s="15" t="str">
        <f t="shared" si="33"/>
        <v>18*</v>
      </c>
      <c r="BDK1" s="15" t="str">
        <f t="shared" si="33"/>
        <v>19*</v>
      </c>
      <c r="BDL1" s="15" t="str">
        <f t="shared" si="33"/>
        <v>20*</v>
      </c>
      <c r="BDM1" s="15" t="str">
        <f t="shared" si="33"/>
        <v>21*</v>
      </c>
      <c r="BDN1" s="15" t="str">
        <f t="shared" si="33"/>
        <v>22*</v>
      </c>
      <c r="BDO1" s="15" t="str">
        <f t="shared" si="33"/>
        <v>23*</v>
      </c>
      <c r="BDP1" s="15" t="str">
        <f t="shared" si="33"/>
        <v>24*</v>
      </c>
      <c r="BDQ1" s="15" t="str">
        <f t="shared" si="33"/>
        <v>25*</v>
      </c>
      <c r="BDR1" s="15" t="str">
        <f t="shared" si="33"/>
        <v>26*</v>
      </c>
      <c r="BDS1" s="15" t="str">
        <f t="shared" si="33"/>
        <v>27*</v>
      </c>
      <c r="BDT1" s="15" t="str">
        <f t="shared" si="33"/>
        <v>28*</v>
      </c>
      <c r="BDU1" s="15" t="str">
        <f t="shared" si="33"/>
        <v>29*</v>
      </c>
      <c r="BDV1" s="15" t="str">
        <f t="shared" si="33"/>
        <v>30*</v>
      </c>
      <c r="BDW1" s="15" t="str">
        <f t="shared" ref="BDW1:BFH1" si="34">IF(RIGHT(BDW$5,1)="Н",RIGHT(BDW$5,3),MID(BDW$5,FIND(".",BDW$5)+1,5))</f>
        <v>н.Н</v>
      </c>
      <c r="BDX1" s="15" t="str">
        <f t="shared" si="34"/>
        <v>01*</v>
      </c>
      <c r="BDY1" s="15" t="str">
        <f t="shared" si="34"/>
        <v>02*</v>
      </c>
      <c r="BDZ1" s="15" t="str">
        <f t="shared" si="34"/>
        <v>03*</v>
      </c>
      <c r="BEA1" s="15" t="str">
        <f t="shared" si="34"/>
        <v>04*</v>
      </c>
      <c r="BEB1" s="15" t="str">
        <f t="shared" si="34"/>
        <v>05*</v>
      </c>
      <c r="BEC1" s="15" t="str">
        <f t="shared" si="34"/>
        <v>06*</v>
      </c>
      <c r="BED1" s="15" t="str">
        <f t="shared" si="34"/>
        <v>07*</v>
      </c>
      <c r="BEE1" s="15" t="str">
        <f t="shared" si="34"/>
        <v>08*</v>
      </c>
      <c r="BEF1" s="15" t="str">
        <f t="shared" si="34"/>
        <v>09*</v>
      </c>
      <c r="BEG1" s="15" t="str">
        <f t="shared" si="34"/>
        <v>10*</v>
      </c>
      <c r="BEH1" s="15" t="str">
        <f t="shared" si="34"/>
        <v>11*</v>
      </c>
      <c r="BEI1" s="15" t="str">
        <f t="shared" si="34"/>
        <v>12*</v>
      </c>
      <c r="BEJ1" s="15" t="str">
        <f t="shared" si="34"/>
        <v>13*</v>
      </c>
      <c r="BEK1" s="15" t="str">
        <f t="shared" si="34"/>
        <v>14*</v>
      </c>
      <c r="BEL1" s="15" t="str">
        <f t="shared" si="34"/>
        <v>15*</v>
      </c>
      <c r="BEM1" s="15" t="str">
        <f t="shared" si="34"/>
        <v>16*</v>
      </c>
      <c r="BEN1" s="15" t="str">
        <f t="shared" si="34"/>
        <v>17*</v>
      </c>
      <c r="BEO1" s="15" t="str">
        <f t="shared" si="34"/>
        <v>18*</v>
      </c>
      <c r="BEP1" s="15" t="str">
        <f t="shared" si="34"/>
        <v>19*</v>
      </c>
      <c r="BEQ1" s="15" t="str">
        <f t="shared" si="34"/>
        <v>20*</v>
      </c>
      <c r="BER1" s="15" t="str">
        <f t="shared" si="34"/>
        <v>21*</v>
      </c>
      <c r="BES1" s="15" t="str">
        <f t="shared" si="34"/>
        <v>22*</v>
      </c>
      <c r="BET1" s="15" t="str">
        <f t="shared" si="34"/>
        <v>23*</v>
      </c>
      <c r="BEU1" s="15" t="str">
        <f t="shared" si="34"/>
        <v>24*</v>
      </c>
      <c r="BEV1" s="15" t="str">
        <f t="shared" si="34"/>
        <v>25*</v>
      </c>
      <c r="BEW1" s="15" t="str">
        <f t="shared" si="34"/>
        <v>26*</v>
      </c>
      <c r="BEX1" s="15" t="str">
        <f t="shared" si="34"/>
        <v>27*</v>
      </c>
      <c r="BEY1" s="15" t="str">
        <f t="shared" si="34"/>
        <v>28*</v>
      </c>
      <c r="BEZ1" s="15" t="str">
        <f t="shared" si="34"/>
        <v>29*</v>
      </c>
      <c r="BFA1" s="15" t="str">
        <f t="shared" si="34"/>
        <v>30*</v>
      </c>
      <c r="BFB1" s="15" t="str">
        <f t="shared" si="34"/>
        <v>п.Н</v>
      </c>
      <c r="BFC1" s="15" t="str">
        <f t="shared" si="34"/>
        <v>01*</v>
      </c>
      <c r="BFD1" s="15" t="str">
        <f t="shared" si="34"/>
        <v>02*</v>
      </c>
      <c r="BFE1" s="15" t="str">
        <f t="shared" si="34"/>
        <v>03*</v>
      </c>
      <c r="BFF1" s="15" t="str">
        <f t="shared" si="34"/>
        <v>04*</v>
      </c>
      <c r="BFG1" s="15" t="str">
        <f t="shared" si="34"/>
        <v>05*</v>
      </c>
      <c r="BFH1" s="15" t="str">
        <f t="shared" si="34"/>
        <v>06*</v>
      </c>
      <c r="BFI1" s="15" t="str">
        <f t="shared" ref="BFI1:BGO1" si="35">IF(RIGHT(BFI$5,1)="Н",RIGHT(BFI$5,3),MID(BFI$5,FIND(".",BFI$5)+1,5))</f>
        <v>07*</v>
      </c>
      <c r="BFJ1" s="15" t="str">
        <f t="shared" si="35"/>
        <v>08*</v>
      </c>
      <c r="BFK1" s="15" t="str">
        <f t="shared" si="35"/>
        <v>09*</v>
      </c>
      <c r="BFL1" s="15" t="str">
        <f t="shared" si="35"/>
        <v>10*</v>
      </c>
      <c r="BFM1" s="15" t="str">
        <f t="shared" si="35"/>
        <v>11*</v>
      </c>
      <c r="BFN1" s="15" t="str">
        <f t="shared" si="35"/>
        <v>12*</v>
      </c>
      <c r="BFO1" s="15" t="str">
        <f t="shared" si="35"/>
        <v>13*</v>
      </c>
      <c r="BFP1" s="15" t="str">
        <f t="shared" si="35"/>
        <v>14*</v>
      </c>
      <c r="BFQ1" s="15" t="str">
        <f t="shared" si="35"/>
        <v>15*</v>
      </c>
      <c r="BFR1" s="15" t="str">
        <f t="shared" si="35"/>
        <v>16*</v>
      </c>
      <c r="BFS1" s="15" t="str">
        <f t="shared" si="35"/>
        <v>17*</v>
      </c>
      <c r="BFT1" s="15" t="str">
        <f t="shared" si="35"/>
        <v>18*</v>
      </c>
      <c r="BFU1" s="15" t="str">
        <f t="shared" si="35"/>
        <v>19*</v>
      </c>
      <c r="BFV1" s="15" t="str">
        <f t="shared" si="35"/>
        <v>20*</v>
      </c>
      <c r="BFW1" s="15" t="str">
        <f t="shared" si="35"/>
        <v>21*</v>
      </c>
      <c r="BFX1" s="15" t="str">
        <f t="shared" si="35"/>
        <v>22*</v>
      </c>
      <c r="BFY1" s="15" t="str">
        <f t="shared" si="35"/>
        <v>23*</v>
      </c>
      <c r="BFZ1" s="15" t="str">
        <f t="shared" si="35"/>
        <v>24*</v>
      </c>
      <c r="BGA1" s="15" t="str">
        <f t="shared" si="35"/>
        <v>25*</v>
      </c>
      <c r="BGB1" s="15" t="str">
        <f t="shared" si="35"/>
        <v>26*</v>
      </c>
      <c r="BGC1" s="15" t="str">
        <f t="shared" si="35"/>
        <v>27*</v>
      </c>
      <c r="BGD1" s="15" t="str">
        <f t="shared" si="35"/>
        <v>28*</v>
      </c>
      <c r="BGE1" s="15" t="str">
        <f t="shared" si="35"/>
        <v>29*</v>
      </c>
      <c r="BGF1" s="15" t="str">
        <f t="shared" si="35"/>
        <v>30*</v>
      </c>
      <c r="BGG1" s="15" t="str">
        <f t="shared" si="35"/>
        <v>н.Н</v>
      </c>
      <c r="BGH1" s="15" t="str">
        <f t="shared" si="35"/>
        <v>01*</v>
      </c>
      <c r="BGI1" s="15" t="str">
        <f t="shared" si="35"/>
        <v>02*</v>
      </c>
      <c r="BGJ1" s="15" t="str">
        <f t="shared" si="35"/>
        <v>03*</v>
      </c>
      <c r="BGK1" s="15" t="str">
        <f t="shared" si="35"/>
        <v>04*</v>
      </c>
      <c r="BGL1" s="15" t="str">
        <f t="shared" si="35"/>
        <v>05*</v>
      </c>
      <c r="BGM1" s="15" t="str">
        <f t="shared" si="35"/>
        <v>06*</v>
      </c>
      <c r="BGN1" s="15" t="str">
        <f t="shared" si="35"/>
        <v>07*</v>
      </c>
      <c r="BGO1" s="15" t="str">
        <f t="shared" si="35"/>
        <v>08*</v>
      </c>
      <c r="BGP1" s="15" t="str">
        <f t="shared" ref="BGP1:BIP1" si="36">IF(RIGHT(BGP$5,1)="Н",RIGHT(BGP$5,3),MID(BGP$5,FIND(".",BGP$5)+1,5))</f>
        <v>09*</v>
      </c>
      <c r="BGQ1" s="15" t="str">
        <f t="shared" si="36"/>
        <v>10*</v>
      </c>
      <c r="BGR1" s="15" t="str">
        <f t="shared" si="36"/>
        <v>11*</v>
      </c>
      <c r="BGS1" s="15" t="str">
        <f t="shared" si="36"/>
        <v>12*</v>
      </c>
      <c r="BGT1" s="15" t="str">
        <f t="shared" si="36"/>
        <v>13*</v>
      </c>
      <c r="BGU1" s="15" t="str">
        <f t="shared" si="36"/>
        <v>14*</v>
      </c>
      <c r="BGV1" s="15" t="str">
        <f t="shared" si="36"/>
        <v>15*</v>
      </c>
      <c r="BGW1" s="15" t="str">
        <f t="shared" si="36"/>
        <v>16*</v>
      </c>
      <c r="BGX1" s="15" t="str">
        <f t="shared" si="36"/>
        <v>17*</v>
      </c>
      <c r="BGY1" s="15" t="str">
        <f t="shared" si="36"/>
        <v>18*</v>
      </c>
      <c r="BGZ1" s="15" t="str">
        <f t="shared" si="36"/>
        <v>19*</v>
      </c>
      <c r="BHA1" s="15" t="str">
        <f t="shared" si="36"/>
        <v>20*</v>
      </c>
      <c r="BHB1" s="15" t="str">
        <f t="shared" si="36"/>
        <v>21*</v>
      </c>
      <c r="BHC1" s="15" t="str">
        <f t="shared" si="36"/>
        <v>22*</v>
      </c>
      <c r="BHD1" s="15" t="str">
        <f t="shared" si="36"/>
        <v>23*</v>
      </c>
      <c r="BHE1" s="15" t="str">
        <f t="shared" si="36"/>
        <v>24*</v>
      </c>
      <c r="BHF1" s="15" t="str">
        <f t="shared" si="36"/>
        <v>25*</v>
      </c>
      <c r="BHG1" s="15" t="str">
        <f t="shared" si="36"/>
        <v>26*</v>
      </c>
      <c r="BHH1" s="15" t="str">
        <f t="shared" si="36"/>
        <v>27*</v>
      </c>
      <c r="BHI1" s="15" t="str">
        <f t="shared" si="36"/>
        <v>28*</v>
      </c>
      <c r="BHJ1" s="15" t="str">
        <f t="shared" si="36"/>
        <v>29*</v>
      </c>
      <c r="BHK1" s="15" t="str">
        <f t="shared" si="36"/>
        <v>30*</v>
      </c>
      <c r="BHL1" s="15" t="str">
        <f t="shared" si="36"/>
        <v>п.Н</v>
      </c>
      <c r="BHM1" s="15" t="str">
        <f t="shared" si="36"/>
        <v>01*</v>
      </c>
      <c r="BHN1" s="15" t="str">
        <f t="shared" si="36"/>
        <v>02*</v>
      </c>
      <c r="BHO1" s="15" t="str">
        <f t="shared" si="36"/>
        <v>03*</v>
      </c>
      <c r="BHP1" s="15" t="str">
        <f t="shared" si="36"/>
        <v>04*</v>
      </c>
      <c r="BHQ1" s="15" t="str">
        <f t="shared" si="36"/>
        <v>05*</v>
      </c>
      <c r="BHR1" s="15" t="str">
        <f t="shared" si="36"/>
        <v>06*</v>
      </c>
      <c r="BHS1" s="15" t="str">
        <f t="shared" si="36"/>
        <v>07*</v>
      </c>
      <c r="BHT1" s="15" t="str">
        <f t="shared" si="36"/>
        <v>08*</v>
      </c>
      <c r="BHU1" s="15" t="str">
        <f t="shared" si="36"/>
        <v>09*</v>
      </c>
      <c r="BHV1" s="15" t="str">
        <f t="shared" si="36"/>
        <v>10*</v>
      </c>
      <c r="BHW1" s="15" t="str">
        <f t="shared" si="36"/>
        <v>11*</v>
      </c>
      <c r="BHX1" s="15" t="str">
        <f t="shared" si="36"/>
        <v>12*</v>
      </c>
      <c r="BHY1" s="15" t="str">
        <f t="shared" si="36"/>
        <v>13*</v>
      </c>
      <c r="BHZ1" s="15" t="str">
        <f t="shared" si="36"/>
        <v>14*</v>
      </c>
      <c r="BIA1" s="15" t="str">
        <f t="shared" si="36"/>
        <v>15*</v>
      </c>
      <c r="BIB1" s="15" t="str">
        <f t="shared" si="36"/>
        <v>16*</v>
      </c>
      <c r="BIC1" s="15" t="str">
        <f t="shared" si="36"/>
        <v>17*</v>
      </c>
      <c r="BID1" s="15" t="str">
        <f t="shared" si="36"/>
        <v>18*</v>
      </c>
      <c r="BIE1" s="15" t="str">
        <f t="shared" si="36"/>
        <v>19*</v>
      </c>
      <c r="BIF1" s="15" t="str">
        <f t="shared" si="36"/>
        <v>20*</v>
      </c>
      <c r="BIG1" s="15" t="str">
        <f t="shared" si="36"/>
        <v>21*</v>
      </c>
      <c r="BIH1" s="15" t="str">
        <f t="shared" si="36"/>
        <v>22*</v>
      </c>
      <c r="BII1" s="15" t="str">
        <f t="shared" si="36"/>
        <v>23*</v>
      </c>
      <c r="BIJ1" s="15" t="str">
        <f t="shared" si="36"/>
        <v>24*</v>
      </c>
      <c r="BIK1" s="15" t="str">
        <f t="shared" si="36"/>
        <v>25*</v>
      </c>
      <c r="BIL1" s="15" t="str">
        <f t="shared" si="36"/>
        <v>26*</v>
      </c>
      <c r="BIM1" s="15" t="str">
        <f t="shared" si="36"/>
        <v>27*</v>
      </c>
      <c r="BIN1" s="15" t="str">
        <f t="shared" si="36"/>
        <v>28*</v>
      </c>
      <c r="BIO1" s="15" t="str">
        <f t="shared" si="36"/>
        <v>29*</v>
      </c>
      <c r="BIP1" s="15" t="str">
        <f t="shared" si="36"/>
        <v>30*</v>
      </c>
      <c r="BIQ1" s="15" t="str">
        <f t="shared" ref="BIQ1:BKH1" si="37">IF(RIGHT(BIQ$5,1)="Н",RIGHT(BIQ$5,3),MID(BIQ$5,FIND(".",BIQ$5)+1,5))</f>
        <v>н.Н</v>
      </c>
      <c r="BIR1" s="15" t="str">
        <f t="shared" si="37"/>
        <v>01*</v>
      </c>
      <c r="BIS1" s="15" t="str">
        <f t="shared" si="37"/>
        <v>02*</v>
      </c>
      <c r="BIT1" s="15" t="str">
        <f t="shared" si="37"/>
        <v>03*</v>
      </c>
      <c r="BIU1" s="15" t="str">
        <f t="shared" si="37"/>
        <v>04*</v>
      </c>
      <c r="BIV1" s="15" t="str">
        <f t="shared" si="37"/>
        <v>05*</v>
      </c>
      <c r="BIW1" s="15" t="str">
        <f t="shared" si="37"/>
        <v>06*</v>
      </c>
      <c r="BIX1" s="15" t="str">
        <f t="shared" si="37"/>
        <v>07*</v>
      </c>
      <c r="BIY1" s="15" t="str">
        <f t="shared" si="37"/>
        <v>08*</v>
      </c>
      <c r="BIZ1" s="15" t="str">
        <f t="shared" si="37"/>
        <v>09*</v>
      </c>
      <c r="BJA1" s="15" t="str">
        <f t="shared" si="37"/>
        <v>10*</v>
      </c>
      <c r="BJB1" s="15" t="str">
        <f t="shared" si="37"/>
        <v>11*</v>
      </c>
      <c r="BJC1" s="15" t="str">
        <f t="shared" si="37"/>
        <v>12*</v>
      </c>
      <c r="BJD1" s="15" t="str">
        <f t="shared" si="37"/>
        <v>13*</v>
      </c>
      <c r="BJE1" s="15" t="str">
        <f t="shared" si="37"/>
        <v>14*</v>
      </c>
      <c r="BJF1" s="15" t="str">
        <f t="shared" si="37"/>
        <v>15*</v>
      </c>
      <c r="BJG1" s="15" t="str">
        <f t="shared" si="37"/>
        <v>16*</v>
      </c>
      <c r="BJH1" s="15" t="str">
        <f t="shared" si="37"/>
        <v>17*</v>
      </c>
      <c r="BJI1" s="15" t="str">
        <f t="shared" si="37"/>
        <v>18*</v>
      </c>
      <c r="BJJ1" s="15" t="str">
        <f t="shared" si="37"/>
        <v>19*</v>
      </c>
      <c r="BJK1" s="15" t="str">
        <f t="shared" si="37"/>
        <v>20*</v>
      </c>
      <c r="BJL1" s="15" t="str">
        <f t="shared" si="37"/>
        <v>21*</v>
      </c>
      <c r="BJM1" s="15" t="str">
        <f t="shared" si="37"/>
        <v>22*</v>
      </c>
      <c r="BJN1" s="15" t="str">
        <f t="shared" si="37"/>
        <v>23*</v>
      </c>
      <c r="BJO1" s="15" t="str">
        <f t="shared" si="37"/>
        <v>24*</v>
      </c>
      <c r="BJP1" s="15" t="str">
        <f t="shared" si="37"/>
        <v>25*</v>
      </c>
      <c r="BJQ1" s="15" t="str">
        <f t="shared" si="37"/>
        <v>26*</v>
      </c>
      <c r="BJR1" s="15" t="str">
        <f t="shared" si="37"/>
        <v>27*</v>
      </c>
      <c r="BJS1" s="15" t="str">
        <f t="shared" si="37"/>
        <v>28*</v>
      </c>
      <c r="BJT1" s="15" t="str">
        <f t="shared" si="37"/>
        <v>29*</v>
      </c>
      <c r="BJU1" s="15" t="str">
        <f t="shared" si="37"/>
        <v>30*</v>
      </c>
      <c r="BJV1" s="15" t="str">
        <f t="shared" si="37"/>
        <v>п.Н</v>
      </c>
      <c r="BJW1" s="15" t="str">
        <f t="shared" si="37"/>
        <v>01*</v>
      </c>
      <c r="BJX1" s="15" t="str">
        <f t="shared" si="37"/>
        <v>02*</v>
      </c>
      <c r="BJY1" s="15" t="str">
        <f t="shared" si="37"/>
        <v>03*</v>
      </c>
      <c r="BJZ1" s="15" t="str">
        <f t="shared" si="37"/>
        <v>04*</v>
      </c>
      <c r="BKA1" s="15" t="str">
        <f t="shared" si="37"/>
        <v>05*</v>
      </c>
      <c r="BKB1" s="15" t="str">
        <f t="shared" si="37"/>
        <v>06*</v>
      </c>
      <c r="BKC1" s="15" t="str">
        <f t="shared" si="37"/>
        <v>07*</v>
      </c>
      <c r="BKD1" s="15" t="str">
        <f t="shared" si="37"/>
        <v>08*</v>
      </c>
      <c r="BKE1" s="15" t="str">
        <f t="shared" si="37"/>
        <v>09*</v>
      </c>
      <c r="BKF1" s="15" t="str">
        <f t="shared" si="37"/>
        <v>10*</v>
      </c>
      <c r="BKG1" s="15" t="str">
        <f t="shared" si="37"/>
        <v>11*</v>
      </c>
      <c r="BKH1" s="15" t="str">
        <f t="shared" si="37"/>
        <v>12*</v>
      </c>
      <c r="BKI1" s="15" t="str">
        <f t="shared" ref="BKI1:BLO1" si="38">IF(RIGHT(BKI$5,1)="Н",RIGHT(BKI$5,3),MID(BKI$5,FIND(".",BKI$5)+1,5))</f>
        <v>13*</v>
      </c>
      <c r="BKJ1" s="15" t="str">
        <f t="shared" si="38"/>
        <v>14*</v>
      </c>
      <c r="BKK1" s="15" t="str">
        <f t="shared" si="38"/>
        <v>15*</v>
      </c>
      <c r="BKL1" s="15" t="str">
        <f t="shared" si="38"/>
        <v>16*</v>
      </c>
      <c r="BKM1" s="15" t="str">
        <f t="shared" si="38"/>
        <v>17*</v>
      </c>
      <c r="BKN1" s="15" t="str">
        <f t="shared" si="38"/>
        <v>18*</v>
      </c>
      <c r="BKO1" s="15" t="str">
        <f t="shared" si="38"/>
        <v>19*</v>
      </c>
      <c r="BKP1" s="15" t="str">
        <f t="shared" si="38"/>
        <v>20*</v>
      </c>
      <c r="BKQ1" s="15" t="str">
        <f t="shared" si="38"/>
        <v>21*</v>
      </c>
      <c r="BKR1" s="15" t="str">
        <f t="shared" si="38"/>
        <v>22*</v>
      </c>
      <c r="BKS1" s="15" t="str">
        <f t="shared" si="38"/>
        <v>23*</v>
      </c>
      <c r="BKT1" s="15" t="str">
        <f t="shared" si="38"/>
        <v>24*</v>
      </c>
      <c r="BKU1" s="15" t="str">
        <f t="shared" si="38"/>
        <v>25*</v>
      </c>
      <c r="BKV1" s="15" t="str">
        <f t="shared" si="38"/>
        <v>26*</v>
      </c>
      <c r="BKW1" s="15" t="str">
        <f t="shared" si="38"/>
        <v>27*</v>
      </c>
      <c r="BKX1" s="15" t="str">
        <f t="shared" si="38"/>
        <v>28*</v>
      </c>
      <c r="BKY1" s="15" t="str">
        <f t="shared" si="38"/>
        <v>29*</v>
      </c>
      <c r="BKZ1" s="15" t="str">
        <f t="shared" si="38"/>
        <v>30*</v>
      </c>
      <c r="BLA1" s="15" t="str">
        <f t="shared" si="38"/>
        <v>н.Н</v>
      </c>
      <c r="BLB1" s="15" t="str">
        <f t="shared" si="38"/>
        <v>01*</v>
      </c>
      <c r="BLC1" s="15" t="str">
        <f t="shared" si="38"/>
        <v>02*</v>
      </c>
      <c r="BLD1" s="15" t="str">
        <f t="shared" si="38"/>
        <v>03*</v>
      </c>
      <c r="BLE1" s="15" t="str">
        <f t="shared" si="38"/>
        <v>04*</v>
      </c>
      <c r="BLF1" s="15" t="str">
        <f t="shared" si="38"/>
        <v>05*</v>
      </c>
      <c r="BLG1" s="15" t="str">
        <f t="shared" si="38"/>
        <v>06*</v>
      </c>
      <c r="BLH1" s="15" t="str">
        <f t="shared" si="38"/>
        <v>07*</v>
      </c>
      <c r="BLI1" s="15" t="str">
        <f t="shared" si="38"/>
        <v>08*</v>
      </c>
      <c r="BLJ1" s="15" t="str">
        <f t="shared" si="38"/>
        <v>09*</v>
      </c>
      <c r="BLK1" s="15" t="str">
        <f t="shared" si="38"/>
        <v>10*</v>
      </c>
      <c r="BLL1" s="15" t="str">
        <f t="shared" si="38"/>
        <v>11*</v>
      </c>
      <c r="BLM1" s="15" t="str">
        <f t="shared" si="38"/>
        <v>12*</v>
      </c>
      <c r="BLN1" s="15" t="str">
        <f t="shared" si="38"/>
        <v>13*</v>
      </c>
      <c r="BLO1" s="15" t="str">
        <f t="shared" si="38"/>
        <v>14*</v>
      </c>
      <c r="BLP1" s="15" t="str">
        <f t="shared" ref="BLP1:BNJ1" si="39">IF(RIGHT(BLP$5,1)="Н",RIGHT(BLP$5,3),MID(BLP$5,FIND(".",BLP$5)+1,5))</f>
        <v>15*</v>
      </c>
      <c r="BLQ1" s="15" t="str">
        <f t="shared" si="39"/>
        <v>16*</v>
      </c>
      <c r="BLR1" s="15" t="str">
        <f t="shared" si="39"/>
        <v>17*</v>
      </c>
      <c r="BLS1" s="15" t="str">
        <f t="shared" si="39"/>
        <v>18*</v>
      </c>
      <c r="BLT1" s="15" t="str">
        <f t="shared" si="39"/>
        <v>19*</v>
      </c>
      <c r="BLU1" s="15" t="str">
        <f t="shared" si="39"/>
        <v>20*</v>
      </c>
      <c r="BLV1" s="15" t="str">
        <f t="shared" si="39"/>
        <v>21*</v>
      </c>
      <c r="BLW1" s="15" t="str">
        <f t="shared" si="39"/>
        <v>22*</v>
      </c>
      <c r="BLX1" s="15" t="str">
        <f t="shared" si="39"/>
        <v>23*</v>
      </c>
      <c r="BLY1" s="15" t="str">
        <f t="shared" si="39"/>
        <v>24*</v>
      </c>
      <c r="BLZ1" s="15" t="str">
        <f t="shared" si="39"/>
        <v>25*</v>
      </c>
      <c r="BMA1" s="15" t="str">
        <f t="shared" si="39"/>
        <v>26*</v>
      </c>
      <c r="BMB1" s="15" t="str">
        <f t="shared" si="39"/>
        <v>27*</v>
      </c>
      <c r="BMC1" s="15" t="str">
        <f t="shared" si="39"/>
        <v>28*</v>
      </c>
      <c r="BMD1" s="15" t="str">
        <f t="shared" si="39"/>
        <v>29*</v>
      </c>
      <c r="BME1" s="15" t="str">
        <f t="shared" si="39"/>
        <v>30*</v>
      </c>
      <c r="BMF1" s="15" t="str">
        <f t="shared" si="39"/>
        <v>п.Н</v>
      </c>
      <c r="BMG1" s="15" t="str">
        <f t="shared" si="39"/>
        <v>01*</v>
      </c>
      <c r="BMH1" s="15" t="str">
        <f t="shared" si="39"/>
        <v>02*</v>
      </c>
      <c r="BMI1" s="15" t="str">
        <f t="shared" si="39"/>
        <v>03*</v>
      </c>
      <c r="BMJ1" s="15" t="str">
        <f t="shared" si="39"/>
        <v>04*</v>
      </c>
      <c r="BMK1" s="15" t="str">
        <f t="shared" si="39"/>
        <v>05*</v>
      </c>
      <c r="BML1" s="15" t="str">
        <f t="shared" si="39"/>
        <v>06*</v>
      </c>
      <c r="BMM1" s="15" t="str">
        <f t="shared" si="39"/>
        <v>07*</v>
      </c>
      <c r="BMN1" s="15" t="str">
        <f t="shared" si="39"/>
        <v>08*</v>
      </c>
      <c r="BMO1" s="15" t="str">
        <f t="shared" si="39"/>
        <v>09*</v>
      </c>
      <c r="BMP1" s="15" t="str">
        <f t="shared" si="39"/>
        <v>10*</v>
      </c>
      <c r="BMQ1" s="15" t="str">
        <f t="shared" si="39"/>
        <v>11*</v>
      </c>
      <c r="BMR1" s="15" t="str">
        <f t="shared" si="39"/>
        <v>12*</v>
      </c>
      <c r="BMS1" s="15" t="str">
        <f t="shared" si="39"/>
        <v>13*</v>
      </c>
      <c r="BMT1" s="15" t="str">
        <f t="shared" si="39"/>
        <v>14*</v>
      </c>
      <c r="BMU1" s="15" t="str">
        <f t="shared" si="39"/>
        <v>15*</v>
      </c>
      <c r="BMV1" s="15" t="str">
        <f t="shared" si="39"/>
        <v>16*</v>
      </c>
      <c r="BMW1" s="15" t="str">
        <f t="shared" si="39"/>
        <v>17*</v>
      </c>
      <c r="BMX1" s="15" t="str">
        <f t="shared" si="39"/>
        <v>18*</v>
      </c>
      <c r="BMY1" s="15" t="str">
        <f t="shared" si="39"/>
        <v>19*</v>
      </c>
      <c r="BMZ1" s="15" t="str">
        <f t="shared" si="39"/>
        <v>20*</v>
      </c>
      <c r="BNA1" s="15" t="str">
        <f t="shared" si="39"/>
        <v>21*</v>
      </c>
      <c r="BNB1" s="15" t="str">
        <f t="shared" si="39"/>
        <v>22*</v>
      </c>
      <c r="BNC1" s="15" t="str">
        <f t="shared" si="39"/>
        <v>23*</v>
      </c>
      <c r="BND1" s="15" t="str">
        <f t="shared" si="39"/>
        <v>24*</v>
      </c>
      <c r="BNE1" s="15" t="str">
        <f t="shared" si="39"/>
        <v>25*</v>
      </c>
      <c r="BNF1" s="15" t="str">
        <f t="shared" si="39"/>
        <v>26*</v>
      </c>
      <c r="BNG1" s="15" t="str">
        <f t="shared" si="39"/>
        <v>27*</v>
      </c>
      <c r="BNH1" s="15" t="str">
        <f t="shared" si="39"/>
        <v>28*</v>
      </c>
      <c r="BNI1" s="15" t="str">
        <f t="shared" si="39"/>
        <v>29*</v>
      </c>
      <c r="BNJ1" s="15" t="str">
        <f t="shared" si="39"/>
        <v>30*</v>
      </c>
      <c r="BNK1" s="15" t="str">
        <f t="shared" ref="BNK1:BPH1" si="40">IF(RIGHT(BNK$5,1)="Н",RIGHT(BNK$5,3),MID(BNK$5,FIND(".",BNK$5)+1,5))</f>
        <v>н.Н</v>
      </c>
      <c r="BNL1" s="15" t="str">
        <f t="shared" si="40"/>
        <v>01*</v>
      </c>
      <c r="BNM1" s="15" t="str">
        <f t="shared" si="40"/>
        <v>02*</v>
      </c>
      <c r="BNN1" s="15" t="str">
        <f t="shared" si="40"/>
        <v>03*</v>
      </c>
      <c r="BNO1" s="15" t="str">
        <f t="shared" si="40"/>
        <v>04*</v>
      </c>
      <c r="BNP1" s="15" t="str">
        <f t="shared" si="40"/>
        <v>05*</v>
      </c>
      <c r="BNQ1" s="15" t="str">
        <f t="shared" si="40"/>
        <v>06*</v>
      </c>
      <c r="BNR1" s="15" t="str">
        <f t="shared" si="40"/>
        <v>07*</v>
      </c>
      <c r="BNS1" s="15" t="str">
        <f t="shared" si="40"/>
        <v>08*</v>
      </c>
      <c r="BNT1" s="15" t="str">
        <f t="shared" si="40"/>
        <v>09*</v>
      </c>
      <c r="BNU1" s="15" t="str">
        <f t="shared" si="40"/>
        <v>10*</v>
      </c>
      <c r="BNV1" s="15" t="str">
        <f t="shared" si="40"/>
        <v>11*</v>
      </c>
      <c r="BNW1" s="15" t="str">
        <f t="shared" si="40"/>
        <v>12*</v>
      </c>
      <c r="BNX1" s="15" t="str">
        <f t="shared" si="40"/>
        <v>13*</v>
      </c>
      <c r="BNY1" s="15" t="str">
        <f t="shared" si="40"/>
        <v>14*</v>
      </c>
      <c r="BNZ1" s="15" t="str">
        <f t="shared" si="40"/>
        <v>15*</v>
      </c>
      <c r="BOA1" s="15" t="str">
        <f t="shared" si="40"/>
        <v>16*</v>
      </c>
      <c r="BOB1" s="15" t="str">
        <f t="shared" si="40"/>
        <v>17*</v>
      </c>
      <c r="BOC1" s="15" t="str">
        <f t="shared" si="40"/>
        <v>18*</v>
      </c>
      <c r="BOD1" s="15" t="str">
        <f t="shared" si="40"/>
        <v>19*</v>
      </c>
      <c r="BOE1" s="15" t="str">
        <f t="shared" si="40"/>
        <v>20*</v>
      </c>
      <c r="BOF1" s="15" t="str">
        <f t="shared" si="40"/>
        <v>21*</v>
      </c>
      <c r="BOG1" s="15" t="str">
        <f t="shared" si="40"/>
        <v>22*</v>
      </c>
      <c r="BOH1" s="15" t="str">
        <f t="shared" si="40"/>
        <v>23*</v>
      </c>
      <c r="BOI1" s="15" t="str">
        <f t="shared" si="40"/>
        <v>24*</v>
      </c>
      <c r="BOJ1" s="15" t="str">
        <f t="shared" si="40"/>
        <v>25*</v>
      </c>
      <c r="BOK1" s="15" t="str">
        <f t="shared" si="40"/>
        <v>26*</v>
      </c>
      <c r="BOL1" s="15" t="str">
        <f t="shared" si="40"/>
        <v>27*</v>
      </c>
      <c r="BOM1" s="15" t="str">
        <f t="shared" si="40"/>
        <v>28*</v>
      </c>
      <c r="BON1" s="15" t="str">
        <f t="shared" si="40"/>
        <v>29*</v>
      </c>
      <c r="BOO1" s="15" t="str">
        <f t="shared" si="40"/>
        <v>30*</v>
      </c>
      <c r="BOP1" s="15" t="str">
        <f t="shared" si="40"/>
        <v>п.Н</v>
      </c>
      <c r="BOQ1" s="15" t="str">
        <f t="shared" si="40"/>
        <v>01*</v>
      </c>
      <c r="BOR1" s="15" t="str">
        <f t="shared" si="40"/>
        <v>02*</v>
      </c>
      <c r="BOS1" s="15" t="str">
        <f t="shared" si="40"/>
        <v>03*</v>
      </c>
      <c r="BOT1" s="15" t="str">
        <f t="shared" si="40"/>
        <v>04*</v>
      </c>
      <c r="BOU1" s="15" t="str">
        <f t="shared" si="40"/>
        <v>05*</v>
      </c>
      <c r="BOV1" s="15" t="str">
        <f t="shared" si="40"/>
        <v>06*</v>
      </c>
      <c r="BOW1" s="15" t="str">
        <f t="shared" si="40"/>
        <v>07*</v>
      </c>
      <c r="BOX1" s="15" t="str">
        <f t="shared" si="40"/>
        <v>08*</v>
      </c>
      <c r="BOY1" s="15" t="str">
        <f t="shared" si="40"/>
        <v>09*</v>
      </c>
      <c r="BOZ1" s="15" t="str">
        <f t="shared" si="40"/>
        <v>10*</v>
      </c>
      <c r="BPA1" s="15" t="str">
        <f t="shared" si="40"/>
        <v>11*</v>
      </c>
      <c r="BPB1" s="15" t="str">
        <f t="shared" si="40"/>
        <v>12*</v>
      </c>
      <c r="BPC1" s="15" t="str">
        <f t="shared" si="40"/>
        <v>13*</v>
      </c>
      <c r="BPD1" s="15" t="str">
        <f t="shared" si="40"/>
        <v>14*</v>
      </c>
      <c r="BPE1" s="15" t="str">
        <f t="shared" si="40"/>
        <v>15*</v>
      </c>
      <c r="BPF1" s="15" t="str">
        <f t="shared" si="40"/>
        <v>16*</v>
      </c>
      <c r="BPG1" s="15" t="str">
        <f t="shared" si="40"/>
        <v>17*</v>
      </c>
      <c r="BPH1" s="15" t="str">
        <f t="shared" si="40"/>
        <v>18*</v>
      </c>
      <c r="BPI1" s="15" t="str">
        <f t="shared" ref="BPI1:BQO1" si="41">IF(RIGHT(BPI$5,1)="Н",RIGHT(BPI$5,3),MID(BPI$5,FIND(".",BPI$5)+1,5))</f>
        <v>19*</v>
      </c>
      <c r="BPJ1" s="15" t="str">
        <f t="shared" si="41"/>
        <v>20*</v>
      </c>
      <c r="BPK1" s="15" t="str">
        <f t="shared" si="41"/>
        <v>21*</v>
      </c>
      <c r="BPL1" s="15" t="str">
        <f t="shared" si="41"/>
        <v>22*</v>
      </c>
      <c r="BPM1" s="15" t="str">
        <f t="shared" si="41"/>
        <v>23*</v>
      </c>
      <c r="BPN1" s="15" t="str">
        <f t="shared" si="41"/>
        <v>24*</v>
      </c>
      <c r="BPO1" s="15" t="str">
        <f t="shared" si="41"/>
        <v>25*</v>
      </c>
      <c r="BPP1" s="15" t="str">
        <f t="shared" si="41"/>
        <v>26*</v>
      </c>
      <c r="BPQ1" s="15" t="str">
        <f t="shared" si="41"/>
        <v>27*</v>
      </c>
      <c r="BPR1" s="15" t="str">
        <f t="shared" si="41"/>
        <v>28*</v>
      </c>
      <c r="BPS1" s="15" t="str">
        <f t="shared" si="41"/>
        <v>29*</v>
      </c>
      <c r="BPT1" s="15" t="str">
        <f t="shared" si="41"/>
        <v>30*</v>
      </c>
      <c r="BPU1" s="15" t="str">
        <f t="shared" si="41"/>
        <v>н.Н</v>
      </c>
      <c r="BPV1" s="15" t="str">
        <f t="shared" si="41"/>
        <v>01*</v>
      </c>
      <c r="BPW1" s="15" t="str">
        <f t="shared" si="41"/>
        <v>02*</v>
      </c>
      <c r="BPX1" s="15" t="str">
        <f t="shared" si="41"/>
        <v>03*</v>
      </c>
      <c r="BPY1" s="15" t="str">
        <f t="shared" si="41"/>
        <v>04*</v>
      </c>
      <c r="BPZ1" s="15" t="str">
        <f t="shared" si="41"/>
        <v>05*</v>
      </c>
      <c r="BQA1" s="15" t="str">
        <f t="shared" si="41"/>
        <v>06*</v>
      </c>
      <c r="BQB1" s="15" t="str">
        <f t="shared" si="41"/>
        <v>07*</v>
      </c>
      <c r="BQC1" s="15" t="str">
        <f t="shared" si="41"/>
        <v>08*</v>
      </c>
      <c r="BQD1" s="15" t="str">
        <f t="shared" si="41"/>
        <v>09*</v>
      </c>
      <c r="BQE1" s="15" t="str">
        <f t="shared" si="41"/>
        <v>10*</v>
      </c>
      <c r="BQF1" s="15" t="str">
        <f t="shared" si="41"/>
        <v>11*</v>
      </c>
      <c r="BQG1" s="15" t="str">
        <f t="shared" si="41"/>
        <v>12*</v>
      </c>
      <c r="BQH1" s="15" t="str">
        <f t="shared" si="41"/>
        <v>13*</v>
      </c>
      <c r="BQI1" s="15" t="str">
        <f t="shared" si="41"/>
        <v>14*</v>
      </c>
      <c r="BQJ1" s="15" t="str">
        <f t="shared" si="41"/>
        <v>15*</v>
      </c>
      <c r="BQK1" s="15" t="str">
        <f t="shared" si="41"/>
        <v>16*</v>
      </c>
      <c r="BQL1" s="15" t="str">
        <f t="shared" si="41"/>
        <v>17*</v>
      </c>
      <c r="BQM1" s="15" t="str">
        <f t="shared" si="41"/>
        <v>18*</v>
      </c>
      <c r="BQN1" s="15" t="str">
        <f t="shared" si="41"/>
        <v>19*</v>
      </c>
      <c r="BQO1" s="15" t="str">
        <f t="shared" si="41"/>
        <v>20*</v>
      </c>
      <c r="BQP1" s="15" t="str">
        <f t="shared" ref="BQP1:BSD1" si="42">IF(RIGHT(BQP$5,1)="Н",RIGHT(BQP$5,3),MID(BQP$5,FIND(".",BQP$5)+1,5))</f>
        <v>21*</v>
      </c>
      <c r="BQQ1" s="15" t="str">
        <f t="shared" si="42"/>
        <v>22*</v>
      </c>
      <c r="BQR1" s="15" t="str">
        <f t="shared" si="42"/>
        <v>23*</v>
      </c>
      <c r="BQS1" s="15" t="str">
        <f t="shared" si="42"/>
        <v>24*</v>
      </c>
      <c r="BQT1" s="15" t="str">
        <f t="shared" si="42"/>
        <v>25*</v>
      </c>
      <c r="BQU1" s="15" t="str">
        <f t="shared" si="42"/>
        <v>26*</v>
      </c>
      <c r="BQV1" s="15" t="str">
        <f t="shared" si="42"/>
        <v>27*</v>
      </c>
      <c r="BQW1" s="15" t="str">
        <f t="shared" si="42"/>
        <v>28*</v>
      </c>
      <c r="BQX1" s="15" t="str">
        <f t="shared" si="42"/>
        <v>29*</v>
      </c>
      <c r="BQY1" s="15" t="str">
        <f t="shared" si="42"/>
        <v>30*</v>
      </c>
      <c r="BQZ1" s="15" t="str">
        <f t="shared" si="42"/>
        <v>п.Н</v>
      </c>
      <c r="BRA1" s="15" t="str">
        <f t="shared" si="42"/>
        <v>01*</v>
      </c>
      <c r="BRB1" s="15" t="str">
        <f t="shared" si="42"/>
        <v>02*</v>
      </c>
      <c r="BRC1" s="15" t="str">
        <f t="shared" si="42"/>
        <v>03*</v>
      </c>
      <c r="BRD1" s="15" t="str">
        <f t="shared" si="42"/>
        <v>04*</v>
      </c>
      <c r="BRE1" s="15" t="str">
        <f t="shared" si="42"/>
        <v>05*</v>
      </c>
      <c r="BRF1" s="15" t="str">
        <f t="shared" si="42"/>
        <v>06*</v>
      </c>
      <c r="BRG1" s="15" t="str">
        <f t="shared" si="42"/>
        <v>07*</v>
      </c>
      <c r="BRH1" s="15" t="str">
        <f t="shared" si="42"/>
        <v>08*</v>
      </c>
      <c r="BRI1" s="15" t="str">
        <f t="shared" si="42"/>
        <v>09*</v>
      </c>
      <c r="BRJ1" s="15" t="str">
        <f t="shared" si="42"/>
        <v>10*</v>
      </c>
      <c r="BRK1" s="15" t="str">
        <f t="shared" si="42"/>
        <v>11*</v>
      </c>
      <c r="BRL1" s="15" t="str">
        <f t="shared" si="42"/>
        <v>12*</v>
      </c>
      <c r="BRM1" s="15" t="str">
        <f t="shared" si="42"/>
        <v>13*</v>
      </c>
      <c r="BRN1" s="15" t="str">
        <f t="shared" si="42"/>
        <v>14*</v>
      </c>
      <c r="BRO1" s="15" t="str">
        <f t="shared" si="42"/>
        <v>15*</v>
      </c>
      <c r="BRP1" s="15" t="str">
        <f t="shared" si="42"/>
        <v>16*</v>
      </c>
      <c r="BRQ1" s="15" t="str">
        <f t="shared" si="42"/>
        <v>17*</v>
      </c>
      <c r="BRR1" s="15" t="str">
        <f t="shared" si="42"/>
        <v>18*</v>
      </c>
      <c r="BRS1" s="15" t="str">
        <f t="shared" si="42"/>
        <v>19*</v>
      </c>
      <c r="BRT1" s="15" t="str">
        <f t="shared" si="42"/>
        <v>20*</v>
      </c>
      <c r="BRU1" s="15" t="str">
        <f t="shared" si="42"/>
        <v>21*</v>
      </c>
      <c r="BRV1" s="15" t="str">
        <f t="shared" si="42"/>
        <v>22*</v>
      </c>
      <c r="BRW1" s="15" t="str">
        <f t="shared" si="42"/>
        <v>23*</v>
      </c>
      <c r="BRX1" s="15" t="str">
        <f t="shared" si="42"/>
        <v>24*</v>
      </c>
      <c r="BRY1" s="15" t="str">
        <f t="shared" si="42"/>
        <v>25*</v>
      </c>
      <c r="BRZ1" s="15" t="str">
        <f t="shared" si="42"/>
        <v>26*</v>
      </c>
      <c r="BSA1" s="15" t="str">
        <f t="shared" si="42"/>
        <v>27*</v>
      </c>
      <c r="BSB1" s="15" t="str">
        <f t="shared" si="42"/>
        <v>28*</v>
      </c>
      <c r="BSC1" s="15" t="str">
        <f t="shared" si="42"/>
        <v>29*</v>
      </c>
      <c r="BSD1" s="15" t="str">
        <f t="shared" si="42"/>
        <v>30*</v>
      </c>
      <c r="BSE1" s="15" t="str">
        <f t="shared" ref="BSE1:BUH1" si="43">IF(RIGHT(BSE$5,1)="Н",RIGHT(BSE$5,3),MID(BSE$5,FIND(".",BSE$5)+1,5))</f>
        <v>н.Н</v>
      </c>
      <c r="BSF1" s="15" t="str">
        <f t="shared" si="43"/>
        <v>01*</v>
      </c>
      <c r="BSG1" s="15" t="str">
        <f t="shared" si="43"/>
        <v>02*</v>
      </c>
      <c r="BSH1" s="15" t="str">
        <f t="shared" si="43"/>
        <v>03*</v>
      </c>
      <c r="BSI1" s="15" t="str">
        <f t="shared" si="43"/>
        <v>04*</v>
      </c>
      <c r="BSJ1" s="15" t="str">
        <f t="shared" si="43"/>
        <v>05*</v>
      </c>
      <c r="BSK1" s="15" t="str">
        <f t="shared" si="43"/>
        <v>06*</v>
      </c>
      <c r="BSL1" s="15" t="str">
        <f t="shared" si="43"/>
        <v>07*</v>
      </c>
      <c r="BSM1" s="15" t="str">
        <f t="shared" si="43"/>
        <v>08*</v>
      </c>
      <c r="BSN1" s="15" t="str">
        <f t="shared" si="43"/>
        <v>09*</v>
      </c>
      <c r="BSO1" s="15" t="str">
        <f t="shared" si="43"/>
        <v>10*</v>
      </c>
      <c r="BSP1" s="15" t="str">
        <f t="shared" si="43"/>
        <v>11*</v>
      </c>
      <c r="BSQ1" s="15" t="str">
        <f t="shared" si="43"/>
        <v>12*</v>
      </c>
      <c r="BSR1" s="15" t="str">
        <f t="shared" si="43"/>
        <v>13*</v>
      </c>
      <c r="BSS1" s="15" t="str">
        <f t="shared" si="43"/>
        <v>14*</v>
      </c>
      <c r="BST1" s="15" t="str">
        <f t="shared" si="43"/>
        <v>15*</v>
      </c>
      <c r="BSU1" s="15" t="str">
        <f t="shared" si="43"/>
        <v>16*</v>
      </c>
      <c r="BSV1" s="15" t="str">
        <f t="shared" si="43"/>
        <v>17*</v>
      </c>
      <c r="BSW1" s="15" t="str">
        <f t="shared" si="43"/>
        <v>18*</v>
      </c>
      <c r="BSX1" s="15" t="str">
        <f t="shared" si="43"/>
        <v>19*</v>
      </c>
      <c r="BSY1" s="15" t="str">
        <f t="shared" si="43"/>
        <v>20*</v>
      </c>
      <c r="BSZ1" s="15" t="str">
        <f t="shared" si="43"/>
        <v>21*</v>
      </c>
      <c r="BTA1" s="15" t="str">
        <f t="shared" si="43"/>
        <v>22*</v>
      </c>
      <c r="BTB1" s="15" t="str">
        <f t="shared" si="43"/>
        <v>23*</v>
      </c>
      <c r="BTC1" s="15" t="str">
        <f t="shared" si="43"/>
        <v>24*</v>
      </c>
      <c r="BTD1" s="15" t="str">
        <f t="shared" si="43"/>
        <v>25*</v>
      </c>
      <c r="BTE1" s="15" t="str">
        <f t="shared" si="43"/>
        <v>26*</v>
      </c>
      <c r="BTF1" s="15" t="str">
        <f t="shared" si="43"/>
        <v>27*</v>
      </c>
      <c r="BTG1" s="15" t="str">
        <f t="shared" si="43"/>
        <v>28*</v>
      </c>
      <c r="BTH1" s="15" t="str">
        <f t="shared" si="43"/>
        <v>29*</v>
      </c>
      <c r="BTI1" s="15" t="str">
        <f t="shared" si="43"/>
        <v>30*</v>
      </c>
      <c r="BTJ1" s="15" t="str">
        <f t="shared" si="43"/>
        <v>п.Н</v>
      </c>
      <c r="BTK1" s="15" t="str">
        <f t="shared" si="43"/>
        <v>01*</v>
      </c>
      <c r="BTL1" s="15" t="str">
        <f t="shared" si="43"/>
        <v>02*</v>
      </c>
      <c r="BTM1" s="15" t="str">
        <f t="shared" si="43"/>
        <v>03*</v>
      </c>
      <c r="BTN1" s="15" t="str">
        <f t="shared" si="43"/>
        <v>04*</v>
      </c>
      <c r="BTO1" s="15" t="str">
        <f t="shared" si="43"/>
        <v>05*</v>
      </c>
      <c r="BTP1" s="15" t="str">
        <f t="shared" si="43"/>
        <v>06*</v>
      </c>
      <c r="BTQ1" s="15" t="str">
        <f t="shared" si="43"/>
        <v>07*</v>
      </c>
      <c r="BTR1" s="15" t="str">
        <f t="shared" si="43"/>
        <v>08*</v>
      </c>
      <c r="BTS1" s="15" t="str">
        <f t="shared" si="43"/>
        <v>09*</v>
      </c>
      <c r="BTT1" s="15" t="str">
        <f t="shared" si="43"/>
        <v>10*</v>
      </c>
      <c r="BTU1" s="15" t="str">
        <f t="shared" si="43"/>
        <v>11*</v>
      </c>
      <c r="BTV1" s="15" t="str">
        <f t="shared" si="43"/>
        <v>12*</v>
      </c>
      <c r="BTW1" s="15" t="str">
        <f t="shared" si="43"/>
        <v>13*</v>
      </c>
      <c r="BTX1" s="15" t="str">
        <f t="shared" si="43"/>
        <v>14*</v>
      </c>
      <c r="BTY1" s="15" t="str">
        <f t="shared" si="43"/>
        <v>15*</v>
      </c>
      <c r="BTZ1" s="15" t="str">
        <f t="shared" si="43"/>
        <v>16*</v>
      </c>
      <c r="BUA1" s="15" t="str">
        <f t="shared" si="43"/>
        <v>17*</v>
      </c>
      <c r="BUB1" s="15" t="str">
        <f t="shared" si="43"/>
        <v>18*</v>
      </c>
      <c r="BUC1" s="15" t="str">
        <f t="shared" si="43"/>
        <v>19*</v>
      </c>
      <c r="BUD1" s="15" t="str">
        <f t="shared" si="43"/>
        <v>20*</v>
      </c>
      <c r="BUE1" s="15" t="str">
        <f t="shared" si="43"/>
        <v>21*</v>
      </c>
      <c r="BUF1" s="15" t="str">
        <f t="shared" si="43"/>
        <v>22*</v>
      </c>
      <c r="BUG1" s="15" t="str">
        <f t="shared" si="43"/>
        <v>23*</v>
      </c>
      <c r="BUH1" s="15" t="str">
        <f t="shared" si="43"/>
        <v>24*</v>
      </c>
      <c r="BUI1" s="15" t="str">
        <f t="shared" ref="BUI1:BVO1" si="44">IF(RIGHT(BUI$5,1)="Н",RIGHT(BUI$5,3),MID(BUI$5,FIND(".",BUI$5)+1,5))</f>
        <v>25*</v>
      </c>
      <c r="BUJ1" s="15" t="str">
        <f t="shared" si="44"/>
        <v>26*</v>
      </c>
      <c r="BUK1" s="15" t="str">
        <f t="shared" si="44"/>
        <v>27*</v>
      </c>
      <c r="BUL1" s="15" t="str">
        <f t="shared" si="44"/>
        <v>28*</v>
      </c>
      <c r="BUM1" s="15" t="str">
        <f t="shared" si="44"/>
        <v>29*</v>
      </c>
      <c r="BUN1" s="15" t="str">
        <f t="shared" si="44"/>
        <v>30*</v>
      </c>
      <c r="BUO1" s="15" t="str">
        <f t="shared" si="44"/>
        <v>н.Н</v>
      </c>
      <c r="BUP1" s="15" t="str">
        <f t="shared" si="44"/>
        <v>01*</v>
      </c>
      <c r="BUQ1" s="15" t="str">
        <f t="shared" si="44"/>
        <v>02*</v>
      </c>
      <c r="BUR1" s="15" t="str">
        <f t="shared" si="44"/>
        <v>03*</v>
      </c>
      <c r="BUS1" s="15" t="str">
        <f t="shared" si="44"/>
        <v>04*</v>
      </c>
      <c r="BUT1" s="15" t="str">
        <f t="shared" si="44"/>
        <v>05*</v>
      </c>
      <c r="BUU1" s="15" t="str">
        <f t="shared" si="44"/>
        <v>06*</v>
      </c>
      <c r="BUV1" s="15" t="str">
        <f t="shared" si="44"/>
        <v>07*</v>
      </c>
      <c r="BUW1" s="15" t="str">
        <f t="shared" si="44"/>
        <v>08*</v>
      </c>
      <c r="BUX1" s="15" t="str">
        <f t="shared" si="44"/>
        <v>09*</v>
      </c>
      <c r="BUY1" s="15" t="str">
        <f t="shared" si="44"/>
        <v>10*</v>
      </c>
      <c r="BUZ1" s="15" t="str">
        <f t="shared" si="44"/>
        <v>11*</v>
      </c>
      <c r="BVA1" s="15" t="str">
        <f t="shared" si="44"/>
        <v>12*</v>
      </c>
      <c r="BVB1" s="15" t="str">
        <f t="shared" si="44"/>
        <v>13*</v>
      </c>
      <c r="BVC1" s="15" t="str">
        <f t="shared" si="44"/>
        <v>14*</v>
      </c>
      <c r="BVD1" s="15" t="str">
        <f t="shared" si="44"/>
        <v>15*</v>
      </c>
      <c r="BVE1" s="15" t="str">
        <f t="shared" si="44"/>
        <v>16*</v>
      </c>
      <c r="BVF1" s="15" t="str">
        <f t="shared" si="44"/>
        <v>17*</v>
      </c>
      <c r="BVG1" s="15" t="str">
        <f t="shared" si="44"/>
        <v>18*</v>
      </c>
      <c r="BVH1" s="15" t="str">
        <f t="shared" si="44"/>
        <v>19*</v>
      </c>
      <c r="BVI1" s="15" t="str">
        <f t="shared" si="44"/>
        <v>20*</v>
      </c>
      <c r="BVJ1" s="15" t="str">
        <f t="shared" si="44"/>
        <v>21*</v>
      </c>
      <c r="BVK1" s="15" t="str">
        <f t="shared" si="44"/>
        <v>22*</v>
      </c>
      <c r="BVL1" s="15" t="str">
        <f t="shared" si="44"/>
        <v>23*</v>
      </c>
      <c r="BVM1" s="15" t="str">
        <f t="shared" si="44"/>
        <v>24*</v>
      </c>
      <c r="BVN1" s="15" t="str">
        <f t="shared" si="44"/>
        <v>25*</v>
      </c>
      <c r="BVO1" s="15" t="str">
        <f t="shared" si="44"/>
        <v>26*</v>
      </c>
      <c r="BVP1" s="15" t="str">
        <f t="shared" ref="BVP1:BWX1" si="45">IF(RIGHT(BVP$5,1)="Н",RIGHT(BVP$5,3),MID(BVP$5,FIND(".",BVP$5)+1,5))</f>
        <v>27*</v>
      </c>
      <c r="BVQ1" s="15" t="str">
        <f t="shared" si="45"/>
        <v>28*</v>
      </c>
      <c r="BVR1" s="15" t="str">
        <f t="shared" si="45"/>
        <v>29*</v>
      </c>
      <c r="BVS1" s="15" t="str">
        <f t="shared" si="45"/>
        <v>30*</v>
      </c>
      <c r="BVT1" s="15" t="str">
        <f t="shared" si="45"/>
        <v>п.Н</v>
      </c>
      <c r="BVU1" s="15" t="str">
        <f t="shared" si="45"/>
        <v>01*</v>
      </c>
      <c r="BVV1" s="15" t="str">
        <f t="shared" si="45"/>
        <v>02*</v>
      </c>
      <c r="BVW1" s="15" t="str">
        <f t="shared" si="45"/>
        <v>03*</v>
      </c>
      <c r="BVX1" s="15" t="str">
        <f t="shared" si="45"/>
        <v>04*</v>
      </c>
      <c r="BVY1" s="15" t="str">
        <f t="shared" si="45"/>
        <v>05*</v>
      </c>
      <c r="BVZ1" s="15" t="str">
        <f t="shared" si="45"/>
        <v>06*</v>
      </c>
      <c r="BWA1" s="15" t="str">
        <f t="shared" si="45"/>
        <v>07*</v>
      </c>
      <c r="BWB1" s="15" t="str">
        <f t="shared" si="45"/>
        <v>08*</v>
      </c>
      <c r="BWC1" s="15" t="str">
        <f t="shared" si="45"/>
        <v>09*</v>
      </c>
      <c r="BWD1" s="15" t="str">
        <f t="shared" si="45"/>
        <v>10*</v>
      </c>
      <c r="BWE1" s="15" t="str">
        <f t="shared" si="45"/>
        <v>11*</v>
      </c>
      <c r="BWF1" s="15" t="str">
        <f t="shared" si="45"/>
        <v>12*</v>
      </c>
      <c r="BWG1" s="15" t="str">
        <f t="shared" si="45"/>
        <v>13*</v>
      </c>
      <c r="BWH1" s="15" t="str">
        <f t="shared" si="45"/>
        <v>14*</v>
      </c>
      <c r="BWI1" s="15" t="str">
        <f t="shared" si="45"/>
        <v>15*</v>
      </c>
      <c r="BWJ1" s="15" t="str">
        <f t="shared" si="45"/>
        <v>16*</v>
      </c>
      <c r="BWK1" s="15" t="str">
        <f t="shared" si="45"/>
        <v>17*</v>
      </c>
      <c r="BWL1" s="15" t="str">
        <f t="shared" si="45"/>
        <v>18*</v>
      </c>
      <c r="BWM1" s="15" t="str">
        <f t="shared" si="45"/>
        <v>19*</v>
      </c>
      <c r="BWN1" s="15" t="str">
        <f t="shared" si="45"/>
        <v>20*</v>
      </c>
      <c r="BWO1" s="15" t="str">
        <f t="shared" si="45"/>
        <v>21*</v>
      </c>
      <c r="BWP1" s="15" t="str">
        <f t="shared" si="45"/>
        <v>22*</v>
      </c>
      <c r="BWQ1" s="15" t="str">
        <f t="shared" si="45"/>
        <v>23*</v>
      </c>
      <c r="BWR1" s="15" t="str">
        <f t="shared" si="45"/>
        <v>24*</v>
      </c>
      <c r="BWS1" s="15" t="str">
        <f t="shared" si="45"/>
        <v>25*</v>
      </c>
      <c r="BWT1" s="15" t="str">
        <f t="shared" si="45"/>
        <v>26*</v>
      </c>
      <c r="BWU1" s="15" t="str">
        <f t="shared" si="45"/>
        <v>27*</v>
      </c>
      <c r="BWV1" s="15" t="str">
        <f t="shared" si="45"/>
        <v>28*</v>
      </c>
      <c r="BWW1" s="15" t="str">
        <f t="shared" si="45"/>
        <v>29*</v>
      </c>
      <c r="BWX1" s="15" t="str">
        <f t="shared" si="45"/>
        <v>30*</v>
      </c>
      <c r="BWY1" s="15" t="str">
        <f t="shared" ref="BWY1:BZH1" si="46">IF(RIGHT(BWY$5,1)="Н",RIGHT(BWY$5,3),MID(BWY$5,FIND(".",BWY$5)+1,5))</f>
        <v>н.Н</v>
      </c>
      <c r="BWZ1" s="15" t="str">
        <f t="shared" si="46"/>
        <v>01*</v>
      </c>
      <c r="BXA1" s="15" t="str">
        <f t="shared" si="46"/>
        <v>02*</v>
      </c>
      <c r="BXB1" s="15" t="str">
        <f t="shared" si="46"/>
        <v>03*</v>
      </c>
      <c r="BXC1" s="15" t="str">
        <f t="shared" si="46"/>
        <v>04*</v>
      </c>
      <c r="BXD1" s="15" t="str">
        <f t="shared" si="46"/>
        <v>05*</v>
      </c>
      <c r="BXE1" s="15" t="str">
        <f t="shared" si="46"/>
        <v>06*</v>
      </c>
      <c r="BXF1" s="15" t="str">
        <f t="shared" si="46"/>
        <v>07*</v>
      </c>
      <c r="BXG1" s="15" t="str">
        <f t="shared" si="46"/>
        <v>08*</v>
      </c>
      <c r="BXH1" s="15" t="str">
        <f t="shared" si="46"/>
        <v>09*</v>
      </c>
      <c r="BXI1" s="15" t="str">
        <f t="shared" si="46"/>
        <v>10*</v>
      </c>
      <c r="BXJ1" s="15" t="str">
        <f t="shared" si="46"/>
        <v>11*</v>
      </c>
      <c r="BXK1" s="15" t="str">
        <f t="shared" si="46"/>
        <v>12*</v>
      </c>
      <c r="BXL1" s="15" t="str">
        <f t="shared" si="46"/>
        <v>13*</v>
      </c>
      <c r="BXM1" s="15" t="str">
        <f t="shared" si="46"/>
        <v>14*</v>
      </c>
      <c r="BXN1" s="15" t="str">
        <f t="shared" si="46"/>
        <v>15*</v>
      </c>
      <c r="BXO1" s="15" t="str">
        <f t="shared" si="46"/>
        <v>16*</v>
      </c>
      <c r="BXP1" s="15" t="str">
        <f t="shared" si="46"/>
        <v>17*</v>
      </c>
      <c r="BXQ1" s="15" t="str">
        <f t="shared" si="46"/>
        <v>18*</v>
      </c>
      <c r="BXR1" s="15" t="str">
        <f t="shared" si="46"/>
        <v>19*</v>
      </c>
      <c r="BXS1" s="15" t="str">
        <f t="shared" si="46"/>
        <v>20*</v>
      </c>
      <c r="BXT1" s="15" t="str">
        <f t="shared" si="46"/>
        <v>21*</v>
      </c>
      <c r="BXU1" s="15" t="str">
        <f t="shared" si="46"/>
        <v>22*</v>
      </c>
      <c r="BXV1" s="15" t="str">
        <f t="shared" si="46"/>
        <v>23*</v>
      </c>
      <c r="BXW1" s="15" t="str">
        <f t="shared" si="46"/>
        <v>24*</v>
      </c>
      <c r="BXX1" s="15" t="str">
        <f t="shared" si="46"/>
        <v>25*</v>
      </c>
      <c r="BXY1" s="15" t="str">
        <f t="shared" si="46"/>
        <v>26*</v>
      </c>
      <c r="BXZ1" s="15" t="str">
        <f t="shared" si="46"/>
        <v>27*</v>
      </c>
      <c r="BYA1" s="15" t="str">
        <f t="shared" si="46"/>
        <v>28*</v>
      </c>
      <c r="BYB1" s="15" t="str">
        <f t="shared" si="46"/>
        <v>29*</v>
      </c>
      <c r="BYC1" s="15" t="str">
        <f t="shared" si="46"/>
        <v>30*</v>
      </c>
      <c r="BYD1" s="15" t="str">
        <f t="shared" si="46"/>
        <v>п.Н</v>
      </c>
      <c r="BYE1" s="15" t="str">
        <f t="shared" si="46"/>
        <v>01*</v>
      </c>
      <c r="BYF1" s="15" t="str">
        <f t="shared" si="46"/>
        <v>02*</v>
      </c>
      <c r="BYG1" s="15" t="str">
        <f t="shared" si="46"/>
        <v>03*</v>
      </c>
      <c r="BYH1" s="15" t="str">
        <f t="shared" si="46"/>
        <v>04*</v>
      </c>
      <c r="BYI1" s="15" t="str">
        <f t="shared" si="46"/>
        <v>05*</v>
      </c>
      <c r="BYJ1" s="15" t="str">
        <f t="shared" si="46"/>
        <v>06*</v>
      </c>
      <c r="BYK1" s="15" t="str">
        <f t="shared" si="46"/>
        <v>07*</v>
      </c>
      <c r="BYL1" s="15" t="str">
        <f t="shared" si="46"/>
        <v>08*</v>
      </c>
      <c r="BYM1" s="15" t="str">
        <f t="shared" si="46"/>
        <v>09*</v>
      </c>
      <c r="BYN1" s="15" t="str">
        <f t="shared" si="46"/>
        <v>10*</v>
      </c>
      <c r="BYO1" s="15" t="str">
        <f t="shared" si="46"/>
        <v>11*</v>
      </c>
      <c r="BYP1" s="15" t="str">
        <f t="shared" si="46"/>
        <v>12*</v>
      </c>
      <c r="BYQ1" s="15" t="str">
        <f t="shared" si="46"/>
        <v>13*</v>
      </c>
      <c r="BYR1" s="15" t="str">
        <f t="shared" si="46"/>
        <v>14*</v>
      </c>
      <c r="BYS1" s="15" t="str">
        <f t="shared" si="46"/>
        <v>15*</v>
      </c>
      <c r="BYT1" s="15" t="str">
        <f t="shared" si="46"/>
        <v>16*</v>
      </c>
      <c r="BYU1" s="15" t="str">
        <f t="shared" si="46"/>
        <v>17*</v>
      </c>
      <c r="BYV1" s="15" t="str">
        <f t="shared" si="46"/>
        <v>18*</v>
      </c>
      <c r="BYW1" s="15" t="str">
        <f t="shared" si="46"/>
        <v>19*</v>
      </c>
      <c r="BYX1" s="15" t="str">
        <f t="shared" si="46"/>
        <v>20*</v>
      </c>
      <c r="BYY1" s="15" t="str">
        <f t="shared" si="46"/>
        <v>21*</v>
      </c>
      <c r="BYZ1" s="15" t="str">
        <f t="shared" si="46"/>
        <v>22*</v>
      </c>
      <c r="BZA1" s="15" t="str">
        <f t="shared" si="46"/>
        <v>23*</v>
      </c>
      <c r="BZB1" s="15" t="str">
        <f t="shared" si="46"/>
        <v>24*</v>
      </c>
      <c r="BZC1" s="15" t="str">
        <f t="shared" si="46"/>
        <v>25*</v>
      </c>
      <c r="BZD1" s="15" t="str">
        <f t="shared" si="46"/>
        <v>26*</v>
      </c>
      <c r="BZE1" s="15" t="str">
        <f t="shared" si="46"/>
        <v>27*</v>
      </c>
      <c r="BZF1" s="15" t="str">
        <f t="shared" si="46"/>
        <v>28*</v>
      </c>
      <c r="BZG1" s="15" t="str">
        <f t="shared" si="46"/>
        <v>29*</v>
      </c>
      <c r="BZH1" s="15" t="str">
        <f t="shared" si="46"/>
        <v>30*</v>
      </c>
      <c r="BZI1" s="15" t="str">
        <f t="shared" ref="BZI1:CAO1" si="47">IF(RIGHT(BZI$5,1)="Н",RIGHT(BZI$5,3),MID(BZI$5,FIND(".",BZI$5)+1,5))</f>
        <v>н.Н</v>
      </c>
      <c r="BZJ1" s="15" t="str">
        <f t="shared" si="47"/>
        <v>01*</v>
      </c>
      <c r="BZK1" s="15" t="str">
        <f t="shared" si="47"/>
        <v>02*</v>
      </c>
      <c r="BZL1" s="15" t="str">
        <f t="shared" si="47"/>
        <v>03*</v>
      </c>
      <c r="BZM1" s="15" t="str">
        <f t="shared" si="47"/>
        <v>04*</v>
      </c>
      <c r="BZN1" s="15" t="str">
        <f t="shared" si="47"/>
        <v>05*</v>
      </c>
      <c r="BZO1" s="15" t="str">
        <f t="shared" si="47"/>
        <v>06*</v>
      </c>
      <c r="BZP1" s="15" t="str">
        <f t="shared" si="47"/>
        <v>07*</v>
      </c>
      <c r="BZQ1" s="15" t="str">
        <f t="shared" si="47"/>
        <v>08*</v>
      </c>
      <c r="BZR1" s="15" t="str">
        <f t="shared" si="47"/>
        <v>09*</v>
      </c>
      <c r="BZS1" s="15" t="str">
        <f t="shared" si="47"/>
        <v>10*</v>
      </c>
      <c r="BZT1" s="15" t="str">
        <f t="shared" si="47"/>
        <v>11*</v>
      </c>
      <c r="BZU1" s="15" t="str">
        <f t="shared" si="47"/>
        <v>12*</v>
      </c>
      <c r="BZV1" s="15" t="str">
        <f t="shared" si="47"/>
        <v>13*</v>
      </c>
      <c r="BZW1" s="15" t="str">
        <f t="shared" si="47"/>
        <v>14*</v>
      </c>
      <c r="BZX1" s="15" t="str">
        <f t="shared" si="47"/>
        <v>15*</v>
      </c>
      <c r="BZY1" s="15" t="str">
        <f t="shared" si="47"/>
        <v>16*</v>
      </c>
      <c r="BZZ1" s="15" t="str">
        <f t="shared" si="47"/>
        <v>17*</v>
      </c>
      <c r="CAA1" s="15" t="str">
        <f t="shared" si="47"/>
        <v>18*</v>
      </c>
      <c r="CAB1" s="15" t="str">
        <f t="shared" si="47"/>
        <v>19*</v>
      </c>
      <c r="CAC1" s="15" t="str">
        <f t="shared" si="47"/>
        <v>20*</v>
      </c>
      <c r="CAD1" s="15" t="str">
        <f t="shared" si="47"/>
        <v>21*</v>
      </c>
      <c r="CAE1" s="15" t="str">
        <f t="shared" si="47"/>
        <v>22*</v>
      </c>
      <c r="CAF1" s="15" t="str">
        <f t="shared" si="47"/>
        <v>23*</v>
      </c>
      <c r="CAG1" s="15" t="str">
        <f t="shared" si="47"/>
        <v>24*</v>
      </c>
      <c r="CAH1" s="15" t="str">
        <f t="shared" si="47"/>
        <v>25*</v>
      </c>
      <c r="CAI1" s="15" t="str">
        <f t="shared" si="47"/>
        <v>26*</v>
      </c>
      <c r="CAJ1" s="15" t="str">
        <f t="shared" si="47"/>
        <v>27*</v>
      </c>
      <c r="CAK1" s="15" t="str">
        <f t="shared" si="47"/>
        <v>28*</v>
      </c>
      <c r="CAL1" s="15" t="str">
        <f t="shared" si="47"/>
        <v>29*</v>
      </c>
      <c r="CAM1" s="15" t="str">
        <f t="shared" si="47"/>
        <v>30*</v>
      </c>
      <c r="CAN1" s="15" t="str">
        <f t="shared" si="47"/>
        <v>п.Н</v>
      </c>
      <c r="CAO1" s="15" t="str">
        <f t="shared" si="47"/>
        <v>01*</v>
      </c>
      <c r="CAP1" s="15" t="str">
        <f t="shared" ref="CAP1:CBV1" si="48">IF(RIGHT(CAP$5,1)="Н",RIGHT(CAP$5,3),MID(CAP$5,FIND(".",CAP$5)+1,5))</f>
        <v>02*</v>
      </c>
      <c r="CAQ1" s="15" t="str">
        <f t="shared" si="48"/>
        <v>03*</v>
      </c>
      <c r="CAR1" s="15" t="str">
        <f t="shared" si="48"/>
        <v>04*</v>
      </c>
      <c r="CAS1" s="15" t="str">
        <f t="shared" si="48"/>
        <v>05*</v>
      </c>
      <c r="CAT1" s="15" t="str">
        <f t="shared" si="48"/>
        <v>06*</v>
      </c>
      <c r="CAU1" s="15" t="str">
        <f t="shared" si="48"/>
        <v>07*</v>
      </c>
      <c r="CAV1" s="15" t="str">
        <f t="shared" si="48"/>
        <v>08*</v>
      </c>
      <c r="CAW1" s="15" t="str">
        <f t="shared" si="48"/>
        <v>09*</v>
      </c>
      <c r="CAX1" s="15" t="str">
        <f t="shared" si="48"/>
        <v>10*</v>
      </c>
      <c r="CAY1" s="15" t="str">
        <f t="shared" si="48"/>
        <v>11*</v>
      </c>
      <c r="CAZ1" s="15" t="str">
        <f t="shared" si="48"/>
        <v>12*</v>
      </c>
      <c r="CBA1" s="15" t="str">
        <f t="shared" si="48"/>
        <v>13*</v>
      </c>
      <c r="CBB1" s="15" t="str">
        <f t="shared" si="48"/>
        <v>14*</v>
      </c>
      <c r="CBC1" s="15" t="str">
        <f t="shared" si="48"/>
        <v>15*</v>
      </c>
      <c r="CBD1" s="15" t="str">
        <f t="shared" si="48"/>
        <v>16*</v>
      </c>
      <c r="CBE1" s="15" t="str">
        <f t="shared" si="48"/>
        <v>17*</v>
      </c>
      <c r="CBF1" s="15" t="str">
        <f t="shared" si="48"/>
        <v>18*</v>
      </c>
      <c r="CBG1" s="15" t="str">
        <f t="shared" si="48"/>
        <v>19*</v>
      </c>
      <c r="CBH1" s="15" t="str">
        <f t="shared" si="48"/>
        <v>20*</v>
      </c>
      <c r="CBI1" s="15" t="str">
        <f t="shared" si="48"/>
        <v>21*</v>
      </c>
      <c r="CBJ1" s="15" t="str">
        <f t="shared" si="48"/>
        <v>22*</v>
      </c>
      <c r="CBK1" s="15" t="str">
        <f t="shared" si="48"/>
        <v>23*</v>
      </c>
      <c r="CBL1" s="15" t="str">
        <f t="shared" si="48"/>
        <v>24*</v>
      </c>
      <c r="CBM1" s="15" t="str">
        <f t="shared" si="48"/>
        <v>25*</v>
      </c>
      <c r="CBN1" s="15" t="str">
        <f t="shared" si="48"/>
        <v>26*</v>
      </c>
      <c r="CBO1" s="15" t="str">
        <f t="shared" si="48"/>
        <v>27*</v>
      </c>
      <c r="CBP1" s="15" t="str">
        <f t="shared" si="48"/>
        <v>28*</v>
      </c>
      <c r="CBQ1" s="15" t="str">
        <f t="shared" si="48"/>
        <v>29*</v>
      </c>
      <c r="CBR1" s="15" t="str">
        <f t="shared" si="48"/>
        <v>30*</v>
      </c>
      <c r="CBS1" s="15" t="str">
        <f t="shared" si="48"/>
        <v>н.Н</v>
      </c>
      <c r="CBT1" s="15" t="str">
        <f t="shared" si="48"/>
        <v>01*</v>
      </c>
      <c r="CBU1" s="15" t="str">
        <f t="shared" si="48"/>
        <v>02*</v>
      </c>
      <c r="CBV1" s="15" t="str">
        <f t="shared" si="48"/>
        <v>03*</v>
      </c>
      <c r="CBW1" s="15" t="str">
        <f t="shared" ref="CBW1:CEB1" si="49">IF(RIGHT(CBW$5,1)="Н",RIGHT(CBW$5,3),MID(CBW$5,FIND(".",CBW$5)+1,5))</f>
        <v>04*</v>
      </c>
      <c r="CBX1" s="15" t="str">
        <f t="shared" si="49"/>
        <v>05*</v>
      </c>
      <c r="CBY1" s="15" t="str">
        <f t="shared" si="49"/>
        <v>06*</v>
      </c>
      <c r="CBZ1" s="15" t="str">
        <f t="shared" si="49"/>
        <v>07*</v>
      </c>
      <c r="CCA1" s="15" t="str">
        <f t="shared" si="49"/>
        <v>08*</v>
      </c>
      <c r="CCB1" s="15" t="str">
        <f t="shared" si="49"/>
        <v>09*</v>
      </c>
      <c r="CCC1" s="15" t="str">
        <f t="shared" si="49"/>
        <v>10*</v>
      </c>
      <c r="CCD1" s="15" t="str">
        <f t="shared" si="49"/>
        <v>11*</v>
      </c>
      <c r="CCE1" s="15" t="str">
        <f t="shared" si="49"/>
        <v>12*</v>
      </c>
      <c r="CCF1" s="15" t="str">
        <f t="shared" si="49"/>
        <v>13*</v>
      </c>
      <c r="CCG1" s="15" t="str">
        <f t="shared" si="49"/>
        <v>14*</v>
      </c>
      <c r="CCH1" s="15" t="str">
        <f t="shared" si="49"/>
        <v>15*</v>
      </c>
      <c r="CCI1" s="15" t="str">
        <f t="shared" si="49"/>
        <v>16*</v>
      </c>
      <c r="CCJ1" s="15" t="str">
        <f t="shared" si="49"/>
        <v>17*</v>
      </c>
      <c r="CCK1" s="15" t="str">
        <f t="shared" si="49"/>
        <v>18*</v>
      </c>
      <c r="CCL1" s="15" t="str">
        <f t="shared" si="49"/>
        <v>19*</v>
      </c>
      <c r="CCM1" s="15" t="str">
        <f t="shared" si="49"/>
        <v>20*</v>
      </c>
      <c r="CCN1" s="15" t="str">
        <f t="shared" si="49"/>
        <v>21*</v>
      </c>
      <c r="CCO1" s="15" t="str">
        <f t="shared" si="49"/>
        <v>22*</v>
      </c>
      <c r="CCP1" s="15" t="str">
        <f t="shared" si="49"/>
        <v>23*</v>
      </c>
      <c r="CCQ1" s="15" t="str">
        <f t="shared" si="49"/>
        <v>24*</v>
      </c>
      <c r="CCR1" s="15" t="str">
        <f t="shared" si="49"/>
        <v>25*</v>
      </c>
      <c r="CCS1" s="15" t="str">
        <f t="shared" si="49"/>
        <v>26*</v>
      </c>
      <c r="CCT1" s="15" t="str">
        <f t="shared" si="49"/>
        <v>27*</v>
      </c>
      <c r="CCU1" s="15" t="str">
        <f t="shared" si="49"/>
        <v>28*</v>
      </c>
      <c r="CCV1" s="15" t="str">
        <f t="shared" si="49"/>
        <v>29*</v>
      </c>
      <c r="CCW1" s="15" t="str">
        <f t="shared" si="49"/>
        <v>30*</v>
      </c>
      <c r="CCX1" s="15" t="str">
        <f t="shared" si="49"/>
        <v>п.Н</v>
      </c>
      <c r="CCY1" s="15" t="str">
        <f t="shared" si="49"/>
        <v>01*</v>
      </c>
      <c r="CCZ1" s="15" t="str">
        <f t="shared" si="49"/>
        <v>02*</v>
      </c>
      <c r="CDA1" s="15" t="str">
        <f t="shared" si="49"/>
        <v>03*</v>
      </c>
      <c r="CDB1" s="15" t="str">
        <f t="shared" si="49"/>
        <v>04*</v>
      </c>
      <c r="CDC1" s="15" t="str">
        <f t="shared" si="49"/>
        <v>05*</v>
      </c>
      <c r="CDD1" s="15" t="str">
        <f t="shared" si="49"/>
        <v>06*</v>
      </c>
      <c r="CDE1" s="15" t="str">
        <f t="shared" si="49"/>
        <v>07*</v>
      </c>
      <c r="CDF1" s="15" t="str">
        <f t="shared" si="49"/>
        <v>08*</v>
      </c>
      <c r="CDG1" s="15" t="str">
        <f t="shared" si="49"/>
        <v>09*</v>
      </c>
      <c r="CDH1" s="15" t="str">
        <f t="shared" si="49"/>
        <v>10*</v>
      </c>
      <c r="CDI1" s="15" t="str">
        <f t="shared" si="49"/>
        <v>11*</v>
      </c>
      <c r="CDJ1" s="15" t="str">
        <f t="shared" si="49"/>
        <v>12*</v>
      </c>
      <c r="CDK1" s="15" t="str">
        <f t="shared" si="49"/>
        <v>13*</v>
      </c>
      <c r="CDL1" s="15" t="str">
        <f t="shared" si="49"/>
        <v>14*</v>
      </c>
      <c r="CDM1" s="15" t="str">
        <f t="shared" si="49"/>
        <v>15*</v>
      </c>
      <c r="CDN1" s="15" t="str">
        <f t="shared" si="49"/>
        <v>16*</v>
      </c>
      <c r="CDO1" s="15" t="str">
        <f t="shared" si="49"/>
        <v>17*</v>
      </c>
      <c r="CDP1" s="15" t="str">
        <f t="shared" si="49"/>
        <v>18*</v>
      </c>
      <c r="CDQ1" s="15" t="str">
        <f t="shared" si="49"/>
        <v>19*</v>
      </c>
      <c r="CDR1" s="15" t="str">
        <f t="shared" si="49"/>
        <v>20*</v>
      </c>
      <c r="CDS1" s="15" t="str">
        <f t="shared" si="49"/>
        <v>21*</v>
      </c>
      <c r="CDT1" s="15" t="str">
        <f t="shared" si="49"/>
        <v>22*</v>
      </c>
      <c r="CDU1" s="15" t="str">
        <f t="shared" si="49"/>
        <v>23*</v>
      </c>
      <c r="CDV1" s="15" t="str">
        <f t="shared" si="49"/>
        <v>24*</v>
      </c>
      <c r="CDW1" s="15" t="str">
        <f t="shared" si="49"/>
        <v>25*</v>
      </c>
      <c r="CDX1" s="15" t="str">
        <f t="shared" si="49"/>
        <v>26*</v>
      </c>
      <c r="CDY1" s="15" t="str">
        <f t="shared" si="49"/>
        <v>27*</v>
      </c>
      <c r="CDZ1" s="15" t="str">
        <f t="shared" si="49"/>
        <v>28*</v>
      </c>
      <c r="CEA1" s="15" t="str">
        <f t="shared" si="49"/>
        <v>29*</v>
      </c>
      <c r="CEB1" s="15" t="str">
        <f t="shared" si="49"/>
        <v>30*</v>
      </c>
      <c r="CEC1" s="15" t="str">
        <f t="shared" ref="CEC1:CFO1" si="50">IF(RIGHT(CEC$5,1)="Н",RIGHT(CEC$5,3),MID(CEC$5,FIND(".",CEC$5)+1,5))</f>
        <v>н.Н</v>
      </c>
      <c r="CED1" s="15" t="str">
        <f t="shared" si="50"/>
        <v>01*</v>
      </c>
      <c r="CEE1" s="15" t="str">
        <f t="shared" si="50"/>
        <v>02*</v>
      </c>
      <c r="CEF1" s="15" t="str">
        <f t="shared" si="50"/>
        <v>03*</v>
      </c>
      <c r="CEG1" s="15" t="str">
        <f t="shared" si="50"/>
        <v>04*</v>
      </c>
      <c r="CEH1" s="15" t="str">
        <f t="shared" si="50"/>
        <v>05*</v>
      </c>
      <c r="CEI1" s="15" t="str">
        <f t="shared" si="50"/>
        <v>06*</v>
      </c>
      <c r="CEJ1" s="15" t="str">
        <f t="shared" si="50"/>
        <v>07*</v>
      </c>
      <c r="CEK1" s="15" t="str">
        <f t="shared" si="50"/>
        <v>08*</v>
      </c>
      <c r="CEL1" s="15" t="str">
        <f t="shared" si="50"/>
        <v>09*</v>
      </c>
      <c r="CEM1" s="15" t="str">
        <f t="shared" si="50"/>
        <v>10*</v>
      </c>
      <c r="CEN1" s="15" t="str">
        <f t="shared" si="50"/>
        <v>11*</v>
      </c>
      <c r="CEO1" s="15" t="str">
        <f t="shared" si="50"/>
        <v>12*</v>
      </c>
      <c r="CEP1" s="15" t="str">
        <f t="shared" si="50"/>
        <v>13*</v>
      </c>
      <c r="CEQ1" s="15" t="str">
        <f t="shared" si="50"/>
        <v>14*</v>
      </c>
      <c r="CER1" s="15" t="str">
        <f t="shared" si="50"/>
        <v>15*</v>
      </c>
      <c r="CES1" s="15" t="str">
        <f t="shared" si="50"/>
        <v>16*</v>
      </c>
      <c r="CET1" s="15" t="str">
        <f t="shared" si="50"/>
        <v>17*</v>
      </c>
      <c r="CEU1" s="15" t="str">
        <f t="shared" si="50"/>
        <v>18*</v>
      </c>
      <c r="CEV1" s="15" t="str">
        <f t="shared" si="50"/>
        <v>19*</v>
      </c>
      <c r="CEW1" s="15" t="str">
        <f t="shared" si="50"/>
        <v>20*</v>
      </c>
      <c r="CEX1" s="15" t="str">
        <f t="shared" si="50"/>
        <v>21*</v>
      </c>
      <c r="CEY1" s="15" t="str">
        <f t="shared" si="50"/>
        <v>22*</v>
      </c>
      <c r="CEZ1" s="15" t="str">
        <f t="shared" si="50"/>
        <v>23*</v>
      </c>
      <c r="CFA1" s="15" t="str">
        <f t="shared" si="50"/>
        <v>24*</v>
      </c>
      <c r="CFB1" s="15" t="str">
        <f t="shared" si="50"/>
        <v>25*</v>
      </c>
      <c r="CFC1" s="15" t="str">
        <f t="shared" si="50"/>
        <v>26*</v>
      </c>
      <c r="CFD1" s="15" t="str">
        <f t="shared" si="50"/>
        <v>27*</v>
      </c>
      <c r="CFE1" s="15" t="str">
        <f t="shared" si="50"/>
        <v>28*</v>
      </c>
      <c r="CFF1" s="15" t="str">
        <f t="shared" si="50"/>
        <v>29*</v>
      </c>
      <c r="CFG1" s="15" t="str">
        <f t="shared" si="50"/>
        <v>30*</v>
      </c>
      <c r="CFH1" s="15" t="str">
        <f t="shared" si="50"/>
        <v>п.Н</v>
      </c>
      <c r="CFI1" s="15" t="str">
        <f t="shared" si="50"/>
        <v>01*</v>
      </c>
      <c r="CFJ1" s="15" t="str">
        <f t="shared" si="50"/>
        <v>02*</v>
      </c>
      <c r="CFK1" s="15" t="str">
        <f t="shared" si="50"/>
        <v>03*</v>
      </c>
      <c r="CFL1" s="15" t="str">
        <f t="shared" si="50"/>
        <v>04*</v>
      </c>
      <c r="CFM1" s="15" t="str">
        <f t="shared" si="50"/>
        <v>05*</v>
      </c>
      <c r="CFN1" s="15" t="str">
        <f t="shared" si="50"/>
        <v>06*</v>
      </c>
      <c r="CFO1" s="15" t="str">
        <f t="shared" si="50"/>
        <v>07*</v>
      </c>
      <c r="CFP1" s="15" t="str">
        <f t="shared" ref="CFP1:CGV1" si="51">IF(RIGHT(CFP$5,1)="Н",RIGHT(CFP$5,3),MID(CFP$5,FIND(".",CFP$5)+1,5))</f>
        <v>08*</v>
      </c>
      <c r="CFQ1" s="15" t="str">
        <f t="shared" si="51"/>
        <v>09*</v>
      </c>
      <c r="CFR1" s="15" t="str">
        <f t="shared" si="51"/>
        <v>10*</v>
      </c>
      <c r="CFS1" s="15" t="str">
        <f t="shared" si="51"/>
        <v>11*</v>
      </c>
      <c r="CFT1" s="15" t="str">
        <f t="shared" si="51"/>
        <v>12*</v>
      </c>
      <c r="CFU1" s="15" t="str">
        <f t="shared" si="51"/>
        <v>13*</v>
      </c>
      <c r="CFV1" s="15" t="str">
        <f t="shared" si="51"/>
        <v>14*</v>
      </c>
      <c r="CFW1" s="15" t="str">
        <f t="shared" si="51"/>
        <v>15*</v>
      </c>
      <c r="CFX1" s="15" t="str">
        <f t="shared" si="51"/>
        <v>16*</v>
      </c>
      <c r="CFY1" s="15" t="str">
        <f t="shared" si="51"/>
        <v>17*</v>
      </c>
      <c r="CFZ1" s="15" t="str">
        <f t="shared" si="51"/>
        <v>18*</v>
      </c>
      <c r="CGA1" s="15" t="str">
        <f t="shared" si="51"/>
        <v>19*</v>
      </c>
      <c r="CGB1" s="15" t="str">
        <f t="shared" si="51"/>
        <v>20*</v>
      </c>
      <c r="CGC1" s="15" t="str">
        <f t="shared" si="51"/>
        <v>21*</v>
      </c>
      <c r="CGD1" s="15" t="str">
        <f t="shared" si="51"/>
        <v>22*</v>
      </c>
      <c r="CGE1" s="15" t="str">
        <f t="shared" si="51"/>
        <v>23*</v>
      </c>
      <c r="CGF1" s="15" t="str">
        <f t="shared" si="51"/>
        <v>24*</v>
      </c>
      <c r="CGG1" s="15" t="str">
        <f t="shared" si="51"/>
        <v>25*</v>
      </c>
      <c r="CGH1" s="15" t="str">
        <f t="shared" si="51"/>
        <v>26*</v>
      </c>
      <c r="CGI1" s="15" t="str">
        <f t="shared" si="51"/>
        <v>27*</v>
      </c>
      <c r="CGJ1" s="15" t="str">
        <f t="shared" si="51"/>
        <v>28*</v>
      </c>
      <c r="CGK1" s="15" t="str">
        <f t="shared" si="51"/>
        <v>29*</v>
      </c>
      <c r="CGL1" s="15" t="str">
        <f t="shared" si="51"/>
        <v>30*</v>
      </c>
      <c r="CGM1" s="15" t="str">
        <f t="shared" si="51"/>
        <v>н.Н</v>
      </c>
      <c r="CGN1" s="15" t="str">
        <f t="shared" si="51"/>
        <v>01*</v>
      </c>
      <c r="CGO1" s="15" t="str">
        <f t="shared" si="51"/>
        <v>02*</v>
      </c>
      <c r="CGP1" s="15" t="str">
        <f t="shared" si="51"/>
        <v>03*</v>
      </c>
      <c r="CGQ1" s="15" t="str">
        <f t="shared" si="51"/>
        <v>04*</v>
      </c>
      <c r="CGR1" s="15" t="str">
        <f t="shared" si="51"/>
        <v>05*</v>
      </c>
      <c r="CGS1" s="15" t="str">
        <f t="shared" si="51"/>
        <v>06*</v>
      </c>
      <c r="CGT1" s="15" t="str">
        <f t="shared" si="51"/>
        <v>07*</v>
      </c>
      <c r="CGU1" s="15" t="str">
        <f t="shared" si="51"/>
        <v>08*</v>
      </c>
      <c r="CGV1" s="15" t="str">
        <f t="shared" si="51"/>
        <v>09*</v>
      </c>
      <c r="CGW1" s="15" t="str">
        <f t="shared" ref="CGW1:CIV1" si="52">IF(RIGHT(CGW$5,1)="Н",RIGHT(CGW$5,3),MID(CGW$5,FIND(".",CGW$5)+1,5))</f>
        <v>10*</v>
      </c>
      <c r="CGX1" s="15" t="str">
        <f t="shared" si="52"/>
        <v>11*</v>
      </c>
      <c r="CGY1" s="15" t="str">
        <f t="shared" si="52"/>
        <v>12*</v>
      </c>
      <c r="CGZ1" s="15" t="str">
        <f t="shared" si="52"/>
        <v>13*</v>
      </c>
      <c r="CHA1" s="15" t="str">
        <f t="shared" si="52"/>
        <v>14*</v>
      </c>
      <c r="CHB1" s="15" t="str">
        <f t="shared" si="52"/>
        <v>15*</v>
      </c>
      <c r="CHC1" s="15" t="str">
        <f t="shared" si="52"/>
        <v>16*</v>
      </c>
      <c r="CHD1" s="15" t="str">
        <f t="shared" si="52"/>
        <v>17*</v>
      </c>
      <c r="CHE1" s="15" t="str">
        <f t="shared" si="52"/>
        <v>18*</v>
      </c>
      <c r="CHF1" s="15" t="str">
        <f t="shared" si="52"/>
        <v>19*</v>
      </c>
      <c r="CHG1" s="15" t="str">
        <f t="shared" si="52"/>
        <v>20*</v>
      </c>
      <c r="CHH1" s="15" t="str">
        <f t="shared" si="52"/>
        <v>21*</v>
      </c>
      <c r="CHI1" s="15" t="str">
        <f t="shared" si="52"/>
        <v>22*</v>
      </c>
      <c r="CHJ1" s="15" t="str">
        <f t="shared" si="52"/>
        <v>23*</v>
      </c>
      <c r="CHK1" s="15" t="str">
        <f t="shared" si="52"/>
        <v>24*</v>
      </c>
      <c r="CHL1" s="15" t="str">
        <f t="shared" si="52"/>
        <v>25*</v>
      </c>
      <c r="CHM1" s="15" t="str">
        <f t="shared" si="52"/>
        <v>26*</v>
      </c>
      <c r="CHN1" s="15" t="str">
        <f t="shared" si="52"/>
        <v>27*</v>
      </c>
      <c r="CHO1" s="15" t="str">
        <f t="shared" si="52"/>
        <v>28*</v>
      </c>
      <c r="CHP1" s="15" t="str">
        <f t="shared" si="52"/>
        <v>29*</v>
      </c>
      <c r="CHQ1" s="15" t="str">
        <f t="shared" si="52"/>
        <v>30*</v>
      </c>
      <c r="CHR1" s="15" t="str">
        <f t="shared" si="52"/>
        <v>п.Н</v>
      </c>
      <c r="CHS1" s="15" t="str">
        <f t="shared" si="52"/>
        <v>01*</v>
      </c>
      <c r="CHT1" s="15" t="str">
        <f t="shared" si="52"/>
        <v>02*</v>
      </c>
      <c r="CHU1" s="15" t="str">
        <f t="shared" si="52"/>
        <v>03*</v>
      </c>
      <c r="CHV1" s="15" t="str">
        <f t="shared" si="52"/>
        <v>04*</v>
      </c>
      <c r="CHW1" s="15" t="str">
        <f t="shared" si="52"/>
        <v>05*</v>
      </c>
      <c r="CHX1" s="15" t="str">
        <f t="shared" si="52"/>
        <v>06*</v>
      </c>
      <c r="CHY1" s="15" t="str">
        <f t="shared" si="52"/>
        <v>07*</v>
      </c>
      <c r="CHZ1" s="15" t="str">
        <f t="shared" si="52"/>
        <v>08*</v>
      </c>
      <c r="CIA1" s="15" t="str">
        <f t="shared" si="52"/>
        <v>09*</v>
      </c>
      <c r="CIB1" s="15" t="str">
        <f t="shared" si="52"/>
        <v>10*</v>
      </c>
      <c r="CIC1" s="15" t="str">
        <f t="shared" si="52"/>
        <v>11*</v>
      </c>
      <c r="CID1" s="15" t="str">
        <f t="shared" si="52"/>
        <v>12*</v>
      </c>
      <c r="CIE1" s="15" t="str">
        <f t="shared" si="52"/>
        <v>13*</v>
      </c>
      <c r="CIF1" s="15" t="str">
        <f t="shared" si="52"/>
        <v>14*</v>
      </c>
      <c r="CIG1" s="15" t="str">
        <f t="shared" si="52"/>
        <v>15*</v>
      </c>
      <c r="CIH1" s="15" t="str">
        <f t="shared" si="52"/>
        <v>16*</v>
      </c>
      <c r="CII1" s="15" t="str">
        <f t="shared" si="52"/>
        <v>17*</v>
      </c>
      <c r="CIJ1" s="15" t="str">
        <f t="shared" si="52"/>
        <v>18*</v>
      </c>
      <c r="CIK1" s="15" t="str">
        <f t="shared" si="52"/>
        <v>19*</v>
      </c>
      <c r="CIL1" s="15" t="str">
        <f t="shared" si="52"/>
        <v>20*</v>
      </c>
      <c r="CIM1" s="15" t="str">
        <f t="shared" si="52"/>
        <v>21*</v>
      </c>
      <c r="CIN1" s="15" t="str">
        <f t="shared" si="52"/>
        <v>22*</v>
      </c>
      <c r="CIO1" s="15" t="str">
        <f t="shared" si="52"/>
        <v>23*</v>
      </c>
      <c r="CIP1" s="15" t="str">
        <f t="shared" si="52"/>
        <v>24*</v>
      </c>
      <c r="CIQ1" s="15" t="str">
        <f t="shared" si="52"/>
        <v>25*</v>
      </c>
      <c r="CIR1" s="15" t="str">
        <f t="shared" si="52"/>
        <v>26*</v>
      </c>
      <c r="CIS1" s="15" t="str">
        <f t="shared" si="52"/>
        <v>27*</v>
      </c>
      <c r="CIT1" s="15" t="str">
        <f t="shared" si="52"/>
        <v>28*</v>
      </c>
      <c r="CIU1" s="15" t="str">
        <f t="shared" si="52"/>
        <v>29*</v>
      </c>
      <c r="CIV1" s="15" t="str">
        <f t="shared" si="52"/>
        <v>30*</v>
      </c>
      <c r="CIW1" s="15" t="str">
        <f t="shared" ref="CIW1:CKO1" si="53">IF(RIGHT(CIW$5,1)="Н",RIGHT(CIW$5,3),MID(CIW$5,FIND(".",CIW$5)+1,5))</f>
        <v>н.Н</v>
      </c>
      <c r="CIX1" s="15" t="str">
        <f t="shared" si="53"/>
        <v>01*</v>
      </c>
      <c r="CIY1" s="15" t="str">
        <f t="shared" si="53"/>
        <v>02*</v>
      </c>
      <c r="CIZ1" s="15" t="str">
        <f t="shared" si="53"/>
        <v>03*</v>
      </c>
      <c r="CJA1" s="15" t="str">
        <f t="shared" si="53"/>
        <v>04*</v>
      </c>
      <c r="CJB1" s="15" t="str">
        <f t="shared" si="53"/>
        <v>05*</v>
      </c>
      <c r="CJC1" s="15" t="str">
        <f t="shared" si="53"/>
        <v>06*</v>
      </c>
      <c r="CJD1" s="15" t="str">
        <f t="shared" si="53"/>
        <v>07*</v>
      </c>
      <c r="CJE1" s="15" t="str">
        <f t="shared" si="53"/>
        <v>08*</v>
      </c>
      <c r="CJF1" s="15" t="str">
        <f t="shared" si="53"/>
        <v>09*</v>
      </c>
      <c r="CJG1" s="15" t="str">
        <f t="shared" si="53"/>
        <v>10*</v>
      </c>
      <c r="CJH1" s="15" t="str">
        <f t="shared" si="53"/>
        <v>11*</v>
      </c>
      <c r="CJI1" s="15" t="str">
        <f t="shared" si="53"/>
        <v>12*</v>
      </c>
      <c r="CJJ1" s="15" t="str">
        <f t="shared" si="53"/>
        <v>13*</v>
      </c>
      <c r="CJK1" s="15" t="str">
        <f t="shared" si="53"/>
        <v>14*</v>
      </c>
      <c r="CJL1" s="15" t="str">
        <f t="shared" si="53"/>
        <v>15*</v>
      </c>
      <c r="CJM1" s="15" t="str">
        <f t="shared" si="53"/>
        <v>16*</v>
      </c>
      <c r="CJN1" s="15" t="str">
        <f t="shared" si="53"/>
        <v>17*</v>
      </c>
      <c r="CJO1" s="15" t="str">
        <f t="shared" si="53"/>
        <v>18*</v>
      </c>
      <c r="CJP1" s="15" t="str">
        <f t="shared" si="53"/>
        <v>19*</v>
      </c>
      <c r="CJQ1" s="15" t="str">
        <f t="shared" si="53"/>
        <v>20*</v>
      </c>
      <c r="CJR1" s="15" t="str">
        <f t="shared" si="53"/>
        <v>21*</v>
      </c>
      <c r="CJS1" s="15" t="str">
        <f t="shared" si="53"/>
        <v>22*</v>
      </c>
      <c r="CJT1" s="15" t="str">
        <f t="shared" si="53"/>
        <v>23*</v>
      </c>
      <c r="CJU1" s="15" t="str">
        <f t="shared" si="53"/>
        <v>24*</v>
      </c>
      <c r="CJV1" s="15" t="str">
        <f t="shared" si="53"/>
        <v>25*</v>
      </c>
      <c r="CJW1" s="15" t="str">
        <f t="shared" si="53"/>
        <v>26*</v>
      </c>
      <c r="CJX1" s="15" t="str">
        <f t="shared" si="53"/>
        <v>27*</v>
      </c>
      <c r="CJY1" s="15" t="str">
        <f t="shared" si="53"/>
        <v>28*</v>
      </c>
      <c r="CJZ1" s="15" t="str">
        <f t="shared" si="53"/>
        <v>29*</v>
      </c>
      <c r="CKA1" s="15" t="str">
        <f t="shared" si="53"/>
        <v>30*</v>
      </c>
      <c r="CKB1" s="15" t="str">
        <f t="shared" si="53"/>
        <v>п.Н</v>
      </c>
      <c r="CKC1" s="15" t="str">
        <f t="shared" si="53"/>
        <v>01*</v>
      </c>
      <c r="CKD1" s="15" t="str">
        <f t="shared" si="53"/>
        <v>02*</v>
      </c>
      <c r="CKE1" s="15" t="str">
        <f t="shared" si="53"/>
        <v>03*</v>
      </c>
      <c r="CKF1" s="15" t="str">
        <f t="shared" si="53"/>
        <v>04*</v>
      </c>
      <c r="CKG1" s="15" t="str">
        <f t="shared" si="53"/>
        <v>05*</v>
      </c>
      <c r="CKH1" s="15" t="str">
        <f t="shared" si="53"/>
        <v>06*</v>
      </c>
      <c r="CKI1" s="15" t="str">
        <f t="shared" si="53"/>
        <v>07*</v>
      </c>
      <c r="CKJ1" s="15" t="str">
        <f t="shared" si="53"/>
        <v>08*</v>
      </c>
      <c r="CKK1" s="15" t="str">
        <f t="shared" si="53"/>
        <v>09*</v>
      </c>
      <c r="CKL1" s="15" t="str">
        <f t="shared" si="53"/>
        <v>10*</v>
      </c>
      <c r="CKM1" s="15" t="str">
        <f t="shared" si="53"/>
        <v>11*</v>
      </c>
      <c r="CKN1" s="15" t="str">
        <f t="shared" si="53"/>
        <v>12*</v>
      </c>
      <c r="CKO1" s="15" t="str">
        <f t="shared" si="53"/>
        <v>13*</v>
      </c>
      <c r="CKP1" s="15" t="str">
        <f t="shared" ref="CKP1:CLV1" si="54">IF(RIGHT(CKP$5,1)="Н",RIGHT(CKP$5,3),MID(CKP$5,FIND(".",CKP$5)+1,5))</f>
        <v>14*</v>
      </c>
      <c r="CKQ1" s="15" t="str">
        <f t="shared" si="54"/>
        <v>15*</v>
      </c>
      <c r="CKR1" s="15" t="str">
        <f t="shared" si="54"/>
        <v>16*</v>
      </c>
      <c r="CKS1" s="15" t="str">
        <f t="shared" si="54"/>
        <v>17*</v>
      </c>
      <c r="CKT1" s="15" t="str">
        <f t="shared" si="54"/>
        <v>18*</v>
      </c>
      <c r="CKU1" s="15" t="str">
        <f t="shared" si="54"/>
        <v>19*</v>
      </c>
      <c r="CKV1" s="15" t="str">
        <f t="shared" si="54"/>
        <v>20*</v>
      </c>
      <c r="CKW1" s="15" t="str">
        <f t="shared" si="54"/>
        <v>21*</v>
      </c>
      <c r="CKX1" s="15" t="str">
        <f t="shared" si="54"/>
        <v>22*</v>
      </c>
      <c r="CKY1" s="15" t="str">
        <f t="shared" si="54"/>
        <v>23*</v>
      </c>
      <c r="CKZ1" s="15" t="str">
        <f t="shared" si="54"/>
        <v>24*</v>
      </c>
      <c r="CLA1" s="15" t="str">
        <f t="shared" si="54"/>
        <v>25*</v>
      </c>
      <c r="CLB1" s="15" t="str">
        <f t="shared" si="54"/>
        <v>26*</v>
      </c>
      <c r="CLC1" s="15" t="str">
        <f t="shared" si="54"/>
        <v>27*</v>
      </c>
      <c r="CLD1" s="15" t="str">
        <f t="shared" si="54"/>
        <v>28*</v>
      </c>
      <c r="CLE1" s="15" t="str">
        <f t="shared" si="54"/>
        <v>29*</v>
      </c>
      <c r="CLF1" s="15" t="str">
        <f t="shared" si="54"/>
        <v>30*</v>
      </c>
      <c r="CLG1" s="15" t="str">
        <f t="shared" si="54"/>
        <v>н.Н</v>
      </c>
      <c r="CLH1" s="15" t="str">
        <f t="shared" si="54"/>
        <v>01*</v>
      </c>
      <c r="CLI1" s="15" t="str">
        <f t="shared" si="54"/>
        <v>02*</v>
      </c>
      <c r="CLJ1" s="15" t="str">
        <f t="shared" si="54"/>
        <v>03*</v>
      </c>
      <c r="CLK1" s="15" t="str">
        <f t="shared" si="54"/>
        <v>04*</v>
      </c>
      <c r="CLL1" s="15" t="str">
        <f t="shared" si="54"/>
        <v>05*</v>
      </c>
      <c r="CLM1" s="15" t="str">
        <f t="shared" si="54"/>
        <v>06*</v>
      </c>
      <c r="CLN1" s="15" t="str">
        <f t="shared" si="54"/>
        <v>07*</v>
      </c>
      <c r="CLO1" s="15" t="str">
        <f t="shared" si="54"/>
        <v>08*</v>
      </c>
      <c r="CLP1" s="15" t="str">
        <f t="shared" si="54"/>
        <v>09*</v>
      </c>
      <c r="CLQ1" s="15" t="str">
        <f t="shared" si="54"/>
        <v>10*</v>
      </c>
      <c r="CLR1" s="15" t="str">
        <f t="shared" si="54"/>
        <v>11*</v>
      </c>
      <c r="CLS1" s="15" t="str">
        <f t="shared" si="54"/>
        <v>12*</v>
      </c>
      <c r="CLT1" s="15" t="str">
        <f t="shared" si="54"/>
        <v>13*</v>
      </c>
      <c r="CLU1" s="15" t="str">
        <f t="shared" si="54"/>
        <v>14*</v>
      </c>
      <c r="CLV1" s="15" t="str">
        <f t="shared" si="54"/>
        <v>15*</v>
      </c>
      <c r="CLW1" s="15" t="str">
        <f t="shared" ref="CLW1:CNP1" si="55">IF(RIGHT(CLW$5,1)="Н",RIGHT(CLW$5,3),MID(CLW$5,FIND(".",CLW$5)+1,5))</f>
        <v>16*</v>
      </c>
      <c r="CLX1" s="15" t="str">
        <f t="shared" si="55"/>
        <v>17*</v>
      </c>
      <c r="CLY1" s="15" t="str">
        <f t="shared" si="55"/>
        <v>18*</v>
      </c>
      <c r="CLZ1" s="15" t="str">
        <f t="shared" si="55"/>
        <v>19*</v>
      </c>
      <c r="CMA1" s="15" t="str">
        <f t="shared" si="55"/>
        <v>20*</v>
      </c>
      <c r="CMB1" s="15" t="str">
        <f t="shared" si="55"/>
        <v>21*</v>
      </c>
      <c r="CMC1" s="15" t="str">
        <f t="shared" si="55"/>
        <v>22*</v>
      </c>
      <c r="CMD1" s="15" t="str">
        <f t="shared" si="55"/>
        <v>23*</v>
      </c>
      <c r="CME1" s="15" t="str">
        <f t="shared" si="55"/>
        <v>24*</v>
      </c>
      <c r="CMF1" s="15" t="str">
        <f t="shared" si="55"/>
        <v>25*</v>
      </c>
      <c r="CMG1" s="15" t="str">
        <f t="shared" si="55"/>
        <v>26*</v>
      </c>
      <c r="CMH1" s="15" t="str">
        <f t="shared" si="55"/>
        <v>27*</v>
      </c>
      <c r="CMI1" s="15" t="str">
        <f t="shared" si="55"/>
        <v>28*</v>
      </c>
      <c r="CMJ1" s="15" t="str">
        <f t="shared" si="55"/>
        <v>29*</v>
      </c>
      <c r="CMK1" s="15" t="str">
        <f t="shared" si="55"/>
        <v>30*</v>
      </c>
      <c r="CML1" s="15" t="str">
        <f t="shared" si="55"/>
        <v>п.Н</v>
      </c>
      <c r="CMM1" s="15" t="str">
        <f t="shared" si="55"/>
        <v>01*</v>
      </c>
      <c r="CMN1" s="15" t="str">
        <f t="shared" si="55"/>
        <v>02*</v>
      </c>
      <c r="CMO1" s="15" t="str">
        <f t="shared" si="55"/>
        <v>03*</v>
      </c>
      <c r="CMP1" s="15" t="str">
        <f t="shared" si="55"/>
        <v>04*</v>
      </c>
      <c r="CMQ1" s="15" t="str">
        <f t="shared" si="55"/>
        <v>05*</v>
      </c>
      <c r="CMR1" s="15" t="str">
        <f t="shared" si="55"/>
        <v>06*</v>
      </c>
      <c r="CMS1" s="15" t="str">
        <f t="shared" si="55"/>
        <v>07*</v>
      </c>
      <c r="CMT1" s="15" t="str">
        <f t="shared" si="55"/>
        <v>08*</v>
      </c>
      <c r="CMU1" s="15" t="str">
        <f t="shared" si="55"/>
        <v>09*</v>
      </c>
      <c r="CMV1" s="15" t="str">
        <f t="shared" si="55"/>
        <v>10*</v>
      </c>
      <c r="CMW1" s="15" t="str">
        <f t="shared" si="55"/>
        <v>11*</v>
      </c>
      <c r="CMX1" s="15" t="str">
        <f t="shared" si="55"/>
        <v>12*</v>
      </c>
      <c r="CMY1" s="15" t="str">
        <f t="shared" si="55"/>
        <v>13*</v>
      </c>
      <c r="CMZ1" s="15" t="str">
        <f t="shared" si="55"/>
        <v>14*</v>
      </c>
      <c r="CNA1" s="15" t="str">
        <f t="shared" si="55"/>
        <v>15*</v>
      </c>
      <c r="CNB1" s="15" t="str">
        <f t="shared" si="55"/>
        <v>16*</v>
      </c>
      <c r="CNC1" s="15" t="str">
        <f t="shared" si="55"/>
        <v>17*</v>
      </c>
      <c r="CND1" s="15" t="str">
        <f t="shared" si="55"/>
        <v>18*</v>
      </c>
      <c r="CNE1" s="15" t="str">
        <f t="shared" si="55"/>
        <v>19*</v>
      </c>
      <c r="CNF1" s="15" t="str">
        <f t="shared" si="55"/>
        <v>20*</v>
      </c>
      <c r="CNG1" s="15" t="str">
        <f t="shared" si="55"/>
        <v>21*</v>
      </c>
      <c r="CNH1" s="15" t="str">
        <f t="shared" si="55"/>
        <v>22*</v>
      </c>
      <c r="CNI1" s="15" t="str">
        <f t="shared" si="55"/>
        <v>23*</v>
      </c>
      <c r="CNJ1" s="15" t="str">
        <f t="shared" si="55"/>
        <v>24*</v>
      </c>
      <c r="CNK1" s="15" t="str">
        <f t="shared" si="55"/>
        <v>25*</v>
      </c>
      <c r="CNL1" s="15" t="str">
        <f t="shared" si="55"/>
        <v>26*</v>
      </c>
      <c r="CNM1" s="15" t="str">
        <f t="shared" si="55"/>
        <v>27*</v>
      </c>
      <c r="CNN1" s="15" t="str">
        <f t="shared" si="55"/>
        <v>28*</v>
      </c>
      <c r="CNO1" s="15" t="str">
        <f t="shared" si="55"/>
        <v>29*</v>
      </c>
      <c r="CNP1" s="15" t="str">
        <f t="shared" si="55"/>
        <v>30*</v>
      </c>
      <c r="CNQ1" s="15" t="str">
        <f t="shared" ref="CNQ1:CPO1" si="56">IF(RIGHT(CNQ$5,1)="Н",RIGHT(CNQ$5,3),MID(CNQ$5,FIND(".",CNQ$5)+1,5))</f>
        <v>н.Н</v>
      </c>
      <c r="CNR1" s="15" t="str">
        <f t="shared" si="56"/>
        <v>01*</v>
      </c>
      <c r="CNS1" s="15" t="str">
        <f t="shared" si="56"/>
        <v>02*</v>
      </c>
      <c r="CNT1" s="15" t="str">
        <f t="shared" si="56"/>
        <v>03*</v>
      </c>
      <c r="CNU1" s="15" t="str">
        <f t="shared" si="56"/>
        <v>04*</v>
      </c>
      <c r="CNV1" s="15" t="str">
        <f t="shared" si="56"/>
        <v>05*</v>
      </c>
      <c r="CNW1" s="15" t="str">
        <f t="shared" si="56"/>
        <v>06*</v>
      </c>
      <c r="CNX1" s="15" t="str">
        <f t="shared" si="56"/>
        <v>07*</v>
      </c>
      <c r="CNY1" s="15" t="str">
        <f t="shared" si="56"/>
        <v>08*</v>
      </c>
      <c r="CNZ1" s="15" t="str">
        <f t="shared" si="56"/>
        <v>09*</v>
      </c>
      <c r="COA1" s="15" t="str">
        <f t="shared" si="56"/>
        <v>10*</v>
      </c>
      <c r="COB1" s="15" t="str">
        <f t="shared" si="56"/>
        <v>11*</v>
      </c>
      <c r="COC1" s="15" t="str">
        <f t="shared" si="56"/>
        <v>12*</v>
      </c>
      <c r="COD1" s="15" t="str">
        <f t="shared" si="56"/>
        <v>13*</v>
      </c>
      <c r="COE1" s="15" t="str">
        <f t="shared" si="56"/>
        <v>14*</v>
      </c>
      <c r="COF1" s="15" t="str">
        <f t="shared" si="56"/>
        <v>15*</v>
      </c>
      <c r="COG1" s="15" t="str">
        <f t="shared" si="56"/>
        <v>16*</v>
      </c>
      <c r="COH1" s="15" t="str">
        <f t="shared" si="56"/>
        <v>17*</v>
      </c>
      <c r="COI1" s="15" t="str">
        <f t="shared" si="56"/>
        <v>18*</v>
      </c>
      <c r="COJ1" s="15" t="str">
        <f t="shared" si="56"/>
        <v>19*</v>
      </c>
      <c r="COK1" s="15" t="str">
        <f t="shared" si="56"/>
        <v>20*</v>
      </c>
      <c r="COL1" s="15" t="str">
        <f t="shared" si="56"/>
        <v>21*</v>
      </c>
      <c r="COM1" s="15" t="str">
        <f t="shared" si="56"/>
        <v>22*</v>
      </c>
      <c r="CON1" s="15" t="str">
        <f t="shared" si="56"/>
        <v>23*</v>
      </c>
      <c r="COO1" s="15" t="str">
        <f t="shared" si="56"/>
        <v>24*</v>
      </c>
      <c r="COP1" s="15" t="str">
        <f t="shared" si="56"/>
        <v>25*</v>
      </c>
      <c r="COQ1" s="15" t="str">
        <f t="shared" si="56"/>
        <v>26*</v>
      </c>
      <c r="COR1" s="15" t="str">
        <f t="shared" si="56"/>
        <v>27*</v>
      </c>
      <c r="COS1" s="15" t="str">
        <f t="shared" si="56"/>
        <v>28*</v>
      </c>
      <c r="COT1" s="15" t="str">
        <f t="shared" si="56"/>
        <v>29*</v>
      </c>
      <c r="COU1" s="15" t="str">
        <f t="shared" si="56"/>
        <v>30*</v>
      </c>
      <c r="COV1" s="15" t="str">
        <f t="shared" si="56"/>
        <v>п.Н</v>
      </c>
      <c r="COW1" s="15" t="str">
        <f t="shared" si="56"/>
        <v>01*</v>
      </c>
      <c r="COX1" s="15" t="str">
        <f t="shared" si="56"/>
        <v>02*</v>
      </c>
      <c r="COY1" s="15" t="str">
        <f t="shared" si="56"/>
        <v>03*</v>
      </c>
      <c r="COZ1" s="15" t="str">
        <f t="shared" si="56"/>
        <v>04*</v>
      </c>
      <c r="CPA1" s="15" t="str">
        <f t="shared" si="56"/>
        <v>05*</v>
      </c>
      <c r="CPB1" s="15" t="str">
        <f t="shared" si="56"/>
        <v>06*</v>
      </c>
      <c r="CPC1" s="15" t="str">
        <f t="shared" si="56"/>
        <v>07*</v>
      </c>
      <c r="CPD1" s="15" t="str">
        <f t="shared" si="56"/>
        <v>08*</v>
      </c>
      <c r="CPE1" s="15" t="str">
        <f t="shared" si="56"/>
        <v>09*</v>
      </c>
      <c r="CPF1" s="15" t="str">
        <f t="shared" si="56"/>
        <v>10*</v>
      </c>
      <c r="CPG1" s="15" t="str">
        <f t="shared" si="56"/>
        <v>11*</v>
      </c>
      <c r="CPH1" s="15" t="str">
        <f t="shared" si="56"/>
        <v>12*</v>
      </c>
      <c r="CPI1" s="15" t="str">
        <f t="shared" si="56"/>
        <v>13*</v>
      </c>
      <c r="CPJ1" s="15" t="str">
        <f t="shared" si="56"/>
        <v>14*</v>
      </c>
      <c r="CPK1" s="15" t="str">
        <f t="shared" si="56"/>
        <v>15*</v>
      </c>
      <c r="CPL1" s="15" t="str">
        <f t="shared" si="56"/>
        <v>16*</v>
      </c>
      <c r="CPM1" s="15" t="str">
        <f t="shared" si="56"/>
        <v>17*</v>
      </c>
      <c r="CPN1" s="15" t="str">
        <f t="shared" si="56"/>
        <v>18*</v>
      </c>
      <c r="CPO1" s="15" t="str">
        <f t="shared" si="56"/>
        <v>19*</v>
      </c>
      <c r="CPP1" s="15" t="str">
        <f t="shared" ref="CPP1:CQV1" si="57">IF(RIGHT(CPP$5,1)="Н",RIGHT(CPP$5,3),MID(CPP$5,FIND(".",CPP$5)+1,5))</f>
        <v>20*</v>
      </c>
      <c r="CPQ1" s="15" t="str">
        <f t="shared" si="57"/>
        <v>21*</v>
      </c>
      <c r="CPR1" s="15" t="str">
        <f t="shared" si="57"/>
        <v>22*</v>
      </c>
      <c r="CPS1" s="15" t="str">
        <f t="shared" si="57"/>
        <v>23*</v>
      </c>
      <c r="CPT1" s="15" t="str">
        <f t="shared" si="57"/>
        <v>24*</v>
      </c>
      <c r="CPU1" s="15" t="str">
        <f t="shared" si="57"/>
        <v>25*</v>
      </c>
      <c r="CPV1" s="15" t="str">
        <f t="shared" si="57"/>
        <v>26*</v>
      </c>
      <c r="CPW1" s="15" t="str">
        <f t="shared" si="57"/>
        <v>27*</v>
      </c>
      <c r="CPX1" s="15" t="str">
        <f t="shared" si="57"/>
        <v>28*</v>
      </c>
      <c r="CPY1" s="15" t="str">
        <f t="shared" si="57"/>
        <v>29*</v>
      </c>
      <c r="CPZ1" s="15" t="str">
        <f t="shared" si="57"/>
        <v>30*</v>
      </c>
      <c r="CQA1" s="15" t="str">
        <f t="shared" si="57"/>
        <v>н.Н</v>
      </c>
      <c r="CQB1" s="15" t="str">
        <f t="shared" si="57"/>
        <v>01*</v>
      </c>
      <c r="CQC1" s="15" t="str">
        <f t="shared" si="57"/>
        <v>02*</v>
      </c>
      <c r="CQD1" s="15" t="str">
        <f t="shared" si="57"/>
        <v>03*</v>
      </c>
      <c r="CQE1" s="15" t="str">
        <f t="shared" si="57"/>
        <v>04*</v>
      </c>
      <c r="CQF1" s="15" t="str">
        <f t="shared" si="57"/>
        <v>05*</v>
      </c>
      <c r="CQG1" s="15" t="str">
        <f t="shared" si="57"/>
        <v>06*</v>
      </c>
      <c r="CQH1" s="15" t="str">
        <f t="shared" si="57"/>
        <v>07*</v>
      </c>
      <c r="CQI1" s="15" t="str">
        <f t="shared" si="57"/>
        <v>08*</v>
      </c>
      <c r="CQJ1" s="15" t="str">
        <f t="shared" si="57"/>
        <v>09*</v>
      </c>
      <c r="CQK1" s="15" t="str">
        <f t="shared" si="57"/>
        <v>10*</v>
      </c>
      <c r="CQL1" s="15" t="str">
        <f t="shared" si="57"/>
        <v>11*</v>
      </c>
      <c r="CQM1" s="15" t="str">
        <f t="shared" si="57"/>
        <v>12*</v>
      </c>
      <c r="CQN1" s="15" t="str">
        <f t="shared" si="57"/>
        <v>13*</v>
      </c>
      <c r="CQO1" s="15" t="str">
        <f t="shared" si="57"/>
        <v>14*</v>
      </c>
      <c r="CQP1" s="15" t="str">
        <f t="shared" si="57"/>
        <v>15*</v>
      </c>
      <c r="CQQ1" s="15" t="str">
        <f t="shared" si="57"/>
        <v>16*</v>
      </c>
      <c r="CQR1" s="15" t="str">
        <f t="shared" si="57"/>
        <v>17*</v>
      </c>
      <c r="CQS1" s="15" t="str">
        <f t="shared" si="57"/>
        <v>18*</v>
      </c>
      <c r="CQT1" s="15" t="str">
        <f t="shared" si="57"/>
        <v>19*</v>
      </c>
      <c r="CQU1" s="15" t="str">
        <f t="shared" si="57"/>
        <v>20*</v>
      </c>
      <c r="CQV1" s="15" t="str">
        <f t="shared" si="57"/>
        <v>21*</v>
      </c>
      <c r="CQW1" s="15" t="str">
        <f t="shared" ref="CQW1:CSJ1" si="58">IF(RIGHT(CQW$5,1)="Н",RIGHT(CQW$5,3),MID(CQW$5,FIND(".",CQW$5)+1,5))</f>
        <v>22*</v>
      </c>
      <c r="CQX1" s="15" t="str">
        <f t="shared" si="58"/>
        <v>23*</v>
      </c>
      <c r="CQY1" s="15" t="str">
        <f t="shared" si="58"/>
        <v>24*</v>
      </c>
      <c r="CQZ1" s="15" t="str">
        <f t="shared" si="58"/>
        <v>25*</v>
      </c>
      <c r="CRA1" s="15" t="str">
        <f t="shared" si="58"/>
        <v>26*</v>
      </c>
      <c r="CRB1" s="15" t="str">
        <f t="shared" si="58"/>
        <v>27*</v>
      </c>
      <c r="CRC1" s="15" t="str">
        <f t="shared" si="58"/>
        <v>28*</v>
      </c>
      <c r="CRD1" s="15" t="str">
        <f t="shared" si="58"/>
        <v>29*</v>
      </c>
      <c r="CRE1" s="15" t="str">
        <f t="shared" si="58"/>
        <v>30*</v>
      </c>
      <c r="CRF1" s="15" t="str">
        <f t="shared" si="58"/>
        <v>п.Н</v>
      </c>
      <c r="CRG1" s="15" t="str">
        <f t="shared" si="58"/>
        <v>01*</v>
      </c>
      <c r="CRH1" s="15" t="str">
        <f t="shared" si="58"/>
        <v>02*</v>
      </c>
      <c r="CRI1" s="15" t="str">
        <f t="shared" si="58"/>
        <v>03*</v>
      </c>
      <c r="CRJ1" s="15" t="str">
        <f t="shared" si="58"/>
        <v>04*</v>
      </c>
      <c r="CRK1" s="15" t="str">
        <f t="shared" si="58"/>
        <v>05*</v>
      </c>
      <c r="CRL1" s="15" t="str">
        <f t="shared" si="58"/>
        <v>06*</v>
      </c>
      <c r="CRM1" s="15" t="str">
        <f t="shared" si="58"/>
        <v>07*</v>
      </c>
      <c r="CRN1" s="15" t="str">
        <f t="shared" si="58"/>
        <v>08*</v>
      </c>
      <c r="CRO1" s="15" t="str">
        <f t="shared" si="58"/>
        <v>09*</v>
      </c>
      <c r="CRP1" s="15" t="str">
        <f t="shared" si="58"/>
        <v>10*</v>
      </c>
      <c r="CRQ1" s="15" t="str">
        <f t="shared" si="58"/>
        <v>11*</v>
      </c>
      <c r="CRR1" s="15" t="str">
        <f t="shared" si="58"/>
        <v>12*</v>
      </c>
      <c r="CRS1" s="15" t="str">
        <f t="shared" si="58"/>
        <v>13*</v>
      </c>
      <c r="CRT1" s="15" t="str">
        <f t="shared" si="58"/>
        <v>14*</v>
      </c>
      <c r="CRU1" s="15" t="str">
        <f t="shared" si="58"/>
        <v>15*</v>
      </c>
      <c r="CRV1" s="15" t="str">
        <f t="shared" si="58"/>
        <v>16*</v>
      </c>
      <c r="CRW1" s="15" t="str">
        <f t="shared" si="58"/>
        <v>17*</v>
      </c>
      <c r="CRX1" s="15" t="str">
        <f t="shared" si="58"/>
        <v>18*</v>
      </c>
      <c r="CRY1" s="15" t="str">
        <f t="shared" si="58"/>
        <v>19*</v>
      </c>
      <c r="CRZ1" s="15" t="str">
        <f t="shared" si="58"/>
        <v>20*</v>
      </c>
      <c r="CSA1" s="15" t="str">
        <f t="shared" si="58"/>
        <v>21*</v>
      </c>
      <c r="CSB1" s="15" t="str">
        <f t="shared" si="58"/>
        <v>22*</v>
      </c>
      <c r="CSC1" s="15" t="str">
        <f t="shared" si="58"/>
        <v>23*</v>
      </c>
      <c r="CSD1" s="15" t="str">
        <f t="shared" si="58"/>
        <v>24*</v>
      </c>
      <c r="CSE1" s="15" t="str">
        <f t="shared" si="58"/>
        <v>25*</v>
      </c>
      <c r="CSF1" s="15" t="str">
        <f t="shared" si="58"/>
        <v>26*</v>
      </c>
      <c r="CSG1" s="15" t="str">
        <f t="shared" si="58"/>
        <v>27*</v>
      </c>
      <c r="CSH1" s="15" t="str">
        <f t="shared" si="58"/>
        <v>28*</v>
      </c>
      <c r="CSI1" s="15" t="str">
        <f t="shared" si="58"/>
        <v>29*</v>
      </c>
      <c r="CSJ1" s="15" t="str">
        <f t="shared" si="58"/>
        <v>30*</v>
      </c>
      <c r="CSK1" s="23" t="s">
        <v>1366</v>
      </c>
      <c r="CSL1" s="14">
        <v>1</v>
      </c>
      <c r="CSM1" s="14">
        <v>2</v>
      </c>
      <c r="CSN1" s="14">
        <v>3</v>
      </c>
      <c r="CSO1" s="14">
        <v>4</v>
      </c>
      <c r="CSP1" s="14">
        <v>5</v>
      </c>
      <c r="CSQ1" s="20">
        <v>6</v>
      </c>
      <c r="CSR1" s="14">
        <v>7</v>
      </c>
      <c r="CSS1" s="14">
        <v>8</v>
      </c>
      <c r="CST1" s="14">
        <v>9</v>
      </c>
      <c r="CSU1" s="14">
        <v>10</v>
      </c>
      <c r="CSV1" s="14">
        <v>11</v>
      </c>
      <c r="CSW1" s="14">
        <v>12</v>
      </c>
      <c r="CSX1" s="14">
        <v>13</v>
      </c>
      <c r="CSY1" s="14">
        <v>14</v>
      </c>
      <c r="CSZ1" s="14">
        <v>15</v>
      </c>
      <c r="CTA1" s="14">
        <v>16</v>
      </c>
      <c r="CTB1" s="14">
        <v>17</v>
      </c>
      <c r="CTC1" s="14">
        <v>18</v>
      </c>
      <c r="CTD1" s="14">
        <v>19</v>
      </c>
      <c r="CTE1" s="14">
        <v>20</v>
      </c>
      <c r="CTF1" s="14">
        <v>21</v>
      </c>
      <c r="CTG1" s="14">
        <v>22</v>
      </c>
      <c r="CTH1" s="14">
        <v>23</v>
      </c>
      <c r="CTI1" s="14">
        <v>24</v>
      </c>
      <c r="CTJ1" s="14">
        <v>25</v>
      </c>
      <c r="CTK1" s="14">
        <v>26</v>
      </c>
      <c r="CTL1" s="14">
        <v>27</v>
      </c>
      <c r="CTM1" s="14">
        <v>28</v>
      </c>
      <c r="CTN1" s="14">
        <v>29</v>
      </c>
      <c r="CTO1" s="14">
        <v>30</v>
      </c>
      <c r="CTP1" s="14">
        <v>31</v>
      </c>
      <c r="CTQ1" s="14">
        <v>32</v>
      </c>
      <c r="CTR1" s="14">
        <v>33</v>
      </c>
      <c r="CTS1" s="14">
        <v>34</v>
      </c>
      <c r="CTT1" s="14">
        <v>35</v>
      </c>
      <c r="CTU1" s="14">
        <v>36</v>
      </c>
      <c r="CTV1" s="14">
        <v>37</v>
      </c>
      <c r="CTW1" s="14">
        <v>38</v>
      </c>
      <c r="CTX1" s="14">
        <v>39</v>
      </c>
      <c r="CTY1" s="14">
        <v>40</v>
      </c>
      <c r="CTZ1" s="36" t="s">
        <v>1366</v>
      </c>
      <c r="CUA1" s="14">
        <v>1</v>
      </c>
      <c r="CUB1" s="14">
        <v>2</v>
      </c>
      <c r="CUC1" s="14">
        <v>3</v>
      </c>
      <c r="CUD1" s="14">
        <v>4</v>
      </c>
      <c r="CUE1" s="14">
        <v>5</v>
      </c>
      <c r="CUF1" s="20">
        <v>6</v>
      </c>
      <c r="CUG1" s="14">
        <v>7</v>
      </c>
      <c r="CUH1" s="14">
        <v>8</v>
      </c>
      <c r="CUI1" s="14">
        <v>9</v>
      </c>
      <c r="CUJ1" s="14">
        <v>10</v>
      </c>
      <c r="CUK1" s="14">
        <v>11</v>
      </c>
      <c r="CUL1" s="14">
        <v>12</v>
      </c>
      <c r="CUM1" s="14">
        <v>13</v>
      </c>
      <c r="CUN1" s="14">
        <v>14</v>
      </c>
      <c r="CUO1" s="14">
        <v>15</v>
      </c>
      <c r="CUP1" s="14">
        <v>16</v>
      </c>
      <c r="CUQ1" s="14">
        <v>17</v>
      </c>
      <c r="CUR1" s="14">
        <v>18</v>
      </c>
      <c r="CUS1" s="14">
        <v>19</v>
      </c>
      <c r="CUT1" s="14">
        <v>20</v>
      </c>
      <c r="CUU1" s="14">
        <v>21</v>
      </c>
      <c r="CUV1" s="14">
        <v>22</v>
      </c>
      <c r="CUW1" s="14">
        <v>23</v>
      </c>
      <c r="CUX1" s="14">
        <v>24</v>
      </c>
      <c r="CUY1" s="14">
        <v>25</v>
      </c>
      <c r="CUZ1" s="14">
        <v>26</v>
      </c>
      <c r="CVA1" s="14">
        <v>27</v>
      </c>
      <c r="CVB1" s="14">
        <v>28</v>
      </c>
      <c r="CVC1" s="14">
        <v>29</v>
      </c>
      <c r="CVD1" s="14">
        <v>30</v>
      </c>
      <c r="CVE1" s="14">
        <v>31</v>
      </c>
      <c r="CVF1" s="14">
        <v>32</v>
      </c>
      <c r="CVG1" s="14">
        <v>33</v>
      </c>
      <c r="CVH1" s="14">
        <v>34</v>
      </c>
      <c r="CVI1" s="14">
        <v>35</v>
      </c>
      <c r="CVJ1" s="14">
        <v>36</v>
      </c>
      <c r="CVK1" s="14">
        <v>37</v>
      </c>
      <c r="CVL1" s="14">
        <v>38</v>
      </c>
      <c r="CVM1" s="14">
        <v>39</v>
      </c>
      <c r="CVN1" s="14">
        <v>40</v>
      </c>
      <c r="CVO1" s="38"/>
    </row>
    <row r="2" spans="1:2616" ht="23.25" customHeight="1" x14ac:dyDescent="0.3">
      <c r="H2" s="73" t="s">
        <v>1409</v>
      </c>
      <c r="I2" s="74"/>
      <c r="J2" s="77"/>
      <c r="K2" s="77"/>
      <c r="M2" s="76" t="s">
        <v>1408</v>
      </c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CSK2" s="24" t="s">
        <v>1366</v>
      </c>
      <c r="CSL2" s="75" t="s">
        <v>1407</v>
      </c>
      <c r="CSM2" s="75"/>
      <c r="CSN2" s="75"/>
      <c r="CSO2" s="75"/>
      <c r="CSP2" s="75"/>
      <c r="CSQ2" s="75"/>
      <c r="CSR2" s="75"/>
      <c r="CSS2" s="75"/>
      <c r="CST2" s="75"/>
      <c r="CSU2" s="75"/>
      <c r="CSV2" s="75"/>
      <c r="CSW2" s="75"/>
      <c r="CSX2" s="75"/>
      <c r="CSY2" s="75"/>
      <c r="CSZ2" s="75"/>
      <c r="CTA2" s="75"/>
      <c r="CTB2" s="75"/>
      <c r="CTC2" s="75"/>
      <c r="CTD2" s="75"/>
      <c r="CTE2" s="75"/>
      <c r="CTF2" s="75"/>
      <c r="CTG2" s="75"/>
      <c r="CTH2" s="75"/>
      <c r="CTI2" s="75"/>
      <c r="CTJ2" s="75"/>
      <c r="CTK2" s="75"/>
      <c r="CTL2" s="75"/>
      <c r="CTM2" s="75"/>
      <c r="CTN2" s="75"/>
      <c r="CTO2" s="75"/>
      <c r="CTP2" s="75"/>
      <c r="CTQ2" s="75"/>
      <c r="CTR2" s="75"/>
      <c r="CTS2" s="75"/>
      <c r="CTT2" s="75"/>
      <c r="CTU2" s="75"/>
      <c r="CTV2" s="75"/>
      <c r="CTW2" s="75"/>
      <c r="CTX2" s="75"/>
      <c r="CTY2" s="75"/>
      <c r="CTZ2" s="39"/>
      <c r="CUA2" s="72" t="s">
        <v>2667</v>
      </c>
      <c r="CUB2" s="72"/>
      <c r="CUC2" s="72"/>
      <c r="CUD2" s="72"/>
      <c r="CUE2" s="72"/>
      <c r="CUF2" s="72"/>
      <c r="CUG2" s="72"/>
      <c r="CUH2" s="72"/>
      <c r="CUI2" s="72"/>
      <c r="CUJ2" s="72"/>
      <c r="CUK2" s="72"/>
      <c r="CUL2" s="72"/>
      <c r="CUM2" s="72"/>
      <c r="CUN2" s="72"/>
      <c r="CUO2" s="72"/>
      <c r="CUP2" s="72"/>
      <c r="CUQ2" s="72"/>
      <c r="CUR2" s="72"/>
      <c r="CUS2" s="72"/>
      <c r="CUT2" s="72"/>
      <c r="CUU2" s="72"/>
      <c r="CUV2" s="72"/>
      <c r="CUW2" s="72"/>
      <c r="CUX2" s="72"/>
      <c r="CUY2" s="72"/>
      <c r="CUZ2" s="72"/>
      <c r="CVA2" s="72"/>
      <c r="CVB2" s="72"/>
      <c r="CVC2" s="72"/>
      <c r="CVD2" s="72"/>
      <c r="CVE2" s="72"/>
      <c r="CVF2" s="72"/>
      <c r="CVG2" s="72"/>
      <c r="CVH2" s="72"/>
      <c r="CVI2" s="72"/>
      <c r="CVJ2" s="72"/>
      <c r="CVK2" s="72"/>
      <c r="CVL2" s="72"/>
      <c r="CVM2" s="72"/>
      <c r="CVN2" s="72"/>
    </row>
    <row r="3" spans="1:2616" ht="23.25" customHeight="1" x14ac:dyDescent="0.3">
      <c r="H3" s="74"/>
      <c r="I3" s="74"/>
      <c r="J3" s="77"/>
      <c r="K3" s="77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17"/>
      <c r="BB3" s="18">
        <f>IF(BA4&gt;0,BB4/BA4,"")</f>
        <v>0</v>
      </c>
      <c r="BC3" s="18">
        <f>IF(BA4&gt;0,BC4/BA4,"")</f>
        <v>0</v>
      </c>
      <c r="BD3" s="18">
        <f>IF(BA4&gt;0,BD4/BA4,"")</f>
        <v>0.5</v>
      </c>
      <c r="BE3" s="18">
        <f>IF(BA4&gt;0,BE4/BA4,"")</f>
        <v>0</v>
      </c>
      <c r="BF3" s="18">
        <f>IF(BA4&gt;0,BF4/BA4,"")</f>
        <v>0</v>
      </c>
      <c r="BG3" s="18">
        <f>IF(BA4&gt;0,BG4/BA4,"")</f>
        <v>0</v>
      </c>
      <c r="BH3" s="18">
        <f>IF(BA4&gt;0,BH4/BA4,"")</f>
        <v>0</v>
      </c>
      <c r="BI3" s="18">
        <f>IF(BA4&gt;0,BI4/BA4,"")</f>
        <v>1</v>
      </c>
      <c r="BJ3" s="18">
        <f>IF(BA4&gt;0,BJ4/BA4,"")</f>
        <v>0</v>
      </c>
      <c r="BK3" s="18">
        <f>IF(BA4&gt;0,BK4/BA4,"")</f>
        <v>0</v>
      </c>
      <c r="BL3" s="18">
        <f>IF(BA4&gt;0,BL4/BA4,"")</f>
        <v>0</v>
      </c>
      <c r="BM3" s="18">
        <f>IF(BA4&gt;0,BM4/BA4,"")</f>
        <v>0</v>
      </c>
      <c r="BN3" s="18">
        <f>IF(BA4&gt;0,BN4/BA4,"")</f>
        <v>0</v>
      </c>
      <c r="BO3" s="18">
        <f>IF(BA4&gt;0,BO4/BA4,"")</f>
        <v>0</v>
      </c>
      <c r="BP3" s="18">
        <f>IF(BA4&gt;0,BP4/BA4,"")</f>
        <v>0</v>
      </c>
      <c r="BQ3" s="18">
        <f>IF(BA4&gt;0,BQ4/BA4,"")</f>
        <v>0</v>
      </c>
      <c r="BR3" s="18">
        <f>IF(BA4&gt;0,BR4/BA4,"")</f>
        <v>0</v>
      </c>
      <c r="BS3" s="18">
        <f>IF(BA4&gt;0,BS4/BA4,"")</f>
        <v>0</v>
      </c>
      <c r="BT3" s="18">
        <f>IF(BA4&gt;0,BT4/BA4,"")</f>
        <v>0</v>
      </c>
      <c r="BU3" s="18">
        <f>IF(BA4&gt;0,BU4/BA4,"")</f>
        <v>0</v>
      </c>
      <c r="BV3" s="18">
        <f>IF(BA4&gt;0,BV4/BA4,"")</f>
        <v>0</v>
      </c>
      <c r="BW3" s="18">
        <f>IF(BA4&gt;0,BW4/BA4,"")</f>
        <v>0</v>
      </c>
      <c r="BX3" s="18">
        <f>IF(BA4&gt;0,BX4/BA4,"")</f>
        <v>0</v>
      </c>
      <c r="BY3" s="18">
        <f>IF(BA4&gt;0,BY4/BA4,"")</f>
        <v>0</v>
      </c>
      <c r="BZ3" s="18">
        <f>IF(BA4&gt;0,BZ4/BA4,"")</f>
        <v>0</v>
      </c>
      <c r="CA3" s="18">
        <f>IF(BA4&gt;0,CA4/BA4,"")</f>
        <v>0</v>
      </c>
      <c r="CB3" s="18">
        <f>IF(BA4&gt;0,CB4/BA4,"")</f>
        <v>0</v>
      </c>
      <c r="CC3" s="18">
        <f>IF(BA4&gt;0,CC4/BA4,"")</f>
        <v>0</v>
      </c>
      <c r="CD3" s="18">
        <f>IF(BA4&gt;0,CD4/BA4,"")</f>
        <v>0</v>
      </c>
      <c r="CE3" s="18">
        <f>IF(BA4&gt;0,CE4/BA4,"")</f>
        <v>0</v>
      </c>
      <c r="CG3" s="18">
        <f>IF(CF4&gt;0,CG4/CF4,"")</f>
        <v>0</v>
      </c>
      <c r="CH3" s="18">
        <f>IF(CF4&gt;0,CH4/CF4,"")</f>
        <v>0</v>
      </c>
      <c r="CI3" s="18">
        <f>IF(CF4&gt;0,CI4/CF4,"")</f>
        <v>0</v>
      </c>
      <c r="CJ3" s="18">
        <f>IF(CF4&gt;0,CJ4/CF4,"")</f>
        <v>1</v>
      </c>
      <c r="CK3" s="18">
        <f>IF(CF4&gt;0,CK4/CF4,"")</f>
        <v>1</v>
      </c>
      <c r="CL3" s="18">
        <f>IF(CF4&gt;0,CL4/CF4,"")</f>
        <v>1</v>
      </c>
      <c r="CM3" s="18">
        <f>IF(CF4&gt;0,CM4/CF4,"")</f>
        <v>0</v>
      </c>
      <c r="CN3" s="18">
        <f>IF(CF4&gt;0,CN4/CF4,"")</f>
        <v>0</v>
      </c>
      <c r="CO3" s="18">
        <f>IF(CF4&gt;0,CO4/CF4,"")</f>
        <v>0</v>
      </c>
      <c r="CP3" s="18">
        <f>IF(CF4&gt;0,CP4/CF4,"")</f>
        <v>0</v>
      </c>
      <c r="CQ3" s="18">
        <f>IF(CF4&gt;0,CQ4/CF4,"")</f>
        <v>0</v>
      </c>
      <c r="CR3" s="18">
        <f>IF(CF4&gt;0,CR4/CF4,"")</f>
        <v>0</v>
      </c>
      <c r="CS3" s="18">
        <f>IF(CF4&gt;0,CS4/CF4,"")</f>
        <v>0</v>
      </c>
      <c r="CT3" s="18">
        <f>IF(CF4&gt;0,CT4/CF4,"")</f>
        <v>0</v>
      </c>
      <c r="CU3" s="18">
        <f>IF(CF4&gt;0,CU4/CF4,"")</f>
        <v>0</v>
      </c>
      <c r="CV3" s="18">
        <f>IF(CF4&gt;0,CV4/CF4,"")</f>
        <v>0</v>
      </c>
      <c r="CW3" s="18">
        <f>IF(CF4&gt;0,CW4/CF4,"")</f>
        <v>0</v>
      </c>
      <c r="CX3" s="18">
        <f>IF(CF4&gt;0,CX4/CF4,"")</f>
        <v>0</v>
      </c>
      <c r="CY3" s="18">
        <f>IF(CF4&gt;0,CY4/CF4,"")</f>
        <v>0</v>
      </c>
      <c r="CZ3" s="18">
        <f>IF(CF4&gt;0,CZ4/CF4,"")</f>
        <v>0</v>
      </c>
      <c r="DA3" s="18">
        <f>IF(CF4&gt;0,DA4/CF4,"")</f>
        <v>0</v>
      </c>
      <c r="DB3" s="18">
        <f>IF(CF4&gt;0,DB4/CF4,"")</f>
        <v>0</v>
      </c>
      <c r="DC3" s="18">
        <f>IF(CF4&gt;0,DC4/CF4,"")</f>
        <v>0</v>
      </c>
      <c r="DD3" s="18">
        <f>IF(CF4&gt;0,DD4/CF4,"")</f>
        <v>0</v>
      </c>
      <c r="DE3" s="18">
        <f>IF(CF4&gt;0,DE4/CF4,"")</f>
        <v>0</v>
      </c>
      <c r="DF3" s="18">
        <f>IF(CF4&gt;0,DF4/CF4,"")</f>
        <v>0</v>
      </c>
      <c r="DG3" s="18">
        <f>IF(CF4&gt;0,DG4/CF4,"")</f>
        <v>0</v>
      </c>
      <c r="DH3" s="18">
        <f>IF(CF4&gt;0,DH4/CF4,"")</f>
        <v>0</v>
      </c>
      <c r="DI3" s="18">
        <f>IF(CF4&gt;0,DI4/CF4,"")</f>
        <v>0</v>
      </c>
      <c r="DJ3" s="18">
        <f>IF(CF4&gt;0,DJ4/CF4,"")</f>
        <v>0</v>
      </c>
      <c r="DL3" s="18" t="str">
        <f>IF(DK4&gt;0,DL4/DK4,"")</f>
        <v/>
      </c>
      <c r="DM3" s="18" t="str">
        <f>IF(DK4&gt;0,DM4/DK4,"")</f>
        <v/>
      </c>
      <c r="DN3" s="18" t="str">
        <f>IF(DK4&gt;0,DN4/DK4,"")</f>
        <v/>
      </c>
      <c r="DO3" s="18" t="str">
        <f>IF(DK4&gt;0,DO4/DK4,"")</f>
        <v/>
      </c>
      <c r="DP3" s="18" t="str">
        <f>IF(DK4&gt;0,DP4/DK4,"")</f>
        <v/>
      </c>
      <c r="DQ3" s="18" t="str">
        <f>IF(DK4&gt;0,DQ4/DK4,"")</f>
        <v/>
      </c>
      <c r="DR3" s="18" t="str">
        <f>IF(DK4&gt;0,DR4/DK4,"")</f>
        <v/>
      </c>
      <c r="DS3" s="18" t="str">
        <f>IF(DK4&gt;0,DS4/DK4,"")</f>
        <v/>
      </c>
      <c r="DT3" s="18" t="str">
        <f>IF(DK4&gt;0,DT4/DK4,"")</f>
        <v/>
      </c>
      <c r="DU3" s="18" t="str">
        <f>IF(DK4&gt;0,DU4/DK4,"")</f>
        <v/>
      </c>
      <c r="DV3" s="18" t="str">
        <f>IF(DK4&gt;0,DV4/DK4,"")</f>
        <v/>
      </c>
      <c r="DW3" s="18" t="str">
        <f>IF(DK4&gt;0,DW4/DK4,"")</f>
        <v/>
      </c>
      <c r="DX3" s="18" t="str">
        <f>IF(DK4&gt;0,DX4/DK4,"")</f>
        <v/>
      </c>
      <c r="DY3" s="18" t="str">
        <f>IF(DK4&gt;0,DY4/DK4,"")</f>
        <v/>
      </c>
      <c r="DZ3" s="18" t="str">
        <f>IF(DK4&gt;0,DZ4/DK4,"")</f>
        <v/>
      </c>
      <c r="EA3" s="18" t="str">
        <f>IF(DK4&gt;0,EA4/DK4,"")</f>
        <v/>
      </c>
      <c r="EB3" s="18" t="str">
        <f>IF(DK4&gt;0,EB4/DK4,"")</f>
        <v/>
      </c>
      <c r="EC3" s="18" t="str">
        <f>IF(DK4&gt;0,EC4/DK4,"")</f>
        <v/>
      </c>
      <c r="ED3" s="18" t="str">
        <f>IF(DK4&gt;0,ED4/DK4,"")</f>
        <v/>
      </c>
      <c r="EE3" s="18" t="str">
        <f>IF(DK4&gt;0,EE4/DK4,"")</f>
        <v/>
      </c>
      <c r="EF3" s="18" t="str">
        <f>IF(DK4&gt;0,EF4/DK4,"")</f>
        <v/>
      </c>
      <c r="EG3" s="18" t="str">
        <f>IF(DK4&gt;0,EG4/DK4,"")</f>
        <v/>
      </c>
      <c r="EH3" s="18" t="str">
        <f>IF(DK4&gt;0,EH4/DK4,"")</f>
        <v/>
      </c>
      <c r="EI3" s="18" t="str">
        <f>IF(DK4&gt;0,EI4/DK4,"")</f>
        <v/>
      </c>
      <c r="EJ3" s="18" t="str">
        <f>IF(DK4&gt;0,EJ4/DK4,"")</f>
        <v/>
      </c>
      <c r="EK3" s="18" t="str">
        <f>IF(DK4&gt;0,EK4/DK4,"")</f>
        <v/>
      </c>
      <c r="EL3" s="18" t="str">
        <f>IF(DK4&gt;0,EL4/DK4,"")</f>
        <v/>
      </c>
      <c r="EM3" s="18" t="str">
        <f>IF(DK4&gt;0,EM4/DK4,"")</f>
        <v/>
      </c>
      <c r="EN3" s="18" t="str">
        <f>IF(DK4&gt;0,EN4/DK4,"")</f>
        <v/>
      </c>
      <c r="EO3" s="18" t="str">
        <f>IF(DK4&gt;0,EO4/DK4,"")</f>
        <v/>
      </c>
      <c r="EQ3" s="18" t="str">
        <f>IF(EP4&gt;0,EQ4/EP4,"")</f>
        <v/>
      </c>
      <c r="ER3" s="18" t="str">
        <f>IF(EP4&gt;0,ER4/EP4,"")</f>
        <v/>
      </c>
      <c r="ES3" s="18" t="str">
        <f>IF(EP4&gt;0,ES4/EP4,"")</f>
        <v/>
      </c>
      <c r="ET3" s="18" t="str">
        <f>IF(EP4&gt;0,ET4/EP4,"")</f>
        <v/>
      </c>
      <c r="EU3" s="18" t="str">
        <f>IF(EP4&gt;0,EU4/EP4,"")</f>
        <v/>
      </c>
      <c r="EV3" s="18" t="str">
        <f>IF(EP4&gt;0,EV4/EP4,"")</f>
        <v/>
      </c>
      <c r="EW3" s="18" t="str">
        <f>IF(EP4&gt;0,EW4/EP4,"")</f>
        <v/>
      </c>
      <c r="EX3" s="18" t="str">
        <f>IF(EP4&gt;0,EX4/EP4,"")</f>
        <v/>
      </c>
      <c r="EY3" s="18" t="str">
        <f>IF(EP4&gt;0,EY4/EP4,"")</f>
        <v/>
      </c>
      <c r="EZ3" s="18" t="str">
        <f>IF(EP4&gt;0,EZ4/EP4,"")</f>
        <v/>
      </c>
      <c r="FA3" s="18" t="str">
        <f>IF(EP4&gt;0,FA4/EP4,"")</f>
        <v/>
      </c>
      <c r="FB3" s="18" t="str">
        <f>IF(EP4&gt;0,FB4/EP4,"")</f>
        <v/>
      </c>
      <c r="FC3" s="18" t="str">
        <f>IF(EP4&gt;0,FC4/EP4,"")</f>
        <v/>
      </c>
      <c r="FD3" s="18" t="str">
        <f>IF(EP4&gt;0,FD4/EP4,"")</f>
        <v/>
      </c>
      <c r="FE3" s="18" t="str">
        <f>IF(EP4&gt;0,FE4/EP4,"")</f>
        <v/>
      </c>
      <c r="FF3" s="18" t="str">
        <f>IF(EP4&gt;0,FF4/EP4,"")</f>
        <v/>
      </c>
      <c r="FG3" s="18" t="str">
        <f>IF(EP4&gt;0,FG4/EP4,"")</f>
        <v/>
      </c>
      <c r="FH3" s="18" t="str">
        <f>IF(EP4&gt;0,FH4/EP4,"")</f>
        <v/>
      </c>
      <c r="FI3" s="18" t="str">
        <f>IF(EP4&gt;0,FI4/EP4,"")</f>
        <v/>
      </c>
      <c r="FJ3" s="18" t="str">
        <f>IF(EP4&gt;0,FJ4/EP4,"")</f>
        <v/>
      </c>
      <c r="FK3" s="18" t="str">
        <f>IF(EP4&gt;0,FK4/EP4,"")</f>
        <v/>
      </c>
      <c r="FL3" s="18" t="str">
        <f>IF(EP4&gt;0,FL4/EP4,"")</f>
        <v/>
      </c>
      <c r="FM3" s="18" t="str">
        <f>IF(EP4&gt;0,FM4/EP4,"")</f>
        <v/>
      </c>
      <c r="FN3" s="18" t="str">
        <f>IF(EP4&gt;0,FN4/EP4,"")</f>
        <v/>
      </c>
      <c r="FO3" s="18" t="str">
        <f>IF(EP4&gt;0,FO4/EP4,"")</f>
        <v/>
      </c>
      <c r="FP3" s="18" t="str">
        <f>IF(EP4&gt;0,FP4/EP4,"")</f>
        <v/>
      </c>
      <c r="FQ3" s="18" t="str">
        <f>IF(EP4&gt;0,FQ4/EP4,"")</f>
        <v/>
      </c>
      <c r="FR3" s="18" t="str">
        <f>IF(EP4&gt;0,FR4/EP4,"")</f>
        <v/>
      </c>
      <c r="FS3" s="18" t="str">
        <f>IF(EP4&gt;0,FS4/EP4,"")</f>
        <v/>
      </c>
      <c r="FT3" s="18" t="str">
        <f>IF(EP4&gt;0,FT4/EP4,"")</f>
        <v/>
      </c>
      <c r="FV3" s="18" t="str">
        <f>IF(FU4&gt;0,FV4/FU4,"")</f>
        <v/>
      </c>
      <c r="FW3" s="18" t="str">
        <f>IF(FU4&gt;0,FW4/FU4,"")</f>
        <v/>
      </c>
      <c r="FX3" s="18" t="str">
        <f>IF(FU4&gt;0,FX4/FU4,"")</f>
        <v/>
      </c>
      <c r="FY3" s="18" t="str">
        <f>IF(FU4&gt;0,FY4/FU4,"")</f>
        <v/>
      </c>
      <c r="FZ3" s="18" t="str">
        <f>IF(FU4&gt;0,FZ4/FU4,"")</f>
        <v/>
      </c>
      <c r="GA3" s="18" t="str">
        <f>IF(FU4&gt;0,GA4/FU4,"")</f>
        <v/>
      </c>
      <c r="GB3" s="18" t="str">
        <f>IF(FU4&gt;0,GB4/FU4,"")</f>
        <v/>
      </c>
      <c r="GC3" s="18" t="str">
        <f>IF(FU4&gt;0,GC4/FU4,"")</f>
        <v/>
      </c>
      <c r="GD3" s="18" t="str">
        <f>IF(FU4&gt;0,GD4/FU4,"")</f>
        <v/>
      </c>
      <c r="GE3" s="18" t="str">
        <f>IF(FU4&gt;0,GE4/FU4,"")</f>
        <v/>
      </c>
      <c r="GF3" s="18" t="str">
        <f>IF(FU4&gt;0,GF4/FU4,"")</f>
        <v/>
      </c>
      <c r="GG3" s="18" t="str">
        <f>IF(FU4&gt;0,GG4/FU4,"")</f>
        <v/>
      </c>
      <c r="GH3" s="18" t="str">
        <f>IF(FU4&gt;0,GH4/FU4,"")</f>
        <v/>
      </c>
      <c r="GI3" s="18" t="str">
        <f>IF(FU4&gt;0,GI4/FU4,"")</f>
        <v/>
      </c>
      <c r="GJ3" s="18" t="str">
        <f>IF(FU4&gt;0,GJ4/FU4,"")</f>
        <v/>
      </c>
      <c r="GK3" s="18" t="str">
        <f>IF(FU4&gt;0,GK4/FU4,"")</f>
        <v/>
      </c>
      <c r="GL3" s="18" t="str">
        <f>IF(FU4&gt;0,GL4/FU4,"")</f>
        <v/>
      </c>
      <c r="GM3" s="18" t="str">
        <f>IF(FU4&gt;0,GM4/FU4,"")</f>
        <v/>
      </c>
      <c r="GN3" s="18" t="str">
        <f>IF(FU4&gt;0,GN4/FU4,"")</f>
        <v/>
      </c>
      <c r="GO3" s="18" t="str">
        <f>IF(FU4&gt;0,GO4/FU4,"")</f>
        <v/>
      </c>
      <c r="GP3" s="18" t="str">
        <f>IF(FU4&gt;0,GP4/FU4,"")</f>
        <v/>
      </c>
      <c r="GQ3" s="18" t="str">
        <f>IF(FU4&gt;0,GQ4/FU4,"")</f>
        <v/>
      </c>
      <c r="GR3" s="18" t="str">
        <f>IF(FU4&gt;0,GR4/FU4,"")</f>
        <v/>
      </c>
      <c r="GS3" s="18" t="str">
        <f>IF(FU4&gt;0,GS4/FU4,"")</f>
        <v/>
      </c>
      <c r="GT3" s="18" t="str">
        <f>IF(FU4&gt;0,GT4/FU4,"")</f>
        <v/>
      </c>
      <c r="GU3" s="18" t="str">
        <f>IF(FU4&gt;0,GU4/FU4,"")</f>
        <v/>
      </c>
      <c r="GV3" s="18" t="str">
        <f>IF(FU4&gt;0,GV4/FU4,"")</f>
        <v/>
      </c>
      <c r="GW3" s="18" t="str">
        <f>IF(FU4&gt;0,GW4/FU4,"")</f>
        <v/>
      </c>
      <c r="GX3" s="18" t="str">
        <f>IF(FU4&gt;0,GX4/FU4,"")</f>
        <v/>
      </c>
      <c r="GY3" s="18" t="str">
        <f>IF(FU4&gt;0,GY4/FU4,"")</f>
        <v/>
      </c>
      <c r="HA3" s="18" t="str">
        <f>IF(GZ4&gt;0,HA4/GZ4,"")</f>
        <v/>
      </c>
      <c r="HB3" s="18" t="str">
        <f>IF(GZ4&gt;0,HB4/GZ4,"")</f>
        <v/>
      </c>
      <c r="HC3" s="18" t="str">
        <f>IF(GZ4&gt;0,HC4/GZ4,"")</f>
        <v/>
      </c>
      <c r="HD3" s="18" t="str">
        <f>IF(GZ4&gt;0,HD4/GZ4,"")</f>
        <v/>
      </c>
      <c r="HE3" s="18" t="str">
        <f>IF(GZ4&gt;0,HE4/GZ4,"")</f>
        <v/>
      </c>
      <c r="HF3" s="18" t="str">
        <f>IF(GZ4&gt;0,HF4/GZ4,"")</f>
        <v/>
      </c>
      <c r="HG3" s="18" t="str">
        <f>IF(GZ4&gt;0,HG4/GZ4,"")</f>
        <v/>
      </c>
      <c r="HH3" s="18" t="str">
        <f>IF(GZ4&gt;0,HH4/GZ4,"")</f>
        <v/>
      </c>
      <c r="HI3" s="18" t="str">
        <f>IF(GZ4&gt;0,HI4/GZ4,"")</f>
        <v/>
      </c>
      <c r="HJ3" s="18" t="str">
        <f>IF(GZ4&gt;0,HJ4/GZ4,"")</f>
        <v/>
      </c>
      <c r="HK3" s="18" t="str">
        <f>IF(GZ4&gt;0,HK4/GZ4,"")</f>
        <v/>
      </c>
      <c r="HL3" s="18" t="str">
        <f>IF(GZ4&gt;0,HL4/GZ4,"")</f>
        <v/>
      </c>
      <c r="HM3" s="18" t="str">
        <f>IF(GZ4&gt;0,HM4/GZ4,"")</f>
        <v/>
      </c>
      <c r="HN3" s="18" t="str">
        <f>IF(GZ4&gt;0,HN4/GZ4,"")</f>
        <v/>
      </c>
      <c r="HO3" s="18" t="str">
        <f>IF(GZ4&gt;0,HO4/GZ4,"")</f>
        <v/>
      </c>
      <c r="HP3" s="18" t="str">
        <f>IF(GZ4&gt;0,HP4/GZ4,"")</f>
        <v/>
      </c>
      <c r="HQ3" s="18" t="str">
        <f>IF(GZ4&gt;0,HQ4/GZ4,"")</f>
        <v/>
      </c>
      <c r="HR3" s="18" t="str">
        <f>IF(GZ4&gt;0,HR4/GZ4,"")</f>
        <v/>
      </c>
      <c r="HS3" s="18" t="str">
        <f>IF(GZ4&gt;0,HS4/GZ4,"")</f>
        <v/>
      </c>
      <c r="HT3" s="18" t="str">
        <f>IF(GZ4&gt;0,HT4/GZ4,"")</f>
        <v/>
      </c>
      <c r="HU3" s="18" t="str">
        <f>IF(GZ4&gt;0,HU4/GZ4,"")</f>
        <v/>
      </c>
      <c r="HV3" s="18" t="str">
        <f>IF(GZ4&gt;0,HV4/GZ4,"")</f>
        <v/>
      </c>
      <c r="HW3" s="18" t="str">
        <f>IF(GZ4&gt;0,HW4/GZ4,"")</f>
        <v/>
      </c>
      <c r="HX3" s="18" t="str">
        <f>IF(GZ4&gt;0,HX4/GZ4,"")</f>
        <v/>
      </c>
      <c r="HY3" s="18" t="str">
        <f>IF(GZ4&gt;0,HY4/GZ4,"")</f>
        <v/>
      </c>
      <c r="HZ3" s="18" t="str">
        <f>IF(GZ4&gt;0,HZ4/GZ4,"")</f>
        <v/>
      </c>
      <c r="IA3" s="18" t="str">
        <f>IF(GZ4&gt;0,IA4/GZ4,"")</f>
        <v/>
      </c>
      <c r="IB3" s="18" t="str">
        <f>IF(GZ4&gt;0,IB4/GZ4,"")</f>
        <v/>
      </c>
      <c r="IC3" s="18" t="str">
        <f>IF(GZ4&gt;0,IC4/GZ4,"")</f>
        <v/>
      </c>
      <c r="ID3" s="18" t="str">
        <f>IF(GZ4&gt;0,ID4/GZ4,"")</f>
        <v/>
      </c>
      <c r="IF3" s="18" t="str">
        <f>IF(IE4&gt;0,IF4/IE4,"")</f>
        <v/>
      </c>
      <c r="IG3" s="18" t="str">
        <f>IF(IE4&gt;0,IG4/IE4,"")</f>
        <v/>
      </c>
      <c r="IH3" s="18" t="str">
        <f>IF(IE4&gt;0,IH4/IE4,"")</f>
        <v/>
      </c>
      <c r="II3" s="18" t="str">
        <f>IF(IE4&gt;0,II4/IE4,"")</f>
        <v/>
      </c>
      <c r="IJ3" s="18" t="str">
        <f>IF(IE4&gt;0,IJ4/IE4,"")</f>
        <v/>
      </c>
      <c r="IK3" s="18" t="str">
        <f>IF(IE4&gt;0,IK4/IE4,"")</f>
        <v/>
      </c>
      <c r="IL3" s="18" t="str">
        <f>IF(IE4&gt;0,IL4/IE4,"")</f>
        <v/>
      </c>
      <c r="IM3" s="18" t="str">
        <f>IF(IE4&gt;0,IM4/IE4,"")</f>
        <v/>
      </c>
      <c r="IN3" s="18" t="str">
        <f>IF(IE4&gt;0,IN4/IE4,"")</f>
        <v/>
      </c>
      <c r="IO3" s="18" t="str">
        <f>IF(IE4&gt;0,IO4/IE4,"")</f>
        <v/>
      </c>
      <c r="IP3" s="18" t="str">
        <f>IF(IE4&gt;0,IP4/IE4,"")</f>
        <v/>
      </c>
      <c r="IQ3" s="18" t="str">
        <f>IF(IE4&gt;0,IQ4/IE4,"")</f>
        <v/>
      </c>
      <c r="IR3" s="18" t="str">
        <f>IF(IE4&gt;0,IR4/IE4,"")</f>
        <v/>
      </c>
      <c r="IS3" s="18" t="str">
        <f>IF(IE4&gt;0,IS4/IE4,"")</f>
        <v/>
      </c>
      <c r="IT3" s="18" t="str">
        <f>IF(IE4&gt;0,IT4/IE4,"")</f>
        <v/>
      </c>
      <c r="IU3" s="18" t="str">
        <f>IF(IE4&gt;0,IU4/IE4,"")</f>
        <v/>
      </c>
      <c r="IV3" s="18" t="str">
        <f>IF(IE4&gt;0,IV4/IE4,"")</f>
        <v/>
      </c>
      <c r="IW3" s="18" t="str">
        <f>IF(IE4&gt;0,IW4/IE4,"")</f>
        <v/>
      </c>
      <c r="IX3" s="18" t="str">
        <f>IF(IE4&gt;0,IX4/IE4,"")</f>
        <v/>
      </c>
      <c r="IY3" s="18" t="str">
        <f>IF(IE4&gt;0,IY4/IE4,"")</f>
        <v/>
      </c>
      <c r="IZ3" s="18" t="str">
        <f>IF(IE4&gt;0,IZ4/IE4,"")</f>
        <v/>
      </c>
      <c r="JA3" s="18" t="str">
        <f>IF(IE4&gt;0,JA4/IE4,"")</f>
        <v/>
      </c>
      <c r="JB3" s="18" t="str">
        <f>IF(IE4&gt;0,JB4/IE4,"")</f>
        <v/>
      </c>
      <c r="JC3" s="18" t="str">
        <f>IF(IE4&gt;0,JC4/IE4,"")</f>
        <v/>
      </c>
      <c r="JD3" s="18" t="str">
        <f>IF(IE4&gt;0,JD4/IE4,"")</f>
        <v/>
      </c>
      <c r="JE3" s="18" t="str">
        <f>IF(IE4&gt;0,JE4/IE4,"")</f>
        <v/>
      </c>
      <c r="JF3" s="18" t="str">
        <f>IF(IE4&gt;0,JF4/IE4,"")</f>
        <v/>
      </c>
      <c r="JG3" s="18" t="str">
        <f>IF(IE4&gt;0,JG4/IE4,"")</f>
        <v/>
      </c>
      <c r="JH3" s="18" t="str">
        <f>IF(IE4&gt;0,JH4/IE4,"")</f>
        <v/>
      </c>
      <c r="JI3" s="18" t="str">
        <f>IF(IE4&gt;0,JI4/IE4,"")</f>
        <v/>
      </c>
      <c r="JK3" s="18" t="str">
        <f>IF(JJ4&gt;0,JK4/JJ4,"")</f>
        <v/>
      </c>
      <c r="JL3" s="18" t="str">
        <f>IF(JJ4&gt;0,JL4/JJ4,"")</f>
        <v/>
      </c>
      <c r="JM3" s="18" t="str">
        <f>IF(JJ4&gt;0,JM4/JJ4,"")</f>
        <v/>
      </c>
      <c r="JN3" s="18" t="str">
        <f>IF(JJ4&gt;0,JN4/JJ4,"")</f>
        <v/>
      </c>
      <c r="JO3" s="18" t="str">
        <f>IF(JJ4&gt;0,JO4/JJ4,"")</f>
        <v/>
      </c>
      <c r="JP3" s="18" t="str">
        <f>IF(JJ4&gt;0,JP4/JJ4,"")</f>
        <v/>
      </c>
      <c r="JQ3" s="18" t="str">
        <f>IF(JJ4&gt;0,JQ4/JJ4,"")</f>
        <v/>
      </c>
      <c r="JR3" s="18" t="str">
        <f>IF(JJ4&gt;0,JR4/JJ4,"")</f>
        <v/>
      </c>
      <c r="JS3" s="18" t="str">
        <f>IF(JJ4&gt;0,JS4/JJ4,"")</f>
        <v/>
      </c>
      <c r="JT3" s="18" t="str">
        <f>IF(JJ4&gt;0,JT4/JJ4,"")</f>
        <v/>
      </c>
      <c r="JU3" s="18" t="str">
        <f>IF(JJ4&gt;0,JU4/JJ4,"")</f>
        <v/>
      </c>
      <c r="JV3" s="18" t="str">
        <f>IF(JJ4&gt;0,JV4/JJ4,"")</f>
        <v/>
      </c>
      <c r="JW3" s="18" t="str">
        <f>IF(JJ4&gt;0,JW4/JJ4,"")</f>
        <v/>
      </c>
      <c r="JX3" s="18" t="str">
        <f>IF(JJ4&gt;0,JX4/JJ4,"")</f>
        <v/>
      </c>
      <c r="JY3" s="18" t="str">
        <f>IF(JJ4&gt;0,JY4/JJ4,"")</f>
        <v/>
      </c>
      <c r="JZ3" s="18" t="str">
        <f>IF(JJ4&gt;0,JZ4/JJ4,"")</f>
        <v/>
      </c>
      <c r="KA3" s="18" t="str">
        <f>IF(JJ4&gt;0,KA4/JJ4,"")</f>
        <v/>
      </c>
      <c r="KB3" s="18" t="str">
        <f>IF(JJ4&gt;0,KB4/JJ4,"")</f>
        <v/>
      </c>
      <c r="KC3" s="18" t="str">
        <f>IF(JJ4&gt;0,KC4/JJ4,"")</f>
        <v/>
      </c>
      <c r="KD3" s="18" t="str">
        <f>IF(JJ4&gt;0,KD4/JJ4,"")</f>
        <v/>
      </c>
      <c r="KE3" s="18" t="str">
        <f>IF(JJ4&gt;0,KE4/JJ4,"")</f>
        <v/>
      </c>
      <c r="KF3" s="18" t="str">
        <f>IF(JJ4&gt;0,KF4/JJ4,"")</f>
        <v/>
      </c>
      <c r="KG3" s="18" t="str">
        <f>IF(JJ4&gt;0,KG4/JJ4,"")</f>
        <v/>
      </c>
      <c r="KH3" s="18" t="str">
        <f>IF(JJ4&gt;0,KH4/JJ4,"")</f>
        <v/>
      </c>
      <c r="KI3" s="18" t="str">
        <f>IF(JJ4&gt;0,KI4/JJ4,"")</f>
        <v/>
      </c>
      <c r="KJ3" s="18" t="str">
        <f>IF(JJ4&gt;0,KJ4/JJ4,"")</f>
        <v/>
      </c>
      <c r="KK3" s="18" t="str">
        <f>IF(JJ4&gt;0,KK4/JJ4,"")</f>
        <v/>
      </c>
      <c r="KL3" s="18" t="str">
        <f>IF(JJ4&gt;0,KL4/JJ4,"")</f>
        <v/>
      </c>
      <c r="KM3" s="18" t="str">
        <f>IF(JJ4&gt;0,KM4/JJ4,"")</f>
        <v/>
      </c>
      <c r="KN3" s="18" t="str">
        <f>IF(JJ4&gt;0,KN4/JJ4,"")</f>
        <v/>
      </c>
      <c r="KP3" s="18" t="str">
        <f>IF(KO4&gt;0,KP4/KO4,"")</f>
        <v/>
      </c>
      <c r="KQ3" s="18" t="str">
        <f>IF(KO4&gt;0,KQ4/KO4,"")</f>
        <v/>
      </c>
      <c r="KR3" s="18" t="str">
        <f>IF(KO4&gt;0,KR4/KO4,"")</f>
        <v/>
      </c>
      <c r="KS3" s="18" t="str">
        <f>IF(KO4&gt;0,KS4/KO4,"")</f>
        <v/>
      </c>
      <c r="KT3" s="18" t="str">
        <f>IF(KO4&gt;0,KT4/KO4,"")</f>
        <v/>
      </c>
      <c r="KU3" s="18" t="str">
        <f>IF(KO4&gt;0,KU4/KO4,"")</f>
        <v/>
      </c>
      <c r="KV3" s="18" t="str">
        <f>IF(KO4&gt;0,KV4/KO4,"")</f>
        <v/>
      </c>
      <c r="KW3" s="18" t="str">
        <f>IF(KO4&gt;0,KW4/KO4,"")</f>
        <v/>
      </c>
      <c r="KX3" s="18" t="str">
        <f>IF(KO4&gt;0,KX4/KO4,"")</f>
        <v/>
      </c>
      <c r="KY3" s="18" t="str">
        <f>IF(KO4&gt;0,KY4/KO4,"")</f>
        <v/>
      </c>
      <c r="KZ3" s="18" t="str">
        <f>IF(KO4&gt;0,KZ4/KO4,"")</f>
        <v/>
      </c>
      <c r="LA3" s="18" t="str">
        <f>IF(KO4&gt;0,LA4/KO4,"")</f>
        <v/>
      </c>
      <c r="LB3" s="18" t="str">
        <f>IF(KO4&gt;0,LB4/KO4,"")</f>
        <v/>
      </c>
      <c r="LC3" s="18" t="str">
        <f>IF(KO4&gt;0,LC4/KO4,"")</f>
        <v/>
      </c>
      <c r="LD3" s="18" t="str">
        <f>IF(KO4&gt;0,LD4/KO4,"")</f>
        <v/>
      </c>
      <c r="LE3" s="18" t="str">
        <f>IF(KO4&gt;0,LE4/KO4,"")</f>
        <v/>
      </c>
      <c r="LF3" s="18" t="str">
        <f>IF(KO4&gt;0,LF4/KO4,"")</f>
        <v/>
      </c>
      <c r="LG3" s="18" t="str">
        <f>IF(KO4&gt;0,LG4/KO4,"")</f>
        <v/>
      </c>
      <c r="LH3" s="18" t="str">
        <f>IF(KO4&gt;0,LH4/KO4,"")</f>
        <v/>
      </c>
      <c r="LI3" s="18" t="str">
        <f>IF(KO4&gt;0,LI4/KO4,"")</f>
        <v/>
      </c>
      <c r="LJ3" s="18" t="str">
        <f>IF(KO4&gt;0,LJ4/KO4,"")</f>
        <v/>
      </c>
      <c r="LK3" s="18" t="str">
        <f>IF(KO4&gt;0,LK4/KO4,"")</f>
        <v/>
      </c>
      <c r="LL3" s="18" t="str">
        <f>IF(KO4&gt;0,LL4/KO4,"")</f>
        <v/>
      </c>
      <c r="LM3" s="18" t="str">
        <f>IF(KO4&gt;0,LM4/KO4,"")</f>
        <v/>
      </c>
      <c r="LN3" s="18" t="str">
        <f>IF(KO4&gt;0,LN4/KO4,"")</f>
        <v/>
      </c>
      <c r="LO3" s="18" t="str">
        <f>IF(KO4&gt;0,LO4/KO4,"")</f>
        <v/>
      </c>
      <c r="LP3" s="18" t="str">
        <f>IF(KO4&gt;0,LP4/KO4,"")</f>
        <v/>
      </c>
      <c r="LQ3" s="18" t="str">
        <f>IF(KO4&gt;0,LQ4/KO4,"")</f>
        <v/>
      </c>
      <c r="LR3" s="18" t="str">
        <f>IF(KO4&gt;0,LR4/KO4,"")</f>
        <v/>
      </c>
      <c r="LS3" s="18" t="str">
        <f>IF(KO4&gt;0,LS4/KO4,"")</f>
        <v/>
      </c>
      <c r="LU3" s="18" t="str">
        <f>IF(LT4&gt;0,LU4/LT4,"")</f>
        <v/>
      </c>
      <c r="LV3" s="18" t="str">
        <f>IF(LT4&gt;0,LV4/LT4,"")</f>
        <v/>
      </c>
      <c r="LW3" s="18" t="str">
        <f>IF(LT4&gt;0,LW4/LT4,"")</f>
        <v/>
      </c>
      <c r="LX3" s="18" t="str">
        <f>IF(LT4&gt;0,LX4/LT4,"")</f>
        <v/>
      </c>
      <c r="LY3" s="18" t="str">
        <f>IF(LT4&gt;0,LY4/LT4,"")</f>
        <v/>
      </c>
      <c r="LZ3" s="18" t="str">
        <f>IF(LT4&gt;0,LZ4/LT4,"")</f>
        <v/>
      </c>
      <c r="MA3" s="18" t="str">
        <f>IF(LT4&gt;0,MA4/LT4,"")</f>
        <v/>
      </c>
      <c r="MB3" s="18" t="str">
        <f>IF(LT4&gt;0,MB4/LT4,"")</f>
        <v/>
      </c>
      <c r="MC3" s="18" t="str">
        <f>IF(LT4&gt;0,MC4/LT4,"")</f>
        <v/>
      </c>
      <c r="MD3" s="18" t="str">
        <f>IF(LT4&gt;0,MD4/LT4,"")</f>
        <v/>
      </c>
      <c r="ME3" s="18" t="str">
        <f>IF(LT4&gt;0,ME4/LT4,"")</f>
        <v/>
      </c>
      <c r="MF3" s="18" t="str">
        <f>IF(LT4&gt;0,MF4/LT4,"")</f>
        <v/>
      </c>
      <c r="MG3" s="18" t="str">
        <f>IF(LT4&gt;0,MG4/LT4,"")</f>
        <v/>
      </c>
      <c r="MH3" s="18" t="str">
        <f>IF(LT4&gt;0,MH4/LT4,"")</f>
        <v/>
      </c>
      <c r="MI3" s="18" t="str">
        <f>IF(LT4&gt;0,MI4/LT4,"")</f>
        <v/>
      </c>
      <c r="MJ3" s="18" t="str">
        <f>IF(LT4&gt;0,MJ4/LT4,"")</f>
        <v/>
      </c>
      <c r="MK3" s="18" t="str">
        <f>IF(LT4&gt;0,MK4/LT4,"")</f>
        <v/>
      </c>
      <c r="ML3" s="18" t="str">
        <f>IF(LT4&gt;0,ML4/LT4,"")</f>
        <v/>
      </c>
      <c r="MM3" s="18" t="str">
        <f>IF(LT4&gt;0,MM4/LT4,"")</f>
        <v/>
      </c>
      <c r="MN3" s="18" t="str">
        <f>IF(LT4&gt;0,MN4/LT4,"")</f>
        <v/>
      </c>
      <c r="MO3" s="18" t="str">
        <f>IF(LT4&gt;0,MO4/LT4,"")</f>
        <v/>
      </c>
      <c r="MP3" s="18" t="str">
        <f>IF(LT4&gt;0,MP4/LT4,"")</f>
        <v/>
      </c>
      <c r="MQ3" s="18" t="str">
        <f>IF(LT4&gt;0,MQ4/LT4,"")</f>
        <v/>
      </c>
      <c r="MR3" s="18" t="str">
        <f>IF(LT4&gt;0,MR4/LT4,"")</f>
        <v/>
      </c>
      <c r="MS3" s="18" t="str">
        <f>IF(LT4&gt;0,MS4/LT4,"")</f>
        <v/>
      </c>
      <c r="MT3" s="18" t="str">
        <f>IF(LT4&gt;0,MT4/LT4,"")</f>
        <v/>
      </c>
      <c r="MU3" s="18" t="str">
        <f>IF(LT4&gt;0,MU4/LT4,"")</f>
        <v/>
      </c>
      <c r="MV3" s="18" t="str">
        <f>IF(LT4&gt;0,MV4/LT4,"")</f>
        <v/>
      </c>
      <c r="MW3" s="18" t="str">
        <f>IF(LT4&gt;0,MW4/LT4,"")</f>
        <v/>
      </c>
      <c r="MX3" s="18" t="str">
        <f>IF(LT4&gt;0,MX4/LT4,"")</f>
        <v/>
      </c>
      <c r="MZ3" s="18" t="str">
        <f>IF(MY4&gt;0,MZ4/MY4,"")</f>
        <v/>
      </c>
      <c r="NA3" s="18" t="str">
        <f>IF(MY4&gt;0,NA4/MY4,"")</f>
        <v/>
      </c>
      <c r="NB3" s="18" t="str">
        <f>IF(MY4&gt;0,NB4/MY4,"")</f>
        <v/>
      </c>
      <c r="NC3" s="18" t="str">
        <f>IF(MY4&gt;0,NC4/MY4,"")</f>
        <v/>
      </c>
      <c r="ND3" s="18" t="str">
        <f>IF(MY4&gt;0,ND4/MY4,"")</f>
        <v/>
      </c>
      <c r="NE3" s="18" t="str">
        <f>IF(MY4&gt;0,NE4/MY4,"")</f>
        <v/>
      </c>
      <c r="NF3" s="18" t="str">
        <f>IF(MY4&gt;0,NF4/MY4,"")</f>
        <v/>
      </c>
      <c r="NG3" s="18" t="str">
        <f>IF(MY4&gt;0,NG4/MY4,"")</f>
        <v/>
      </c>
      <c r="NH3" s="18" t="str">
        <f>IF(MY4&gt;0,NH4/MY4,"")</f>
        <v/>
      </c>
      <c r="NI3" s="18" t="str">
        <f>IF(MY4&gt;0,NI4/MY4,"")</f>
        <v/>
      </c>
      <c r="NJ3" s="18" t="str">
        <f>IF(MY4&gt;0,NJ4/MY4,"")</f>
        <v/>
      </c>
      <c r="NK3" s="18" t="str">
        <f>IF(MY4&gt;0,NK4/MY4,"")</f>
        <v/>
      </c>
      <c r="NL3" s="18" t="str">
        <f>IF(MY4&gt;0,NL4/MY4,"")</f>
        <v/>
      </c>
      <c r="NM3" s="18" t="str">
        <f>IF(MY4&gt;0,NM4/MY4,"")</f>
        <v/>
      </c>
      <c r="NN3" s="18" t="str">
        <f>IF(MY4&gt;0,NN4/MY4,"")</f>
        <v/>
      </c>
      <c r="NO3" s="18" t="str">
        <f>IF(MY4&gt;0,NO4/MY4,"")</f>
        <v/>
      </c>
      <c r="NP3" s="18" t="str">
        <f>IF(MY4&gt;0,NP4/MY4,"")</f>
        <v/>
      </c>
      <c r="NQ3" s="18" t="str">
        <f>IF(MY4&gt;0,NQ4/MY4,"")</f>
        <v/>
      </c>
      <c r="NR3" s="18" t="str">
        <f>IF(MY4&gt;0,NR4/MY4,"")</f>
        <v/>
      </c>
      <c r="NS3" s="18" t="str">
        <f>IF(MY4&gt;0,NS4/MY4,"")</f>
        <v/>
      </c>
      <c r="NT3" s="18" t="str">
        <f>IF(MY4&gt;0,NT4/MY4,"")</f>
        <v/>
      </c>
      <c r="NU3" s="18" t="str">
        <f>IF(MY4&gt;0,NU4/MY4,"")</f>
        <v/>
      </c>
      <c r="NV3" s="18" t="str">
        <f>IF(MY4&gt;0,NV4/MY4,"")</f>
        <v/>
      </c>
      <c r="NW3" s="18" t="str">
        <f>IF(MY4&gt;0,NW4/MY4,"")</f>
        <v/>
      </c>
      <c r="NX3" s="18" t="str">
        <f>IF(MY4&gt;0,NX4/MY4,"")</f>
        <v/>
      </c>
      <c r="NY3" s="18" t="str">
        <f>IF(MY4&gt;0,NY4/MY4,"")</f>
        <v/>
      </c>
      <c r="NZ3" s="18" t="str">
        <f>IF(MY4&gt;0,NZ4/MY4,"")</f>
        <v/>
      </c>
      <c r="OA3" s="18" t="str">
        <f>IF(MY4&gt;0,OA4/MY4,"")</f>
        <v/>
      </c>
      <c r="OB3" s="18" t="str">
        <f>IF(MY4&gt;0,OB4/MY4,"")</f>
        <v/>
      </c>
      <c r="OC3" s="18" t="str">
        <f>IF(MY4&gt;0,OC4/MY4,"")</f>
        <v/>
      </c>
      <c r="OE3" s="18" t="str">
        <f>IF(OD4&gt;0,OE4/OD4,"")</f>
        <v/>
      </c>
      <c r="OF3" s="18" t="str">
        <f>IF(OD4&gt;0,OF4/OD4,"")</f>
        <v/>
      </c>
      <c r="OG3" s="18" t="str">
        <f>IF(OD4&gt;0,OG4/OD4,"")</f>
        <v/>
      </c>
      <c r="OH3" s="18" t="str">
        <f>IF(OD4&gt;0,OH4/OD4,"")</f>
        <v/>
      </c>
      <c r="OI3" s="18" t="str">
        <f>IF(OD4&gt;0,OI4/OD4,"")</f>
        <v/>
      </c>
      <c r="OJ3" s="18" t="str">
        <f>IF(OD4&gt;0,OJ4/OD4,"")</f>
        <v/>
      </c>
      <c r="OK3" s="18" t="str">
        <f>IF(OD4&gt;0,OK4/OD4,"")</f>
        <v/>
      </c>
      <c r="OL3" s="18" t="str">
        <f>IF(OD4&gt;0,OL4/OD4,"")</f>
        <v/>
      </c>
      <c r="OM3" s="18" t="str">
        <f>IF(OD4&gt;0,OM4/OD4,"")</f>
        <v/>
      </c>
      <c r="ON3" s="18" t="str">
        <f>IF(OD4&gt;0,ON4/OD4,"")</f>
        <v/>
      </c>
      <c r="OO3" s="18" t="str">
        <f>IF(OD4&gt;0,OO4/OD4,"")</f>
        <v/>
      </c>
      <c r="OP3" s="18" t="str">
        <f>IF(OD4&gt;0,OP4/OD4,"")</f>
        <v/>
      </c>
      <c r="OQ3" s="18" t="str">
        <f>IF(OD4&gt;0,OQ4/OD4,"")</f>
        <v/>
      </c>
      <c r="OR3" s="18" t="str">
        <f>IF(OD4&gt;0,OR4/OD4,"")</f>
        <v/>
      </c>
      <c r="OS3" s="18" t="str">
        <f>IF(OD4&gt;0,OS4/OD4,"")</f>
        <v/>
      </c>
      <c r="OT3" s="18" t="str">
        <f>IF(OD4&gt;0,OT4/OD4,"")</f>
        <v/>
      </c>
      <c r="OU3" s="18" t="str">
        <f>IF(OD4&gt;0,OU4/OD4,"")</f>
        <v/>
      </c>
      <c r="OV3" s="18" t="str">
        <f>IF(OD4&gt;0,OV4/OD4,"")</f>
        <v/>
      </c>
      <c r="OW3" s="18" t="str">
        <f>IF(OD4&gt;0,OW4/OD4,"")</f>
        <v/>
      </c>
      <c r="OX3" s="18" t="str">
        <f>IF(OD4&gt;0,OX4/OD4,"")</f>
        <v/>
      </c>
      <c r="OY3" s="18" t="str">
        <f>IF(OD4&gt;0,OY4/OD4,"")</f>
        <v/>
      </c>
      <c r="OZ3" s="18" t="str">
        <f>IF(OD4&gt;0,OZ4/OD4,"")</f>
        <v/>
      </c>
      <c r="PA3" s="18" t="str">
        <f>IF(OD4&gt;0,PA4/OD4,"")</f>
        <v/>
      </c>
      <c r="PB3" s="18" t="str">
        <f>IF(OD4&gt;0,PB4/OD4,"")</f>
        <v/>
      </c>
      <c r="PC3" s="18" t="str">
        <f>IF(OD4&gt;0,PC4/OD4,"")</f>
        <v/>
      </c>
      <c r="PD3" s="18" t="str">
        <f>IF(OD4&gt;0,PD4/OD4,"")</f>
        <v/>
      </c>
      <c r="PE3" s="18" t="str">
        <f>IF(OD4&gt;0,PE4/OD4,"")</f>
        <v/>
      </c>
      <c r="PF3" s="18" t="str">
        <f>IF(OD4&gt;0,PF4/OD4,"")</f>
        <v/>
      </c>
      <c r="PG3" s="18" t="str">
        <f>IF(OD4&gt;0,PG4/OD4,"")</f>
        <v/>
      </c>
      <c r="PH3" s="18" t="str">
        <f>IF(OD4&gt;0,PH4/OD4,"")</f>
        <v/>
      </c>
      <c r="PJ3" s="18" t="str">
        <f>IF(PI4&gt;0,PJ4/PI4,"")</f>
        <v/>
      </c>
      <c r="PK3" s="18" t="str">
        <f>IF(PI4&gt;0,PK4/PI4,"")</f>
        <v/>
      </c>
      <c r="PL3" s="18" t="str">
        <f>IF(PI4&gt;0,PL4/PI4,"")</f>
        <v/>
      </c>
      <c r="PM3" s="18" t="str">
        <f>IF(PI4&gt;0,PM4/PI4,"")</f>
        <v/>
      </c>
      <c r="PN3" s="18" t="str">
        <f>IF(PI4&gt;0,PN4/PI4,"")</f>
        <v/>
      </c>
      <c r="PO3" s="18" t="str">
        <f>IF(PI4&gt;0,PO4/PI4,"")</f>
        <v/>
      </c>
      <c r="PP3" s="18" t="str">
        <f>IF(PI4&gt;0,PP4/PI4,"")</f>
        <v/>
      </c>
      <c r="PQ3" s="18" t="str">
        <f>IF(PI4&gt;0,PQ4/PI4,"")</f>
        <v/>
      </c>
      <c r="PR3" s="18" t="str">
        <f>IF(PI4&gt;0,PR4/PI4,"")</f>
        <v/>
      </c>
      <c r="PS3" s="18" t="str">
        <f>IF(PI4&gt;0,PS4/PI4,"")</f>
        <v/>
      </c>
      <c r="PT3" s="18" t="str">
        <f>IF(PI4&gt;0,PT4/PI4,"")</f>
        <v/>
      </c>
      <c r="PU3" s="18" t="str">
        <f>IF(PI4&gt;0,PU4/PI4,"")</f>
        <v/>
      </c>
      <c r="PV3" s="18" t="str">
        <f>IF(PI4&gt;0,PV4/PI4,"")</f>
        <v/>
      </c>
      <c r="PW3" s="18" t="str">
        <f>IF(PI4&gt;0,PW4/PI4,"")</f>
        <v/>
      </c>
      <c r="PX3" s="18" t="str">
        <f>IF(PI4&gt;0,PX4/PI4,"")</f>
        <v/>
      </c>
      <c r="PY3" s="18" t="str">
        <f>IF(PI4&gt;0,PY4/PI4,"")</f>
        <v/>
      </c>
      <c r="PZ3" s="18" t="str">
        <f>IF(PI4&gt;0,PZ4/PI4,"")</f>
        <v/>
      </c>
      <c r="QA3" s="18" t="str">
        <f>IF(PI4&gt;0,QA4/PI4,"")</f>
        <v/>
      </c>
      <c r="QB3" s="18" t="str">
        <f>IF(PI4&gt;0,QB4/PI4,"")</f>
        <v/>
      </c>
      <c r="QC3" s="18" t="str">
        <f>IF(PI4&gt;0,QC4/PI4,"")</f>
        <v/>
      </c>
      <c r="QD3" s="18" t="str">
        <f>IF(PI4&gt;0,QD4/PI4,"")</f>
        <v/>
      </c>
      <c r="QE3" s="18" t="str">
        <f>IF(PI4&gt;0,QE4/PI4,"")</f>
        <v/>
      </c>
      <c r="QF3" s="18" t="str">
        <f>IF(PI4&gt;0,QF4/PI4,"")</f>
        <v/>
      </c>
      <c r="QG3" s="18" t="str">
        <f>IF(PI4&gt;0,QG4/PI4,"")</f>
        <v/>
      </c>
      <c r="QH3" s="18" t="str">
        <f>IF(PI4&gt;0,QH4/PI4,"")</f>
        <v/>
      </c>
      <c r="QI3" s="18" t="str">
        <f>IF(PI4&gt;0,QI4/PI4,"")</f>
        <v/>
      </c>
      <c r="QJ3" s="18" t="str">
        <f>IF(PI4&gt;0,QJ4/PI4,"")</f>
        <v/>
      </c>
      <c r="QK3" s="18" t="str">
        <f>IF(PI4&gt;0,QK4/PI4,"")</f>
        <v/>
      </c>
      <c r="QL3" s="18" t="str">
        <f>IF(PI4&gt;0,QL4/PI4,"")</f>
        <v/>
      </c>
      <c r="QM3" s="18" t="str">
        <f>IF(PI4&gt;0,QM4/PI4,"")</f>
        <v/>
      </c>
      <c r="QO3" s="18" t="str">
        <f>IF(QN4&gt;0,QO4/QN4,"")</f>
        <v/>
      </c>
      <c r="QP3" s="18" t="str">
        <f>IF(QN4&gt;0,QP4/QN4,"")</f>
        <v/>
      </c>
      <c r="QQ3" s="18" t="str">
        <f>IF(QN4&gt;0,QQ4/QN4,"")</f>
        <v/>
      </c>
      <c r="QR3" s="18" t="str">
        <f>IF(QN4&gt;0,QR4/QN4,"")</f>
        <v/>
      </c>
      <c r="QS3" s="18" t="str">
        <f>IF(QN4&gt;0,QS4/QN4,"")</f>
        <v/>
      </c>
      <c r="QT3" s="18" t="str">
        <f>IF(QN4&gt;0,QT4/QN4,"")</f>
        <v/>
      </c>
      <c r="QU3" s="18" t="str">
        <f>IF(QN4&gt;0,QU4/QN4,"")</f>
        <v/>
      </c>
      <c r="QV3" s="18" t="str">
        <f>IF(QN4&gt;0,QV4/QN4,"")</f>
        <v/>
      </c>
      <c r="QW3" s="18" t="str">
        <f>IF(QN4&gt;0,QW4/QN4,"")</f>
        <v/>
      </c>
      <c r="QX3" s="18" t="str">
        <f>IF(QN4&gt;0,QX4/QN4,"")</f>
        <v/>
      </c>
      <c r="QY3" s="18" t="str">
        <f>IF(QN4&gt;0,QY4/QN4,"")</f>
        <v/>
      </c>
      <c r="QZ3" s="18" t="str">
        <f>IF(QN4&gt;0,QZ4/QN4,"")</f>
        <v/>
      </c>
      <c r="RA3" s="18" t="str">
        <f>IF(QN4&gt;0,RA4/QN4,"")</f>
        <v/>
      </c>
      <c r="RB3" s="18" t="str">
        <f>IF(QN4&gt;0,RB4/QN4,"")</f>
        <v/>
      </c>
      <c r="RC3" s="18" t="str">
        <f>IF(QN4&gt;0,RC4/QN4,"")</f>
        <v/>
      </c>
      <c r="RD3" s="18" t="str">
        <f>IF(QN4&gt;0,RD4/QN4,"")</f>
        <v/>
      </c>
      <c r="RE3" s="18" t="str">
        <f>IF(QN4&gt;0,RE4/QN4,"")</f>
        <v/>
      </c>
      <c r="RF3" s="18" t="str">
        <f>IF(QN4&gt;0,RF4/QN4,"")</f>
        <v/>
      </c>
      <c r="RG3" s="18" t="str">
        <f>IF(QN4&gt;0,RG4/QN4,"")</f>
        <v/>
      </c>
      <c r="RH3" s="18" t="str">
        <f>IF(QN4&gt;0,RH4/QN4,"")</f>
        <v/>
      </c>
      <c r="RI3" s="18" t="str">
        <f>IF(QN4&gt;0,RI4/QN4,"")</f>
        <v/>
      </c>
      <c r="RJ3" s="18" t="str">
        <f>IF(QN4&gt;0,RJ4/QN4,"")</f>
        <v/>
      </c>
      <c r="RK3" s="18" t="str">
        <f>IF(QN4&gt;0,RK4/QN4,"")</f>
        <v/>
      </c>
      <c r="RL3" s="18" t="str">
        <f>IF(QN4&gt;0,RL4/QN4,"")</f>
        <v/>
      </c>
      <c r="RM3" s="18" t="str">
        <f>IF(QN4&gt;0,RM4/QN4,"")</f>
        <v/>
      </c>
      <c r="RN3" s="18" t="str">
        <f>IF(QN4&gt;0,RN4/QN4,"")</f>
        <v/>
      </c>
      <c r="RO3" s="18" t="str">
        <f>IF(QN4&gt;0,RO4/QN4,"")</f>
        <v/>
      </c>
      <c r="RP3" s="18" t="str">
        <f>IF(QN4&gt;0,RP4/QN4,"")</f>
        <v/>
      </c>
      <c r="RQ3" s="18" t="str">
        <f>IF(QN4&gt;0,RQ4/QN4,"")</f>
        <v/>
      </c>
      <c r="RR3" s="18" t="str">
        <f>IF(QN4&gt;0,RR4/QN4,"")</f>
        <v/>
      </c>
      <c r="RT3" s="18" t="str">
        <f>IF(RS4&gt;0,RT4/RS4,"")</f>
        <v/>
      </c>
      <c r="RU3" s="18" t="str">
        <f>IF(RS4&gt;0,RU4/RS4,"")</f>
        <v/>
      </c>
      <c r="RV3" s="18" t="str">
        <f>IF(RS4&gt;0,RV4/RS4,"")</f>
        <v/>
      </c>
      <c r="RW3" s="18" t="str">
        <f>IF(RS4&gt;0,RW4/RS4,"")</f>
        <v/>
      </c>
      <c r="RX3" s="18" t="str">
        <f>IF(RS4&gt;0,RX4/RS4,"")</f>
        <v/>
      </c>
      <c r="RY3" s="18" t="str">
        <f>IF(RS4&gt;0,RY4/RS4,"")</f>
        <v/>
      </c>
      <c r="RZ3" s="18" t="str">
        <f>IF(RS4&gt;0,RZ4/RS4,"")</f>
        <v/>
      </c>
      <c r="SA3" s="18" t="str">
        <f>IF(RS4&gt;0,SA4/RS4,"")</f>
        <v/>
      </c>
      <c r="SB3" s="18" t="str">
        <f>IF(RS4&gt;0,SB4/RS4,"")</f>
        <v/>
      </c>
      <c r="SC3" s="18" t="str">
        <f>IF(RS4&gt;0,SC4/RS4,"")</f>
        <v/>
      </c>
      <c r="SD3" s="18" t="str">
        <f>IF(RS4&gt;0,SD4/RS4,"")</f>
        <v/>
      </c>
      <c r="SE3" s="18" t="str">
        <f>IF(RS4&gt;0,SE4/RS4,"")</f>
        <v/>
      </c>
      <c r="SF3" s="18" t="str">
        <f>IF(RS4&gt;0,SF4/RS4,"")</f>
        <v/>
      </c>
      <c r="SG3" s="18" t="str">
        <f>IF(RS4&gt;0,SG4/RS4,"")</f>
        <v/>
      </c>
      <c r="SH3" s="18" t="str">
        <f>IF(RS4&gt;0,SH4/RS4,"")</f>
        <v/>
      </c>
      <c r="SI3" s="18" t="str">
        <f>IF(RS4&gt;0,SI4/RS4,"")</f>
        <v/>
      </c>
      <c r="SJ3" s="18" t="str">
        <f>IF(RS4&gt;0,SJ4/RS4,"")</f>
        <v/>
      </c>
      <c r="SK3" s="18" t="str">
        <f>IF(RS4&gt;0,SK4/RS4,"")</f>
        <v/>
      </c>
      <c r="SL3" s="18" t="str">
        <f>IF(RS4&gt;0,SL4/RS4,"")</f>
        <v/>
      </c>
      <c r="SM3" s="18" t="str">
        <f>IF(RS4&gt;0,SM4/RS4,"")</f>
        <v/>
      </c>
      <c r="SN3" s="18" t="str">
        <f>IF(RS4&gt;0,SN4/RS4,"")</f>
        <v/>
      </c>
      <c r="SO3" s="18" t="str">
        <f>IF(RS4&gt;0,SO4/RS4,"")</f>
        <v/>
      </c>
      <c r="SP3" s="18" t="str">
        <f>IF(RS4&gt;0,SP4/RS4,"")</f>
        <v/>
      </c>
      <c r="SQ3" s="18" t="str">
        <f>IF(RS4&gt;0,SQ4/RS4,"")</f>
        <v/>
      </c>
      <c r="SR3" s="18" t="str">
        <f>IF(RS4&gt;0,SR4/RS4,"")</f>
        <v/>
      </c>
      <c r="SS3" s="18" t="str">
        <f>IF(RS4&gt;0,SS4/RS4,"")</f>
        <v/>
      </c>
      <c r="ST3" s="18" t="str">
        <f>IF(RS4&gt;0,ST4/RS4,"")</f>
        <v/>
      </c>
      <c r="SU3" s="18" t="str">
        <f>IF(RS4&gt;0,SU4/RS4,"")</f>
        <v/>
      </c>
      <c r="SV3" s="18" t="str">
        <f>IF(RS4&gt;0,SV4/RS4,"")</f>
        <v/>
      </c>
      <c r="SW3" s="18" t="str">
        <f>IF(RS4&gt;0,SW4/RS4,"")</f>
        <v/>
      </c>
      <c r="SY3" s="18" t="str">
        <f>IF(SX4&gt;0,SY4/SX4,"")</f>
        <v/>
      </c>
      <c r="SZ3" s="18" t="str">
        <f>IF(SX4&gt;0,SZ4/SX4,"")</f>
        <v/>
      </c>
      <c r="TA3" s="18" t="str">
        <f>IF(SX4&gt;0,TA4/SX4,"")</f>
        <v/>
      </c>
      <c r="TB3" s="18" t="str">
        <f>IF(SX4&gt;0,TB4/SX4,"")</f>
        <v/>
      </c>
      <c r="TC3" s="18" t="str">
        <f>IF(SX4&gt;0,TC4/SX4,"")</f>
        <v/>
      </c>
      <c r="TD3" s="18" t="str">
        <f>IF(SX4&gt;0,TD4/SX4,"")</f>
        <v/>
      </c>
      <c r="TE3" s="18" t="str">
        <f>IF(SX4&gt;0,TE4/SX4,"")</f>
        <v/>
      </c>
      <c r="TF3" s="18" t="str">
        <f>IF(SX4&gt;0,TF4/SX4,"")</f>
        <v/>
      </c>
      <c r="TG3" s="18" t="str">
        <f>IF(SX4&gt;0,TG4/SX4,"")</f>
        <v/>
      </c>
      <c r="TH3" s="18" t="str">
        <f>IF(SX4&gt;0,TH4/SX4,"")</f>
        <v/>
      </c>
      <c r="TI3" s="18" t="str">
        <f>IF(SX4&gt;0,TI4/SX4,"")</f>
        <v/>
      </c>
      <c r="TJ3" s="18" t="str">
        <f>IF(SX4&gt;0,TJ4/SX4,"")</f>
        <v/>
      </c>
      <c r="TK3" s="18" t="str">
        <f>IF(SX4&gt;0,TK4/SX4,"")</f>
        <v/>
      </c>
      <c r="TL3" s="18" t="str">
        <f>IF(SX4&gt;0,TL4/SX4,"")</f>
        <v/>
      </c>
      <c r="TM3" s="18" t="str">
        <f>IF(SX4&gt;0,TM4/SX4,"")</f>
        <v/>
      </c>
      <c r="TN3" s="18" t="str">
        <f>IF(SX4&gt;0,TN4/SX4,"")</f>
        <v/>
      </c>
      <c r="TO3" s="18" t="str">
        <f>IF(SX4&gt;0,TO4/SX4,"")</f>
        <v/>
      </c>
      <c r="TP3" s="18" t="str">
        <f>IF(SX4&gt;0,TP4/SX4,"")</f>
        <v/>
      </c>
      <c r="TQ3" s="18" t="str">
        <f>IF(SX4&gt;0,TQ4/SX4,"")</f>
        <v/>
      </c>
      <c r="TR3" s="18" t="str">
        <f>IF(SX4&gt;0,TR4/SX4,"")</f>
        <v/>
      </c>
      <c r="TS3" s="18" t="str">
        <f>IF(SX4&gt;0,TS4/SX4,"")</f>
        <v/>
      </c>
      <c r="TT3" s="18" t="str">
        <f>IF(SX4&gt;0,TT4/SX4,"")</f>
        <v/>
      </c>
      <c r="TU3" s="18" t="str">
        <f>IF(SX4&gt;0,TU4/SX4,"")</f>
        <v/>
      </c>
      <c r="TV3" s="18" t="str">
        <f>IF(SX4&gt;0,TV4/SX4,"")</f>
        <v/>
      </c>
      <c r="TW3" s="18" t="str">
        <f>IF(SX4&gt;0,TW4/SX4,"")</f>
        <v/>
      </c>
      <c r="TX3" s="18" t="str">
        <f>IF(SX4&gt;0,TX4/SX4,"")</f>
        <v/>
      </c>
      <c r="TY3" s="18" t="str">
        <f>IF(SX4&gt;0,TY4/SX4,"")</f>
        <v/>
      </c>
      <c r="TZ3" s="18" t="str">
        <f>IF(SX4&gt;0,TZ4/SX4,"")</f>
        <v/>
      </c>
      <c r="UA3" s="18" t="str">
        <f>IF(SX4&gt;0,UA4/SX4,"")</f>
        <v/>
      </c>
      <c r="UB3" s="18" t="str">
        <f>IF(SX4&gt;0,UB4/SX4,"")</f>
        <v/>
      </c>
      <c r="UD3" s="18" t="str">
        <f>IF(UC4&gt;0,UD4/UC4,"")</f>
        <v/>
      </c>
      <c r="UE3" s="18" t="str">
        <f>IF(UC4&gt;0,UE4/UC4,"")</f>
        <v/>
      </c>
      <c r="UF3" s="18" t="str">
        <f>IF(UC4&gt;0,UF4/UC4,"")</f>
        <v/>
      </c>
      <c r="UG3" s="18" t="str">
        <f>IF(UC4&gt;0,UG4/UC4,"")</f>
        <v/>
      </c>
      <c r="UH3" s="18" t="str">
        <f>IF(UC4&gt;0,UH4/UC4,"")</f>
        <v/>
      </c>
      <c r="UI3" s="18" t="str">
        <f>IF(UC4&gt;0,UI4/UC4,"")</f>
        <v/>
      </c>
      <c r="UJ3" s="18" t="str">
        <f>IF(UC4&gt;0,UJ4/UC4,"")</f>
        <v/>
      </c>
      <c r="UK3" s="18" t="str">
        <f>IF(UC4&gt;0,UK4/UC4,"")</f>
        <v/>
      </c>
      <c r="UL3" s="18" t="str">
        <f>IF(UC4&gt;0,UL4/UC4,"")</f>
        <v/>
      </c>
      <c r="UM3" s="18" t="str">
        <f>IF(UC4&gt;0,UM4/UC4,"")</f>
        <v/>
      </c>
      <c r="UN3" s="18" t="str">
        <f>IF(UC4&gt;0,UN4/UC4,"")</f>
        <v/>
      </c>
      <c r="UO3" s="18" t="str">
        <f>IF(UC4&gt;0,UO4/UC4,"")</f>
        <v/>
      </c>
      <c r="UP3" s="18" t="str">
        <f>IF(UC4&gt;0,UP4/UC4,"")</f>
        <v/>
      </c>
      <c r="UQ3" s="18" t="str">
        <f>IF(UC4&gt;0,UQ4/UC4,"")</f>
        <v/>
      </c>
      <c r="UR3" s="18" t="str">
        <f>IF(UC4&gt;0,UR4/UC4,"")</f>
        <v/>
      </c>
      <c r="US3" s="18" t="str">
        <f>IF(UC4&gt;0,US4/UC4,"")</f>
        <v/>
      </c>
      <c r="UT3" s="18" t="str">
        <f>IF(UC4&gt;0,UT4/UC4,"")</f>
        <v/>
      </c>
      <c r="UU3" s="18" t="str">
        <f>IF(UC4&gt;0,UU4/UC4,"")</f>
        <v/>
      </c>
      <c r="UV3" s="18" t="str">
        <f>IF(UC4&gt;0,UV4/UC4,"")</f>
        <v/>
      </c>
      <c r="UW3" s="18" t="str">
        <f>IF(UC4&gt;0,UW4/UC4,"")</f>
        <v/>
      </c>
      <c r="UX3" s="18" t="str">
        <f>IF(UC4&gt;0,UX4/UC4,"")</f>
        <v/>
      </c>
      <c r="UY3" s="18" t="str">
        <f>IF(UC4&gt;0,UY4/UC4,"")</f>
        <v/>
      </c>
      <c r="UZ3" s="18" t="str">
        <f>IF(UC4&gt;0,UZ4/UC4,"")</f>
        <v/>
      </c>
      <c r="VA3" s="18" t="str">
        <f>IF(UC4&gt;0,VA4/UC4,"")</f>
        <v/>
      </c>
      <c r="VB3" s="18" t="str">
        <f>IF(UC4&gt;0,VB4/UC4,"")</f>
        <v/>
      </c>
      <c r="VC3" s="18" t="str">
        <f>IF(UC4&gt;0,VC4/UC4,"")</f>
        <v/>
      </c>
      <c r="VD3" s="18" t="str">
        <f>IF(UC4&gt;0,VD4/UC4,"")</f>
        <v/>
      </c>
      <c r="VE3" s="18" t="str">
        <f>IF(UC4&gt;0,VE4/UC4,"")</f>
        <v/>
      </c>
      <c r="VF3" s="18" t="str">
        <f>IF(UC4&gt;0,VF4/UC4,"")</f>
        <v/>
      </c>
      <c r="VG3" s="18" t="str">
        <f>IF(UC4&gt;0,VG4/UC4,"")</f>
        <v/>
      </c>
      <c r="VI3" s="18" t="str">
        <f>IF(VH4&gt;0,VI4/VH4,"")</f>
        <v/>
      </c>
      <c r="VJ3" s="18" t="str">
        <f>IF(VH4&gt;0,VJ4/VH4,"")</f>
        <v/>
      </c>
      <c r="VK3" s="18" t="str">
        <f>IF(VH4&gt;0,VK4/VH4,"")</f>
        <v/>
      </c>
      <c r="VL3" s="18" t="str">
        <f>IF(VH4&gt;0,VL4/VH4,"")</f>
        <v/>
      </c>
      <c r="VM3" s="18" t="str">
        <f>IF(VH4&gt;0,VM4/VH4,"")</f>
        <v/>
      </c>
      <c r="VN3" s="18" t="str">
        <f>IF(VH4&gt;0,VN4/VH4,"")</f>
        <v/>
      </c>
      <c r="VO3" s="18" t="str">
        <f>IF(VH4&gt;0,VO4/VH4,"")</f>
        <v/>
      </c>
      <c r="VP3" s="18" t="str">
        <f>IF(VH4&gt;0,VP4/VH4,"")</f>
        <v/>
      </c>
      <c r="VQ3" s="18" t="str">
        <f>IF(VH4&gt;0,VQ4/VH4,"")</f>
        <v/>
      </c>
      <c r="VR3" s="18" t="str">
        <f>IF(VH4&gt;0,VR4/VH4,"")</f>
        <v/>
      </c>
      <c r="VS3" s="18" t="str">
        <f>IF(VH4&gt;0,VS4/VH4,"")</f>
        <v/>
      </c>
      <c r="VT3" s="18" t="str">
        <f>IF(VH4&gt;0,VT4/VH4,"")</f>
        <v/>
      </c>
      <c r="VU3" s="18" t="str">
        <f>IF(VH4&gt;0,VU4/VH4,"")</f>
        <v/>
      </c>
      <c r="VV3" s="18" t="str">
        <f>IF(VH4&gt;0,VV4/VH4,"")</f>
        <v/>
      </c>
      <c r="VW3" s="18" t="str">
        <f>IF(VH4&gt;0,VW4/VH4,"")</f>
        <v/>
      </c>
      <c r="VX3" s="18" t="str">
        <f>IF(VH4&gt;0,VX4/VH4,"")</f>
        <v/>
      </c>
      <c r="VY3" s="18" t="str">
        <f>IF(VH4&gt;0,VY4/VH4,"")</f>
        <v/>
      </c>
      <c r="VZ3" s="18" t="str">
        <f>IF(VH4&gt;0,VZ4/VH4,"")</f>
        <v/>
      </c>
      <c r="WA3" s="18" t="str">
        <f>IF(VH4&gt;0,WA4/VH4,"")</f>
        <v/>
      </c>
      <c r="WB3" s="18" t="str">
        <f>IF(VH4&gt;0,WB4/VH4,"")</f>
        <v/>
      </c>
      <c r="WC3" s="18" t="str">
        <f>IF(VH4&gt;0,WC4/VH4,"")</f>
        <v/>
      </c>
      <c r="WD3" s="18" t="str">
        <f>IF(VH4&gt;0,WD4/VH4,"")</f>
        <v/>
      </c>
      <c r="WE3" s="18" t="str">
        <f>IF(VH4&gt;0,WE4/VH4,"")</f>
        <v/>
      </c>
      <c r="WF3" s="18" t="str">
        <f>IF(VH4&gt;0,WF4/VH4,"")</f>
        <v/>
      </c>
      <c r="WG3" s="18" t="str">
        <f>IF(VH4&gt;0,WG4/VH4,"")</f>
        <v/>
      </c>
      <c r="WH3" s="18" t="str">
        <f>IF(VH4&gt;0,WH4/VH4,"")</f>
        <v/>
      </c>
      <c r="WI3" s="18" t="str">
        <f>IF(VH4&gt;0,WI4/VH4,"")</f>
        <v/>
      </c>
      <c r="WJ3" s="18" t="str">
        <f>IF(VH4&gt;0,WJ4/VH4,"")</f>
        <v/>
      </c>
      <c r="WK3" s="18" t="str">
        <f>IF(VH4&gt;0,WK4/VH4,"")</f>
        <v/>
      </c>
      <c r="WL3" s="18" t="str">
        <f>IF(VH4&gt;0,WL4/VH4,"")</f>
        <v/>
      </c>
      <c r="WN3" s="18" t="str">
        <f>IF(WM4&gt;0,WN4/WM4,"")</f>
        <v/>
      </c>
      <c r="WO3" s="18" t="str">
        <f>IF(WM4&gt;0,WO4/WM4,"")</f>
        <v/>
      </c>
      <c r="WP3" s="18" t="str">
        <f>IF(WM4&gt;0,WP4/WM4,"")</f>
        <v/>
      </c>
      <c r="WQ3" s="18" t="str">
        <f>IF(WM4&gt;0,WQ4/WM4,"")</f>
        <v/>
      </c>
      <c r="WR3" s="18" t="str">
        <f>IF(WM4&gt;0,WR4/WM4,"")</f>
        <v/>
      </c>
      <c r="WS3" s="18" t="str">
        <f>IF(WM4&gt;0,WS4/WM4,"")</f>
        <v/>
      </c>
      <c r="WT3" s="18" t="str">
        <f>IF(WM4&gt;0,WT4/WM4,"")</f>
        <v/>
      </c>
      <c r="WU3" s="18" t="str">
        <f>IF(WM4&gt;0,WU4/WM4,"")</f>
        <v/>
      </c>
      <c r="WV3" s="18" t="str">
        <f>IF(WM4&gt;0,WV4/WM4,"")</f>
        <v/>
      </c>
      <c r="WW3" s="18" t="str">
        <f>IF(WM4&gt;0,WW4/WM4,"")</f>
        <v/>
      </c>
      <c r="WX3" s="18" t="str">
        <f>IF(WM4&gt;0,WX4/WM4,"")</f>
        <v/>
      </c>
      <c r="WY3" s="18" t="str">
        <f>IF(WM4&gt;0,WY4/WM4,"")</f>
        <v/>
      </c>
      <c r="WZ3" s="18" t="str">
        <f>IF(WM4&gt;0,WZ4/WM4,"")</f>
        <v/>
      </c>
      <c r="XA3" s="18" t="str">
        <f>IF(WM4&gt;0,XA4/WM4,"")</f>
        <v/>
      </c>
      <c r="XB3" s="18" t="str">
        <f>IF(WM4&gt;0,XB4/WM4,"")</f>
        <v/>
      </c>
      <c r="XC3" s="18" t="str">
        <f>IF(WM4&gt;0,XC4/WM4,"")</f>
        <v/>
      </c>
      <c r="XD3" s="18" t="str">
        <f>IF(WM4&gt;0,XD4/WM4,"")</f>
        <v/>
      </c>
      <c r="XE3" s="18" t="str">
        <f>IF(WM4&gt;0,XE4/WM4,"")</f>
        <v/>
      </c>
      <c r="XF3" s="18" t="str">
        <f>IF(WM4&gt;0,XF4/WM4,"")</f>
        <v/>
      </c>
      <c r="XG3" s="18" t="str">
        <f>IF(WM4&gt;0,XG4/WM4,"")</f>
        <v/>
      </c>
      <c r="XH3" s="18" t="str">
        <f>IF(WM4&gt;0,XH4/WM4,"")</f>
        <v/>
      </c>
      <c r="XI3" s="18" t="str">
        <f>IF(WM4&gt;0,XI4/WM4,"")</f>
        <v/>
      </c>
      <c r="XJ3" s="18" t="str">
        <f>IF(WM4&gt;0,XJ4/WM4,"")</f>
        <v/>
      </c>
      <c r="XK3" s="18" t="str">
        <f>IF(WM4&gt;0,XK4/WM4,"")</f>
        <v/>
      </c>
      <c r="XL3" s="18" t="str">
        <f>IF(WM4&gt;0,XL4/WM4,"")</f>
        <v/>
      </c>
      <c r="XM3" s="18" t="str">
        <f>IF(WM4&gt;0,XM4/WM4,"")</f>
        <v/>
      </c>
      <c r="XN3" s="18" t="str">
        <f>IF(WM4&gt;0,XN4/WM4,"")</f>
        <v/>
      </c>
      <c r="XO3" s="18" t="str">
        <f>IF(WM4&gt;0,XO4/WM4,"")</f>
        <v/>
      </c>
      <c r="XP3" s="18" t="str">
        <f>IF(WM4&gt;0,XP4/WM4,"")</f>
        <v/>
      </c>
      <c r="XQ3" s="18" t="str">
        <f>IF(WM4&gt;0,XQ4/WM4,"")</f>
        <v/>
      </c>
      <c r="XS3" s="18" t="str">
        <f>IF(XR4&gt;0,XS4/XR4,"")</f>
        <v/>
      </c>
      <c r="XT3" s="18" t="str">
        <f>IF(XR4&gt;0,XT4/XR4,"")</f>
        <v/>
      </c>
      <c r="XU3" s="18" t="str">
        <f>IF(XR4&gt;0,XU4/XR4,"")</f>
        <v/>
      </c>
      <c r="XV3" s="18" t="str">
        <f>IF(XR4&gt;0,XV4/XR4,"")</f>
        <v/>
      </c>
      <c r="XW3" s="18" t="str">
        <f>IF(XR4&gt;0,XW4/XR4,"")</f>
        <v/>
      </c>
      <c r="XX3" s="18" t="str">
        <f>IF(XR4&gt;0,XX4/XR4,"")</f>
        <v/>
      </c>
      <c r="XY3" s="18" t="str">
        <f>IF(XR4&gt;0,XY4/XR4,"")</f>
        <v/>
      </c>
      <c r="XZ3" s="18" t="str">
        <f>IF(XR4&gt;0,XZ4/XR4,"")</f>
        <v/>
      </c>
      <c r="YA3" s="18" t="str">
        <f>IF(XR4&gt;0,YA4/XR4,"")</f>
        <v/>
      </c>
      <c r="YB3" s="18" t="str">
        <f>IF(XR4&gt;0,YB4/XR4,"")</f>
        <v/>
      </c>
      <c r="YC3" s="18" t="str">
        <f>IF(XR4&gt;0,YC4/XR4,"")</f>
        <v/>
      </c>
      <c r="YD3" s="18" t="str">
        <f>IF(XR4&gt;0,YD4/XR4,"")</f>
        <v/>
      </c>
      <c r="YE3" s="18" t="str">
        <f>IF(XR4&gt;0,YE4/XR4,"")</f>
        <v/>
      </c>
      <c r="YF3" s="18" t="str">
        <f>IF(XR4&gt;0,YF4/XR4,"")</f>
        <v/>
      </c>
      <c r="YG3" s="18" t="str">
        <f>IF(XR4&gt;0,YG4/XR4,"")</f>
        <v/>
      </c>
      <c r="YH3" s="18" t="str">
        <f>IF(XR4&gt;0,YH4/XR4,"")</f>
        <v/>
      </c>
      <c r="YI3" s="18" t="str">
        <f>IF(XR4&gt;0,YI4/XR4,"")</f>
        <v/>
      </c>
      <c r="YJ3" s="18" t="str">
        <f>IF(XR4&gt;0,YJ4/XR4,"")</f>
        <v/>
      </c>
      <c r="YK3" s="18" t="str">
        <f>IF(XR4&gt;0,YK4/XR4,"")</f>
        <v/>
      </c>
      <c r="YL3" s="18" t="str">
        <f>IF(XR4&gt;0,YL4/XR4,"")</f>
        <v/>
      </c>
      <c r="YM3" s="18" t="str">
        <f>IF(XR4&gt;0,YM4/XR4,"")</f>
        <v/>
      </c>
      <c r="YN3" s="18" t="str">
        <f>IF(XR4&gt;0,YN4/XR4,"")</f>
        <v/>
      </c>
      <c r="YO3" s="18" t="str">
        <f>IF(XR4&gt;0,YO4/XR4,"")</f>
        <v/>
      </c>
      <c r="YP3" s="18" t="str">
        <f>IF(XR4&gt;0,YP4/XR4,"")</f>
        <v/>
      </c>
      <c r="YQ3" s="18" t="str">
        <f>IF(XR4&gt;0,YQ4/XR4,"")</f>
        <v/>
      </c>
      <c r="YR3" s="18" t="str">
        <f>IF(XR4&gt;0,YR4/XR4,"")</f>
        <v/>
      </c>
      <c r="YS3" s="18" t="str">
        <f>IF(XR4&gt;0,YS4/XR4,"")</f>
        <v/>
      </c>
      <c r="YT3" s="18" t="str">
        <f>IF(XR4&gt;0,YT4/XR4,"")</f>
        <v/>
      </c>
      <c r="YU3" s="18" t="str">
        <f>IF(XR4&gt;0,YU4/XR4,"")</f>
        <v/>
      </c>
      <c r="YV3" s="18" t="str">
        <f>IF(XR4&gt;0,YV4/XR4,"")</f>
        <v/>
      </c>
      <c r="YX3" s="18" t="str">
        <f>IF(YW4&gt;0,YX4/YW4,"")</f>
        <v/>
      </c>
      <c r="YY3" s="18" t="str">
        <f>IF(YW4&gt;0,YY4/YW4,"")</f>
        <v/>
      </c>
      <c r="YZ3" s="18" t="str">
        <f>IF(YW4&gt;0,YZ4/YW4,"")</f>
        <v/>
      </c>
      <c r="ZA3" s="18" t="str">
        <f>IF(YW4&gt;0,ZA4/YW4,"")</f>
        <v/>
      </c>
      <c r="ZB3" s="18" t="str">
        <f>IF(YW4&gt;0,ZB4/YW4,"")</f>
        <v/>
      </c>
      <c r="ZC3" s="18" t="str">
        <f>IF(YW4&gt;0,ZC4/YW4,"")</f>
        <v/>
      </c>
      <c r="ZD3" s="18" t="str">
        <f>IF(YW4&gt;0,ZD4/YW4,"")</f>
        <v/>
      </c>
      <c r="ZE3" s="18" t="str">
        <f>IF(YW4&gt;0,ZE4/YW4,"")</f>
        <v/>
      </c>
      <c r="ZF3" s="18" t="str">
        <f>IF(YW4&gt;0,ZF4/YW4,"")</f>
        <v/>
      </c>
      <c r="ZG3" s="18" t="str">
        <f>IF(YW4&gt;0,ZG4/YW4,"")</f>
        <v/>
      </c>
      <c r="ZH3" s="18" t="str">
        <f>IF(YW4&gt;0,ZH4/YW4,"")</f>
        <v/>
      </c>
      <c r="ZI3" s="18" t="str">
        <f>IF(YW4&gt;0,ZI4/YW4,"")</f>
        <v/>
      </c>
      <c r="ZJ3" s="18" t="str">
        <f>IF(YW4&gt;0,ZJ4/YW4,"")</f>
        <v/>
      </c>
      <c r="ZK3" s="18" t="str">
        <f>IF(YW4&gt;0,ZK4/YW4,"")</f>
        <v/>
      </c>
      <c r="ZL3" s="18" t="str">
        <f>IF(YW4&gt;0,ZL4/YW4,"")</f>
        <v/>
      </c>
      <c r="ZM3" s="18" t="str">
        <f>IF(YW4&gt;0,ZM4/YW4,"")</f>
        <v/>
      </c>
      <c r="ZN3" s="18" t="str">
        <f>IF(YW4&gt;0,ZN4/YW4,"")</f>
        <v/>
      </c>
      <c r="ZO3" s="18" t="str">
        <f>IF(YW4&gt;0,ZO4/YW4,"")</f>
        <v/>
      </c>
      <c r="ZP3" s="18" t="str">
        <f>IF(YW4&gt;0,ZP4/YW4,"")</f>
        <v/>
      </c>
      <c r="ZQ3" s="18" t="str">
        <f>IF(YW4&gt;0,ZQ4/YW4,"")</f>
        <v/>
      </c>
      <c r="ZR3" s="18" t="str">
        <f>IF(YW4&gt;0,ZR4/YW4,"")</f>
        <v/>
      </c>
      <c r="ZS3" s="18" t="str">
        <f>IF(YW4&gt;0,ZS4/YW4,"")</f>
        <v/>
      </c>
      <c r="ZT3" s="18" t="str">
        <f>IF(YW4&gt;0,ZT4/YW4,"")</f>
        <v/>
      </c>
      <c r="ZU3" s="18" t="str">
        <f>IF(YW4&gt;0,ZU4/YW4,"")</f>
        <v/>
      </c>
      <c r="ZV3" s="18" t="str">
        <f>IF(YW4&gt;0,ZV4/YW4,"")</f>
        <v/>
      </c>
      <c r="ZW3" s="18" t="str">
        <f>IF(YW4&gt;0,ZW4/YW4,"")</f>
        <v/>
      </c>
      <c r="ZX3" s="18" t="str">
        <f>IF(YW4&gt;0,ZX4/YW4,"")</f>
        <v/>
      </c>
      <c r="ZY3" s="18" t="str">
        <f>IF(YW4&gt;0,ZY4/YW4,"")</f>
        <v/>
      </c>
      <c r="ZZ3" s="18" t="str">
        <f>IF(YW4&gt;0,ZZ4/YW4,"")</f>
        <v/>
      </c>
      <c r="AAA3" s="18" t="str">
        <f>IF(YW4&gt;0,AAA4/YW4,"")</f>
        <v/>
      </c>
      <c r="AAC3" s="18" t="str">
        <f>IF(AAB4&gt;0,AAC4/AAB4,"")</f>
        <v/>
      </c>
      <c r="AAD3" s="18" t="str">
        <f>IF(AAB4&gt;0,AAD4/AAB4,"")</f>
        <v/>
      </c>
      <c r="AAE3" s="18" t="str">
        <f>IF(AAB4&gt;0,AAE4/AAB4,"")</f>
        <v/>
      </c>
      <c r="AAF3" s="18" t="str">
        <f>IF(AAB4&gt;0,AAF4/AAB4,"")</f>
        <v/>
      </c>
      <c r="AAG3" s="18" t="str">
        <f>IF(AAB4&gt;0,AAG4/AAB4,"")</f>
        <v/>
      </c>
      <c r="AAH3" s="18" t="str">
        <f>IF(AAB4&gt;0,AAH4/AAB4,"")</f>
        <v/>
      </c>
      <c r="AAI3" s="18" t="str">
        <f>IF(AAB4&gt;0,AAI4/AAB4,"")</f>
        <v/>
      </c>
      <c r="AAJ3" s="18" t="str">
        <f>IF(AAB4&gt;0,AAJ4/AAB4,"")</f>
        <v/>
      </c>
      <c r="AAK3" s="18" t="str">
        <f>IF(AAB4&gt;0,AAK4/AAB4,"")</f>
        <v/>
      </c>
      <c r="AAL3" s="18" t="str">
        <f>IF(AAB4&gt;0,AAL4/AAB4,"")</f>
        <v/>
      </c>
      <c r="AAM3" s="18" t="str">
        <f>IF(AAB4&gt;0,AAM4/AAB4,"")</f>
        <v/>
      </c>
      <c r="AAN3" s="18" t="str">
        <f>IF(AAB4&gt;0,AAN4/AAB4,"")</f>
        <v/>
      </c>
      <c r="AAO3" s="18" t="str">
        <f>IF(AAB4&gt;0,AAO4/AAB4,"")</f>
        <v/>
      </c>
      <c r="AAP3" s="18" t="str">
        <f>IF(AAB4&gt;0,AAP4/AAB4,"")</f>
        <v/>
      </c>
      <c r="AAQ3" s="18" t="str">
        <f>IF(AAB4&gt;0,AAQ4/AAB4,"")</f>
        <v/>
      </c>
      <c r="AAR3" s="18" t="str">
        <f>IF(AAB4&gt;0,AAR4/AAB4,"")</f>
        <v/>
      </c>
      <c r="AAS3" s="18" t="str">
        <f>IF(AAB4&gt;0,AAS4/AAB4,"")</f>
        <v/>
      </c>
      <c r="AAT3" s="18" t="str">
        <f>IF(AAB4&gt;0,AAT4/AAB4,"")</f>
        <v/>
      </c>
      <c r="AAU3" s="18" t="str">
        <f>IF(AAB4&gt;0,AAU4/AAB4,"")</f>
        <v/>
      </c>
      <c r="AAV3" s="18" t="str">
        <f>IF(AAB4&gt;0,AAV4/AAB4,"")</f>
        <v/>
      </c>
      <c r="AAW3" s="18" t="str">
        <f>IF(AAB4&gt;0,AAW4/AAB4,"")</f>
        <v/>
      </c>
      <c r="AAX3" s="18" t="str">
        <f>IF(AAB4&gt;0,AAX4/AAB4,"")</f>
        <v/>
      </c>
      <c r="AAY3" s="18" t="str">
        <f>IF(AAB4&gt;0,AAY4/AAB4,"")</f>
        <v/>
      </c>
      <c r="AAZ3" s="18" t="str">
        <f>IF(AAB4&gt;0,AAZ4/AAB4,"")</f>
        <v/>
      </c>
      <c r="ABA3" s="18" t="str">
        <f>IF(AAB4&gt;0,ABA4/AAB4,"")</f>
        <v/>
      </c>
      <c r="ABB3" s="18" t="str">
        <f>IF(AAB4&gt;0,ABB4/AAB4,"")</f>
        <v/>
      </c>
      <c r="ABC3" s="18" t="str">
        <f>IF(AAB4&gt;0,ABC4/AAB4,"")</f>
        <v/>
      </c>
      <c r="ABD3" s="18" t="str">
        <f>IF(AAB4&gt;0,ABD4/AAB4,"")</f>
        <v/>
      </c>
      <c r="ABE3" s="18" t="str">
        <f>IF(AAB4&gt;0,ABE4/AAB4,"")</f>
        <v/>
      </c>
      <c r="ABF3" s="18" t="str">
        <f>IF(AAB4&gt;0,ABF4/AAB4,"")</f>
        <v/>
      </c>
      <c r="ABH3" s="18" t="str">
        <f>IF(ABG4&gt;0,ABH4/ABG4,"")</f>
        <v/>
      </c>
      <c r="ABI3" s="18" t="str">
        <f>IF(ABG4&gt;0,ABI4/ABG4,"")</f>
        <v/>
      </c>
      <c r="ABJ3" s="18" t="str">
        <f>IF(ABG4&gt;0,ABJ4/ABG4,"")</f>
        <v/>
      </c>
      <c r="ABK3" s="18" t="str">
        <f>IF(ABG4&gt;0,ABK4/ABG4,"")</f>
        <v/>
      </c>
      <c r="ABL3" s="18" t="str">
        <f>IF(ABG4&gt;0,ABL4/ABG4,"")</f>
        <v/>
      </c>
      <c r="ABM3" s="18" t="str">
        <f>IF(ABG4&gt;0,ABM4/ABG4,"")</f>
        <v/>
      </c>
      <c r="ABN3" s="18" t="str">
        <f>IF(ABG4&gt;0,ABN4/ABG4,"")</f>
        <v/>
      </c>
      <c r="ABO3" s="18" t="str">
        <f>IF(ABG4&gt;0,ABO4/ABG4,"")</f>
        <v/>
      </c>
      <c r="ABP3" s="18" t="str">
        <f>IF(ABG4&gt;0,ABP4/ABG4,"")</f>
        <v/>
      </c>
      <c r="ABQ3" s="18" t="str">
        <f>IF(ABG4&gt;0,ABQ4/ABG4,"")</f>
        <v/>
      </c>
      <c r="ABR3" s="18" t="str">
        <f>IF(ABG4&gt;0,ABR4/ABG4,"")</f>
        <v/>
      </c>
      <c r="ABS3" s="18" t="str">
        <f>IF(ABG4&gt;0,ABS4/ABG4,"")</f>
        <v/>
      </c>
      <c r="ABT3" s="18" t="str">
        <f>IF(ABG4&gt;0,ABT4/ABG4,"")</f>
        <v/>
      </c>
      <c r="ABU3" s="18" t="str">
        <f>IF(ABG4&gt;0,ABU4/ABG4,"")</f>
        <v/>
      </c>
      <c r="ABV3" s="18" t="str">
        <f>IF(ABG4&gt;0,ABV4/ABG4,"")</f>
        <v/>
      </c>
      <c r="ABW3" s="18" t="str">
        <f>IF(ABG4&gt;0,ABW4/ABG4,"")</f>
        <v/>
      </c>
      <c r="ABX3" s="18" t="str">
        <f>IF(ABG4&gt;0,ABX4/ABG4,"")</f>
        <v/>
      </c>
      <c r="ABY3" s="18" t="str">
        <f>IF(ABG4&gt;0,ABY4/ABG4,"")</f>
        <v/>
      </c>
      <c r="ABZ3" s="18" t="str">
        <f>IF(ABG4&gt;0,ABZ4/ABG4,"")</f>
        <v/>
      </c>
      <c r="ACA3" s="18" t="str">
        <f>IF(ABG4&gt;0,ACA4/ABG4,"")</f>
        <v/>
      </c>
      <c r="ACB3" s="18" t="str">
        <f>IF(ABG4&gt;0,ACB4/ABG4,"")</f>
        <v/>
      </c>
      <c r="ACC3" s="18" t="str">
        <f>IF(ABG4&gt;0,ACC4/ABG4,"")</f>
        <v/>
      </c>
      <c r="ACD3" s="18" t="str">
        <f>IF(ABG4&gt;0,ACD4/ABG4,"")</f>
        <v/>
      </c>
      <c r="ACE3" s="18" t="str">
        <f>IF(ABG4&gt;0,ACE4/ABG4,"")</f>
        <v/>
      </c>
      <c r="ACF3" s="18" t="str">
        <f>IF(ABG4&gt;0,ACF4/ABG4,"")</f>
        <v/>
      </c>
      <c r="ACG3" s="18" t="str">
        <f>IF(ABG4&gt;0,ACG4/ABG4,"")</f>
        <v/>
      </c>
      <c r="ACH3" s="18" t="str">
        <f>IF(ABG4&gt;0,ACH4/ABG4,"")</f>
        <v/>
      </c>
      <c r="ACI3" s="18" t="str">
        <f>IF(ABG4&gt;0,ACI4/ABG4,"")</f>
        <v/>
      </c>
      <c r="ACJ3" s="18" t="str">
        <f>IF(ABG4&gt;0,ACJ4/ABG4,"")</f>
        <v/>
      </c>
      <c r="ACK3" s="18" t="str">
        <f>IF(ABG4&gt;0,ACK4/ABG4,"")</f>
        <v/>
      </c>
      <c r="ACM3" s="18" t="str">
        <f>IF(ACL4&gt;0,ACM4/ACL4,"")</f>
        <v/>
      </c>
      <c r="ACN3" s="18" t="str">
        <f>IF(ACL4&gt;0,ACN4/ACL4,"")</f>
        <v/>
      </c>
      <c r="ACO3" s="18" t="str">
        <f>IF(ACL4&gt;0,ACO4/ACL4,"")</f>
        <v/>
      </c>
      <c r="ACP3" s="18" t="str">
        <f>IF(ACL4&gt;0,ACP4/ACL4,"")</f>
        <v/>
      </c>
      <c r="ACQ3" s="18" t="str">
        <f>IF(ACL4&gt;0,ACQ4/ACL4,"")</f>
        <v/>
      </c>
      <c r="ACR3" s="18" t="str">
        <f>IF(ACL4&gt;0,ACR4/ACL4,"")</f>
        <v/>
      </c>
      <c r="ACS3" s="18" t="str">
        <f>IF(ACL4&gt;0,ACS4/ACL4,"")</f>
        <v/>
      </c>
      <c r="ACT3" s="18" t="str">
        <f>IF(ACL4&gt;0,ACT4/ACL4,"")</f>
        <v/>
      </c>
      <c r="ACU3" s="18" t="str">
        <f>IF(ACL4&gt;0,ACU4/ACL4,"")</f>
        <v/>
      </c>
      <c r="ACV3" s="18" t="str">
        <f>IF(ACL4&gt;0,ACV4/ACL4,"")</f>
        <v/>
      </c>
      <c r="ACW3" s="18" t="str">
        <f>IF(ACL4&gt;0,ACW4/ACL4,"")</f>
        <v/>
      </c>
      <c r="ACX3" s="18" t="str">
        <f>IF(ACL4&gt;0,ACX4/ACL4,"")</f>
        <v/>
      </c>
      <c r="ACY3" s="18" t="str">
        <f>IF(ACL4&gt;0,ACY4/ACL4,"")</f>
        <v/>
      </c>
      <c r="ACZ3" s="18" t="str">
        <f>IF(ACL4&gt;0,ACZ4/ACL4,"")</f>
        <v/>
      </c>
      <c r="ADA3" s="18" t="str">
        <f>IF(ACL4&gt;0,ADA4/ACL4,"")</f>
        <v/>
      </c>
      <c r="ADB3" s="18" t="str">
        <f>IF(ACL4&gt;0,ADB4/ACL4,"")</f>
        <v/>
      </c>
      <c r="ADC3" s="18" t="str">
        <f>IF(ACL4&gt;0,ADC4/ACL4,"")</f>
        <v/>
      </c>
      <c r="ADD3" s="18" t="str">
        <f>IF(ACL4&gt;0,ADD4/ACL4,"")</f>
        <v/>
      </c>
      <c r="ADE3" s="18" t="str">
        <f>IF(ACL4&gt;0,ADE4/ACL4,"")</f>
        <v/>
      </c>
      <c r="ADF3" s="18" t="str">
        <f>IF(ACL4&gt;0,ADF4/ACL4,"")</f>
        <v/>
      </c>
      <c r="ADG3" s="18" t="str">
        <f>IF(ACL4&gt;0,ADG4/ACL4,"")</f>
        <v/>
      </c>
      <c r="ADH3" s="18" t="str">
        <f>IF(ACL4&gt;0,ADH4/ACL4,"")</f>
        <v/>
      </c>
      <c r="ADI3" s="18" t="str">
        <f>IF(ACL4&gt;0,ADI4/ACL4,"")</f>
        <v/>
      </c>
      <c r="ADJ3" s="18" t="str">
        <f>IF(ACL4&gt;0,ADJ4/ACL4,"")</f>
        <v/>
      </c>
      <c r="ADK3" s="18" t="str">
        <f>IF(ACL4&gt;0,ADK4/ACL4,"")</f>
        <v/>
      </c>
      <c r="ADL3" s="18" t="str">
        <f>IF(ACL4&gt;0,ADL4/ACL4,"")</f>
        <v/>
      </c>
      <c r="ADM3" s="18" t="str">
        <f>IF(ACL4&gt;0,ADM4/ACL4,"")</f>
        <v/>
      </c>
      <c r="ADN3" s="18" t="str">
        <f>IF(ACL4&gt;0,ADN4/ACL4,"")</f>
        <v/>
      </c>
      <c r="ADO3" s="18" t="str">
        <f>IF(ACL4&gt;0,ADO4/ACL4,"")</f>
        <v/>
      </c>
      <c r="ADP3" s="18" t="str">
        <f>IF(ACL4&gt;0,ADP4/ACL4,"")</f>
        <v/>
      </c>
      <c r="ADR3" s="18" t="str">
        <f>IF(ADQ4&gt;0,ADR4/ADQ4,"")</f>
        <v/>
      </c>
      <c r="ADS3" s="18" t="str">
        <f>IF(ADQ4&gt;0,ADS4/ADQ4,"")</f>
        <v/>
      </c>
      <c r="ADT3" s="18" t="str">
        <f>IF(ADQ4&gt;0,ADT4/ADQ4,"")</f>
        <v/>
      </c>
      <c r="ADU3" s="18" t="str">
        <f>IF(ADQ4&gt;0,ADU4/ADQ4,"")</f>
        <v/>
      </c>
      <c r="ADV3" s="18" t="str">
        <f>IF(ADQ4&gt;0,ADV4/ADQ4,"")</f>
        <v/>
      </c>
      <c r="ADW3" s="18" t="str">
        <f>IF(ADQ4&gt;0,ADW4/ADQ4,"")</f>
        <v/>
      </c>
      <c r="ADX3" s="18" t="str">
        <f>IF(ADQ4&gt;0,ADX4/ADQ4,"")</f>
        <v/>
      </c>
      <c r="ADY3" s="18" t="str">
        <f>IF(ADQ4&gt;0,ADY4/ADQ4,"")</f>
        <v/>
      </c>
      <c r="ADZ3" s="18" t="str">
        <f>IF(ADQ4&gt;0,ADZ4/ADQ4,"")</f>
        <v/>
      </c>
      <c r="AEA3" s="18" t="str">
        <f>IF(ADQ4&gt;0,AEA4/ADQ4,"")</f>
        <v/>
      </c>
      <c r="AEB3" s="18" t="str">
        <f>IF(ADQ4&gt;0,AEB4/ADQ4,"")</f>
        <v/>
      </c>
      <c r="AEC3" s="18" t="str">
        <f>IF(ADQ4&gt;0,AEC4/ADQ4,"")</f>
        <v/>
      </c>
      <c r="AED3" s="18" t="str">
        <f>IF(ADQ4&gt;0,AED4/ADQ4,"")</f>
        <v/>
      </c>
      <c r="AEE3" s="18" t="str">
        <f>IF(ADQ4&gt;0,AEE4/ADQ4,"")</f>
        <v/>
      </c>
      <c r="AEF3" s="18" t="str">
        <f>IF(ADQ4&gt;0,AEF4/ADQ4,"")</f>
        <v/>
      </c>
      <c r="AEG3" s="18" t="str">
        <f>IF(ADQ4&gt;0,AEG4/ADQ4,"")</f>
        <v/>
      </c>
      <c r="AEH3" s="18" t="str">
        <f>IF(ADQ4&gt;0,AEH4/ADQ4,"")</f>
        <v/>
      </c>
      <c r="AEI3" s="18" t="str">
        <f>IF(ADQ4&gt;0,AEI4/ADQ4,"")</f>
        <v/>
      </c>
      <c r="AEJ3" s="18" t="str">
        <f>IF(ADQ4&gt;0,AEJ4/ADQ4,"")</f>
        <v/>
      </c>
      <c r="AEK3" s="18" t="str">
        <f>IF(ADQ4&gt;0,AEK4/ADQ4,"")</f>
        <v/>
      </c>
      <c r="AEL3" s="18" t="str">
        <f>IF(ADQ4&gt;0,AEL4/ADQ4,"")</f>
        <v/>
      </c>
      <c r="AEM3" s="18" t="str">
        <f>IF(ADQ4&gt;0,AEM4/ADQ4,"")</f>
        <v/>
      </c>
      <c r="AEN3" s="18" t="str">
        <f>IF(ADQ4&gt;0,AEN4/ADQ4,"")</f>
        <v/>
      </c>
      <c r="AEO3" s="18" t="str">
        <f>IF(ADQ4&gt;0,AEO4/ADQ4,"")</f>
        <v/>
      </c>
      <c r="AEP3" s="18" t="str">
        <f>IF(ADQ4&gt;0,AEP4/ADQ4,"")</f>
        <v/>
      </c>
      <c r="AEQ3" s="18" t="str">
        <f>IF(ADQ4&gt;0,AEQ4/ADQ4,"")</f>
        <v/>
      </c>
      <c r="AER3" s="18" t="str">
        <f>IF(ADQ4&gt;0,AER4/ADQ4,"")</f>
        <v/>
      </c>
      <c r="AES3" s="18" t="str">
        <f>IF(ADQ4&gt;0,AES4/ADQ4,"")</f>
        <v/>
      </c>
      <c r="AET3" s="18" t="str">
        <f>IF(ADQ4&gt;0,AET4/ADQ4,"")</f>
        <v/>
      </c>
      <c r="AEU3" s="18" t="str">
        <f>IF(ADQ4&gt;0,AEU4/ADQ4,"")</f>
        <v/>
      </c>
      <c r="AEW3" s="18" t="str">
        <f>IF(AEV4&gt;0,AEW4/AEV4,"")</f>
        <v/>
      </c>
      <c r="AEX3" s="18" t="str">
        <f>IF(AEV4&gt;0,AEX4/AEV4,"")</f>
        <v/>
      </c>
      <c r="AEY3" s="18" t="str">
        <f>IF(AEV4&gt;0,AEY4/AEV4,"")</f>
        <v/>
      </c>
      <c r="AEZ3" s="18" t="str">
        <f>IF(AEV4&gt;0,AEZ4/AEV4,"")</f>
        <v/>
      </c>
      <c r="AFA3" s="18" t="str">
        <f>IF(AEV4&gt;0,AFA4/AEV4,"")</f>
        <v/>
      </c>
      <c r="AFB3" s="18" t="str">
        <f>IF(AEV4&gt;0,AFB4/AEV4,"")</f>
        <v/>
      </c>
      <c r="AFC3" s="18" t="str">
        <f>IF(AEV4&gt;0,AFC4/AEV4,"")</f>
        <v/>
      </c>
      <c r="AFD3" s="18" t="str">
        <f>IF(AEV4&gt;0,AFD4/AEV4,"")</f>
        <v/>
      </c>
      <c r="AFE3" s="18" t="str">
        <f>IF(AEV4&gt;0,AFE4/AEV4,"")</f>
        <v/>
      </c>
      <c r="AFF3" s="18" t="str">
        <f>IF(AEV4&gt;0,AFF4/AEV4,"")</f>
        <v/>
      </c>
      <c r="AFG3" s="18" t="str">
        <f>IF(AEV4&gt;0,AFG4/AEV4,"")</f>
        <v/>
      </c>
      <c r="AFH3" s="18" t="str">
        <f>IF(AEV4&gt;0,AFH4/AEV4,"")</f>
        <v/>
      </c>
      <c r="AFI3" s="18" t="str">
        <f>IF(AEV4&gt;0,AFI4/AEV4,"")</f>
        <v/>
      </c>
      <c r="AFJ3" s="18" t="str">
        <f>IF(AEV4&gt;0,AFJ4/AEV4,"")</f>
        <v/>
      </c>
      <c r="AFK3" s="18" t="str">
        <f>IF(AEV4&gt;0,AFK4/AEV4,"")</f>
        <v/>
      </c>
      <c r="AFL3" s="18" t="str">
        <f>IF(AEV4&gt;0,AFL4/AEV4,"")</f>
        <v/>
      </c>
      <c r="AFM3" s="18" t="str">
        <f>IF(AEV4&gt;0,AFM4/AEV4,"")</f>
        <v/>
      </c>
      <c r="AFN3" s="18" t="str">
        <f>IF(AEV4&gt;0,AFN4/AEV4,"")</f>
        <v/>
      </c>
      <c r="AFO3" s="18" t="str">
        <f>IF(AEV4&gt;0,AFO4/AEV4,"")</f>
        <v/>
      </c>
      <c r="AFP3" s="18" t="str">
        <f>IF(AEV4&gt;0,AFP4/AEV4,"")</f>
        <v/>
      </c>
      <c r="AFQ3" s="18" t="str">
        <f>IF(AEV4&gt;0,AFQ4/AEV4,"")</f>
        <v/>
      </c>
      <c r="AFR3" s="18" t="str">
        <f>IF(AEV4&gt;0,AFR4/AEV4,"")</f>
        <v/>
      </c>
      <c r="AFS3" s="18" t="str">
        <f>IF(AEV4&gt;0,AFS4/AEV4,"")</f>
        <v/>
      </c>
      <c r="AFT3" s="18" t="str">
        <f>IF(AEV4&gt;0,AFT4/AEV4,"")</f>
        <v/>
      </c>
      <c r="AFU3" s="18" t="str">
        <f>IF(AEV4&gt;0,AFU4/AEV4,"")</f>
        <v/>
      </c>
      <c r="AFV3" s="18" t="str">
        <f>IF(AEV4&gt;0,AFV4/AEV4,"")</f>
        <v/>
      </c>
      <c r="AFW3" s="18" t="str">
        <f>IF(AEV4&gt;0,AFW4/AEV4,"")</f>
        <v/>
      </c>
      <c r="AFX3" s="18" t="str">
        <f>IF(AEV4&gt;0,AFX4/AEV4,"")</f>
        <v/>
      </c>
      <c r="AFY3" s="18" t="str">
        <f>IF(AEV4&gt;0,AFY4/AEV4,"")</f>
        <v/>
      </c>
      <c r="AFZ3" s="18" t="str">
        <f>IF(AEV4&gt;0,AFZ4/AEV4,"")</f>
        <v/>
      </c>
      <c r="AGB3" s="18" t="str">
        <f>IF(AGA4&gt;0,AGB4/AGA4,"")</f>
        <v/>
      </c>
      <c r="AGC3" s="18" t="str">
        <f>IF(AGA4&gt;0,AGC4/AGA4,"")</f>
        <v/>
      </c>
      <c r="AGD3" s="18" t="str">
        <f>IF(AGA4&gt;0,AGD4/AGA4,"")</f>
        <v/>
      </c>
      <c r="AGE3" s="18" t="str">
        <f>IF(AGA4&gt;0,AGE4/AGA4,"")</f>
        <v/>
      </c>
      <c r="AGF3" s="18" t="str">
        <f>IF(AGA4&gt;0,AGF4/AGA4,"")</f>
        <v/>
      </c>
      <c r="AGG3" s="18" t="str">
        <f>IF(AGA4&gt;0,AGG4/AGA4,"")</f>
        <v/>
      </c>
      <c r="AGH3" s="18" t="str">
        <f>IF(AGA4&gt;0,AGH4/AGA4,"")</f>
        <v/>
      </c>
      <c r="AGI3" s="18" t="str">
        <f>IF(AGA4&gt;0,AGI4/AGA4,"")</f>
        <v/>
      </c>
      <c r="AGJ3" s="18" t="str">
        <f>IF(AGA4&gt;0,AGJ4/AGA4,"")</f>
        <v/>
      </c>
      <c r="AGK3" s="18" t="str">
        <f>IF(AGA4&gt;0,AGK4/AGA4,"")</f>
        <v/>
      </c>
      <c r="AGL3" s="18" t="str">
        <f>IF(AGA4&gt;0,AGL4/AGA4,"")</f>
        <v/>
      </c>
      <c r="AGM3" s="18" t="str">
        <f>IF(AGA4&gt;0,AGM4/AGA4,"")</f>
        <v/>
      </c>
      <c r="AGN3" s="18" t="str">
        <f>IF(AGA4&gt;0,AGN4/AGA4,"")</f>
        <v/>
      </c>
      <c r="AGO3" s="18" t="str">
        <f>IF(AGA4&gt;0,AGO4/AGA4,"")</f>
        <v/>
      </c>
      <c r="AGP3" s="18" t="str">
        <f>IF(AGA4&gt;0,AGP4/AGA4,"")</f>
        <v/>
      </c>
      <c r="AGQ3" s="18" t="str">
        <f>IF(AGA4&gt;0,AGQ4/AGA4,"")</f>
        <v/>
      </c>
      <c r="AGR3" s="18" t="str">
        <f>IF(AGA4&gt;0,AGR4/AGA4,"")</f>
        <v/>
      </c>
      <c r="AGS3" s="18" t="str">
        <f>IF(AGA4&gt;0,AGS4/AGA4,"")</f>
        <v/>
      </c>
      <c r="AGT3" s="18" t="str">
        <f>IF(AGA4&gt;0,AGT4/AGA4,"")</f>
        <v/>
      </c>
      <c r="AGU3" s="18" t="str">
        <f>IF(AGA4&gt;0,AGU4/AGA4,"")</f>
        <v/>
      </c>
      <c r="AGV3" s="18" t="str">
        <f>IF(AGA4&gt;0,AGV4/AGA4,"")</f>
        <v/>
      </c>
      <c r="AGW3" s="18" t="str">
        <f>IF(AGA4&gt;0,AGW4/AGA4,"")</f>
        <v/>
      </c>
      <c r="AGX3" s="18" t="str">
        <f>IF(AGA4&gt;0,AGX4/AGA4,"")</f>
        <v/>
      </c>
      <c r="AGY3" s="18" t="str">
        <f>IF(AGA4&gt;0,AGY4/AGA4,"")</f>
        <v/>
      </c>
      <c r="AGZ3" s="18" t="str">
        <f>IF(AGA4&gt;0,AGZ4/AGA4,"")</f>
        <v/>
      </c>
      <c r="AHA3" s="18" t="str">
        <f>IF(AGA4&gt;0,AHA4/AGA4,"")</f>
        <v/>
      </c>
      <c r="AHB3" s="18" t="str">
        <f>IF(AGA4&gt;0,AHB4/AGA4,"")</f>
        <v/>
      </c>
      <c r="AHC3" s="18" t="str">
        <f>IF(AGA4&gt;0,AHC4/AGA4,"")</f>
        <v/>
      </c>
      <c r="AHD3" s="18" t="str">
        <f>IF(AGA4&gt;0,AHD4/AGA4,"")</f>
        <v/>
      </c>
      <c r="AHE3" s="18" t="str">
        <f>IF(AGA4&gt;0,AHE4/AGA4,"")</f>
        <v/>
      </c>
      <c r="AHG3" s="18" t="str">
        <f>IF(AHF4&gt;0,AHG4/AHF4,"")</f>
        <v/>
      </c>
      <c r="AHH3" s="18" t="str">
        <f>IF(AHF4&gt;0,AHH4/AHF4,"")</f>
        <v/>
      </c>
      <c r="AHI3" s="18" t="str">
        <f>IF(AHF4&gt;0,AHI4/AHF4,"")</f>
        <v/>
      </c>
      <c r="AHJ3" s="18" t="str">
        <f>IF(AHF4&gt;0,AHJ4/AHF4,"")</f>
        <v/>
      </c>
      <c r="AHK3" s="18" t="str">
        <f>IF(AHF4&gt;0,AHK4/AHF4,"")</f>
        <v/>
      </c>
      <c r="AHL3" s="18" t="str">
        <f>IF(AHF4&gt;0,AHL4/AHF4,"")</f>
        <v/>
      </c>
      <c r="AHM3" s="18" t="str">
        <f>IF(AHF4&gt;0,AHM4/AHF4,"")</f>
        <v/>
      </c>
      <c r="AHN3" s="18" t="str">
        <f>IF(AHF4&gt;0,AHN4/AHF4,"")</f>
        <v/>
      </c>
      <c r="AHO3" s="18" t="str">
        <f>IF(AHF4&gt;0,AHO4/AHF4,"")</f>
        <v/>
      </c>
      <c r="AHP3" s="18" t="str">
        <f>IF(AHF4&gt;0,AHP4/AHF4,"")</f>
        <v/>
      </c>
      <c r="AHQ3" s="18" t="str">
        <f>IF(AHF4&gt;0,AHQ4/AHF4,"")</f>
        <v/>
      </c>
      <c r="AHR3" s="18" t="str">
        <f>IF(AHF4&gt;0,AHR4/AHF4,"")</f>
        <v/>
      </c>
      <c r="AHS3" s="18" t="str">
        <f>IF(AHF4&gt;0,AHS4/AHF4,"")</f>
        <v/>
      </c>
      <c r="AHT3" s="18" t="str">
        <f>IF(AHF4&gt;0,AHT4/AHF4,"")</f>
        <v/>
      </c>
      <c r="AHU3" s="18" t="str">
        <f>IF(AHF4&gt;0,AHU4/AHF4,"")</f>
        <v/>
      </c>
      <c r="AHV3" s="18" t="str">
        <f>IF(AHF4&gt;0,AHV4/AHF4,"")</f>
        <v/>
      </c>
      <c r="AHW3" s="18" t="str">
        <f>IF(AHF4&gt;0,AHW4/AHF4,"")</f>
        <v/>
      </c>
      <c r="AHX3" s="18" t="str">
        <f>IF(AHF4&gt;0,AHX4/AHF4,"")</f>
        <v/>
      </c>
      <c r="AHY3" s="18" t="str">
        <f>IF(AHF4&gt;0,AHY4/AHF4,"")</f>
        <v/>
      </c>
      <c r="AHZ3" s="18" t="str">
        <f>IF(AHF4&gt;0,AHZ4/AHF4,"")</f>
        <v/>
      </c>
      <c r="AIA3" s="18" t="str">
        <f>IF(AHF4&gt;0,AIA4/AHF4,"")</f>
        <v/>
      </c>
      <c r="AIB3" s="18" t="str">
        <f>IF(AHF4&gt;0,AIB4/AHF4,"")</f>
        <v/>
      </c>
      <c r="AIC3" s="18" t="str">
        <f>IF(AHF4&gt;0,AIC4/AHF4,"")</f>
        <v/>
      </c>
      <c r="AID3" s="18" t="str">
        <f>IF(AHF4&gt;0,AID4/AHF4,"")</f>
        <v/>
      </c>
      <c r="AIE3" s="18" t="str">
        <f>IF(AHF4&gt;0,AIE4/AHF4,"")</f>
        <v/>
      </c>
      <c r="AIF3" s="18" t="str">
        <f>IF(AHF4&gt;0,AIF4/AHF4,"")</f>
        <v/>
      </c>
      <c r="AIG3" s="18" t="str">
        <f>IF(AHF4&gt;0,AIG4/AHF4,"")</f>
        <v/>
      </c>
      <c r="AIH3" s="18" t="str">
        <f>IF(AHF4&gt;0,AIH4/AHF4,"")</f>
        <v/>
      </c>
      <c r="AII3" s="18" t="str">
        <f>IF(AHF4&gt;0,AII4/AHF4,"")</f>
        <v/>
      </c>
      <c r="AIJ3" s="18" t="str">
        <f>IF(AHF4&gt;0,AIJ4/AHF4,"")</f>
        <v/>
      </c>
      <c r="AIL3" s="18" t="str">
        <f>IF(AIK4&gt;0,AIL4/AIK4,"")</f>
        <v/>
      </c>
      <c r="AIM3" s="18" t="str">
        <f>IF(AIK4&gt;0,AIM4/AIK4,"")</f>
        <v/>
      </c>
      <c r="AIN3" s="18" t="str">
        <f>IF(AIK4&gt;0,AIN4/AIK4,"")</f>
        <v/>
      </c>
      <c r="AIO3" s="18" t="str">
        <f>IF(AIK4&gt;0,AIO4/AIK4,"")</f>
        <v/>
      </c>
      <c r="AIP3" s="18" t="str">
        <f>IF(AIK4&gt;0,AIP4/AIK4,"")</f>
        <v/>
      </c>
      <c r="AIQ3" s="18" t="str">
        <f>IF(AIK4&gt;0,AIQ4/AIK4,"")</f>
        <v/>
      </c>
      <c r="AIR3" s="18" t="str">
        <f>IF(AIK4&gt;0,AIR4/AIK4,"")</f>
        <v/>
      </c>
      <c r="AIS3" s="18" t="str">
        <f>IF(AIK4&gt;0,AIS4/AIK4,"")</f>
        <v/>
      </c>
      <c r="AIT3" s="18" t="str">
        <f>IF(AIK4&gt;0,AIT4/AIK4,"")</f>
        <v/>
      </c>
      <c r="AIU3" s="18" t="str">
        <f>IF(AIK4&gt;0,AIU4/AIK4,"")</f>
        <v/>
      </c>
      <c r="AIV3" s="18" t="str">
        <f>IF(AIK4&gt;0,AIV4/AIK4,"")</f>
        <v/>
      </c>
      <c r="AIW3" s="18" t="str">
        <f>IF(AIK4&gt;0,AIW4/AIK4,"")</f>
        <v/>
      </c>
      <c r="AIX3" s="18" t="str">
        <f>IF(AIK4&gt;0,AIX4/AIK4,"")</f>
        <v/>
      </c>
      <c r="AIY3" s="18" t="str">
        <f>IF(AIK4&gt;0,AIY4/AIK4,"")</f>
        <v/>
      </c>
      <c r="AIZ3" s="18" t="str">
        <f>IF(AIK4&gt;0,AIZ4/AIK4,"")</f>
        <v/>
      </c>
      <c r="AJA3" s="18" t="str">
        <f>IF(AIK4&gt;0,AJA4/AIK4,"")</f>
        <v/>
      </c>
      <c r="AJB3" s="18" t="str">
        <f>IF(AIK4&gt;0,AJB4/AIK4,"")</f>
        <v/>
      </c>
      <c r="AJC3" s="18" t="str">
        <f>IF(AIK4&gt;0,AJC4/AIK4,"")</f>
        <v/>
      </c>
      <c r="AJD3" s="18" t="str">
        <f>IF(AIK4&gt;0,AJD4/AIK4,"")</f>
        <v/>
      </c>
      <c r="AJE3" s="18" t="str">
        <f>IF(AIK4&gt;0,AJE4/AIK4,"")</f>
        <v/>
      </c>
      <c r="AJF3" s="18" t="str">
        <f>IF(AIK4&gt;0,AJF4/AIK4,"")</f>
        <v/>
      </c>
      <c r="AJG3" s="18" t="str">
        <f>IF(AIK4&gt;0,AJG4/AIK4,"")</f>
        <v/>
      </c>
      <c r="AJH3" s="18" t="str">
        <f>IF(AIK4&gt;0,AJH4/AIK4,"")</f>
        <v/>
      </c>
      <c r="AJI3" s="18" t="str">
        <f>IF(AIK4&gt;0,AJI4/AIK4,"")</f>
        <v/>
      </c>
      <c r="AJJ3" s="18" t="str">
        <f>IF(AIK4&gt;0,AJJ4/AIK4,"")</f>
        <v/>
      </c>
      <c r="AJK3" s="18" t="str">
        <f>IF(AIK4&gt;0,AJK4/AIK4,"")</f>
        <v/>
      </c>
      <c r="AJL3" s="18" t="str">
        <f>IF(AIK4&gt;0,AJL4/AIK4,"")</f>
        <v/>
      </c>
      <c r="AJM3" s="18" t="str">
        <f>IF(AIK4&gt;0,AJM4/AIK4,"")</f>
        <v/>
      </c>
      <c r="AJN3" s="18" t="str">
        <f>IF(AIK4&gt;0,AJN4/AIK4,"")</f>
        <v/>
      </c>
      <c r="AJO3" s="18" t="str">
        <f>IF(AIK4&gt;0,AJO4/AIK4,"")</f>
        <v/>
      </c>
      <c r="AJQ3" s="18" t="str">
        <f>IF(AJP4&gt;0,AJQ4/AJP4,"")</f>
        <v/>
      </c>
      <c r="AJR3" s="18" t="str">
        <f>IF(AJP4&gt;0,AJR4/AJP4,"")</f>
        <v/>
      </c>
      <c r="AJS3" s="18" t="str">
        <f>IF(AJP4&gt;0,AJS4/AJP4,"")</f>
        <v/>
      </c>
      <c r="AJT3" s="18" t="str">
        <f>IF(AJP4&gt;0,AJT4/AJP4,"")</f>
        <v/>
      </c>
      <c r="AJU3" s="18" t="str">
        <f>IF(AJP4&gt;0,AJU4/AJP4,"")</f>
        <v/>
      </c>
      <c r="AJV3" s="18" t="str">
        <f>IF(AJP4&gt;0,AJV4/AJP4,"")</f>
        <v/>
      </c>
      <c r="AJW3" s="18" t="str">
        <f>IF(AJP4&gt;0,AJW4/AJP4,"")</f>
        <v/>
      </c>
      <c r="AJX3" s="18" t="str">
        <f>IF(AJP4&gt;0,AJX4/AJP4,"")</f>
        <v/>
      </c>
      <c r="AJY3" s="18" t="str">
        <f>IF(AJP4&gt;0,AJY4/AJP4,"")</f>
        <v/>
      </c>
      <c r="AJZ3" s="18" t="str">
        <f>IF(AJP4&gt;0,AJZ4/AJP4,"")</f>
        <v/>
      </c>
      <c r="AKA3" s="18" t="str">
        <f>IF(AJP4&gt;0,AKA4/AJP4,"")</f>
        <v/>
      </c>
      <c r="AKB3" s="18" t="str">
        <f>IF(AJP4&gt;0,AKB4/AJP4,"")</f>
        <v/>
      </c>
      <c r="AKC3" s="18" t="str">
        <f>IF(AJP4&gt;0,AKC4/AJP4,"")</f>
        <v/>
      </c>
      <c r="AKD3" s="18" t="str">
        <f>IF(AJP4&gt;0,AKD4/AJP4,"")</f>
        <v/>
      </c>
      <c r="AKE3" s="18" t="str">
        <f>IF(AJP4&gt;0,AKE4/AJP4,"")</f>
        <v/>
      </c>
      <c r="AKF3" s="18" t="str">
        <f>IF(AJP4&gt;0,AKF4/AJP4,"")</f>
        <v/>
      </c>
      <c r="AKG3" s="18" t="str">
        <f>IF(AJP4&gt;0,AKG4/AJP4,"")</f>
        <v/>
      </c>
      <c r="AKH3" s="18" t="str">
        <f>IF(AJP4&gt;0,AKH4/AJP4,"")</f>
        <v/>
      </c>
      <c r="AKI3" s="18" t="str">
        <f>IF(AJP4&gt;0,AKI4/AJP4,"")</f>
        <v/>
      </c>
      <c r="AKJ3" s="18" t="str">
        <f>IF(AJP4&gt;0,AKJ4/AJP4,"")</f>
        <v/>
      </c>
      <c r="AKK3" s="18" t="str">
        <f>IF(AJP4&gt;0,AKK4/AJP4,"")</f>
        <v/>
      </c>
      <c r="AKL3" s="18" t="str">
        <f>IF(AJP4&gt;0,AKL4/AJP4,"")</f>
        <v/>
      </c>
      <c r="AKM3" s="18" t="str">
        <f>IF(AJP4&gt;0,AKM4/AJP4,"")</f>
        <v/>
      </c>
      <c r="AKN3" s="18" t="str">
        <f>IF(AJP4&gt;0,AKN4/AJP4,"")</f>
        <v/>
      </c>
      <c r="AKO3" s="18" t="str">
        <f>IF(AJP4&gt;0,AKO4/AJP4,"")</f>
        <v/>
      </c>
      <c r="AKP3" s="18" t="str">
        <f>IF(AJP4&gt;0,AKP4/AJP4,"")</f>
        <v/>
      </c>
      <c r="AKQ3" s="18" t="str">
        <f>IF(AJP4&gt;0,AKQ4/AJP4,"")</f>
        <v/>
      </c>
      <c r="AKR3" s="18" t="str">
        <f>IF(AJP4&gt;0,AKR4/AJP4,"")</f>
        <v/>
      </c>
      <c r="AKS3" s="18" t="str">
        <f>IF(AJP4&gt;0,AKS4/AJP4,"")</f>
        <v/>
      </c>
      <c r="AKT3" s="18" t="str">
        <f>IF(AJP4&gt;0,AKT4/AJP4,"")</f>
        <v/>
      </c>
      <c r="AKV3" s="18" t="str">
        <f>IF(AKU4&gt;0,AKV4/AKU4,"")</f>
        <v/>
      </c>
      <c r="AKW3" s="18" t="str">
        <f>IF(AKU4&gt;0,AKW4/AKU4,"")</f>
        <v/>
      </c>
      <c r="AKX3" s="18" t="str">
        <f>IF(AKU4&gt;0,AKX4/AKU4,"")</f>
        <v/>
      </c>
      <c r="AKY3" s="18" t="str">
        <f>IF(AKU4&gt;0,AKY4/AKU4,"")</f>
        <v/>
      </c>
      <c r="AKZ3" s="18" t="str">
        <f>IF(AKU4&gt;0,AKZ4/AKU4,"")</f>
        <v/>
      </c>
      <c r="ALA3" s="18" t="str">
        <f>IF(AKU4&gt;0,ALA4/AKU4,"")</f>
        <v/>
      </c>
      <c r="ALB3" s="18" t="str">
        <f>IF(AKU4&gt;0,ALB4/AKU4,"")</f>
        <v/>
      </c>
      <c r="ALC3" s="18" t="str">
        <f>IF(AKU4&gt;0,ALC4/AKU4,"")</f>
        <v/>
      </c>
      <c r="ALD3" s="18" t="str">
        <f>IF(AKU4&gt;0,ALD4/AKU4,"")</f>
        <v/>
      </c>
      <c r="ALE3" s="18" t="str">
        <f>IF(AKU4&gt;0,ALE4/AKU4,"")</f>
        <v/>
      </c>
      <c r="ALF3" s="18" t="str">
        <f>IF(AKU4&gt;0,ALF4/AKU4,"")</f>
        <v/>
      </c>
      <c r="ALG3" s="18" t="str">
        <f>IF(AKU4&gt;0,ALG4/AKU4,"")</f>
        <v/>
      </c>
      <c r="ALH3" s="18" t="str">
        <f>IF(AKU4&gt;0,ALH4/AKU4,"")</f>
        <v/>
      </c>
      <c r="ALI3" s="18" t="str">
        <f>IF(AKU4&gt;0,ALI4/AKU4,"")</f>
        <v/>
      </c>
      <c r="ALJ3" s="18" t="str">
        <f>IF(AKU4&gt;0,ALJ4/AKU4,"")</f>
        <v/>
      </c>
      <c r="ALK3" s="18" t="str">
        <f>IF(AKU4&gt;0,ALK4/AKU4,"")</f>
        <v/>
      </c>
      <c r="ALL3" s="18" t="str">
        <f>IF(AKU4&gt;0,ALL4/AKU4,"")</f>
        <v/>
      </c>
      <c r="ALM3" s="18" t="str">
        <f>IF(AKU4&gt;0,ALM4/AKU4,"")</f>
        <v/>
      </c>
      <c r="ALN3" s="18" t="str">
        <f>IF(AKU4&gt;0,ALN4/AKU4,"")</f>
        <v/>
      </c>
      <c r="ALO3" s="18" t="str">
        <f>IF(AKU4&gt;0,ALO4/AKU4,"")</f>
        <v/>
      </c>
      <c r="ALP3" s="18" t="str">
        <f>IF(AKU4&gt;0,ALP4/AKU4,"")</f>
        <v/>
      </c>
      <c r="ALQ3" s="18" t="str">
        <f>IF(AKU4&gt;0,ALQ4/AKU4,"")</f>
        <v/>
      </c>
      <c r="ALR3" s="18" t="str">
        <f>IF(AKU4&gt;0,ALR4/AKU4,"")</f>
        <v/>
      </c>
      <c r="ALS3" s="18" t="str">
        <f>IF(AKU4&gt;0,ALS4/AKU4,"")</f>
        <v/>
      </c>
      <c r="ALT3" s="18" t="str">
        <f>IF(AKU4&gt;0,ALT4/AKU4,"")</f>
        <v/>
      </c>
      <c r="ALU3" s="18" t="str">
        <f>IF(AKU4&gt;0,ALU4/AKU4,"")</f>
        <v/>
      </c>
      <c r="ALV3" s="18" t="str">
        <f>IF(AKU4&gt;0,ALV4/AKU4,"")</f>
        <v/>
      </c>
      <c r="ALW3" s="18" t="str">
        <f>IF(AKU4&gt;0,ALW4/AKU4,"")</f>
        <v/>
      </c>
      <c r="ALX3" s="18" t="str">
        <f>IF(AKU4&gt;0,ALX4/AKU4,"")</f>
        <v/>
      </c>
      <c r="ALY3" s="18" t="str">
        <f>IF(AKU4&gt;0,ALY4/AKU4,"")</f>
        <v/>
      </c>
      <c r="AMA3" s="18" t="str">
        <f>IF(ALZ4&gt;0,AMA4/ALZ4,"")</f>
        <v/>
      </c>
      <c r="AMB3" s="18" t="str">
        <f>IF(ALZ4&gt;0,AMB4/ALZ4,"")</f>
        <v/>
      </c>
      <c r="AMC3" s="18" t="str">
        <f>IF(ALZ4&gt;0,AMC4/ALZ4,"")</f>
        <v/>
      </c>
      <c r="AMD3" s="18" t="str">
        <f>IF(ALZ4&gt;0,AMD4/ALZ4,"")</f>
        <v/>
      </c>
      <c r="AME3" s="18" t="str">
        <f>IF(ALZ4&gt;0,AME4/ALZ4,"")</f>
        <v/>
      </c>
      <c r="AMF3" s="18" t="str">
        <f>IF(ALZ4&gt;0,AMF4/ALZ4,"")</f>
        <v/>
      </c>
      <c r="AMG3" s="18" t="str">
        <f>IF(ALZ4&gt;0,AMG4/ALZ4,"")</f>
        <v/>
      </c>
      <c r="AMH3" s="18" t="str">
        <f>IF(ALZ4&gt;0,AMH4/ALZ4,"")</f>
        <v/>
      </c>
      <c r="AMI3" s="18" t="str">
        <f>IF(ALZ4&gt;0,AMI4/ALZ4,"")</f>
        <v/>
      </c>
      <c r="AMJ3" s="18" t="str">
        <f>IF(ALZ4&gt;0,AMJ4/ALZ4,"")</f>
        <v/>
      </c>
      <c r="AMK3" s="18" t="str">
        <f>IF(ALZ4&gt;0,AMK4/ALZ4,"")</f>
        <v/>
      </c>
      <c r="AML3" s="18" t="str">
        <f>IF(ALZ4&gt;0,AML4/ALZ4,"")</f>
        <v/>
      </c>
      <c r="AMM3" s="18" t="str">
        <f>IF(ALZ4&gt;0,AMM4/ALZ4,"")</f>
        <v/>
      </c>
      <c r="AMN3" s="18" t="str">
        <f>IF(ALZ4&gt;0,AMN4/ALZ4,"")</f>
        <v/>
      </c>
      <c r="AMO3" s="18" t="str">
        <f>IF(ALZ4&gt;0,AMO4/ALZ4,"")</f>
        <v/>
      </c>
      <c r="AMP3" s="18" t="str">
        <f>IF(ALZ4&gt;0,AMP4/ALZ4,"")</f>
        <v/>
      </c>
      <c r="AMQ3" s="18" t="str">
        <f>IF(ALZ4&gt;0,AMQ4/ALZ4,"")</f>
        <v/>
      </c>
      <c r="AMR3" s="18" t="str">
        <f>IF(ALZ4&gt;0,AMR4/ALZ4,"")</f>
        <v/>
      </c>
      <c r="AMS3" s="18" t="str">
        <f>IF(ALZ4&gt;0,AMS4/ALZ4,"")</f>
        <v/>
      </c>
      <c r="AMT3" s="18" t="str">
        <f>IF(ALZ4&gt;0,AMT4/ALZ4,"")</f>
        <v/>
      </c>
      <c r="AMU3" s="18" t="str">
        <f>IF(ALZ4&gt;0,AMU4/ALZ4,"")</f>
        <v/>
      </c>
      <c r="AMV3" s="18" t="str">
        <f>IF(ALZ4&gt;0,AMV4/ALZ4,"")</f>
        <v/>
      </c>
      <c r="AMW3" s="18" t="str">
        <f>IF(ALZ4&gt;0,AMW4/ALZ4,"")</f>
        <v/>
      </c>
      <c r="AMX3" s="18" t="str">
        <f>IF(ALZ4&gt;0,AMX4/ALZ4,"")</f>
        <v/>
      </c>
      <c r="AMY3" s="18" t="str">
        <f>IF(ALZ4&gt;0,AMY4/ALZ4,"")</f>
        <v/>
      </c>
      <c r="AMZ3" s="18" t="str">
        <f>IF(ALZ4&gt;0,AMZ4/ALZ4,"")</f>
        <v/>
      </c>
      <c r="ANA3" s="18" t="str">
        <f>IF(ALZ4&gt;0,ANA4/ALZ4,"")</f>
        <v/>
      </c>
      <c r="ANB3" s="18" t="str">
        <f>IF(ALZ4&gt;0,ANB4/ALZ4,"")</f>
        <v/>
      </c>
      <c r="ANC3" s="18" t="str">
        <f>IF(ALZ4&gt;0,ANC4/ALZ4,"")</f>
        <v/>
      </c>
      <c r="AND3" s="18" t="str">
        <f>IF(ALZ4&gt;0,AND4/ALZ4,"")</f>
        <v/>
      </c>
      <c r="ANF3" s="18" t="str">
        <f>IF(ANE4&gt;0,ANF4/ANE4,"")</f>
        <v/>
      </c>
      <c r="ANG3" s="18" t="str">
        <f>IF(ANE4&gt;0,ANG4/ANE4,"")</f>
        <v/>
      </c>
      <c r="ANH3" s="18" t="str">
        <f>IF(ANE4&gt;0,ANH4/ANE4,"")</f>
        <v/>
      </c>
      <c r="ANI3" s="18" t="str">
        <f>IF(ANE4&gt;0,ANI4/ANE4,"")</f>
        <v/>
      </c>
      <c r="ANJ3" s="18" t="str">
        <f>IF(ANE4&gt;0,ANJ4/ANE4,"")</f>
        <v/>
      </c>
      <c r="ANK3" s="18" t="str">
        <f>IF(ANE4&gt;0,ANK4/ANE4,"")</f>
        <v/>
      </c>
      <c r="ANL3" s="18" t="str">
        <f>IF(ANE4&gt;0,ANL4/ANE4,"")</f>
        <v/>
      </c>
      <c r="ANM3" s="18" t="str">
        <f>IF(ANE4&gt;0,ANM4/ANE4,"")</f>
        <v/>
      </c>
      <c r="ANN3" s="18" t="str">
        <f>IF(ANE4&gt;0,ANN4/ANE4,"")</f>
        <v/>
      </c>
      <c r="ANO3" s="18" t="str">
        <f>IF(ANE4&gt;0,ANO4/ANE4,"")</f>
        <v/>
      </c>
      <c r="ANP3" s="18" t="str">
        <f>IF(ANE4&gt;0,ANP4/ANE4,"")</f>
        <v/>
      </c>
      <c r="ANQ3" s="18" t="str">
        <f>IF(ANE4&gt;0,ANQ4/ANE4,"")</f>
        <v/>
      </c>
      <c r="ANR3" s="18" t="str">
        <f>IF(ANE4&gt;0,ANR4/ANE4,"")</f>
        <v/>
      </c>
      <c r="ANS3" s="18" t="str">
        <f>IF(ANE4&gt;0,ANS4/ANE4,"")</f>
        <v/>
      </c>
      <c r="ANT3" s="18" t="str">
        <f>IF(ANE4&gt;0,ANT4/ANE4,"")</f>
        <v/>
      </c>
      <c r="ANU3" s="18" t="str">
        <f>IF(ANE4&gt;0,ANU4/ANE4,"")</f>
        <v/>
      </c>
      <c r="ANV3" s="18" t="str">
        <f>IF(ANE4&gt;0,ANV4/ANE4,"")</f>
        <v/>
      </c>
      <c r="ANW3" s="18" t="str">
        <f>IF(ANE4&gt;0,ANW4/ANE4,"")</f>
        <v/>
      </c>
      <c r="ANX3" s="18" t="str">
        <f>IF(ANE4&gt;0,ANX4/ANE4,"")</f>
        <v/>
      </c>
      <c r="ANY3" s="18" t="str">
        <f>IF(ANE4&gt;0,ANY4/ANE4,"")</f>
        <v/>
      </c>
      <c r="ANZ3" s="18" t="str">
        <f>IF(ANE4&gt;0,ANZ4/ANE4,"")</f>
        <v/>
      </c>
      <c r="AOA3" s="18" t="str">
        <f>IF(ANE4&gt;0,AOA4/ANE4,"")</f>
        <v/>
      </c>
      <c r="AOB3" s="18" t="str">
        <f>IF(ANE4&gt;0,AOB4/ANE4,"")</f>
        <v/>
      </c>
      <c r="AOC3" s="18" t="str">
        <f>IF(ANE4&gt;0,AOC4/ANE4,"")</f>
        <v/>
      </c>
      <c r="AOD3" s="18" t="str">
        <f>IF(ANE4&gt;0,AOD4/ANE4,"")</f>
        <v/>
      </c>
      <c r="AOE3" s="18" t="str">
        <f>IF(ANE4&gt;0,AOE4/ANE4,"")</f>
        <v/>
      </c>
      <c r="AOF3" s="18" t="str">
        <f>IF(ANE4&gt;0,AOF4/ANE4,"")</f>
        <v/>
      </c>
      <c r="AOG3" s="18" t="str">
        <f>IF(ANE4&gt;0,AOG4/ANE4,"")</f>
        <v/>
      </c>
      <c r="AOH3" s="18" t="str">
        <f>IF(ANE4&gt;0,AOH4/ANE4,"")</f>
        <v/>
      </c>
      <c r="AOI3" s="18" t="str">
        <f>IF(ANE4&gt;0,AOI4/ANE4,"")</f>
        <v/>
      </c>
      <c r="AOK3" s="18" t="str">
        <f>IF(AOJ4&gt;0,AOK4/AOJ4,"")</f>
        <v/>
      </c>
      <c r="AOL3" s="18" t="str">
        <f>IF(AOJ4&gt;0,AOL4/AOJ4,"")</f>
        <v/>
      </c>
      <c r="AOM3" s="18" t="str">
        <f>IF(AOJ4&gt;0,AOM4/AOJ4,"")</f>
        <v/>
      </c>
      <c r="AON3" s="18" t="str">
        <f>IF(AOJ4&gt;0,AON4/AOJ4,"")</f>
        <v/>
      </c>
      <c r="AOO3" s="18" t="str">
        <f>IF(AOJ4&gt;0,AOO4/AOJ4,"")</f>
        <v/>
      </c>
      <c r="AOP3" s="18" t="str">
        <f>IF(AOJ4&gt;0,AOP4/AOJ4,"")</f>
        <v/>
      </c>
      <c r="AOQ3" s="18" t="str">
        <f>IF(AOJ4&gt;0,AOQ4/AOJ4,"")</f>
        <v/>
      </c>
      <c r="AOR3" s="18" t="str">
        <f>IF(AOJ4&gt;0,AOR4/AOJ4,"")</f>
        <v/>
      </c>
      <c r="AOS3" s="18" t="str">
        <f>IF(AOJ4&gt;0,AOS4/AOJ4,"")</f>
        <v/>
      </c>
      <c r="AOT3" s="18" t="str">
        <f>IF(AOJ4&gt;0,AOT4/AOJ4,"")</f>
        <v/>
      </c>
      <c r="AOU3" s="18" t="str">
        <f>IF(AOJ4&gt;0,AOU4/AOJ4,"")</f>
        <v/>
      </c>
      <c r="AOV3" s="18" t="str">
        <f>IF(AOJ4&gt;0,AOV4/AOJ4,"")</f>
        <v/>
      </c>
      <c r="AOW3" s="18" t="str">
        <f>IF(AOJ4&gt;0,AOW4/AOJ4,"")</f>
        <v/>
      </c>
      <c r="AOX3" s="18" t="str">
        <f>IF(AOJ4&gt;0,AOX4/AOJ4,"")</f>
        <v/>
      </c>
      <c r="AOY3" s="18" t="str">
        <f>IF(AOJ4&gt;0,AOY4/AOJ4,"")</f>
        <v/>
      </c>
      <c r="AOZ3" s="18" t="str">
        <f>IF(AOJ4&gt;0,AOZ4/AOJ4,"")</f>
        <v/>
      </c>
      <c r="APA3" s="18" t="str">
        <f>IF(AOJ4&gt;0,APA4/AOJ4,"")</f>
        <v/>
      </c>
      <c r="APB3" s="18" t="str">
        <f>IF(AOJ4&gt;0,APB4/AOJ4,"")</f>
        <v/>
      </c>
      <c r="APC3" s="18" t="str">
        <f>IF(AOJ4&gt;0,APC4/AOJ4,"")</f>
        <v/>
      </c>
      <c r="APD3" s="18" t="str">
        <f>IF(AOJ4&gt;0,APD4/AOJ4,"")</f>
        <v/>
      </c>
      <c r="APE3" s="18" t="str">
        <f>IF(AOJ4&gt;0,APE4/AOJ4,"")</f>
        <v/>
      </c>
      <c r="APF3" s="18" t="str">
        <f>IF(AOJ4&gt;0,APF4/AOJ4,"")</f>
        <v/>
      </c>
      <c r="APG3" s="18" t="str">
        <f>IF(AOJ4&gt;0,APG4/AOJ4,"")</f>
        <v/>
      </c>
      <c r="APH3" s="18" t="str">
        <f>IF(AOJ4&gt;0,APH4/AOJ4,"")</f>
        <v/>
      </c>
      <c r="API3" s="18" t="str">
        <f>IF(AOJ4&gt;0,API4/AOJ4,"")</f>
        <v/>
      </c>
      <c r="APJ3" s="18" t="str">
        <f>IF(AOJ4&gt;0,APJ4/AOJ4,"")</f>
        <v/>
      </c>
      <c r="APK3" s="18" t="str">
        <f>IF(AOJ4&gt;0,APK4/AOJ4,"")</f>
        <v/>
      </c>
      <c r="APL3" s="18" t="str">
        <f>IF(AOJ4&gt;0,APL4/AOJ4,"")</f>
        <v/>
      </c>
      <c r="APM3" s="18" t="str">
        <f>IF(AOJ4&gt;0,APM4/AOJ4,"")</f>
        <v/>
      </c>
      <c r="APN3" s="18" t="str">
        <f>IF(AOJ4&gt;0,APN4/AOJ4,"")</f>
        <v/>
      </c>
      <c r="APP3" s="18" t="str">
        <f>IF(APO4&gt;0,APP4/APO4,"")</f>
        <v/>
      </c>
      <c r="APQ3" s="18" t="str">
        <f>IF(APO4&gt;0,APQ4/APO4,"")</f>
        <v/>
      </c>
      <c r="APR3" s="18" t="str">
        <f>IF(APO4&gt;0,APR4/APO4,"")</f>
        <v/>
      </c>
      <c r="APS3" s="18" t="str">
        <f>IF(APO4&gt;0,APS4/APO4,"")</f>
        <v/>
      </c>
      <c r="APT3" s="18" t="str">
        <f>IF(APO4&gt;0,APT4/APO4,"")</f>
        <v/>
      </c>
      <c r="APU3" s="18" t="str">
        <f>IF(APO4&gt;0,APU4/APO4,"")</f>
        <v/>
      </c>
      <c r="APV3" s="18" t="str">
        <f>IF(APO4&gt;0,APV4/APO4,"")</f>
        <v/>
      </c>
      <c r="APW3" s="18" t="str">
        <f>IF(APO4&gt;0,APW4/APO4,"")</f>
        <v/>
      </c>
      <c r="APX3" s="18" t="str">
        <f>IF(APO4&gt;0,APX4/APO4,"")</f>
        <v/>
      </c>
      <c r="APY3" s="18" t="str">
        <f>IF(APO4&gt;0,APY4/APO4,"")</f>
        <v/>
      </c>
      <c r="APZ3" s="18" t="str">
        <f>IF(APO4&gt;0,APZ4/APO4,"")</f>
        <v/>
      </c>
      <c r="AQA3" s="18" t="str">
        <f>IF(APO4&gt;0,AQA4/APO4,"")</f>
        <v/>
      </c>
      <c r="AQB3" s="18" t="str">
        <f>IF(APO4&gt;0,AQB4/APO4,"")</f>
        <v/>
      </c>
      <c r="AQC3" s="18" t="str">
        <f>IF(APO4&gt;0,AQC4/APO4,"")</f>
        <v/>
      </c>
      <c r="AQD3" s="18" t="str">
        <f>IF(APO4&gt;0,AQD4/APO4,"")</f>
        <v/>
      </c>
      <c r="AQE3" s="18" t="str">
        <f>IF(APO4&gt;0,AQE4/APO4,"")</f>
        <v/>
      </c>
      <c r="AQF3" s="18" t="str">
        <f>IF(APO4&gt;0,AQF4/APO4,"")</f>
        <v/>
      </c>
      <c r="AQG3" s="18" t="str">
        <f>IF(APO4&gt;0,AQG4/APO4,"")</f>
        <v/>
      </c>
      <c r="AQH3" s="18" t="str">
        <f>IF(APO4&gt;0,AQH4/APO4,"")</f>
        <v/>
      </c>
      <c r="AQI3" s="18" t="str">
        <f>IF(APO4&gt;0,AQI4/APO4,"")</f>
        <v/>
      </c>
      <c r="AQJ3" s="18" t="str">
        <f>IF(APO4&gt;0,AQJ4/APO4,"")</f>
        <v/>
      </c>
      <c r="AQK3" s="18" t="str">
        <f>IF(APO4&gt;0,AQK4/APO4,"")</f>
        <v/>
      </c>
      <c r="AQL3" s="18" t="str">
        <f>IF(APO4&gt;0,AQL4/APO4,"")</f>
        <v/>
      </c>
      <c r="AQM3" s="18" t="str">
        <f>IF(APO4&gt;0,AQM4/APO4,"")</f>
        <v/>
      </c>
      <c r="AQN3" s="18" t="str">
        <f>IF(APO4&gt;0,AQN4/APO4,"")</f>
        <v/>
      </c>
      <c r="AQO3" s="18" t="str">
        <f>IF(APO4&gt;0,AQO4/APO4,"")</f>
        <v/>
      </c>
      <c r="AQP3" s="18" t="str">
        <f>IF(APO4&gt;0,AQP4/APO4,"")</f>
        <v/>
      </c>
      <c r="AQQ3" s="18" t="str">
        <f>IF(APO4&gt;0,AQQ4/APO4,"")</f>
        <v/>
      </c>
      <c r="AQR3" s="18" t="str">
        <f>IF(APO4&gt;0,AQR4/APO4,"")</f>
        <v/>
      </c>
      <c r="AQS3" s="18" t="str">
        <f>IF(APO4&gt;0,AQS4/APO4,"")</f>
        <v/>
      </c>
      <c r="AQU3" s="18" t="str">
        <f>IF(AQT4&gt;0,AQU4/AQT4,"")</f>
        <v/>
      </c>
      <c r="AQV3" s="18" t="str">
        <f>IF(AQT4&gt;0,AQV4/AQT4,"")</f>
        <v/>
      </c>
      <c r="AQW3" s="18" t="str">
        <f>IF(AQT4&gt;0,AQW4/AQT4,"")</f>
        <v/>
      </c>
      <c r="AQX3" s="18" t="str">
        <f>IF(AQT4&gt;0,AQX4/AQT4,"")</f>
        <v/>
      </c>
      <c r="AQY3" s="18" t="str">
        <f>IF(AQT4&gt;0,AQY4/AQT4,"")</f>
        <v/>
      </c>
      <c r="AQZ3" s="18" t="str">
        <f>IF(AQT4&gt;0,AQZ4/AQT4,"")</f>
        <v/>
      </c>
      <c r="ARA3" s="18" t="str">
        <f>IF(AQT4&gt;0,ARA4/AQT4,"")</f>
        <v/>
      </c>
      <c r="ARB3" s="18" t="str">
        <f>IF(AQT4&gt;0,ARB4/AQT4,"")</f>
        <v/>
      </c>
      <c r="ARC3" s="18" t="str">
        <f>IF(AQT4&gt;0,ARC4/AQT4,"")</f>
        <v/>
      </c>
      <c r="ARD3" s="18" t="str">
        <f>IF(AQT4&gt;0,ARD4/AQT4,"")</f>
        <v/>
      </c>
      <c r="ARE3" s="18" t="str">
        <f>IF(AQT4&gt;0,ARE4/AQT4,"")</f>
        <v/>
      </c>
      <c r="ARF3" s="18" t="str">
        <f>IF(AQT4&gt;0,ARF4/AQT4,"")</f>
        <v/>
      </c>
      <c r="ARG3" s="18" t="str">
        <f>IF(AQT4&gt;0,ARG4/AQT4,"")</f>
        <v/>
      </c>
      <c r="ARH3" s="18" t="str">
        <f>IF(AQT4&gt;0,ARH4/AQT4,"")</f>
        <v/>
      </c>
      <c r="ARI3" s="18" t="str">
        <f>IF(AQT4&gt;0,ARI4/AQT4,"")</f>
        <v/>
      </c>
      <c r="ARJ3" s="18" t="str">
        <f>IF(AQT4&gt;0,ARJ4/AQT4,"")</f>
        <v/>
      </c>
      <c r="ARK3" s="18" t="str">
        <f>IF(AQT4&gt;0,ARK4/AQT4,"")</f>
        <v/>
      </c>
      <c r="ARL3" s="18" t="str">
        <f>IF(AQT4&gt;0,ARL4/AQT4,"")</f>
        <v/>
      </c>
      <c r="ARM3" s="18" t="str">
        <f>IF(AQT4&gt;0,ARM4/AQT4,"")</f>
        <v/>
      </c>
      <c r="ARN3" s="18" t="str">
        <f>IF(AQT4&gt;0,ARN4/AQT4,"")</f>
        <v/>
      </c>
      <c r="ARO3" s="18" t="str">
        <f>IF(AQT4&gt;0,ARO4/AQT4,"")</f>
        <v/>
      </c>
      <c r="ARP3" s="18" t="str">
        <f>IF(AQT4&gt;0,ARP4/AQT4,"")</f>
        <v/>
      </c>
      <c r="ARQ3" s="18" t="str">
        <f>IF(AQT4&gt;0,ARQ4/AQT4,"")</f>
        <v/>
      </c>
      <c r="ARR3" s="18" t="str">
        <f>IF(AQT4&gt;0,ARR4/AQT4,"")</f>
        <v/>
      </c>
      <c r="ARS3" s="18" t="str">
        <f>IF(AQT4&gt;0,ARS4/AQT4,"")</f>
        <v/>
      </c>
      <c r="ART3" s="18" t="str">
        <f>IF(AQT4&gt;0,ART4/AQT4,"")</f>
        <v/>
      </c>
      <c r="ARU3" s="18" t="str">
        <f>IF(AQT4&gt;0,ARU4/AQT4,"")</f>
        <v/>
      </c>
      <c r="ARV3" s="18" t="str">
        <f>IF(AQT4&gt;0,ARV4/AQT4,"")</f>
        <v/>
      </c>
      <c r="ARW3" s="18" t="str">
        <f>IF(AQT4&gt;0,ARW4/AQT4,"")</f>
        <v/>
      </c>
      <c r="ARX3" s="18" t="str">
        <f>IF(AQT4&gt;0,ARX4/AQT4,"")</f>
        <v/>
      </c>
      <c r="ARZ3" s="18" t="str">
        <f>IF(ARY4&gt;0,ARZ4/ARY4,"")</f>
        <v/>
      </c>
      <c r="ASA3" s="18" t="str">
        <f>IF(ARY4&gt;0,ASA4/ARY4,"")</f>
        <v/>
      </c>
      <c r="ASB3" s="18" t="str">
        <f>IF(ARY4&gt;0,ASB4/ARY4,"")</f>
        <v/>
      </c>
      <c r="ASC3" s="18" t="str">
        <f>IF(ARY4&gt;0,ASC4/ARY4,"")</f>
        <v/>
      </c>
      <c r="ASD3" s="18" t="str">
        <f>IF(ARY4&gt;0,ASD4/ARY4,"")</f>
        <v/>
      </c>
      <c r="ASE3" s="18" t="str">
        <f>IF(ARY4&gt;0,ASE4/ARY4,"")</f>
        <v/>
      </c>
      <c r="ASF3" s="18" t="str">
        <f>IF(ARY4&gt;0,ASF4/ARY4,"")</f>
        <v/>
      </c>
      <c r="ASG3" s="18" t="str">
        <f>IF(ARY4&gt;0,ASG4/ARY4,"")</f>
        <v/>
      </c>
      <c r="ASH3" s="18" t="str">
        <f>IF(ARY4&gt;0,ASH4/ARY4,"")</f>
        <v/>
      </c>
      <c r="ASI3" s="18" t="str">
        <f>IF(ARY4&gt;0,ASI4/ARY4,"")</f>
        <v/>
      </c>
      <c r="ASJ3" s="18" t="str">
        <f>IF(ARY4&gt;0,ASJ4/ARY4,"")</f>
        <v/>
      </c>
      <c r="ASK3" s="18" t="str">
        <f>IF(ARY4&gt;0,ASK4/ARY4,"")</f>
        <v/>
      </c>
      <c r="ASL3" s="18" t="str">
        <f>IF(ARY4&gt;0,ASL4/ARY4,"")</f>
        <v/>
      </c>
      <c r="ASM3" s="18" t="str">
        <f>IF(ARY4&gt;0,ASM4/ARY4,"")</f>
        <v/>
      </c>
      <c r="ASN3" s="18" t="str">
        <f>IF(ARY4&gt;0,ASN4/ARY4,"")</f>
        <v/>
      </c>
      <c r="ASO3" s="18" t="str">
        <f>IF(ARY4&gt;0,ASO4/ARY4,"")</f>
        <v/>
      </c>
      <c r="ASP3" s="18" t="str">
        <f>IF(ARY4&gt;0,ASP4/ARY4,"")</f>
        <v/>
      </c>
      <c r="ASQ3" s="18" t="str">
        <f>IF(ARY4&gt;0,ASQ4/ARY4,"")</f>
        <v/>
      </c>
      <c r="ASR3" s="18" t="str">
        <f>IF(ARY4&gt;0,ASR4/ARY4,"")</f>
        <v/>
      </c>
      <c r="ASS3" s="18" t="str">
        <f>IF(ARY4&gt;0,ASS4/ARY4,"")</f>
        <v/>
      </c>
      <c r="AST3" s="18" t="str">
        <f>IF(ARY4&gt;0,AST4/ARY4,"")</f>
        <v/>
      </c>
      <c r="ASU3" s="18" t="str">
        <f>IF(ARY4&gt;0,ASU4/ARY4,"")</f>
        <v/>
      </c>
      <c r="ASV3" s="18" t="str">
        <f>IF(ARY4&gt;0,ASV4/ARY4,"")</f>
        <v/>
      </c>
      <c r="ASW3" s="18" t="str">
        <f>IF(ARY4&gt;0,ASW4/ARY4,"")</f>
        <v/>
      </c>
      <c r="ASX3" s="18" t="str">
        <f>IF(ARY4&gt;0,ASX4/ARY4,"")</f>
        <v/>
      </c>
      <c r="ASY3" s="18" t="str">
        <f>IF(ARY4&gt;0,ASY4/ARY4,"")</f>
        <v/>
      </c>
      <c r="ASZ3" s="18" t="str">
        <f>IF(ARY4&gt;0,ASZ4/ARY4,"")</f>
        <v/>
      </c>
      <c r="ATA3" s="18" t="str">
        <f>IF(ARY4&gt;0,ATA4/ARY4,"")</f>
        <v/>
      </c>
      <c r="ATB3" s="18" t="str">
        <f>IF(ARY4&gt;0,ATB4/ARY4,"")</f>
        <v/>
      </c>
      <c r="ATC3" s="18" t="str">
        <f>IF(ARY4&gt;0,ATC4/ARY4,"")</f>
        <v/>
      </c>
      <c r="ATE3" s="18" t="str">
        <f>IF(ATD4&gt;0,ATE4/ATD4,"")</f>
        <v/>
      </c>
      <c r="ATF3" s="18" t="str">
        <f>IF(ATD4&gt;0,ATF4/ATD4,"")</f>
        <v/>
      </c>
      <c r="ATG3" s="18" t="str">
        <f>IF(ATD4&gt;0,ATG4/ATD4,"")</f>
        <v/>
      </c>
      <c r="ATH3" s="18" t="str">
        <f>IF(ATD4&gt;0,ATH4/ATD4,"")</f>
        <v/>
      </c>
      <c r="ATI3" s="18" t="str">
        <f>IF(ATD4&gt;0,ATI4/ATD4,"")</f>
        <v/>
      </c>
      <c r="ATJ3" s="18" t="str">
        <f>IF(ATD4&gt;0,ATJ4/ATD4,"")</f>
        <v/>
      </c>
      <c r="ATK3" s="18" t="str">
        <f>IF(ATD4&gt;0,ATK4/ATD4,"")</f>
        <v/>
      </c>
      <c r="ATL3" s="18" t="str">
        <f>IF(ATD4&gt;0,ATL4/ATD4,"")</f>
        <v/>
      </c>
      <c r="ATM3" s="18" t="str">
        <f>IF(ATD4&gt;0,ATM4/ATD4,"")</f>
        <v/>
      </c>
      <c r="ATN3" s="18" t="str">
        <f>IF(ATD4&gt;0,ATN4/ATD4,"")</f>
        <v/>
      </c>
      <c r="ATO3" s="18" t="str">
        <f>IF(ATD4&gt;0,ATO4/ATD4,"")</f>
        <v/>
      </c>
      <c r="ATP3" s="18" t="str">
        <f>IF(ATD4&gt;0,ATP4/ATD4,"")</f>
        <v/>
      </c>
      <c r="ATQ3" s="18" t="str">
        <f>IF(ATD4&gt;0,ATQ4/ATD4,"")</f>
        <v/>
      </c>
      <c r="ATR3" s="18" t="str">
        <f>IF(ATD4&gt;0,ATR4/ATD4,"")</f>
        <v/>
      </c>
      <c r="ATS3" s="18" t="str">
        <f>IF(ATD4&gt;0,ATS4/ATD4,"")</f>
        <v/>
      </c>
      <c r="ATT3" s="18" t="str">
        <f>IF(ATD4&gt;0,ATT4/ATD4,"")</f>
        <v/>
      </c>
      <c r="ATU3" s="18" t="str">
        <f>IF(ATD4&gt;0,ATU4/ATD4,"")</f>
        <v/>
      </c>
      <c r="ATV3" s="18" t="str">
        <f>IF(ATD4&gt;0,ATV4/ATD4,"")</f>
        <v/>
      </c>
      <c r="ATW3" s="18" t="str">
        <f>IF(ATD4&gt;0,ATW4/ATD4,"")</f>
        <v/>
      </c>
      <c r="ATX3" s="18" t="str">
        <f>IF(ATD4&gt;0,ATX4/ATD4,"")</f>
        <v/>
      </c>
      <c r="ATY3" s="18" t="str">
        <f>IF(ATD4&gt;0,ATY4/ATD4,"")</f>
        <v/>
      </c>
      <c r="ATZ3" s="18" t="str">
        <f>IF(ATD4&gt;0,ATZ4/ATD4,"")</f>
        <v/>
      </c>
      <c r="AUA3" s="18" t="str">
        <f>IF(ATD4&gt;0,AUA4/ATD4,"")</f>
        <v/>
      </c>
      <c r="AUB3" s="18" t="str">
        <f>IF(ATD4&gt;0,AUB4/ATD4,"")</f>
        <v/>
      </c>
      <c r="AUC3" s="18" t="str">
        <f>IF(ATD4&gt;0,AUC4/ATD4,"")</f>
        <v/>
      </c>
      <c r="AUD3" s="18" t="str">
        <f>IF(ATD4&gt;0,AUD4/ATD4,"")</f>
        <v/>
      </c>
      <c r="AUE3" s="18" t="str">
        <f>IF(ATD4&gt;0,AUE4/ATD4,"")</f>
        <v/>
      </c>
      <c r="AUF3" s="18" t="str">
        <f>IF(ATD4&gt;0,AUF4/ATD4,"")</f>
        <v/>
      </c>
      <c r="AUG3" s="18" t="str">
        <f>IF(ATD4&gt;0,AUG4/ATD4,"")</f>
        <v/>
      </c>
      <c r="AUH3" s="18" t="str">
        <f>IF(ATD4&gt;0,AUH4/ATD4,"")</f>
        <v/>
      </c>
      <c r="AUJ3" s="18" t="str">
        <f>IF(AUI4&gt;0,AUJ4/AUI4,"")</f>
        <v/>
      </c>
      <c r="AUK3" s="18" t="str">
        <f>IF(AUI4&gt;0,AUK4/AUI4,"")</f>
        <v/>
      </c>
      <c r="AUL3" s="18" t="str">
        <f>IF(AUI4&gt;0,AUL4/AUI4,"")</f>
        <v/>
      </c>
      <c r="AUM3" s="18" t="str">
        <f>IF(AUI4&gt;0,AUM4/AUI4,"")</f>
        <v/>
      </c>
      <c r="AUN3" s="18" t="str">
        <f>IF(AUI4&gt;0,AUN4/AUI4,"")</f>
        <v/>
      </c>
      <c r="AUO3" s="18" t="str">
        <f>IF(AUI4&gt;0,AUO4/AUI4,"")</f>
        <v/>
      </c>
      <c r="AUP3" s="18" t="str">
        <f>IF(AUI4&gt;0,AUP4/AUI4,"")</f>
        <v/>
      </c>
      <c r="AUQ3" s="18" t="str">
        <f>IF(AUI4&gt;0,AUQ4/AUI4,"")</f>
        <v/>
      </c>
      <c r="AUR3" s="18" t="str">
        <f>IF(AUI4&gt;0,AUR4/AUI4,"")</f>
        <v/>
      </c>
      <c r="AUS3" s="18" t="str">
        <f>IF(AUI4&gt;0,AUS4/AUI4,"")</f>
        <v/>
      </c>
      <c r="AUT3" s="18" t="str">
        <f>IF(AUI4&gt;0,AUT4/AUI4,"")</f>
        <v/>
      </c>
      <c r="AUU3" s="18" t="str">
        <f>IF(AUI4&gt;0,AUU4/AUI4,"")</f>
        <v/>
      </c>
      <c r="AUV3" s="18" t="str">
        <f>IF(AUI4&gt;0,AUV4/AUI4,"")</f>
        <v/>
      </c>
      <c r="AUW3" s="18" t="str">
        <f>IF(AUI4&gt;0,AUW4/AUI4,"")</f>
        <v/>
      </c>
      <c r="AUX3" s="18" t="str">
        <f>IF(AUI4&gt;0,AUX4/AUI4,"")</f>
        <v/>
      </c>
      <c r="AUY3" s="18" t="str">
        <f>IF(AUI4&gt;0,AUY4/AUI4,"")</f>
        <v/>
      </c>
      <c r="AUZ3" s="18" t="str">
        <f>IF(AUI4&gt;0,AUZ4/AUI4,"")</f>
        <v/>
      </c>
      <c r="AVA3" s="18" t="str">
        <f>IF(AUI4&gt;0,AVA4/AUI4,"")</f>
        <v/>
      </c>
      <c r="AVB3" s="18" t="str">
        <f>IF(AUI4&gt;0,AVB4/AUI4,"")</f>
        <v/>
      </c>
      <c r="AVC3" s="18" t="str">
        <f>IF(AUI4&gt;0,AVC4/AUI4,"")</f>
        <v/>
      </c>
      <c r="AVD3" s="18" t="str">
        <f>IF(AUI4&gt;0,AVD4/AUI4,"")</f>
        <v/>
      </c>
      <c r="AVE3" s="18" t="str">
        <f>IF(AUI4&gt;0,AVE4/AUI4,"")</f>
        <v/>
      </c>
      <c r="AVF3" s="18" t="str">
        <f>IF(AUI4&gt;0,AVF4/AUI4,"")</f>
        <v/>
      </c>
      <c r="AVG3" s="18" t="str">
        <f>IF(AUI4&gt;0,AVG4/AUI4,"")</f>
        <v/>
      </c>
      <c r="AVH3" s="18" t="str">
        <f>IF(AUI4&gt;0,AVH4/AUI4,"")</f>
        <v/>
      </c>
      <c r="AVI3" s="18" t="str">
        <f>IF(AUI4&gt;0,AVI4/AUI4,"")</f>
        <v/>
      </c>
      <c r="AVJ3" s="18" t="str">
        <f>IF(AUI4&gt;0,AVJ4/AUI4,"")</f>
        <v/>
      </c>
      <c r="AVK3" s="18" t="str">
        <f>IF(AUI4&gt;0,AVK4/AUI4,"")</f>
        <v/>
      </c>
      <c r="AVL3" s="18" t="str">
        <f>IF(AUI4&gt;0,AVL4/AUI4,"")</f>
        <v/>
      </c>
      <c r="AVM3" s="18" t="str">
        <f>IF(AUI4&gt;0,AVM4/AUI4,"")</f>
        <v/>
      </c>
      <c r="AVO3" s="18" t="str">
        <f>IF(AVN4&gt;0,AVO4/AVN4,"")</f>
        <v/>
      </c>
      <c r="AVP3" s="18" t="str">
        <f>IF(AVN4&gt;0,AVP4/AVN4,"")</f>
        <v/>
      </c>
      <c r="AVQ3" s="18" t="str">
        <f>IF(AVN4&gt;0,AVQ4/AVN4,"")</f>
        <v/>
      </c>
      <c r="AVR3" s="18" t="str">
        <f>IF(AVN4&gt;0,AVR4/AVN4,"")</f>
        <v/>
      </c>
      <c r="AVS3" s="18" t="str">
        <f>IF(AVN4&gt;0,AVS4/AVN4,"")</f>
        <v/>
      </c>
      <c r="AVT3" s="18" t="str">
        <f>IF(AVN4&gt;0,AVT4/AVN4,"")</f>
        <v/>
      </c>
      <c r="AVU3" s="18" t="str">
        <f>IF(AVN4&gt;0,AVU4/AVN4,"")</f>
        <v/>
      </c>
      <c r="AVV3" s="18" t="str">
        <f>IF(AVN4&gt;0,AVV4/AVN4,"")</f>
        <v/>
      </c>
      <c r="AVW3" s="18" t="str">
        <f>IF(AVN4&gt;0,AVW4/AVN4,"")</f>
        <v/>
      </c>
      <c r="AVX3" s="18" t="str">
        <f>IF(AVN4&gt;0,AVX4/AVN4,"")</f>
        <v/>
      </c>
      <c r="AVY3" s="18" t="str">
        <f>IF(AVN4&gt;0,AVY4/AVN4,"")</f>
        <v/>
      </c>
      <c r="AVZ3" s="18" t="str">
        <f>IF(AVN4&gt;0,AVZ4/AVN4,"")</f>
        <v/>
      </c>
      <c r="AWA3" s="18" t="str">
        <f>IF(AVN4&gt;0,AWA4/AVN4,"")</f>
        <v/>
      </c>
      <c r="AWB3" s="18" t="str">
        <f>IF(AVN4&gt;0,AWB4/AVN4,"")</f>
        <v/>
      </c>
      <c r="AWC3" s="18" t="str">
        <f>IF(AVN4&gt;0,AWC4/AVN4,"")</f>
        <v/>
      </c>
      <c r="AWD3" s="18" t="str">
        <f>IF(AVN4&gt;0,AWD4/AVN4,"")</f>
        <v/>
      </c>
      <c r="AWE3" s="18" t="str">
        <f>IF(AVN4&gt;0,AWE4/AVN4,"")</f>
        <v/>
      </c>
      <c r="AWF3" s="18" t="str">
        <f>IF(AVN4&gt;0,AWF4/AVN4,"")</f>
        <v/>
      </c>
      <c r="AWG3" s="18" t="str">
        <f>IF(AVN4&gt;0,AWG4/AVN4,"")</f>
        <v/>
      </c>
      <c r="AWH3" s="18" t="str">
        <f>IF(AVN4&gt;0,AWH4/AVN4,"")</f>
        <v/>
      </c>
      <c r="AWI3" s="18" t="str">
        <f>IF(AVN4&gt;0,AWI4/AVN4,"")</f>
        <v/>
      </c>
      <c r="AWJ3" s="18" t="str">
        <f>IF(AVN4&gt;0,AWJ4/AVN4,"")</f>
        <v/>
      </c>
      <c r="AWK3" s="18" t="str">
        <f>IF(AVN4&gt;0,AWK4/AVN4,"")</f>
        <v/>
      </c>
      <c r="AWL3" s="18" t="str">
        <f>IF(AVN4&gt;0,AWL4/AVN4,"")</f>
        <v/>
      </c>
      <c r="AWM3" s="18" t="str">
        <f>IF(AVN4&gt;0,AWM4/AVN4,"")</f>
        <v/>
      </c>
      <c r="AWN3" s="18" t="str">
        <f>IF(AVN4&gt;0,AWN4/AVN4,"")</f>
        <v/>
      </c>
      <c r="AWO3" s="18" t="str">
        <f>IF(AVN4&gt;0,AWO4/AVN4,"")</f>
        <v/>
      </c>
      <c r="AWP3" s="18" t="str">
        <f>IF(AVN4&gt;0,AWP4/AVN4,"")</f>
        <v/>
      </c>
      <c r="AWQ3" s="18" t="str">
        <f>IF(AVN4&gt;0,AWQ4/AVN4,"")</f>
        <v/>
      </c>
      <c r="AWR3" s="18" t="str">
        <f>IF(AVN4&gt;0,AWR4/AVN4,"")</f>
        <v/>
      </c>
      <c r="AWT3" s="18" t="str">
        <f>IF(AWS4&gt;0,AWT4/AWS4,"")</f>
        <v/>
      </c>
      <c r="AWU3" s="18" t="str">
        <f>IF(AWS4&gt;0,AWU4/AWS4,"")</f>
        <v/>
      </c>
      <c r="AWV3" s="18" t="str">
        <f>IF(AWS4&gt;0,AWV4/AWS4,"")</f>
        <v/>
      </c>
      <c r="AWW3" s="18" t="str">
        <f>IF(AWS4&gt;0,AWW4/AWS4,"")</f>
        <v/>
      </c>
      <c r="AWX3" s="18" t="str">
        <f>IF(AWS4&gt;0,AWX4/AWS4,"")</f>
        <v/>
      </c>
      <c r="AWY3" s="18" t="str">
        <f>IF(AWS4&gt;0,AWY4/AWS4,"")</f>
        <v/>
      </c>
      <c r="AWZ3" s="18" t="str">
        <f>IF(AWS4&gt;0,AWZ4/AWS4,"")</f>
        <v/>
      </c>
      <c r="AXA3" s="18" t="str">
        <f>IF(AWS4&gt;0,AXA4/AWS4,"")</f>
        <v/>
      </c>
      <c r="AXB3" s="18" t="str">
        <f>IF(AWS4&gt;0,AXB4/AWS4,"")</f>
        <v/>
      </c>
      <c r="AXC3" s="18" t="str">
        <f>IF(AWS4&gt;0,AXC4/AWS4,"")</f>
        <v/>
      </c>
      <c r="AXD3" s="18" t="str">
        <f>IF(AWS4&gt;0,AXD4/AWS4,"")</f>
        <v/>
      </c>
      <c r="AXE3" s="18" t="str">
        <f>IF(AWS4&gt;0,AXE4/AWS4,"")</f>
        <v/>
      </c>
      <c r="AXF3" s="18" t="str">
        <f>IF(AWS4&gt;0,AXF4/AWS4,"")</f>
        <v/>
      </c>
      <c r="AXG3" s="18" t="str">
        <f>IF(AWS4&gt;0,AXG4/AWS4,"")</f>
        <v/>
      </c>
      <c r="AXH3" s="18" t="str">
        <f>IF(AWS4&gt;0,AXH4/AWS4,"")</f>
        <v/>
      </c>
      <c r="AXI3" s="18" t="str">
        <f>IF(AWS4&gt;0,AXI4/AWS4,"")</f>
        <v/>
      </c>
      <c r="AXJ3" s="18" t="str">
        <f>IF(AWS4&gt;0,AXJ4/AWS4,"")</f>
        <v/>
      </c>
      <c r="AXK3" s="18" t="str">
        <f>IF(AWS4&gt;0,AXK4/AWS4,"")</f>
        <v/>
      </c>
      <c r="AXL3" s="18" t="str">
        <f>IF(AWS4&gt;0,AXL4/AWS4,"")</f>
        <v/>
      </c>
      <c r="AXM3" s="18" t="str">
        <f>IF(AWS4&gt;0,AXM4/AWS4,"")</f>
        <v/>
      </c>
      <c r="AXN3" s="18" t="str">
        <f>IF(AWS4&gt;0,AXN4/AWS4,"")</f>
        <v/>
      </c>
      <c r="AXO3" s="18" t="str">
        <f>IF(AWS4&gt;0,AXO4/AWS4,"")</f>
        <v/>
      </c>
      <c r="AXP3" s="18" t="str">
        <f>IF(AWS4&gt;0,AXP4/AWS4,"")</f>
        <v/>
      </c>
      <c r="AXQ3" s="18" t="str">
        <f>IF(AWS4&gt;0,AXQ4/AWS4,"")</f>
        <v/>
      </c>
      <c r="AXR3" s="18" t="str">
        <f>IF(AWS4&gt;0,AXR4/AWS4,"")</f>
        <v/>
      </c>
      <c r="AXS3" s="18" t="str">
        <f>IF(AWS4&gt;0,AXS4/AWS4,"")</f>
        <v/>
      </c>
      <c r="AXT3" s="18" t="str">
        <f>IF(AWS4&gt;0,AXT4/AWS4,"")</f>
        <v/>
      </c>
      <c r="AXU3" s="18" t="str">
        <f>IF(AWS4&gt;0,AXU4/AWS4,"")</f>
        <v/>
      </c>
      <c r="AXV3" s="18" t="str">
        <f>IF(AWS4&gt;0,AXV4/AWS4,"")</f>
        <v/>
      </c>
      <c r="AXW3" s="18" t="str">
        <f>IF(AWS4&gt;0,AXW4/AWS4,"")</f>
        <v/>
      </c>
      <c r="AXY3" s="18" t="str">
        <f>IF(AXX4&gt;0,AXY4/AXX4,"")</f>
        <v/>
      </c>
      <c r="AXZ3" s="18" t="str">
        <f>IF(AXX4&gt;0,AXZ4/AXX4,"")</f>
        <v/>
      </c>
      <c r="AYA3" s="18" t="str">
        <f>IF(AXX4&gt;0,AYA4/AXX4,"")</f>
        <v/>
      </c>
      <c r="AYB3" s="18" t="str">
        <f>IF(AXX4&gt;0,AYB4/AXX4,"")</f>
        <v/>
      </c>
      <c r="AYC3" s="18" t="str">
        <f>IF(AXX4&gt;0,AYC4/AXX4,"")</f>
        <v/>
      </c>
      <c r="AYD3" s="18" t="str">
        <f>IF(AXX4&gt;0,AYD4/AXX4,"")</f>
        <v/>
      </c>
      <c r="AYE3" s="18" t="str">
        <f>IF(AXX4&gt;0,AYE4/AXX4,"")</f>
        <v/>
      </c>
      <c r="AYF3" s="18" t="str">
        <f>IF(AXX4&gt;0,AYF4/AXX4,"")</f>
        <v/>
      </c>
      <c r="AYG3" s="18" t="str">
        <f>IF(AXX4&gt;0,AYG4/AXX4,"")</f>
        <v/>
      </c>
      <c r="AYH3" s="18" t="str">
        <f>IF(AXX4&gt;0,AYH4/AXX4,"")</f>
        <v/>
      </c>
      <c r="AYI3" s="18" t="str">
        <f>IF(AXX4&gt;0,AYI4/AXX4,"")</f>
        <v/>
      </c>
      <c r="AYJ3" s="18" t="str">
        <f>IF(AXX4&gt;0,AYJ4/AXX4,"")</f>
        <v/>
      </c>
      <c r="AYK3" s="18" t="str">
        <f>IF(AXX4&gt;0,AYK4/AXX4,"")</f>
        <v/>
      </c>
      <c r="AYL3" s="18" t="str">
        <f>IF(AXX4&gt;0,AYL4/AXX4,"")</f>
        <v/>
      </c>
      <c r="AYM3" s="18" t="str">
        <f>IF(AXX4&gt;0,AYM4/AXX4,"")</f>
        <v/>
      </c>
      <c r="AYN3" s="18" t="str">
        <f>IF(AXX4&gt;0,AYN4/AXX4,"")</f>
        <v/>
      </c>
      <c r="AYO3" s="18" t="str">
        <f>IF(AXX4&gt;0,AYO4/AXX4,"")</f>
        <v/>
      </c>
      <c r="AYP3" s="18" t="str">
        <f>IF(AXX4&gt;0,AYP4/AXX4,"")</f>
        <v/>
      </c>
      <c r="AYQ3" s="18" t="str">
        <f>IF(AXX4&gt;0,AYQ4/AXX4,"")</f>
        <v/>
      </c>
      <c r="AYR3" s="18" t="str">
        <f>IF(AXX4&gt;0,AYR4/AXX4,"")</f>
        <v/>
      </c>
      <c r="AYS3" s="18" t="str">
        <f>IF(AXX4&gt;0,AYS4/AXX4,"")</f>
        <v/>
      </c>
      <c r="AYT3" s="18" t="str">
        <f>IF(AXX4&gt;0,AYT4/AXX4,"")</f>
        <v/>
      </c>
      <c r="AYU3" s="18" t="str">
        <f>IF(AXX4&gt;0,AYU4/AXX4,"")</f>
        <v/>
      </c>
      <c r="AYV3" s="18" t="str">
        <f>IF(AXX4&gt;0,AYV4/AXX4,"")</f>
        <v/>
      </c>
      <c r="AYW3" s="18" t="str">
        <f>IF(AXX4&gt;0,AYW4/AXX4,"")</f>
        <v/>
      </c>
      <c r="AYX3" s="18" t="str">
        <f>IF(AXX4&gt;0,AYX4/AXX4,"")</f>
        <v/>
      </c>
      <c r="AYY3" s="18" t="str">
        <f>IF(AXX4&gt;0,AYY4/AXX4,"")</f>
        <v/>
      </c>
      <c r="AYZ3" s="18" t="str">
        <f>IF(AXX4&gt;0,AYZ4/AXX4,"")</f>
        <v/>
      </c>
      <c r="AZA3" s="18" t="str">
        <f>IF(AXX4&gt;0,AZA4/AXX4,"")</f>
        <v/>
      </c>
      <c r="AZB3" s="18" t="str">
        <f>IF(AXX4&gt;0,AZB4/AXX4,"")</f>
        <v/>
      </c>
      <c r="AZD3" s="18" t="str">
        <f>IF(AZC4&gt;0,AZD4/AZC4,"")</f>
        <v/>
      </c>
      <c r="AZE3" s="18" t="str">
        <f>IF(AZC4&gt;0,AZE4/AZC4,"")</f>
        <v/>
      </c>
      <c r="AZF3" s="18" t="str">
        <f>IF(AZC4&gt;0,AZF4/AZC4,"")</f>
        <v/>
      </c>
      <c r="AZG3" s="18" t="str">
        <f>IF(AZC4&gt;0,AZG4/AZC4,"")</f>
        <v/>
      </c>
      <c r="AZH3" s="18" t="str">
        <f>IF(AZC4&gt;0,AZH4/AZC4,"")</f>
        <v/>
      </c>
      <c r="AZI3" s="18" t="str">
        <f>IF(AZC4&gt;0,AZI4/AZC4,"")</f>
        <v/>
      </c>
      <c r="AZJ3" s="18" t="str">
        <f>IF(AZC4&gt;0,AZJ4/AZC4,"")</f>
        <v/>
      </c>
      <c r="AZK3" s="18" t="str">
        <f>IF(AZC4&gt;0,AZK4/AZC4,"")</f>
        <v/>
      </c>
      <c r="AZL3" s="18" t="str">
        <f>IF(AZC4&gt;0,AZL4/AZC4,"")</f>
        <v/>
      </c>
      <c r="AZM3" s="18" t="str">
        <f>IF(AZC4&gt;0,AZM4/AZC4,"")</f>
        <v/>
      </c>
      <c r="AZN3" s="18" t="str">
        <f>IF(AZC4&gt;0,AZN4/AZC4,"")</f>
        <v/>
      </c>
      <c r="AZO3" s="18" t="str">
        <f>IF(AZC4&gt;0,AZO4/AZC4,"")</f>
        <v/>
      </c>
      <c r="AZP3" s="18" t="str">
        <f>IF(AZC4&gt;0,AZP4/AZC4,"")</f>
        <v/>
      </c>
      <c r="AZQ3" s="18" t="str">
        <f>IF(AZC4&gt;0,AZQ4/AZC4,"")</f>
        <v/>
      </c>
      <c r="AZR3" s="18" t="str">
        <f>IF(AZC4&gt;0,AZR4/AZC4,"")</f>
        <v/>
      </c>
      <c r="AZS3" s="18" t="str">
        <f>IF(AZC4&gt;0,AZS4/AZC4,"")</f>
        <v/>
      </c>
      <c r="AZT3" s="18" t="str">
        <f>IF(AZC4&gt;0,AZT4/AZC4,"")</f>
        <v/>
      </c>
      <c r="AZU3" s="18" t="str">
        <f>IF(AZC4&gt;0,AZU4/AZC4,"")</f>
        <v/>
      </c>
      <c r="AZV3" s="18" t="str">
        <f>IF(AZC4&gt;0,AZV4/AZC4,"")</f>
        <v/>
      </c>
      <c r="AZW3" s="18" t="str">
        <f>IF(AZC4&gt;0,AZW4/AZC4,"")</f>
        <v/>
      </c>
      <c r="AZX3" s="18" t="str">
        <f>IF(AZC4&gt;0,AZX4/AZC4,"")</f>
        <v/>
      </c>
      <c r="AZY3" s="18" t="str">
        <f>IF(AZC4&gt;0,AZY4/AZC4,"")</f>
        <v/>
      </c>
      <c r="AZZ3" s="18" t="str">
        <f>IF(AZC4&gt;0,AZZ4/AZC4,"")</f>
        <v/>
      </c>
      <c r="BAA3" s="18" t="str">
        <f>IF(AZC4&gt;0,BAA4/AZC4,"")</f>
        <v/>
      </c>
      <c r="BAB3" s="18" t="str">
        <f>IF(AZC4&gt;0,BAB4/AZC4,"")</f>
        <v/>
      </c>
      <c r="BAC3" s="18" t="str">
        <f>IF(AZC4&gt;0,BAC4/AZC4,"")</f>
        <v/>
      </c>
      <c r="BAD3" s="18" t="str">
        <f>IF(AZC4&gt;0,BAD4/AZC4,"")</f>
        <v/>
      </c>
      <c r="BAE3" s="18" t="str">
        <f>IF(AZC4&gt;0,BAE4/AZC4,"")</f>
        <v/>
      </c>
      <c r="BAF3" s="18" t="str">
        <f>IF(AZC4&gt;0,BAF4/AZC4,"")</f>
        <v/>
      </c>
      <c r="BAG3" s="18" t="str">
        <f>IF(AZC4&gt;0,BAG4/AZC4,"")</f>
        <v/>
      </c>
      <c r="BAI3" s="18" t="str">
        <f>IF(BAH4&gt;0,BAI4/BAH4,"")</f>
        <v/>
      </c>
      <c r="BAJ3" s="18" t="str">
        <f>IF(BAH4&gt;0,BAJ4/BAH4,"")</f>
        <v/>
      </c>
      <c r="BAK3" s="18" t="str">
        <f>IF(BAH4&gt;0,BAK4/BAH4,"")</f>
        <v/>
      </c>
      <c r="BAL3" s="18" t="str">
        <f>IF(BAH4&gt;0,BAL4/BAH4,"")</f>
        <v/>
      </c>
      <c r="BAM3" s="18" t="str">
        <f>IF(BAH4&gt;0,BAM4/BAH4,"")</f>
        <v/>
      </c>
      <c r="BAN3" s="18" t="str">
        <f>IF(BAH4&gt;0,BAN4/BAH4,"")</f>
        <v/>
      </c>
      <c r="BAO3" s="18" t="str">
        <f>IF(BAH4&gt;0,BAO4/BAH4,"")</f>
        <v/>
      </c>
      <c r="BAP3" s="18" t="str">
        <f>IF(BAH4&gt;0,BAP4/BAH4,"")</f>
        <v/>
      </c>
      <c r="BAQ3" s="18" t="str">
        <f>IF(BAH4&gt;0,BAQ4/BAH4,"")</f>
        <v/>
      </c>
      <c r="BAR3" s="18" t="str">
        <f>IF(BAH4&gt;0,BAR4/BAH4,"")</f>
        <v/>
      </c>
      <c r="BAS3" s="18" t="str">
        <f>IF(BAH4&gt;0,BAS4/BAH4,"")</f>
        <v/>
      </c>
      <c r="BAT3" s="18" t="str">
        <f>IF(BAH4&gt;0,BAT4/BAH4,"")</f>
        <v/>
      </c>
      <c r="BAU3" s="18" t="str">
        <f>IF(BAH4&gt;0,BAU4/BAH4,"")</f>
        <v/>
      </c>
      <c r="BAV3" s="18" t="str">
        <f>IF(BAH4&gt;0,BAV4/BAH4,"")</f>
        <v/>
      </c>
      <c r="BAW3" s="18" t="str">
        <f>IF(BAH4&gt;0,BAW4/BAH4,"")</f>
        <v/>
      </c>
      <c r="BAX3" s="18" t="str">
        <f>IF(BAH4&gt;0,BAX4/BAH4,"")</f>
        <v/>
      </c>
      <c r="BAY3" s="18" t="str">
        <f>IF(BAH4&gt;0,BAY4/BAH4,"")</f>
        <v/>
      </c>
      <c r="BAZ3" s="18" t="str">
        <f>IF(BAH4&gt;0,BAZ4/BAH4,"")</f>
        <v/>
      </c>
      <c r="BBA3" s="18" t="str">
        <f>IF(BAH4&gt;0,BBA4/BAH4,"")</f>
        <v/>
      </c>
      <c r="BBB3" s="18" t="str">
        <f>IF(BAH4&gt;0,BBB4/BAH4,"")</f>
        <v/>
      </c>
      <c r="BBC3" s="18" t="str">
        <f>IF(BAH4&gt;0,BBC4/BAH4,"")</f>
        <v/>
      </c>
      <c r="BBD3" s="18" t="str">
        <f>IF(BAH4&gt;0,BBD4/BAH4,"")</f>
        <v/>
      </c>
      <c r="BBE3" s="18" t="str">
        <f>IF(BAH4&gt;0,BBE4/BAH4,"")</f>
        <v/>
      </c>
      <c r="BBF3" s="18" t="str">
        <f>IF(BAH4&gt;0,BBF4/BAH4,"")</f>
        <v/>
      </c>
      <c r="BBG3" s="18" t="str">
        <f>IF(BAH4&gt;0,BBG4/BAH4,"")</f>
        <v/>
      </c>
      <c r="BBH3" s="18" t="str">
        <f>IF(BAH4&gt;0,BBH4/BAH4,"")</f>
        <v/>
      </c>
      <c r="BBI3" s="18" t="str">
        <f>IF(BAH4&gt;0,BBI4/BAH4,"")</f>
        <v/>
      </c>
      <c r="BBJ3" s="18" t="str">
        <f>IF(BAH4&gt;0,BBJ4/BAH4,"")</f>
        <v/>
      </c>
      <c r="BBK3" s="18" t="str">
        <f>IF(BAH4&gt;0,BBK4/BAH4,"")</f>
        <v/>
      </c>
      <c r="BBL3" s="18" t="str">
        <f>IF(BAH4&gt;0,BBL4/BAH4,"")</f>
        <v/>
      </c>
      <c r="BBN3" s="18" t="str">
        <f>IF(BBM4&gt;0,BBN4/BBM4,"")</f>
        <v/>
      </c>
      <c r="BBO3" s="18" t="str">
        <f>IF(BBM4&gt;0,BBO4/BBM4,"")</f>
        <v/>
      </c>
      <c r="BBP3" s="18" t="str">
        <f>IF(BBM4&gt;0,BBP4/BBM4,"")</f>
        <v/>
      </c>
      <c r="BBQ3" s="18" t="str">
        <f>IF(BBM4&gt;0,BBQ4/BBM4,"")</f>
        <v/>
      </c>
      <c r="BBR3" s="18" t="str">
        <f>IF(BBM4&gt;0,BBR4/BBM4,"")</f>
        <v/>
      </c>
      <c r="BBS3" s="18" t="str">
        <f>IF(BBM4&gt;0,BBS4/BBM4,"")</f>
        <v/>
      </c>
      <c r="BBT3" s="18" t="str">
        <f>IF(BBM4&gt;0,BBT4/BBM4,"")</f>
        <v/>
      </c>
      <c r="BBU3" s="18" t="str">
        <f>IF(BBM4&gt;0,BBU4/BBM4,"")</f>
        <v/>
      </c>
      <c r="BBV3" s="18" t="str">
        <f>IF(BBM4&gt;0,BBV4/BBM4,"")</f>
        <v/>
      </c>
      <c r="BBW3" s="18" t="str">
        <f>IF(BBM4&gt;0,BBW4/BBM4,"")</f>
        <v/>
      </c>
      <c r="BBX3" s="18" t="str">
        <f>IF(BBM4&gt;0,BBX4/BBM4,"")</f>
        <v/>
      </c>
      <c r="BBY3" s="18" t="str">
        <f>IF(BBM4&gt;0,BBY4/BBM4,"")</f>
        <v/>
      </c>
      <c r="BBZ3" s="18" t="str">
        <f>IF(BBM4&gt;0,BBZ4/BBM4,"")</f>
        <v/>
      </c>
      <c r="BCA3" s="18" t="str">
        <f>IF(BBM4&gt;0,BCA4/BBM4,"")</f>
        <v/>
      </c>
      <c r="BCB3" s="18" t="str">
        <f>IF(BBM4&gt;0,BCB4/BBM4,"")</f>
        <v/>
      </c>
      <c r="BCC3" s="18" t="str">
        <f>IF(BBM4&gt;0,BCC4/BBM4,"")</f>
        <v/>
      </c>
      <c r="BCD3" s="18" t="str">
        <f>IF(BBM4&gt;0,BCD4/BBM4,"")</f>
        <v/>
      </c>
      <c r="BCE3" s="18" t="str">
        <f>IF(BBM4&gt;0,BCE4/BBM4,"")</f>
        <v/>
      </c>
      <c r="BCF3" s="18" t="str">
        <f>IF(BBM4&gt;0,BCF4/BBM4,"")</f>
        <v/>
      </c>
      <c r="BCG3" s="18" t="str">
        <f>IF(BBM4&gt;0,BCG4/BBM4,"")</f>
        <v/>
      </c>
      <c r="BCH3" s="18" t="str">
        <f>IF(BBM4&gt;0,BCH4/BBM4,"")</f>
        <v/>
      </c>
      <c r="BCI3" s="18" t="str">
        <f>IF(BBM4&gt;0,BCI4/BBM4,"")</f>
        <v/>
      </c>
      <c r="BCJ3" s="18" t="str">
        <f>IF(BBM4&gt;0,BCJ4/BBM4,"")</f>
        <v/>
      </c>
      <c r="BCK3" s="18" t="str">
        <f>IF(BBM4&gt;0,BCK4/BBM4,"")</f>
        <v/>
      </c>
      <c r="BCL3" s="18" t="str">
        <f>IF(BBM4&gt;0,BCL4/BBM4,"")</f>
        <v/>
      </c>
      <c r="BCM3" s="18" t="str">
        <f>IF(BBM4&gt;0,BCM4/BBM4,"")</f>
        <v/>
      </c>
      <c r="BCN3" s="18" t="str">
        <f>IF(BBM4&gt;0,BCN4/BBM4,"")</f>
        <v/>
      </c>
      <c r="BCO3" s="18" t="str">
        <f>IF(BBM4&gt;0,BCO4/BBM4,"")</f>
        <v/>
      </c>
      <c r="BCP3" s="18" t="str">
        <f>IF(BBM4&gt;0,BCP4/BBM4,"")</f>
        <v/>
      </c>
      <c r="BCQ3" s="18" t="str">
        <f>IF(BBM4&gt;0,BCQ4/BBM4,"")</f>
        <v/>
      </c>
      <c r="BCS3" s="18" t="str">
        <f>IF(BCR4&gt;0,BCS4/BCR4,"")</f>
        <v/>
      </c>
      <c r="BCT3" s="18" t="str">
        <f>IF(BCR4&gt;0,BCT4/BCR4,"")</f>
        <v/>
      </c>
      <c r="BCU3" s="18" t="str">
        <f>IF(BCR4&gt;0,BCU4/BCR4,"")</f>
        <v/>
      </c>
      <c r="BCV3" s="18" t="str">
        <f>IF(BCR4&gt;0,BCV4/BCR4,"")</f>
        <v/>
      </c>
      <c r="BCW3" s="18" t="str">
        <f>IF(BCR4&gt;0,BCW4/BCR4,"")</f>
        <v/>
      </c>
      <c r="BCX3" s="18" t="str">
        <f>IF(BCR4&gt;0,BCX4/BCR4,"")</f>
        <v/>
      </c>
      <c r="BCY3" s="18" t="str">
        <f>IF(BCR4&gt;0,BCY4/BCR4,"")</f>
        <v/>
      </c>
      <c r="BCZ3" s="18" t="str">
        <f>IF(BCR4&gt;0,BCZ4/BCR4,"")</f>
        <v/>
      </c>
      <c r="BDA3" s="18" t="str">
        <f>IF(BCR4&gt;0,BDA4/BCR4,"")</f>
        <v/>
      </c>
      <c r="BDB3" s="18" t="str">
        <f>IF(BCR4&gt;0,BDB4/BCR4,"")</f>
        <v/>
      </c>
      <c r="BDC3" s="18" t="str">
        <f>IF(BCR4&gt;0,BDC4/BCR4,"")</f>
        <v/>
      </c>
      <c r="BDD3" s="18" t="str">
        <f>IF(BCR4&gt;0,BDD4/BCR4,"")</f>
        <v/>
      </c>
      <c r="BDE3" s="18" t="str">
        <f>IF(BCR4&gt;0,BDE4/BCR4,"")</f>
        <v/>
      </c>
      <c r="BDF3" s="18" t="str">
        <f>IF(BCR4&gt;0,BDF4/BCR4,"")</f>
        <v/>
      </c>
      <c r="BDG3" s="18" t="str">
        <f>IF(BCR4&gt;0,BDG4/BCR4,"")</f>
        <v/>
      </c>
      <c r="BDH3" s="18" t="str">
        <f>IF(BCR4&gt;0,BDH4/BCR4,"")</f>
        <v/>
      </c>
      <c r="BDI3" s="18" t="str">
        <f>IF(BCR4&gt;0,BDI4/BCR4,"")</f>
        <v/>
      </c>
      <c r="BDJ3" s="18" t="str">
        <f>IF(BCR4&gt;0,BDJ4/BCR4,"")</f>
        <v/>
      </c>
      <c r="BDK3" s="18" t="str">
        <f>IF(BCR4&gt;0,BDK4/BCR4,"")</f>
        <v/>
      </c>
      <c r="BDL3" s="18" t="str">
        <f>IF(BCR4&gt;0,BDL4/BCR4,"")</f>
        <v/>
      </c>
      <c r="BDM3" s="18" t="str">
        <f>IF(BCR4&gt;0,BDM4/BCR4,"")</f>
        <v/>
      </c>
      <c r="BDN3" s="18" t="str">
        <f>IF(BCR4&gt;0,BDN4/BCR4,"")</f>
        <v/>
      </c>
      <c r="BDO3" s="18" t="str">
        <f>IF(BCR4&gt;0,BDO4/BCR4,"")</f>
        <v/>
      </c>
      <c r="BDP3" s="18" t="str">
        <f>IF(BCR4&gt;0,BDP4/BCR4,"")</f>
        <v/>
      </c>
      <c r="BDQ3" s="18" t="str">
        <f>IF(BCR4&gt;0,BDQ4/BCR4,"")</f>
        <v/>
      </c>
      <c r="BDR3" s="18" t="str">
        <f>IF(BCR4&gt;0,BDR4/BCR4,"")</f>
        <v/>
      </c>
      <c r="BDS3" s="18" t="str">
        <f>IF(BCR4&gt;0,BDS4/BCR4,"")</f>
        <v/>
      </c>
      <c r="BDT3" s="18" t="str">
        <f>IF(BCR4&gt;0,BDT4/BCR4,"")</f>
        <v/>
      </c>
      <c r="BDU3" s="18" t="str">
        <f>IF(BCR4&gt;0,BDU4/BCR4,"")</f>
        <v/>
      </c>
      <c r="BDV3" s="18" t="str">
        <f>IF(BCR4&gt;0,BDV4/BCR4,"")</f>
        <v/>
      </c>
      <c r="BDX3" s="18" t="str">
        <f>IF(BDW4&gt;0,BDX4/BDW4,"")</f>
        <v/>
      </c>
      <c r="BDY3" s="18" t="str">
        <f>IF(BDW4&gt;0,BDY4/BDW4,"")</f>
        <v/>
      </c>
      <c r="BDZ3" s="18" t="str">
        <f>IF(BDW4&gt;0,BDZ4/BDW4,"")</f>
        <v/>
      </c>
      <c r="BEA3" s="18" t="str">
        <f>IF(BDW4&gt;0,BEA4/BDW4,"")</f>
        <v/>
      </c>
      <c r="BEB3" s="18" t="str">
        <f>IF(BDW4&gt;0,BEB4/BDW4,"")</f>
        <v/>
      </c>
      <c r="BEC3" s="18" t="str">
        <f>IF(BDW4&gt;0,BEC4/BDW4,"")</f>
        <v/>
      </c>
      <c r="BED3" s="18" t="str">
        <f>IF(BDW4&gt;0,BED4/BDW4,"")</f>
        <v/>
      </c>
      <c r="BEE3" s="18" t="str">
        <f>IF(BDW4&gt;0,BEE4/BDW4,"")</f>
        <v/>
      </c>
      <c r="BEF3" s="18" t="str">
        <f>IF(BDW4&gt;0,BEF4/BDW4,"")</f>
        <v/>
      </c>
      <c r="BEG3" s="18" t="str">
        <f>IF(BDW4&gt;0,BEG4/BDW4,"")</f>
        <v/>
      </c>
      <c r="BEH3" s="18" t="str">
        <f>IF(BDW4&gt;0,BEH4/BDW4,"")</f>
        <v/>
      </c>
      <c r="BEI3" s="18" t="str">
        <f>IF(BDW4&gt;0,BEI4/BDW4,"")</f>
        <v/>
      </c>
      <c r="BEJ3" s="18" t="str">
        <f>IF(BDW4&gt;0,BEJ4/BDW4,"")</f>
        <v/>
      </c>
      <c r="BEK3" s="18" t="str">
        <f>IF(BDW4&gt;0,BEK4/BDW4,"")</f>
        <v/>
      </c>
      <c r="BEL3" s="18" t="str">
        <f>IF(BDW4&gt;0,BEL4/BDW4,"")</f>
        <v/>
      </c>
      <c r="BEM3" s="18" t="str">
        <f>IF(BDW4&gt;0,BEM4/BDW4,"")</f>
        <v/>
      </c>
      <c r="BEN3" s="18" t="str">
        <f>IF(BDW4&gt;0,BEN4/BDW4,"")</f>
        <v/>
      </c>
      <c r="BEO3" s="18" t="str">
        <f>IF(BDW4&gt;0,BEO4/BDW4,"")</f>
        <v/>
      </c>
      <c r="BEP3" s="18" t="str">
        <f>IF(BDW4&gt;0,BEP4/BDW4,"")</f>
        <v/>
      </c>
      <c r="BEQ3" s="18" t="str">
        <f>IF(BDW4&gt;0,BEQ4/BDW4,"")</f>
        <v/>
      </c>
      <c r="BER3" s="18" t="str">
        <f>IF(BDW4&gt;0,BER4/BDW4,"")</f>
        <v/>
      </c>
      <c r="BES3" s="18" t="str">
        <f>IF(BDW4&gt;0,BES4/BDW4,"")</f>
        <v/>
      </c>
      <c r="BET3" s="18" t="str">
        <f>IF(BDW4&gt;0,BET4/BDW4,"")</f>
        <v/>
      </c>
      <c r="BEU3" s="18" t="str">
        <f>IF(BDW4&gt;0,BEU4/BDW4,"")</f>
        <v/>
      </c>
      <c r="BEV3" s="18" t="str">
        <f>IF(BDW4&gt;0,BEV4/BDW4,"")</f>
        <v/>
      </c>
      <c r="BEW3" s="18" t="str">
        <f>IF(BDW4&gt;0,BEW4/BDW4,"")</f>
        <v/>
      </c>
      <c r="BEX3" s="18" t="str">
        <f>IF(BDW4&gt;0,BEX4/BDW4,"")</f>
        <v/>
      </c>
      <c r="BEY3" s="18" t="str">
        <f>IF(BDW4&gt;0,BEY4/BDW4,"")</f>
        <v/>
      </c>
      <c r="BEZ3" s="18" t="str">
        <f>IF(BDW4&gt;0,BEZ4/BDW4,"")</f>
        <v/>
      </c>
      <c r="BFA3" s="18" t="str">
        <f>IF(BDW4&gt;0,BFA4/BDW4,"")</f>
        <v/>
      </c>
      <c r="BFC3" s="18" t="str">
        <f>IF(BFB4&gt;0,BFC4/BFB4,"")</f>
        <v/>
      </c>
      <c r="BFD3" s="18" t="str">
        <f>IF(BFB4&gt;0,BFD4/BFB4,"")</f>
        <v/>
      </c>
      <c r="BFE3" s="18" t="str">
        <f>IF(BFB4&gt;0,BFE4/BFB4,"")</f>
        <v/>
      </c>
      <c r="BFF3" s="18" t="str">
        <f>IF(BFB4&gt;0,BFF4/BFB4,"")</f>
        <v/>
      </c>
      <c r="BFG3" s="18" t="str">
        <f>IF(BFB4&gt;0,BFG4/BFB4,"")</f>
        <v/>
      </c>
      <c r="BFH3" s="18" t="str">
        <f>IF(BFB4&gt;0,BFH4/BFB4,"")</f>
        <v/>
      </c>
      <c r="BFI3" s="18" t="str">
        <f>IF(BFB4&gt;0,BFI4/BFB4,"")</f>
        <v/>
      </c>
      <c r="BFJ3" s="18" t="str">
        <f>IF(BFB4&gt;0,BFJ4/BFB4,"")</f>
        <v/>
      </c>
      <c r="BFK3" s="18" t="str">
        <f>IF(BFB4&gt;0,BFK4/BFB4,"")</f>
        <v/>
      </c>
      <c r="BFL3" s="18" t="str">
        <f>IF(BFB4&gt;0,BFL4/BFB4,"")</f>
        <v/>
      </c>
      <c r="BFM3" s="18" t="str">
        <f>IF(BFB4&gt;0,BFM4/BFB4,"")</f>
        <v/>
      </c>
      <c r="BFN3" s="18" t="str">
        <f>IF(BFB4&gt;0,BFN4/BFB4,"")</f>
        <v/>
      </c>
      <c r="BFO3" s="18" t="str">
        <f>IF(BFB4&gt;0,BFO4/BFB4,"")</f>
        <v/>
      </c>
      <c r="BFP3" s="18" t="str">
        <f>IF(BFB4&gt;0,BFP4/BFB4,"")</f>
        <v/>
      </c>
      <c r="BFQ3" s="18" t="str">
        <f>IF(BFB4&gt;0,BFQ4/BFB4,"")</f>
        <v/>
      </c>
      <c r="BFR3" s="18" t="str">
        <f>IF(BFB4&gt;0,BFR4/BFB4,"")</f>
        <v/>
      </c>
      <c r="BFS3" s="18" t="str">
        <f>IF(BFB4&gt;0,BFS4/BFB4,"")</f>
        <v/>
      </c>
      <c r="BFT3" s="18" t="str">
        <f>IF(BFB4&gt;0,BFT4/BFB4,"")</f>
        <v/>
      </c>
      <c r="BFU3" s="18" t="str">
        <f>IF(BFB4&gt;0,BFU4/BFB4,"")</f>
        <v/>
      </c>
      <c r="BFV3" s="18" t="str">
        <f>IF(BFB4&gt;0,BFV4/BFB4,"")</f>
        <v/>
      </c>
      <c r="BFW3" s="18" t="str">
        <f>IF(BFB4&gt;0,BFW4/BFB4,"")</f>
        <v/>
      </c>
      <c r="BFX3" s="18" t="str">
        <f>IF(BFB4&gt;0,BFX4/BFB4,"")</f>
        <v/>
      </c>
      <c r="BFY3" s="18" t="str">
        <f>IF(BFB4&gt;0,BFY4/BFB4,"")</f>
        <v/>
      </c>
      <c r="BFZ3" s="18" t="str">
        <f>IF(BFB4&gt;0,BFZ4/BFB4,"")</f>
        <v/>
      </c>
      <c r="BGA3" s="18" t="str">
        <f>IF(BFB4&gt;0,BGA4/BFB4,"")</f>
        <v/>
      </c>
      <c r="BGB3" s="18" t="str">
        <f>IF(BFB4&gt;0,BGB4/BFB4,"")</f>
        <v/>
      </c>
      <c r="BGC3" s="18" t="str">
        <f>IF(BFB4&gt;0,BGC4/BFB4,"")</f>
        <v/>
      </c>
      <c r="BGD3" s="18" t="str">
        <f>IF(BFB4&gt;0,BGD4/BFB4,"")</f>
        <v/>
      </c>
      <c r="BGE3" s="18" t="str">
        <f>IF(BFB4&gt;0,BGE4/BFB4,"")</f>
        <v/>
      </c>
      <c r="BGF3" s="18" t="str">
        <f>IF(BFB4&gt;0,BGF4/BFB4,"")</f>
        <v/>
      </c>
      <c r="BGH3" s="18" t="str">
        <f>IF(BGG4&gt;0,BGH4/BGG4,"")</f>
        <v/>
      </c>
      <c r="BGI3" s="18" t="str">
        <f>IF(BGG4&gt;0,BGI4/BGG4,"")</f>
        <v/>
      </c>
      <c r="BGJ3" s="18" t="str">
        <f>IF(BGG4&gt;0,BGJ4/BGG4,"")</f>
        <v/>
      </c>
      <c r="BGK3" s="18" t="str">
        <f>IF(BGG4&gt;0,BGK4/BGG4,"")</f>
        <v/>
      </c>
      <c r="BGL3" s="18" t="str">
        <f>IF(BGG4&gt;0,BGL4/BGG4,"")</f>
        <v/>
      </c>
      <c r="BGM3" s="18" t="str">
        <f>IF(BGG4&gt;0,BGM4/BGG4,"")</f>
        <v/>
      </c>
      <c r="BGN3" s="18" t="str">
        <f>IF(BGG4&gt;0,BGN4/BGG4,"")</f>
        <v/>
      </c>
      <c r="BGO3" s="18" t="str">
        <f>IF(BGG4&gt;0,BGO4/BGG4,"")</f>
        <v/>
      </c>
      <c r="BGP3" s="18" t="str">
        <f>IF(BGG4&gt;0,BGP4/BGG4,"")</f>
        <v/>
      </c>
      <c r="BGQ3" s="18" t="str">
        <f>IF(BGG4&gt;0,BGQ4/BGG4,"")</f>
        <v/>
      </c>
      <c r="BGR3" s="18" t="str">
        <f>IF(BGG4&gt;0,BGR4/BGG4,"")</f>
        <v/>
      </c>
      <c r="BGS3" s="18" t="str">
        <f>IF(BGG4&gt;0,BGS4/BGG4,"")</f>
        <v/>
      </c>
      <c r="BGT3" s="18" t="str">
        <f>IF(BGG4&gt;0,BGT4/BGG4,"")</f>
        <v/>
      </c>
      <c r="BGU3" s="18" t="str">
        <f>IF(BGG4&gt;0,BGU4/BGG4,"")</f>
        <v/>
      </c>
      <c r="BGV3" s="18" t="str">
        <f>IF(BGG4&gt;0,BGV4/BGG4,"")</f>
        <v/>
      </c>
      <c r="BGW3" s="18" t="str">
        <f>IF(BGG4&gt;0,BGW4/BGG4,"")</f>
        <v/>
      </c>
      <c r="BGX3" s="18" t="str">
        <f>IF(BGG4&gt;0,BGX4/BGG4,"")</f>
        <v/>
      </c>
      <c r="BGY3" s="18" t="str">
        <f>IF(BGG4&gt;0,BGY4/BGG4,"")</f>
        <v/>
      </c>
      <c r="BGZ3" s="18" t="str">
        <f>IF(BGG4&gt;0,BGZ4/BGG4,"")</f>
        <v/>
      </c>
      <c r="BHA3" s="18" t="str">
        <f>IF(BGG4&gt;0,BHA4/BGG4,"")</f>
        <v/>
      </c>
      <c r="BHB3" s="18" t="str">
        <f>IF(BGG4&gt;0,BHB4/BGG4,"")</f>
        <v/>
      </c>
      <c r="BHC3" s="18" t="str">
        <f>IF(BGG4&gt;0,BHC4/BGG4,"")</f>
        <v/>
      </c>
      <c r="BHD3" s="18" t="str">
        <f>IF(BGG4&gt;0,BHD4/BGG4,"")</f>
        <v/>
      </c>
      <c r="BHE3" s="18" t="str">
        <f>IF(BGG4&gt;0,BHE4/BGG4,"")</f>
        <v/>
      </c>
      <c r="BHF3" s="18" t="str">
        <f>IF(BGG4&gt;0,BHF4/BGG4,"")</f>
        <v/>
      </c>
      <c r="BHG3" s="18" t="str">
        <f>IF(BGG4&gt;0,BHG4/BGG4,"")</f>
        <v/>
      </c>
      <c r="BHH3" s="18" t="str">
        <f>IF(BGG4&gt;0,BHH4/BGG4,"")</f>
        <v/>
      </c>
      <c r="BHI3" s="18" t="str">
        <f>IF(BGG4&gt;0,BHI4/BGG4,"")</f>
        <v/>
      </c>
      <c r="BHJ3" s="18" t="str">
        <f>IF(BGG4&gt;0,BHJ4/BGG4,"")</f>
        <v/>
      </c>
      <c r="BHK3" s="18" t="str">
        <f>IF(BGG4&gt;0,BHK4/BGG4,"")</f>
        <v/>
      </c>
      <c r="BHM3" s="18" t="str">
        <f>IF(BHL4&gt;0,BHM4/BHL4,"")</f>
        <v/>
      </c>
      <c r="BHN3" s="18" t="str">
        <f>IF(BHL4&gt;0,BHN4/BHL4,"")</f>
        <v/>
      </c>
      <c r="BHO3" s="18" t="str">
        <f>IF(BHL4&gt;0,BHO4/BHL4,"")</f>
        <v/>
      </c>
      <c r="BHP3" s="18" t="str">
        <f>IF(BHL4&gt;0,BHP4/BHL4,"")</f>
        <v/>
      </c>
      <c r="BHQ3" s="18" t="str">
        <f>IF(BHL4&gt;0,BHQ4/BHL4,"")</f>
        <v/>
      </c>
      <c r="BHR3" s="18" t="str">
        <f>IF(BHL4&gt;0,BHR4/BHL4,"")</f>
        <v/>
      </c>
      <c r="BHS3" s="18" t="str">
        <f>IF(BHL4&gt;0,BHS4/BHL4,"")</f>
        <v/>
      </c>
      <c r="BHT3" s="18" t="str">
        <f>IF(BHL4&gt;0,BHT4/BHL4,"")</f>
        <v/>
      </c>
      <c r="BHU3" s="18" t="str">
        <f>IF(BHL4&gt;0,BHU4/BHL4,"")</f>
        <v/>
      </c>
      <c r="BHV3" s="18" t="str">
        <f>IF(BHL4&gt;0,BHV4/BHL4,"")</f>
        <v/>
      </c>
      <c r="BHW3" s="18" t="str">
        <f>IF(BHL4&gt;0,BHW4/BHL4,"")</f>
        <v/>
      </c>
      <c r="BHX3" s="18" t="str">
        <f>IF(BHL4&gt;0,BHX4/BHL4,"")</f>
        <v/>
      </c>
      <c r="BHY3" s="18" t="str">
        <f>IF(BHL4&gt;0,BHY4/BHL4,"")</f>
        <v/>
      </c>
      <c r="BHZ3" s="18" t="str">
        <f>IF(BHL4&gt;0,BHZ4/BHL4,"")</f>
        <v/>
      </c>
      <c r="BIA3" s="18" t="str">
        <f>IF(BHL4&gt;0,BIA4/BHL4,"")</f>
        <v/>
      </c>
      <c r="BIB3" s="18" t="str">
        <f>IF(BHL4&gt;0,BIB4/BHL4,"")</f>
        <v/>
      </c>
      <c r="BIC3" s="18" t="str">
        <f>IF(BHL4&gt;0,BIC4/BHL4,"")</f>
        <v/>
      </c>
      <c r="BID3" s="18" t="str">
        <f>IF(BHL4&gt;0,BID4/BHL4,"")</f>
        <v/>
      </c>
      <c r="BIE3" s="18" t="str">
        <f>IF(BHL4&gt;0,BIE4/BHL4,"")</f>
        <v/>
      </c>
      <c r="BIF3" s="18" t="str">
        <f>IF(BHL4&gt;0,BIF4/BHL4,"")</f>
        <v/>
      </c>
      <c r="BIG3" s="18" t="str">
        <f>IF(BHL4&gt;0,BIG4/BHL4,"")</f>
        <v/>
      </c>
      <c r="BIH3" s="18" t="str">
        <f>IF(BHL4&gt;0,BIH4/BHL4,"")</f>
        <v/>
      </c>
      <c r="BII3" s="18" t="str">
        <f>IF(BHL4&gt;0,BII4/BHL4,"")</f>
        <v/>
      </c>
      <c r="BIJ3" s="18" t="str">
        <f>IF(BHL4&gt;0,BIJ4/BHL4,"")</f>
        <v/>
      </c>
      <c r="BIK3" s="18" t="str">
        <f>IF(BHL4&gt;0,BIK4/BHL4,"")</f>
        <v/>
      </c>
      <c r="BIL3" s="18" t="str">
        <f>IF(BHL4&gt;0,BIL4/BHL4,"")</f>
        <v/>
      </c>
      <c r="BIM3" s="18" t="str">
        <f>IF(BHL4&gt;0,BIM4/BHL4,"")</f>
        <v/>
      </c>
      <c r="BIN3" s="18" t="str">
        <f>IF(BHL4&gt;0,BIN4/BHL4,"")</f>
        <v/>
      </c>
      <c r="BIO3" s="18" t="str">
        <f>IF(BHL4&gt;0,BIO4/BHL4,"")</f>
        <v/>
      </c>
      <c r="BIP3" s="18" t="str">
        <f>IF(BHL4&gt;0,BIP4/BHL4,"")</f>
        <v/>
      </c>
      <c r="BIR3" s="18" t="str">
        <f>IF(BIQ4&gt;0,BIR4/BIQ4,"")</f>
        <v/>
      </c>
      <c r="BIS3" s="18" t="str">
        <f>IF(BIQ4&gt;0,BIS4/BIQ4,"")</f>
        <v/>
      </c>
      <c r="BIT3" s="18" t="str">
        <f>IF(BIQ4&gt;0,BIT4/BIQ4,"")</f>
        <v/>
      </c>
      <c r="BIU3" s="18" t="str">
        <f>IF(BIQ4&gt;0,BIU4/BIQ4,"")</f>
        <v/>
      </c>
      <c r="BIV3" s="18" t="str">
        <f>IF(BIQ4&gt;0,BIV4/BIQ4,"")</f>
        <v/>
      </c>
      <c r="BIW3" s="18" t="str">
        <f>IF(BIQ4&gt;0,BIW4/BIQ4,"")</f>
        <v/>
      </c>
      <c r="BIX3" s="18" t="str">
        <f>IF(BIQ4&gt;0,BIX4/BIQ4,"")</f>
        <v/>
      </c>
      <c r="BIY3" s="18" t="str">
        <f>IF(BIQ4&gt;0,BIY4/BIQ4,"")</f>
        <v/>
      </c>
      <c r="BIZ3" s="18" t="str">
        <f>IF(BIQ4&gt;0,BIZ4/BIQ4,"")</f>
        <v/>
      </c>
      <c r="BJA3" s="18" t="str">
        <f>IF(BIQ4&gt;0,BJA4/BIQ4,"")</f>
        <v/>
      </c>
      <c r="BJB3" s="18" t="str">
        <f>IF(BIQ4&gt;0,BJB4/BIQ4,"")</f>
        <v/>
      </c>
      <c r="BJC3" s="18" t="str">
        <f>IF(BIQ4&gt;0,BJC4/BIQ4,"")</f>
        <v/>
      </c>
      <c r="BJD3" s="18" t="str">
        <f>IF(BIQ4&gt;0,BJD4/BIQ4,"")</f>
        <v/>
      </c>
      <c r="BJE3" s="18" t="str">
        <f>IF(BIQ4&gt;0,BJE4/BIQ4,"")</f>
        <v/>
      </c>
      <c r="BJF3" s="18" t="str">
        <f>IF(BIQ4&gt;0,BJF4/BIQ4,"")</f>
        <v/>
      </c>
      <c r="BJG3" s="18" t="str">
        <f>IF(BIQ4&gt;0,BJG4/BIQ4,"")</f>
        <v/>
      </c>
      <c r="BJH3" s="18" t="str">
        <f>IF(BIQ4&gt;0,BJH4/BIQ4,"")</f>
        <v/>
      </c>
      <c r="BJI3" s="18" t="str">
        <f>IF(BIQ4&gt;0,BJI4/BIQ4,"")</f>
        <v/>
      </c>
      <c r="BJJ3" s="18" t="str">
        <f>IF(BIQ4&gt;0,BJJ4/BIQ4,"")</f>
        <v/>
      </c>
      <c r="BJK3" s="18" t="str">
        <f>IF(BIQ4&gt;0,BJK4/BIQ4,"")</f>
        <v/>
      </c>
      <c r="BJL3" s="18" t="str">
        <f>IF(BIQ4&gt;0,BJL4/BIQ4,"")</f>
        <v/>
      </c>
      <c r="BJM3" s="18" t="str">
        <f>IF(BIQ4&gt;0,BJM4/BIQ4,"")</f>
        <v/>
      </c>
      <c r="BJN3" s="18" t="str">
        <f>IF(BIQ4&gt;0,BJN4/BIQ4,"")</f>
        <v/>
      </c>
      <c r="BJO3" s="18" t="str">
        <f>IF(BIQ4&gt;0,BJO4/BIQ4,"")</f>
        <v/>
      </c>
      <c r="BJP3" s="18" t="str">
        <f>IF(BIQ4&gt;0,BJP4/BIQ4,"")</f>
        <v/>
      </c>
      <c r="BJQ3" s="18" t="str">
        <f>IF(BIQ4&gt;0,BJQ4/BIQ4,"")</f>
        <v/>
      </c>
      <c r="BJR3" s="18" t="str">
        <f>IF(BIQ4&gt;0,BJR4/BIQ4,"")</f>
        <v/>
      </c>
      <c r="BJS3" s="18" t="str">
        <f>IF(BIQ4&gt;0,BJS4/BIQ4,"")</f>
        <v/>
      </c>
      <c r="BJT3" s="18" t="str">
        <f>IF(BIQ4&gt;0,BJT4/BIQ4,"")</f>
        <v/>
      </c>
      <c r="BJU3" s="18" t="str">
        <f>IF(BIQ4&gt;0,BJU4/BIQ4,"")</f>
        <v/>
      </c>
      <c r="BJW3" s="18" t="str">
        <f>IF(BJV4&gt;0,BJW4/BJV4,"")</f>
        <v/>
      </c>
      <c r="BJX3" s="18" t="str">
        <f>IF(BJV4&gt;0,BJX4/BJV4,"")</f>
        <v/>
      </c>
      <c r="BJY3" s="18" t="str">
        <f>IF(BJV4&gt;0,BJY4/BJV4,"")</f>
        <v/>
      </c>
      <c r="BJZ3" s="18" t="str">
        <f>IF(BJV4&gt;0,BJZ4/BJV4,"")</f>
        <v/>
      </c>
      <c r="BKA3" s="18" t="str">
        <f>IF(BJV4&gt;0,BKA4/BJV4,"")</f>
        <v/>
      </c>
      <c r="BKB3" s="18" t="str">
        <f>IF(BJV4&gt;0,BKB4/BJV4,"")</f>
        <v/>
      </c>
      <c r="BKC3" s="18" t="str">
        <f>IF(BJV4&gt;0,BKC4/BJV4,"")</f>
        <v/>
      </c>
      <c r="BKD3" s="18" t="str">
        <f>IF(BJV4&gt;0,BKD4/BJV4,"")</f>
        <v/>
      </c>
      <c r="BKE3" s="18" t="str">
        <f>IF(BJV4&gt;0,BKE4/BJV4,"")</f>
        <v/>
      </c>
      <c r="BKF3" s="18" t="str">
        <f>IF(BJV4&gt;0,BKF4/BJV4,"")</f>
        <v/>
      </c>
      <c r="BKG3" s="18" t="str">
        <f>IF(BJV4&gt;0,BKG4/BJV4,"")</f>
        <v/>
      </c>
      <c r="BKH3" s="18" t="str">
        <f>IF(BJV4&gt;0,BKH4/BJV4,"")</f>
        <v/>
      </c>
      <c r="BKI3" s="18" t="str">
        <f>IF(BJV4&gt;0,BKI4/BJV4,"")</f>
        <v/>
      </c>
      <c r="BKJ3" s="18" t="str">
        <f>IF(BJV4&gt;0,BKJ4/BJV4,"")</f>
        <v/>
      </c>
      <c r="BKK3" s="18" t="str">
        <f>IF(BJV4&gt;0,BKK4/BJV4,"")</f>
        <v/>
      </c>
      <c r="BKL3" s="18" t="str">
        <f>IF(BJV4&gt;0,BKL4/BJV4,"")</f>
        <v/>
      </c>
      <c r="BKM3" s="18" t="str">
        <f>IF(BJV4&gt;0,BKM4/BJV4,"")</f>
        <v/>
      </c>
      <c r="BKN3" s="18" t="str">
        <f>IF(BJV4&gt;0,BKN4/BJV4,"")</f>
        <v/>
      </c>
      <c r="BKO3" s="18" t="str">
        <f>IF(BJV4&gt;0,BKO4/BJV4,"")</f>
        <v/>
      </c>
      <c r="BKP3" s="18" t="str">
        <f>IF(BJV4&gt;0,BKP4/BJV4,"")</f>
        <v/>
      </c>
      <c r="BKQ3" s="18" t="str">
        <f>IF(BJV4&gt;0,BKQ4/BJV4,"")</f>
        <v/>
      </c>
      <c r="BKR3" s="18" t="str">
        <f>IF(BJV4&gt;0,BKR4/BJV4,"")</f>
        <v/>
      </c>
      <c r="BKS3" s="18" t="str">
        <f>IF(BJV4&gt;0,BKS4/BJV4,"")</f>
        <v/>
      </c>
      <c r="BKT3" s="18" t="str">
        <f>IF(BJV4&gt;0,BKT4/BJV4,"")</f>
        <v/>
      </c>
      <c r="BKU3" s="18" t="str">
        <f>IF(BJV4&gt;0,BKU4/BJV4,"")</f>
        <v/>
      </c>
      <c r="BKV3" s="18" t="str">
        <f>IF(BJV4&gt;0,BKV4/BJV4,"")</f>
        <v/>
      </c>
      <c r="BKW3" s="18" t="str">
        <f>IF(BJV4&gt;0,BKW4/BJV4,"")</f>
        <v/>
      </c>
      <c r="BKX3" s="18" t="str">
        <f>IF(BJV4&gt;0,BKX4/BJV4,"")</f>
        <v/>
      </c>
      <c r="BKY3" s="18" t="str">
        <f>IF(BJV4&gt;0,BKY4/BJV4,"")</f>
        <v/>
      </c>
      <c r="BKZ3" s="18" t="str">
        <f>IF(BJV4&gt;0,BKZ4/BJV4,"")</f>
        <v/>
      </c>
      <c r="BLB3" s="18" t="str">
        <f>IF(BLA4&gt;0,BLB4/BLA4,"")</f>
        <v/>
      </c>
      <c r="BLC3" s="18" t="str">
        <f>IF(BLA4&gt;0,BLC4/BLA4,"")</f>
        <v/>
      </c>
      <c r="BLD3" s="18" t="str">
        <f>IF(BLA4&gt;0,BLD4/BLA4,"")</f>
        <v/>
      </c>
      <c r="BLE3" s="18" t="str">
        <f>IF(BLA4&gt;0,BLE4/BLA4,"")</f>
        <v/>
      </c>
      <c r="BLF3" s="18" t="str">
        <f>IF(BLA4&gt;0,BLF4/BLA4,"")</f>
        <v/>
      </c>
      <c r="BLG3" s="18" t="str">
        <f>IF(BLA4&gt;0,BLG4/BLA4,"")</f>
        <v/>
      </c>
      <c r="BLH3" s="18" t="str">
        <f>IF(BLA4&gt;0,BLH4/BLA4,"")</f>
        <v/>
      </c>
      <c r="BLI3" s="18" t="str">
        <f>IF(BLA4&gt;0,BLI4/BLA4,"")</f>
        <v/>
      </c>
      <c r="BLJ3" s="18" t="str">
        <f>IF(BLA4&gt;0,BLJ4/BLA4,"")</f>
        <v/>
      </c>
      <c r="BLK3" s="18" t="str">
        <f>IF(BLA4&gt;0,BLK4/BLA4,"")</f>
        <v/>
      </c>
      <c r="BLL3" s="18" t="str">
        <f>IF(BLA4&gt;0,BLL4/BLA4,"")</f>
        <v/>
      </c>
      <c r="BLM3" s="18" t="str">
        <f>IF(BLA4&gt;0,BLM4/BLA4,"")</f>
        <v/>
      </c>
      <c r="BLN3" s="18" t="str">
        <f>IF(BLA4&gt;0,BLN4/BLA4,"")</f>
        <v/>
      </c>
      <c r="BLO3" s="18" t="str">
        <f>IF(BLA4&gt;0,BLO4/BLA4,"")</f>
        <v/>
      </c>
      <c r="BLP3" s="18" t="str">
        <f>IF(BLA4&gt;0,BLP4/BLA4,"")</f>
        <v/>
      </c>
      <c r="BLQ3" s="18" t="str">
        <f>IF(BLA4&gt;0,BLQ4/BLA4,"")</f>
        <v/>
      </c>
      <c r="BLR3" s="18" t="str">
        <f>IF(BLA4&gt;0,BLR4/BLA4,"")</f>
        <v/>
      </c>
      <c r="BLS3" s="18" t="str">
        <f>IF(BLA4&gt;0,BLS4/BLA4,"")</f>
        <v/>
      </c>
      <c r="BLT3" s="18" t="str">
        <f>IF(BLA4&gt;0,BLT4/BLA4,"")</f>
        <v/>
      </c>
      <c r="BLU3" s="18" t="str">
        <f>IF(BLA4&gt;0,BLU4/BLA4,"")</f>
        <v/>
      </c>
      <c r="BLV3" s="18" t="str">
        <f>IF(BLA4&gt;0,BLV4/BLA4,"")</f>
        <v/>
      </c>
      <c r="BLW3" s="18" t="str">
        <f>IF(BLA4&gt;0,BLW4/BLA4,"")</f>
        <v/>
      </c>
      <c r="BLX3" s="18" t="str">
        <f>IF(BLA4&gt;0,BLX4/BLA4,"")</f>
        <v/>
      </c>
      <c r="BLY3" s="18" t="str">
        <f>IF(BLA4&gt;0,BLY4/BLA4,"")</f>
        <v/>
      </c>
      <c r="BLZ3" s="18" t="str">
        <f>IF(BLA4&gt;0,BLZ4/BLA4,"")</f>
        <v/>
      </c>
      <c r="BMA3" s="18" t="str">
        <f>IF(BLA4&gt;0,BMA4/BLA4,"")</f>
        <v/>
      </c>
      <c r="BMB3" s="18" t="str">
        <f>IF(BLA4&gt;0,BMB4/BLA4,"")</f>
        <v/>
      </c>
      <c r="BMC3" s="18" t="str">
        <f>IF(BLA4&gt;0,BMC4/BLA4,"")</f>
        <v/>
      </c>
      <c r="BMD3" s="18" t="str">
        <f>IF(BLA4&gt;0,BMD4/BLA4,"")</f>
        <v/>
      </c>
      <c r="BME3" s="18" t="str">
        <f>IF(BLA4&gt;0,BME4/BLA4,"")</f>
        <v/>
      </c>
      <c r="BMG3" s="18" t="str">
        <f>IF(BMF4&gt;0,BMG4/BMF4,"")</f>
        <v/>
      </c>
      <c r="BMH3" s="18" t="str">
        <f>IF(BMF4&gt;0,BMH4/BMF4,"")</f>
        <v/>
      </c>
      <c r="BMI3" s="18" t="str">
        <f>IF(BMF4&gt;0,BMI4/BMF4,"")</f>
        <v/>
      </c>
      <c r="BMJ3" s="18" t="str">
        <f>IF(BMF4&gt;0,BMJ4/BMF4,"")</f>
        <v/>
      </c>
      <c r="BMK3" s="18" t="str">
        <f>IF(BMF4&gt;0,BMK4/BMF4,"")</f>
        <v/>
      </c>
      <c r="BML3" s="18" t="str">
        <f>IF(BMF4&gt;0,BML4/BMF4,"")</f>
        <v/>
      </c>
      <c r="BMM3" s="18" t="str">
        <f>IF(BMF4&gt;0,BMM4/BMF4,"")</f>
        <v/>
      </c>
      <c r="BMN3" s="18" t="str">
        <f>IF(BMF4&gt;0,BMN4/BMF4,"")</f>
        <v/>
      </c>
      <c r="BMO3" s="18" t="str">
        <f>IF(BMF4&gt;0,BMO4/BMF4,"")</f>
        <v/>
      </c>
      <c r="BMP3" s="18" t="str">
        <f>IF(BMF4&gt;0,BMP4/BMF4,"")</f>
        <v/>
      </c>
      <c r="BMQ3" s="18" t="str">
        <f>IF(BMF4&gt;0,BMQ4/BMF4,"")</f>
        <v/>
      </c>
      <c r="BMR3" s="18" t="str">
        <f>IF(BMF4&gt;0,BMR4/BMF4,"")</f>
        <v/>
      </c>
      <c r="BMS3" s="18" t="str">
        <f>IF(BMF4&gt;0,BMS4/BMF4,"")</f>
        <v/>
      </c>
      <c r="BMT3" s="18" t="str">
        <f>IF(BMF4&gt;0,BMT4/BMF4,"")</f>
        <v/>
      </c>
      <c r="BMU3" s="18" t="str">
        <f>IF(BMF4&gt;0,BMU4/BMF4,"")</f>
        <v/>
      </c>
      <c r="BMV3" s="18" t="str">
        <f>IF(BMF4&gt;0,BMV4/BMF4,"")</f>
        <v/>
      </c>
      <c r="BMW3" s="18" t="str">
        <f>IF(BMF4&gt;0,BMW4/BMF4,"")</f>
        <v/>
      </c>
      <c r="BMX3" s="18" t="str">
        <f>IF(BMF4&gt;0,BMX4/BMF4,"")</f>
        <v/>
      </c>
      <c r="BMY3" s="18" t="str">
        <f>IF(BMF4&gt;0,BMY4/BMF4,"")</f>
        <v/>
      </c>
      <c r="BMZ3" s="18" t="str">
        <f>IF(BMF4&gt;0,BMZ4/BMF4,"")</f>
        <v/>
      </c>
      <c r="BNA3" s="18" t="str">
        <f>IF(BMF4&gt;0,BNA4/BMF4,"")</f>
        <v/>
      </c>
      <c r="BNB3" s="18" t="str">
        <f>IF(BMF4&gt;0,BNB4/BMF4,"")</f>
        <v/>
      </c>
      <c r="BNC3" s="18" t="str">
        <f>IF(BMF4&gt;0,BNC4/BMF4,"")</f>
        <v/>
      </c>
      <c r="BND3" s="18" t="str">
        <f>IF(BMF4&gt;0,BND4/BMF4,"")</f>
        <v/>
      </c>
      <c r="BNE3" s="18" t="str">
        <f>IF(BMF4&gt;0,BNE4/BMF4,"")</f>
        <v/>
      </c>
      <c r="BNF3" s="18" t="str">
        <f>IF(BMF4&gt;0,BNF4/BMF4,"")</f>
        <v/>
      </c>
      <c r="BNG3" s="18" t="str">
        <f>IF(BMF4&gt;0,BNG4/BMF4,"")</f>
        <v/>
      </c>
      <c r="BNH3" s="18" t="str">
        <f>IF(BMF4&gt;0,BNH4/BMF4,"")</f>
        <v/>
      </c>
      <c r="BNI3" s="18" t="str">
        <f>IF(BMF4&gt;0,BNI4/BMF4,"")</f>
        <v/>
      </c>
      <c r="BNJ3" s="18" t="str">
        <f>IF(BMF4&gt;0,BNJ4/BMF4,"")</f>
        <v/>
      </c>
      <c r="BNL3" s="18" t="str">
        <f>IF(BNK4&gt;0,BNL4/BNK4,"")</f>
        <v/>
      </c>
      <c r="BNM3" s="18" t="str">
        <f>IF(BNK4&gt;0,BNM4/BNK4,"")</f>
        <v/>
      </c>
      <c r="BNN3" s="18" t="str">
        <f>IF(BNK4&gt;0,BNN4/BNK4,"")</f>
        <v/>
      </c>
      <c r="BNO3" s="18" t="str">
        <f>IF(BNK4&gt;0,BNO4/BNK4,"")</f>
        <v/>
      </c>
      <c r="BNP3" s="18" t="str">
        <f>IF(BNK4&gt;0,BNP4/BNK4,"")</f>
        <v/>
      </c>
      <c r="BNQ3" s="18" t="str">
        <f>IF(BNK4&gt;0,BNQ4/BNK4,"")</f>
        <v/>
      </c>
      <c r="BNR3" s="18" t="str">
        <f>IF(BNK4&gt;0,BNR4/BNK4,"")</f>
        <v/>
      </c>
      <c r="BNS3" s="18" t="str">
        <f>IF(BNK4&gt;0,BNS4/BNK4,"")</f>
        <v/>
      </c>
      <c r="BNT3" s="18" t="str">
        <f>IF(BNK4&gt;0,BNT4/BNK4,"")</f>
        <v/>
      </c>
      <c r="BNU3" s="18" t="str">
        <f>IF(BNK4&gt;0,BNU4/BNK4,"")</f>
        <v/>
      </c>
      <c r="BNV3" s="18" t="str">
        <f>IF(BNK4&gt;0,BNV4/BNK4,"")</f>
        <v/>
      </c>
      <c r="BNW3" s="18" t="str">
        <f>IF(BNK4&gt;0,BNW4/BNK4,"")</f>
        <v/>
      </c>
      <c r="BNX3" s="18" t="str">
        <f>IF(BNK4&gt;0,BNX4/BNK4,"")</f>
        <v/>
      </c>
      <c r="BNY3" s="18" t="str">
        <f>IF(BNK4&gt;0,BNY4/BNK4,"")</f>
        <v/>
      </c>
      <c r="BNZ3" s="18" t="str">
        <f>IF(BNK4&gt;0,BNZ4/BNK4,"")</f>
        <v/>
      </c>
      <c r="BOA3" s="18" t="str">
        <f>IF(BNK4&gt;0,BOA4/BNK4,"")</f>
        <v/>
      </c>
      <c r="BOB3" s="18" t="str">
        <f>IF(BNK4&gt;0,BOB4/BNK4,"")</f>
        <v/>
      </c>
      <c r="BOC3" s="18" t="str">
        <f>IF(BNK4&gt;0,BOC4/BNK4,"")</f>
        <v/>
      </c>
      <c r="BOD3" s="18" t="str">
        <f>IF(BNK4&gt;0,BOD4/BNK4,"")</f>
        <v/>
      </c>
      <c r="BOE3" s="18" t="str">
        <f>IF(BNK4&gt;0,BOE4/BNK4,"")</f>
        <v/>
      </c>
      <c r="BOF3" s="18" t="str">
        <f>IF(BNK4&gt;0,BOF4/BNK4,"")</f>
        <v/>
      </c>
      <c r="BOG3" s="18" t="str">
        <f>IF(BNK4&gt;0,BOG4/BNK4,"")</f>
        <v/>
      </c>
      <c r="BOH3" s="18" t="str">
        <f>IF(BNK4&gt;0,BOH4/BNK4,"")</f>
        <v/>
      </c>
      <c r="BOI3" s="18" t="str">
        <f>IF(BNK4&gt;0,BOI4/BNK4,"")</f>
        <v/>
      </c>
      <c r="BOJ3" s="18" t="str">
        <f>IF(BNK4&gt;0,BOJ4/BNK4,"")</f>
        <v/>
      </c>
      <c r="BOK3" s="18" t="str">
        <f>IF(BNK4&gt;0,BOK4/BNK4,"")</f>
        <v/>
      </c>
      <c r="BOL3" s="18" t="str">
        <f>IF(BNK4&gt;0,BOL4/BNK4,"")</f>
        <v/>
      </c>
      <c r="BOM3" s="18" t="str">
        <f>IF(BNK4&gt;0,BOM4/BNK4,"")</f>
        <v/>
      </c>
      <c r="BON3" s="18" t="str">
        <f>IF(BNK4&gt;0,BON4/BNK4,"")</f>
        <v/>
      </c>
      <c r="BOO3" s="18" t="str">
        <f>IF(BNK4&gt;0,BOO4/BNK4,"")</f>
        <v/>
      </c>
      <c r="BOQ3" s="18" t="str">
        <f>IF(BOP4&gt;0,BOQ4/BOP4,"")</f>
        <v/>
      </c>
      <c r="BOR3" s="18" t="str">
        <f>IF(BOP4&gt;0,BOR4/BOP4,"")</f>
        <v/>
      </c>
      <c r="BOS3" s="18" t="str">
        <f>IF(BOP4&gt;0,BOS4/BOP4,"")</f>
        <v/>
      </c>
      <c r="BOT3" s="18" t="str">
        <f>IF(BOP4&gt;0,BOT4/BOP4,"")</f>
        <v/>
      </c>
      <c r="BOU3" s="18" t="str">
        <f>IF(BOP4&gt;0,BOU4/BOP4,"")</f>
        <v/>
      </c>
      <c r="BOV3" s="18" t="str">
        <f>IF(BOP4&gt;0,BOV4/BOP4,"")</f>
        <v/>
      </c>
      <c r="BOW3" s="18" t="str">
        <f>IF(BOP4&gt;0,BOW4/BOP4,"")</f>
        <v/>
      </c>
      <c r="BOX3" s="18" t="str">
        <f>IF(BOP4&gt;0,BOX4/BOP4,"")</f>
        <v/>
      </c>
      <c r="BOY3" s="18" t="str">
        <f>IF(BOP4&gt;0,BOY4/BOP4,"")</f>
        <v/>
      </c>
      <c r="BOZ3" s="18" t="str">
        <f>IF(BOP4&gt;0,BOZ4/BOP4,"")</f>
        <v/>
      </c>
      <c r="BPA3" s="18" t="str">
        <f>IF(BOP4&gt;0,BPA4/BOP4,"")</f>
        <v/>
      </c>
      <c r="BPB3" s="18" t="str">
        <f>IF(BOP4&gt;0,BPB4/BOP4,"")</f>
        <v/>
      </c>
      <c r="BPC3" s="18" t="str">
        <f>IF(BOP4&gt;0,BPC4/BOP4,"")</f>
        <v/>
      </c>
      <c r="BPD3" s="18" t="str">
        <f>IF(BOP4&gt;0,BPD4/BOP4,"")</f>
        <v/>
      </c>
      <c r="BPE3" s="18" t="str">
        <f>IF(BOP4&gt;0,BPE4/BOP4,"")</f>
        <v/>
      </c>
      <c r="BPF3" s="18" t="str">
        <f>IF(BOP4&gt;0,BPF4/BOP4,"")</f>
        <v/>
      </c>
      <c r="BPG3" s="18" t="str">
        <f>IF(BOP4&gt;0,BPG4/BOP4,"")</f>
        <v/>
      </c>
      <c r="BPH3" s="18" t="str">
        <f>IF(BOP4&gt;0,BPH4/BOP4,"")</f>
        <v/>
      </c>
      <c r="BPI3" s="18" t="str">
        <f>IF(BOP4&gt;0,BPI4/BOP4,"")</f>
        <v/>
      </c>
      <c r="BPJ3" s="18" t="str">
        <f>IF(BOP4&gt;0,BPJ4/BOP4,"")</f>
        <v/>
      </c>
      <c r="BPK3" s="18" t="str">
        <f>IF(BOP4&gt;0,BPK4/BOP4,"")</f>
        <v/>
      </c>
      <c r="BPL3" s="18" t="str">
        <f>IF(BOP4&gt;0,BPL4/BOP4,"")</f>
        <v/>
      </c>
      <c r="BPM3" s="18" t="str">
        <f>IF(BOP4&gt;0,BPM4/BOP4,"")</f>
        <v/>
      </c>
      <c r="BPN3" s="18" t="str">
        <f>IF(BOP4&gt;0,BPN4/BOP4,"")</f>
        <v/>
      </c>
      <c r="BPO3" s="18" t="str">
        <f>IF(BOP4&gt;0,BPO4/BOP4,"")</f>
        <v/>
      </c>
      <c r="BPP3" s="18" t="str">
        <f>IF(BOP4&gt;0,BPP4/BOP4,"")</f>
        <v/>
      </c>
      <c r="BPQ3" s="18" t="str">
        <f>IF(BOP4&gt;0,BPQ4/BOP4,"")</f>
        <v/>
      </c>
      <c r="BPR3" s="18" t="str">
        <f>IF(BOP4&gt;0,BPR4/BOP4,"")</f>
        <v/>
      </c>
      <c r="BPS3" s="18" t="str">
        <f>IF(BOP4&gt;0,BPS4/BOP4,"")</f>
        <v/>
      </c>
      <c r="BPT3" s="18" t="str">
        <f>IF(BOP4&gt;0,BPT4/BOP4,"")</f>
        <v/>
      </c>
      <c r="BPV3" s="18" t="str">
        <f>IF(BPU4&gt;0,BPV4/BPU4,"")</f>
        <v/>
      </c>
      <c r="BPW3" s="18" t="str">
        <f>IF(BPU4&gt;0,BPW4/BPU4,"")</f>
        <v/>
      </c>
      <c r="BPX3" s="18" t="str">
        <f>IF(BPU4&gt;0,BPX4/BPU4,"")</f>
        <v/>
      </c>
      <c r="BPY3" s="18" t="str">
        <f>IF(BPU4&gt;0,BPY4/BPU4,"")</f>
        <v/>
      </c>
      <c r="BPZ3" s="18" t="str">
        <f>IF(BPU4&gt;0,BPZ4/BPU4,"")</f>
        <v/>
      </c>
      <c r="BQA3" s="18" t="str">
        <f>IF(BPU4&gt;0,BQA4/BPU4,"")</f>
        <v/>
      </c>
      <c r="BQB3" s="18" t="str">
        <f>IF(BPU4&gt;0,BQB4/BPU4,"")</f>
        <v/>
      </c>
      <c r="BQC3" s="18" t="str">
        <f>IF(BPU4&gt;0,BQC4/BPU4,"")</f>
        <v/>
      </c>
      <c r="BQD3" s="18" t="str">
        <f>IF(BPU4&gt;0,BQD4/BPU4,"")</f>
        <v/>
      </c>
      <c r="BQE3" s="18" t="str">
        <f>IF(BPU4&gt;0,BQE4/BPU4,"")</f>
        <v/>
      </c>
      <c r="BQF3" s="18" t="str">
        <f>IF(BPU4&gt;0,BQF4/BPU4,"")</f>
        <v/>
      </c>
      <c r="BQG3" s="18" t="str">
        <f>IF(BPU4&gt;0,BQG4/BPU4,"")</f>
        <v/>
      </c>
      <c r="BQH3" s="18" t="str">
        <f>IF(BPU4&gt;0,BQH4/BPU4,"")</f>
        <v/>
      </c>
      <c r="BQI3" s="18" t="str">
        <f>IF(BPU4&gt;0,BQI4/BPU4,"")</f>
        <v/>
      </c>
      <c r="BQJ3" s="18" t="str">
        <f>IF(BPU4&gt;0,BQJ4/BPU4,"")</f>
        <v/>
      </c>
      <c r="BQK3" s="18" t="str">
        <f>IF(BPU4&gt;0,BQK4/BPU4,"")</f>
        <v/>
      </c>
      <c r="BQL3" s="18" t="str">
        <f>IF(BPU4&gt;0,BQL4/BPU4,"")</f>
        <v/>
      </c>
      <c r="BQM3" s="18" t="str">
        <f>IF(BPU4&gt;0,BQM4/BPU4,"")</f>
        <v/>
      </c>
      <c r="BQN3" s="18" t="str">
        <f>IF(BPU4&gt;0,BQN4/BPU4,"")</f>
        <v/>
      </c>
      <c r="BQO3" s="18" t="str">
        <f>IF(BPU4&gt;0,BQO4/BPU4,"")</f>
        <v/>
      </c>
      <c r="BQP3" s="18" t="str">
        <f>IF(BPU4&gt;0,BQP4/BPU4,"")</f>
        <v/>
      </c>
      <c r="BQQ3" s="18" t="str">
        <f>IF(BPU4&gt;0,BQQ4/BPU4,"")</f>
        <v/>
      </c>
      <c r="BQR3" s="18" t="str">
        <f>IF(BPU4&gt;0,BQR4/BPU4,"")</f>
        <v/>
      </c>
      <c r="BQS3" s="18" t="str">
        <f>IF(BPU4&gt;0,BQS4/BPU4,"")</f>
        <v/>
      </c>
      <c r="BQT3" s="18" t="str">
        <f>IF(BPU4&gt;0,BQT4/BPU4,"")</f>
        <v/>
      </c>
      <c r="BQU3" s="18" t="str">
        <f>IF(BPU4&gt;0,BQU4/BPU4,"")</f>
        <v/>
      </c>
      <c r="BQV3" s="18" t="str">
        <f>IF(BPU4&gt;0,BQV4/BPU4,"")</f>
        <v/>
      </c>
      <c r="BQW3" s="18" t="str">
        <f>IF(BPU4&gt;0,BQW4/BPU4,"")</f>
        <v/>
      </c>
      <c r="BQX3" s="18" t="str">
        <f>IF(BPU4&gt;0,BQX4/BPU4,"")</f>
        <v/>
      </c>
      <c r="BQY3" s="18" t="str">
        <f>IF(BPU4&gt;0,BQY4/BPU4,"")</f>
        <v/>
      </c>
      <c r="BRA3" s="18" t="str">
        <f>IF(BQZ4&gt;0,BRA4/BQZ4,"")</f>
        <v/>
      </c>
      <c r="BRB3" s="18" t="str">
        <f>IF(BQZ4&gt;0,BRB4/BQZ4,"")</f>
        <v/>
      </c>
      <c r="BRC3" s="18" t="str">
        <f>IF(BQZ4&gt;0,BRC4/BQZ4,"")</f>
        <v/>
      </c>
      <c r="BRD3" s="18" t="str">
        <f>IF(BQZ4&gt;0,BRD4/BQZ4,"")</f>
        <v/>
      </c>
      <c r="BRE3" s="18" t="str">
        <f>IF(BQZ4&gt;0,BRE4/BQZ4,"")</f>
        <v/>
      </c>
      <c r="BRF3" s="18" t="str">
        <f>IF(BQZ4&gt;0,BRF4/BQZ4,"")</f>
        <v/>
      </c>
      <c r="BRG3" s="18" t="str">
        <f>IF(BQZ4&gt;0,BRG4/BQZ4,"")</f>
        <v/>
      </c>
      <c r="BRH3" s="18" t="str">
        <f>IF(BQZ4&gt;0,BRH4/BQZ4,"")</f>
        <v/>
      </c>
      <c r="BRI3" s="18" t="str">
        <f>IF(BQZ4&gt;0,BRI4/BQZ4,"")</f>
        <v/>
      </c>
      <c r="BRJ3" s="18" t="str">
        <f>IF(BQZ4&gt;0,BRJ4/BQZ4,"")</f>
        <v/>
      </c>
      <c r="BRK3" s="18" t="str">
        <f>IF(BQZ4&gt;0,BRK4/BQZ4,"")</f>
        <v/>
      </c>
      <c r="BRL3" s="18" t="str">
        <f>IF(BQZ4&gt;0,BRL4/BQZ4,"")</f>
        <v/>
      </c>
      <c r="BRM3" s="18" t="str">
        <f>IF(BQZ4&gt;0,BRM4/BQZ4,"")</f>
        <v/>
      </c>
      <c r="BRN3" s="18" t="str">
        <f>IF(BQZ4&gt;0,BRN4/BQZ4,"")</f>
        <v/>
      </c>
      <c r="BRO3" s="18" t="str">
        <f>IF(BQZ4&gt;0,BRO4/BQZ4,"")</f>
        <v/>
      </c>
      <c r="BRP3" s="18" t="str">
        <f>IF(BQZ4&gt;0,BRP4/BQZ4,"")</f>
        <v/>
      </c>
      <c r="BRQ3" s="18" t="str">
        <f>IF(BQZ4&gt;0,BRQ4/BQZ4,"")</f>
        <v/>
      </c>
      <c r="BRR3" s="18" t="str">
        <f>IF(BQZ4&gt;0,BRR4/BQZ4,"")</f>
        <v/>
      </c>
      <c r="BRS3" s="18" t="str">
        <f>IF(BQZ4&gt;0,BRS4/BQZ4,"")</f>
        <v/>
      </c>
      <c r="BRT3" s="18" t="str">
        <f>IF(BQZ4&gt;0,BRT4/BQZ4,"")</f>
        <v/>
      </c>
      <c r="BRU3" s="18" t="str">
        <f>IF(BQZ4&gt;0,BRU4/BQZ4,"")</f>
        <v/>
      </c>
      <c r="BRV3" s="18" t="str">
        <f>IF(BQZ4&gt;0,BRV4/BQZ4,"")</f>
        <v/>
      </c>
      <c r="BRW3" s="18" t="str">
        <f>IF(BQZ4&gt;0,BRW4/BQZ4,"")</f>
        <v/>
      </c>
      <c r="BRX3" s="18" t="str">
        <f>IF(BQZ4&gt;0,BRX4/BQZ4,"")</f>
        <v/>
      </c>
      <c r="BRY3" s="18" t="str">
        <f>IF(BQZ4&gt;0,BRY4/BQZ4,"")</f>
        <v/>
      </c>
      <c r="BRZ3" s="18" t="str">
        <f>IF(BQZ4&gt;0,BRZ4/BQZ4,"")</f>
        <v/>
      </c>
      <c r="BSA3" s="18" t="str">
        <f>IF(BQZ4&gt;0,BSA4/BQZ4,"")</f>
        <v/>
      </c>
      <c r="BSB3" s="18" t="str">
        <f>IF(BQZ4&gt;0,BSB4/BQZ4,"")</f>
        <v/>
      </c>
      <c r="BSC3" s="18" t="str">
        <f>IF(BQZ4&gt;0,BSC4/BQZ4,"")</f>
        <v/>
      </c>
      <c r="BSD3" s="18" t="str">
        <f>IF(BQZ4&gt;0,BSD4/BQZ4,"")</f>
        <v/>
      </c>
      <c r="BSF3" s="18" t="str">
        <f>IF(BSE4&gt;0,BSF4/BSE4,"")</f>
        <v/>
      </c>
      <c r="BSG3" s="18" t="str">
        <f>IF(BSE4&gt;0,BSG4/BSE4,"")</f>
        <v/>
      </c>
      <c r="BSH3" s="18" t="str">
        <f>IF(BSE4&gt;0,BSH4/BSE4,"")</f>
        <v/>
      </c>
      <c r="BSI3" s="18" t="str">
        <f>IF(BSE4&gt;0,BSI4/BSE4,"")</f>
        <v/>
      </c>
      <c r="BSJ3" s="18" t="str">
        <f>IF(BSE4&gt;0,BSJ4/BSE4,"")</f>
        <v/>
      </c>
      <c r="BSK3" s="18" t="str">
        <f>IF(BSE4&gt;0,BSK4/BSE4,"")</f>
        <v/>
      </c>
      <c r="BSL3" s="18" t="str">
        <f>IF(BSE4&gt;0,BSL4/BSE4,"")</f>
        <v/>
      </c>
      <c r="BSM3" s="18" t="str">
        <f>IF(BSE4&gt;0,BSM4/BSE4,"")</f>
        <v/>
      </c>
      <c r="BSN3" s="18" t="str">
        <f>IF(BSE4&gt;0,BSN4/BSE4,"")</f>
        <v/>
      </c>
      <c r="BSO3" s="18" t="str">
        <f>IF(BSE4&gt;0,BSO4/BSE4,"")</f>
        <v/>
      </c>
      <c r="BSP3" s="18" t="str">
        <f>IF(BSE4&gt;0,BSP4/BSE4,"")</f>
        <v/>
      </c>
      <c r="BSQ3" s="18" t="str">
        <f>IF(BSE4&gt;0,BSQ4/BSE4,"")</f>
        <v/>
      </c>
      <c r="BSR3" s="18" t="str">
        <f>IF(BSE4&gt;0,BSR4/BSE4,"")</f>
        <v/>
      </c>
      <c r="BSS3" s="18" t="str">
        <f>IF(BSE4&gt;0,BSS4/BSE4,"")</f>
        <v/>
      </c>
      <c r="BST3" s="18" t="str">
        <f>IF(BSE4&gt;0,BST4/BSE4,"")</f>
        <v/>
      </c>
      <c r="BSU3" s="18" t="str">
        <f>IF(BSE4&gt;0,BSU4/BSE4,"")</f>
        <v/>
      </c>
      <c r="BSV3" s="18" t="str">
        <f>IF(BSE4&gt;0,BSV4/BSE4,"")</f>
        <v/>
      </c>
      <c r="BSW3" s="18" t="str">
        <f>IF(BSE4&gt;0,BSW4/BSE4,"")</f>
        <v/>
      </c>
      <c r="BSX3" s="18" t="str">
        <f>IF(BSE4&gt;0,BSX4/BSE4,"")</f>
        <v/>
      </c>
      <c r="BSY3" s="18" t="str">
        <f>IF(BSE4&gt;0,BSY4/BSE4,"")</f>
        <v/>
      </c>
      <c r="BSZ3" s="18" t="str">
        <f>IF(BSE4&gt;0,BSZ4/BSE4,"")</f>
        <v/>
      </c>
      <c r="BTA3" s="18" t="str">
        <f>IF(BSE4&gt;0,BTA4/BSE4,"")</f>
        <v/>
      </c>
      <c r="BTB3" s="18" t="str">
        <f>IF(BSE4&gt;0,BTB4/BSE4,"")</f>
        <v/>
      </c>
      <c r="BTC3" s="18" t="str">
        <f>IF(BSE4&gt;0,BTC4/BSE4,"")</f>
        <v/>
      </c>
      <c r="BTD3" s="18" t="str">
        <f>IF(BSE4&gt;0,BTD4/BSE4,"")</f>
        <v/>
      </c>
      <c r="BTE3" s="18" t="str">
        <f>IF(BSE4&gt;0,BTE4/BSE4,"")</f>
        <v/>
      </c>
      <c r="BTF3" s="18" t="str">
        <f>IF(BSE4&gt;0,BTF4/BSE4,"")</f>
        <v/>
      </c>
      <c r="BTG3" s="18" t="str">
        <f>IF(BSE4&gt;0,BTG4/BSE4,"")</f>
        <v/>
      </c>
      <c r="BTH3" s="18" t="str">
        <f>IF(BSE4&gt;0,BTH4/BSE4,"")</f>
        <v/>
      </c>
      <c r="BTI3" s="18" t="str">
        <f>IF(BSE4&gt;0,BTI4/BSE4,"")</f>
        <v/>
      </c>
      <c r="BTK3" s="18" t="str">
        <f>IF(BTJ4&gt;0,BTK4/BTJ4,"")</f>
        <v/>
      </c>
      <c r="BTL3" s="18" t="str">
        <f>IF(BTJ4&gt;0,BTL4/BTJ4,"")</f>
        <v/>
      </c>
      <c r="BTM3" s="18" t="str">
        <f>IF(BTJ4&gt;0,BTM4/BTJ4,"")</f>
        <v/>
      </c>
      <c r="BTN3" s="18" t="str">
        <f>IF(BTJ4&gt;0,BTN4/BTJ4,"")</f>
        <v/>
      </c>
      <c r="BTO3" s="18" t="str">
        <f>IF(BTJ4&gt;0,BTO4/BTJ4,"")</f>
        <v/>
      </c>
      <c r="BTP3" s="18" t="str">
        <f>IF(BTJ4&gt;0,BTP4/BTJ4,"")</f>
        <v/>
      </c>
      <c r="BTQ3" s="18" t="str">
        <f>IF(BTJ4&gt;0,BTQ4/BTJ4,"")</f>
        <v/>
      </c>
      <c r="BTR3" s="18" t="str">
        <f>IF(BTJ4&gt;0,BTR4/BTJ4,"")</f>
        <v/>
      </c>
      <c r="BTS3" s="18" t="str">
        <f>IF(BTJ4&gt;0,BTS4/BTJ4,"")</f>
        <v/>
      </c>
      <c r="BTT3" s="18" t="str">
        <f>IF(BTJ4&gt;0,BTT4/BTJ4,"")</f>
        <v/>
      </c>
      <c r="BTU3" s="18" t="str">
        <f>IF(BTJ4&gt;0,BTU4/BTJ4,"")</f>
        <v/>
      </c>
      <c r="BTV3" s="18" t="str">
        <f>IF(BTJ4&gt;0,BTV4/BTJ4,"")</f>
        <v/>
      </c>
      <c r="BTW3" s="18" t="str">
        <f>IF(BTJ4&gt;0,BTW4/BTJ4,"")</f>
        <v/>
      </c>
      <c r="BTX3" s="18" t="str">
        <f>IF(BTJ4&gt;0,BTX4/BTJ4,"")</f>
        <v/>
      </c>
      <c r="BTY3" s="18" t="str">
        <f>IF(BTJ4&gt;0,BTY4/BTJ4,"")</f>
        <v/>
      </c>
      <c r="BTZ3" s="18" t="str">
        <f>IF(BTJ4&gt;0,BTZ4/BTJ4,"")</f>
        <v/>
      </c>
      <c r="BUA3" s="18" t="str">
        <f>IF(BTJ4&gt;0,BUA4/BTJ4,"")</f>
        <v/>
      </c>
      <c r="BUB3" s="18" t="str">
        <f>IF(BTJ4&gt;0,BUB4/BTJ4,"")</f>
        <v/>
      </c>
      <c r="BUC3" s="18" t="str">
        <f>IF(BTJ4&gt;0,BUC4/BTJ4,"")</f>
        <v/>
      </c>
      <c r="BUD3" s="18" t="str">
        <f>IF(BTJ4&gt;0,BUD4/BTJ4,"")</f>
        <v/>
      </c>
      <c r="BUE3" s="18" t="str">
        <f>IF(BTJ4&gt;0,BUE4/BTJ4,"")</f>
        <v/>
      </c>
      <c r="BUF3" s="18" t="str">
        <f>IF(BTJ4&gt;0,BUF4/BTJ4,"")</f>
        <v/>
      </c>
      <c r="BUG3" s="18" t="str">
        <f>IF(BTJ4&gt;0,BUG4/BTJ4,"")</f>
        <v/>
      </c>
      <c r="BUH3" s="18" t="str">
        <f>IF(BTJ4&gt;0,BUH4/BTJ4,"")</f>
        <v/>
      </c>
      <c r="BUI3" s="18" t="str">
        <f>IF(BTJ4&gt;0,BUI4/BTJ4,"")</f>
        <v/>
      </c>
      <c r="BUJ3" s="18" t="str">
        <f>IF(BTJ4&gt;0,BUJ4/BTJ4,"")</f>
        <v/>
      </c>
      <c r="BUK3" s="18" t="str">
        <f>IF(BTJ4&gt;0,BUK4/BTJ4,"")</f>
        <v/>
      </c>
      <c r="BUL3" s="18" t="str">
        <f>IF(BTJ4&gt;0,BUL4/BTJ4,"")</f>
        <v/>
      </c>
      <c r="BUM3" s="18" t="str">
        <f>IF(BTJ4&gt;0,BUM4/BTJ4,"")</f>
        <v/>
      </c>
      <c r="BUN3" s="18" t="str">
        <f>IF(BTJ4&gt;0,BUN4/BTJ4,"")</f>
        <v/>
      </c>
      <c r="BUP3" s="18" t="str">
        <f>IF(BUO4&gt;0,BUP4/BUO4,"")</f>
        <v/>
      </c>
      <c r="BUQ3" s="18" t="str">
        <f>IF(BUO4&gt;0,BUQ4/BUO4,"")</f>
        <v/>
      </c>
      <c r="BUR3" s="18" t="str">
        <f>IF(BUO4&gt;0,BUR4/BUO4,"")</f>
        <v/>
      </c>
      <c r="BUS3" s="18" t="str">
        <f>IF(BUO4&gt;0,BUS4/BUO4,"")</f>
        <v/>
      </c>
      <c r="BUT3" s="18" t="str">
        <f>IF(BUO4&gt;0,BUT4/BUO4,"")</f>
        <v/>
      </c>
      <c r="BUU3" s="18" t="str">
        <f>IF(BUO4&gt;0,BUU4/BUO4,"")</f>
        <v/>
      </c>
      <c r="BUV3" s="18" t="str">
        <f>IF(BUO4&gt;0,BUV4/BUO4,"")</f>
        <v/>
      </c>
      <c r="BUW3" s="18" t="str">
        <f>IF(BUO4&gt;0,BUW4/BUO4,"")</f>
        <v/>
      </c>
      <c r="BUX3" s="18" t="str">
        <f>IF(BUO4&gt;0,BUX4/BUO4,"")</f>
        <v/>
      </c>
      <c r="BUY3" s="18" t="str">
        <f>IF(BUO4&gt;0,BUY4/BUO4,"")</f>
        <v/>
      </c>
      <c r="BUZ3" s="18" t="str">
        <f>IF(BUO4&gt;0,BUZ4/BUO4,"")</f>
        <v/>
      </c>
      <c r="BVA3" s="18" t="str">
        <f>IF(BUO4&gt;0,BVA4/BUO4,"")</f>
        <v/>
      </c>
      <c r="BVB3" s="18" t="str">
        <f>IF(BUO4&gt;0,BVB4/BUO4,"")</f>
        <v/>
      </c>
      <c r="BVC3" s="18" t="str">
        <f>IF(BUO4&gt;0,BVC4/BUO4,"")</f>
        <v/>
      </c>
      <c r="BVD3" s="18" t="str">
        <f>IF(BUO4&gt;0,BVD4/BUO4,"")</f>
        <v/>
      </c>
      <c r="BVE3" s="18" t="str">
        <f>IF(BUO4&gt;0,BVE4/BUO4,"")</f>
        <v/>
      </c>
      <c r="BVF3" s="18" t="str">
        <f>IF(BUO4&gt;0,BVF4/BUO4,"")</f>
        <v/>
      </c>
      <c r="BVG3" s="18" t="str">
        <f>IF(BUO4&gt;0,BVG4/BUO4,"")</f>
        <v/>
      </c>
      <c r="BVH3" s="18" t="str">
        <f>IF(BUO4&gt;0,BVH4/BUO4,"")</f>
        <v/>
      </c>
      <c r="BVI3" s="18" t="str">
        <f>IF(BUO4&gt;0,BVI4/BUO4,"")</f>
        <v/>
      </c>
      <c r="BVJ3" s="18" t="str">
        <f>IF(BUO4&gt;0,BVJ4/BUO4,"")</f>
        <v/>
      </c>
      <c r="BVK3" s="18" t="str">
        <f>IF(BUO4&gt;0,BVK4/BUO4,"")</f>
        <v/>
      </c>
      <c r="BVL3" s="18" t="str">
        <f>IF(BUO4&gt;0,BVL4/BUO4,"")</f>
        <v/>
      </c>
      <c r="BVM3" s="18" t="str">
        <f>IF(BUO4&gt;0,BVM4/BUO4,"")</f>
        <v/>
      </c>
      <c r="BVN3" s="18" t="str">
        <f>IF(BUO4&gt;0,BVN4/BUO4,"")</f>
        <v/>
      </c>
      <c r="BVO3" s="18" t="str">
        <f>IF(BUO4&gt;0,BVO4/BUO4,"")</f>
        <v/>
      </c>
      <c r="BVP3" s="18" t="str">
        <f>IF(BUO4&gt;0,BVP4/BUO4,"")</f>
        <v/>
      </c>
      <c r="BVQ3" s="18" t="str">
        <f>IF(BUO4&gt;0,BVQ4/BUO4,"")</f>
        <v/>
      </c>
      <c r="BVR3" s="18" t="str">
        <f>IF(BUO4&gt;0,BVR4/BUO4,"")</f>
        <v/>
      </c>
      <c r="BVS3" s="18" t="str">
        <f>IF(BUO4&gt;0,BVS4/BUO4,"")</f>
        <v/>
      </c>
      <c r="BVU3" s="18" t="str">
        <f>IF(BVT4&gt;0,BVU4/BVT4,"")</f>
        <v/>
      </c>
      <c r="BVV3" s="18" t="str">
        <f>IF(BVT4&gt;0,BVV4/BVT4,"")</f>
        <v/>
      </c>
      <c r="BVW3" s="18" t="str">
        <f>IF(BVT4&gt;0,BVW4/BVT4,"")</f>
        <v/>
      </c>
      <c r="BVX3" s="18" t="str">
        <f>IF(BVT4&gt;0,BVX4/BVT4,"")</f>
        <v/>
      </c>
      <c r="BVY3" s="18" t="str">
        <f>IF(BVT4&gt;0,BVY4/BVT4,"")</f>
        <v/>
      </c>
      <c r="BVZ3" s="18" t="str">
        <f>IF(BVT4&gt;0,BVZ4/BVT4,"")</f>
        <v/>
      </c>
      <c r="BWA3" s="18" t="str">
        <f>IF(BVT4&gt;0,BWA4/BVT4,"")</f>
        <v/>
      </c>
      <c r="BWB3" s="18" t="str">
        <f>IF(BVT4&gt;0,BWB4/BVT4,"")</f>
        <v/>
      </c>
      <c r="BWC3" s="18" t="str">
        <f>IF(BVT4&gt;0,BWC4/BVT4,"")</f>
        <v/>
      </c>
      <c r="BWD3" s="18" t="str">
        <f>IF(BVT4&gt;0,BWD4/BVT4,"")</f>
        <v/>
      </c>
      <c r="BWE3" s="18" t="str">
        <f>IF(BVT4&gt;0,BWE4/BVT4,"")</f>
        <v/>
      </c>
      <c r="BWF3" s="18" t="str">
        <f>IF(BVT4&gt;0,BWF4/BVT4,"")</f>
        <v/>
      </c>
      <c r="BWG3" s="18" t="str">
        <f>IF(BVT4&gt;0,BWG4/BVT4,"")</f>
        <v/>
      </c>
      <c r="BWH3" s="18" t="str">
        <f>IF(BVT4&gt;0,BWH4/BVT4,"")</f>
        <v/>
      </c>
      <c r="BWI3" s="18" t="str">
        <f>IF(BVT4&gt;0,BWI4/BVT4,"")</f>
        <v/>
      </c>
      <c r="BWJ3" s="18" t="str">
        <f>IF(BVT4&gt;0,BWJ4/BVT4,"")</f>
        <v/>
      </c>
      <c r="BWK3" s="18" t="str">
        <f>IF(BVT4&gt;0,BWK4/BVT4,"")</f>
        <v/>
      </c>
      <c r="BWL3" s="18" t="str">
        <f>IF(BVT4&gt;0,BWL4/BVT4,"")</f>
        <v/>
      </c>
      <c r="BWM3" s="18" t="str">
        <f>IF(BVT4&gt;0,BWM4/BVT4,"")</f>
        <v/>
      </c>
      <c r="BWN3" s="18" t="str">
        <f>IF(BVT4&gt;0,BWN4/BVT4,"")</f>
        <v/>
      </c>
      <c r="BWO3" s="18" t="str">
        <f>IF(BVT4&gt;0,BWO4/BVT4,"")</f>
        <v/>
      </c>
      <c r="BWP3" s="18" t="str">
        <f>IF(BVT4&gt;0,BWP4/BVT4,"")</f>
        <v/>
      </c>
      <c r="BWQ3" s="18" t="str">
        <f>IF(BVT4&gt;0,BWQ4/BVT4,"")</f>
        <v/>
      </c>
      <c r="BWR3" s="18" t="str">
        <f>IF(BVT4&gt;0,BWR4/BVT4,"")</f>
        <v/>
      </c>
      <c r="BWS3" s="18" t="str">
        <f>IF(BVT4&gt;0,BWS4/BVT4,"")</f>
        <v/>
      </c>
      <c r="BWT3" s="18" t="str">
        <f>IF(BVT4&gt;0,BWT4/BVT4,"")</f>
        <v/>
      </c>
      <c r="BWU3" s="18" t="str">
        <f>IF(BVT4&gt;0,BWU4/BVT4,"")</f>
        <v/>
      </c>
      <c r="BWV3" s="18" t="str">
        <f>IF(BVT4&gt;0,BWV4/BVT4,"")</f>
        <v/>
      </c>
      <c r="BWW3" s="18" t="str">
        <f>IF(BVT4&gt;0,BWW4/BVT4,"")</f>
        <v/>
      </c>
      <c r="BWX3" s="18" t="str">
        <f>IF(BVT4&gt;0,BWX4/BVT4,"")</f>
        <v/>
      </c>
      <c r="BWZ3" s="18" t="str">
        <f>IF(BWY4&gt;0,BWZ4/BWY4,"")</f>
        <v/>
      </c>
      <c r="BXA3" s="18" t="str">
        <f>IF(BWY4&gt;0,BXA4/BWY4,"")</f>
        <v/>
      </c>
      <c r="BXB3" s="18" t="str">
        <f>IF(BWY4&gt;0,BXB4/BWY4,"")</f>
        <v/>
      </c>
      <c r="BXC3" s="18" t="str">
        <f>IF(BWY4&gt;0,BXC4/BWY4,"")</f>
        <v/>
      </c>
      <c r="BXD3" s="18" t="str">
        <f>IF(BWY4&gt;0,BXD4/BWY4,"")</f>
        <v/>
      </c>
      <c r="BXE3" s="18" t="str">
        <f>IF(BWY4&gt;0,BXE4/BWY4,"")</f>
        <v/>
      </c>
      <c r="BXF3" s="18" t="str">
        <f>IF(BWY4&gt;0,BXF4/BWY4,"")</f>
        <v/>
      </c>
      <c r="BXG3" s="18" t="str">
        <f>IF(BWY4&gt;0,BXG4/BWY4,"")</f>
        <v/>
      </c>
      <c r="BXH3" s="18" t="str">
        <f>IF(BWY4&gt;0,BXH4/BWY4,"")</f>
        <v/>
      </c>
      <c r="BXI3" s="18" t="str">
        <f>IF(BWY4&gt;0,BXI4/BWY4,"")</f>
        <v/>
      </c>
      <c r="BXJ3" s="18" t="str">
        <f>IF(BWY4&gt;0,BXJ4/BWY4,"")</f>
        <v/>
      </c>
      <c r="BXK3" s="18" t="str">
        <f>IF(BWY4&gt;0,BXK4/BWY4,"")</f>
        <v/>
      </c>
      <c r="BXL3" s="18" t="str">
        <f>IF(BWY4&gt;0,BXL4/BWY4,"")</f>
        <v/>
      </c>
      <c r="BXM3" s="18" t="str">
        <f>IF(BWY4&gt;0,BXM4/BWY4,"")</f>
        <v/>
      </c>
      <c r="BXN3" s="18" t="str">
        <f>IF(BWY4&gt;0,BXN4/BWY4,"")</f>
        <v/>
      </c>
      <c r="BXO3" s="18" t="str">
        <f>IF(BWY4&gt;0,BXO4/BWY4,"")</f>
        <v/>
      </c>
      <c r="BXP3" s="18" t="str">
        <f>IF(BWY4&gt;0,BXP4/BWY4,"")</f>
        <v/>
      </c>
      <c r="BXQ3" s="18" t="str">
        <f>IF(BWY4&gt;0,BXQ4/BWY4,"")</f>
        <v/>
      </c>
      <c r="BXR3" s="18" t="str">
        <f>IF(BWY4&gt;0,BXR4/BWY4,"")</f>
        <v/>
      </c>
      <c r="BXS3" s="18" t="str">
        <f>IF(BWY4&gt;0,BXS4/BWY4,"")</f>
        <v/>
      </c>
      <c r="BXT3" s="18" t="str">
        <f>IF(BWY4&gt;0,BXT4/BWY4,"")</f>
        <v/>
      </c>
      <c r="BXU3" s="18" t="str">
        <f>IF(BWY4&gt;0,BXU4/BWY4,"")</f>
        <v/>
      </c>
      <c r="BXV3" s="18" t="str">
        <f>IF(BWY4&gt;0,BXV4/BWY4,"")</f>
        <v/>
      </c>
      <c r="BXW3" s="18" t="str">
        <f>IF(BWY4&gt;0,BXW4/BWY4,"")</f>
        <v/>
      </c>
      <c r="BXX3" s="18" t="str">
        <f>IF(BWY4&gt;0,BXX4/BWY4,"")</f>
        <v/>
      </c>
      <c r="BXY3" s="18" t="str">
        <f>IF(BWY4&gt;0,BXY4/BWY4,"")</f>
        <v/>
      </c>
      <c r="BXZ3" s="18" t="str">
        <f>IF(BWY4&gt;0,BXZ4/BWY4,"")</f>
        <v/>
      </c>
      <c r="BYA3" s="18" t="str">
        <f>IF(BWY4&gt;0,BYA4/BWY4,"")</f>
        <v/>
      </c>
      <c r="BYB3" s="18" t="str">
        <f>IF(BWY4&gt;0,BYB4/BWY4,"")</f>
        <v/>
      </c>
      <c r="BYC3" s="18" t="str">
        <f>IF(BWY4&gt;0,BYC4/BWY4,"")</f>
        <v/>
      </c>
      <c r="BYE3" s="18" t="str">
        <f>IF(BYD4&gt;0,BYE4/BYD4,"")</f>
        <v/>
      </c>
      <c r="BYF3" s="18" t="str">
        <f>IF(BYD4&gt;0,BYF4/BYD4,"")</f>
        <v/>
      </c>
      <c r="BYG3" s="18" t="str">
        <f>IF(BYD4&gt;0,BYG4/BYD4,"")</f>
        <v/>
      </c>
      <c r="BYH3" s="18" t="str">
        <f>IF(BYD4&gt;0,BYH4/BYD4,"")</f>
        <v/>
      </c>
      <c r="BYI3" s="18" t="str">
        <f>IF(BYD4&gt;0,BYI4/BYD4,"")</f>
        <v/>
      </c>
      <c r="BYJ3" s="18" t="str">
        <f>IF(BYD4&gt;0,BYJ4/BYD4,"")</f>
        <v/>
      </c>
      <c r="BYK3" s="18" t="str">
        <f>IF(BYD4&gt;0,BYK4/BYD4,"")</f>
        <v/>
      </c>
      <c r="BYL3" s="18" t="str">
        <f>IF(BYD4&gt;0,BYL4/BYD4,"")</f>
        <v/>
      </c>
      <c r="BYM3" s="18" t="str">
        <f>IF(BYD4&gt;0,BYM4/BYD4,"")</f>
        <v/>
      </c>
      <c r="BYN3" s="18" t="str">
        <f>IF(BYD4&gt;0,BYN4/BYD4,"")</f>
        <v/>
      </c>
      <c r="BYO3" s="18" t="str">
        <f>IF(BYD4&gt;0,BYO4/BYD4,"")</f>
        <v/>
      </c>
      <c r="BYP3" s="18" t="str">
        <f>IF(BYD4&gt;0,BYP4/BYD4,"")</f>
        <v/>
      </c>
      <c r="BYQ3" s="18" t="str">
        <f>IF(BYD4&gt;0,BYQ4/BYD4,"")</f>
        <v/>
      </c>
      <c r="BYR3" s="18" t="str">
        <f>IF(BYD4&gt;0,BYR4/BYD4,"")</f>
        <v/>
      </c>
      <c r="BYS3" s="18" t="str">
        <f>IF(BYD4&gt;0,BYS4/BYD4,"")</f>
        <v/>
      </c>
      <c r="BYT3" s="18" t="str">
        <f>IF(BYD4&gt;0,BYT4/BYD4,"")</f>
        <v/>
      </c>
      <c r="BYU3" s="18" t="str">
        <f>IF(BYD4&gt;0,BYU4/BYD4,"")</f>
        <v/>
      </c>
      <c r="BYV3" s="18" t="str">
        <f>IF(BYD4&gt;0,BYV4/BYD4,"")</f>
        <v/>
      </c>
      <c r="BYW3" s="18" t="str">
        <f>IF(BYD4&gt;0,BYW4/BYD4,"")</f>
        <v/>
      </c>
      <c r="BYX3" s="18" t="str">
        <f>IF(BYD4&gt;0,BYX4/BYD4,"")</f>
        <v/>
      </c>
      <c r="BYY3" s="18" t="str">
        <f>IF(BYD4&gt;0,BYY4/BYD4,"")</f>
        <v/>
      </c>
      <c r="BYZ3" s="18" t="str">
        <f>IF(BYD4&gt;0,BYZ4/BYD4,"")</f>
        <v/>
      </c>
      <c r="BZA3" s="18" t="str">
        <f>IF(BYD4&gt;0,BZA4/BYD4,"")</f>
        <v/>
      </c>
      <c r="BZB3" s="18" t="str">
        <f>IF(BYD4&gt;0,BZB4/BYD4,"")</f>
        <v/>
      </c>
      <c r="BZC3" s="18" t="str">
        <f>IF(BYD4&gt;0,BZC4/BYD4,"")</f>
        <v/>
      </c>
      <c r="BZD3" s="18" t="str">
        <f>IF(BYD4&gt;0,BZD4/BYD4,"")</f>
        <v/>
      </c>
      <c r="BZE3" s="18" t="str">
        <f>IF(BYD4&gt;0,BZE4/BYD4,"")</f>
        <v/>
      </c>
      <c r="BZF3" s="18" t="str">
        <f>IF(BYD4&gt;0,BZF4/BYD4,"")</f>
        <v/>
      </c>
      <c r="BZG3" s="18" t="str">
        <f>IF(BYD4&gt;0,BZG4/BYD4,"")</f>
        <v/>
      </c>
      <c r="BZH3" s="18" t="str">
        <f>IF(BYD4&gt;0,BZH4/BYD4,"")</f>
        <v/>
      </c>
      <c r="BZJ3" s="18" t="str">
        <f>IF(BZI4&gt;0,BZJ4/BZI4,"")</f>
        <v/>
      </c>
      <c r="BZK3" s="18" t="str">
        <f>IF(BZI4&gt;0,BZK4/BZI4,"")</f>
        <v/>
      </c>
      <c r="BZL3" s="18" t="str">
        <f>IF(BZI4&gt;0,BZL4/BZI4,"")</f>
        <v/>
      </c>
      <c r="BZM3" s="18" t="str">
        <f>IF(BZI4&gt;0,BZM4/BZI4,"")</f>
        <v/>
      </c>
      <c r="BZN3" s="18" t="str">
        <f>IF(BZI4&gt;0,BZN4/BZI4,"")</f>
        <v/>
      </c>
      <c r="BZO3" s="18" t="str">
        <f>IF(BZI4&gt;0,BZO4/BZI4,"")</f>
        <v/>
      </c>
      <c r="BZP3" s="18" t="str">
        <f>IF(BZI4&gt;0,BZP4/BZI4,"")</f>
        <v/>
      </c>
      <c r="BZQ3" s="18" t="str">
        <f>IF(BZI4&gt;0,BZQ4/BZI4,"")</f>
        <v/>
      </c>
      <c r="BZR3" s="18" t="str">
        <f>IF(BZI4&gt;0,BZR4/BZI4,"")</f>
        <v/>
      </c>
      <c r="BZS3" s="18" t="str">
        <f>IF(BZI4&gt;0,BZS4/BZI4,"")</f>
        <v/>
      </c>
      <c r="BZT3" s="18" t="str">
        <f>IF(BZI4&gt;0,BZT4/BZI4,"")</f>
        <v/>
      </c>
      <c r="BZU3" s="18" t="str">
        <f>IF(BZI4&gt;0,BZU4/BZI4,"")</f>
        <v/>
      </c>
      <c r="BZV3" s="18" t="str">
        <f>IF(BZI4&gt;0,BZV4/BZI4,"")</f>
        <v/>
      </c>
      <c r="BZW3" s="18" t="str">
        <f>IF(BZI4&gt;0,BZW4/BZI4,"")</f>
        <v/>
      </c>
      <c r="BZX3" s="18" t="str">
        <f>IF(BZI4&gt;0,BZX4/BZI4,"")</f>
        <v/>
      </c>
      <c r="BZY3" s="18" t="str">
        <f>IF(BZI4&gt;0,BZY4/BZI4,"")</f>
        <v/>
      </c>
      <c r="BZZ3" s="18" t="str">
        <f>IF(BZI4&gt;0,BZZ4/BZI4,"")</f>
        <v/>
      </c>
      <c r="CAA3" s="18" t="str">
        <f>IF(BZI4&gt;0,CAA4/BZI4,"")</f>
        <v/>
      </c>
      <c r="CAB3" s="18" t="str">
        <f>IF(BZI4&gt;0,CAB4/BZI4,"")</f>
        <v/>
      </c>
      <c r="CAC3" s="18" t="str">
        <f>IF(BZI4&gt;0,CAC4/BZI4,"")</f>
        <v/>
      </c>
      <c r="CAD3" s="18" t="str">
        <f>IF(BZI4&gt;0,CAD4/BZI4,"")</f>
        <v/>
      </c>
      <c r="CAE3" s="18" t="str">
        <f>IF(BZI4&gt;0,CAE4/BZI4,"")</f>
        <v/>
      </c>
      <c r="CAF3" s="18" t="str">
        <f>IF(BZI4&gt;0,CAF4/BZI4,"")</f>
        <v/>
      </c>
      <c r="CAG3" s="18" t="str">
        <f>IF(BZI4&gt;0,CAG4/BZI4,"")</f>
        <v/>
      </c>
      <c r="CAH3" s="18" t="str">
        <f>IF(BZI4&gt;0,CAH4/BZI4,"")</f>
        <v/>
      </c>
      <c r="CAI3" s="18" t="str">
        <f>IF(BZI4&gt;0,CAI4/BZI4,"")</f>
        <v/>
      </c>
      <c r="CAJ3" s="18" t="str">
        <f>IF(BZI4&gt;0,CAJ4/BZI4,"")</f>
        <v/>
      </c>
      <c r="CAK3" s="18" t="str">
        <f>IF(BZI4&gt;0,CAK4/BZI4,"")</f>
        <v/>
      </c>
      <c r="CAL3" s="18" t="str">
        <f>IF(BZI4&gt;0,CAL4/BZI4,"")</f>
        <v/>
      </c>
      <c r="CAM3" s="18" t="str">
        <f>IF(BZI4&gt;0,CAM4/BZI4,"")</f>
        <v/>
      </c>
      <c r="CAO3" s="18" t="str">
        <f>IF(CAN4&gt;0,CAO4/CAN4,"")</f>
        <v/>
      </c>
      <c r="CAP3" s="18" t="str">
        <f>IF(CAN4&gt;0,CAP4/CAN4,"")</f>
        <v/>
      </c>
      <c r="CAQ3" s="18" t="str">
        <f>IF(CAN4&gt;0,CAQ4/CAN4,"")</f>
        <v/>
      </c>
      <c r="CAR3" s="18" t="str">
        <f>IF(CAN4&gt;0,CAR4/CAN4,"")</f>
        <v/>
      </c>
      <c r="CAS3" s="18" t="str">
        <f>IF(CAN4&gt;0,CAS4/CAN4,"")</f>
        <v/>
      </c>
      <c r="CAT3" s="18" t="str">
        <f>IF(CAN4&gt;0,CAT4/CAN4,"")</f>
        <v/>
      </c>
      <c r="CAU3" s="18" t="str">
        <f>IF(CAN4&gt;0,CAU4/CAN4,"")</f>
        <v/>
      </c>
      <c r="CAV3" s="18" t="str">
        <f>IF(CAN4&gt;0,CAV4/CAN4,"")</f>
        <v/>
      </c>
      <c r="CAW3" s="18" t="str">
        <f>IF(CAN4&gt;0,CAW4/CAN4,"")</f>
        <v/>
      </c>
      <c r="CAX3" s="18" t="str">
        <f>IF(CAN4&gt;0,CAX4/CAN4,"")</f>
        <v/>
      </c>
      <c r="CAY3" s="18" t="str">
        <f>IF(CAN4&gt;0,CAY4/CAN4,"")</f>
        <v/>
      </c>
      <c r="CAZ3" s="18" t="str">
        <f>IF(CAN4&gt;0,CAZ4/CAN4,"")</f>
        <v/>
      </c>
      <c r="CBA3" s="18" t="str">
        <f>IF(CAN4&gt;0,CBA4/CAN4,"")</f>
        <v/>
      </c>
      <c r="CBB3" s="18" t="str">
        <f>IF(CAN4&gt;0,CBB4/CAN4,"")</f>
        <v/>
      </c>
      <c r="CBC3" s="18" t="str">
        <f>IF(CAN4&gt;0,CBC4/CAN4,"")</f>
        <v/>
      </c>
      <c r="CBD3" s="18" t="str">
        <f>IF(CAN4&gt;0,CBD4/CAN4,"")</f>
        <v/>
      </c>
      <c r="CBE3" s="18" t="str">
        <f>IF(CAN4&gt;0,CBE4/CAN4,"")</f>
        <v/>
      </c>
      <c r="CBF3" s="18" t="str">
        <f>IF(CAN4&gt;0,CBF4/CAN4,"")</f>
        <v/>
      </c>
      <c r="CBG3" s="18" t="str">
        <f>IF(CAN4&gt;0,CBG4/CAN4,"")</f>
        <v/>
      </c>
      <c r="CBH3" s="18" t="str">
        <f>IF(CAN4&gt;0,CBH4/CAN4,"")</f>
        <v/>
      </c>
      <c r="CBI3" s="18" t="str">
        <f>IF(CAN4&gt;0,CBI4/CAN4,"")</f>
        <v/>
      </c>
      <c r="CBJ3" s="18" t="str">
        <f>IF(CAN4&gt;0,CBJ4/CAN4,"")</f>
        <v/>
      </c>
      <c r="CBK3" s="18" t="str">
        <f>IF(CAN4&gt;0,CBK4/CAN4,"")</f>
        <v/>
      </c>
      <c r="CBL3" s="18" t="str">
        <f>IF(CAN4&gt;0,CBL4/CAN4,"")</f>
        <v/>
      </c>
      <c r="CBM3" s="18" t="str">
        <f>IF(CAN4&gt;0,CBM4/CAN4,"")</f>
        <v/>
      </c>
      <c r="CBN3" s="18" t="str">
        <f>IF(CAN4&gt;0,CBN4/CAN4,"")</f>
        <v/>
      </c>
      <c r="CBO3" s="18" t="str">
        <f>IF(CAN4&gt;0,CBO4/CAN4,"")</f>
        <v/>
      </c>
      <c r="CBP3" s="18" t="str">
        <f>IF(CAN4&gt;0,CBP4/CAN4,"")</f>
        <v/>
      </c>
      <c r="CBQ3" s="18" t="str">
        <f>IF(CAN4&gt;0,CBQ4/CAN4,"")</f>
        <v/>
      </c>
      <c r="CBR3" s="18" t="str">
        <f>IF(CAN4&gt;0,CBR4/CAN4,"")</f>
        <v/>
      </c>
      <c r="CBT3" s="18" t="str">
        <f>IF(CBS4&gt;0,CBT4/CBS4,"")</f>
        <v/>
      </c>
      <c r="CBU3" s="18" t="str">
        <f>IF(CBS4&gt;0,CBU4/CBS4,"")</f>
        <v/>
      </c>
      <c r="CBV3" s="18" t="str">
        <f>IF(CBS4&gt;0,CBV4/CBS4,"")</f>
        <v/>
      </c>
      <c r="CBW3" s="18" t="str">
        <f>IF(CBS4&gt;0,CBW4/CBS4,"")</f>
        <v/>
      </c>
      <c r="CBX3" s="18" t="str">
        <f>IF(CBS4&gt;0,CBX4/CBS4,"")</f>
        <v/>
      </c>
      <c r="CBY3" s="18" t="str">
        <f>IF(CBS4&gt;0,CBY4/CBS4,"")</f>
        <v/>
      </c>
      <c r="CBZ3" s="18" t="str">
        <f>IF(CBS4&gt;0,CBZ4/CBS4,"")</f>
        <v/>
      </c>
      <c r="CCA3" s="18" t="str">
        <f>IF(CBS4&gt;0,CCA4/CBS4,"")</f>
        <v/>
      </c>
      <c r="CCB3" s="18" t="str">
        <f>IF(CBS4&gt;0,CCB4/CBS4,"")</f>
        <v/>
      </c>
      <c r="CCC3" s="18" t="str">
        <f>IF(CBS4&gt;0,CCC4/CBS4,"")</f>
        <v/>
      </c>
      <c r="CCD3" s="18" t="str">
        <f>IF(CBS4&gt;0,CCD4/CBS4,"")</f>
        <v/>
      </c>
      <c r="CCE3" s="18" t="str">
        <f>IF(CBS4&gt;0,CCE4/CBS4,"")</f>
        <v/>
      </c>
      <c r="CCF3" s="18" t="str">
        <f>IF(CBS4&gt;0,CCF4/CBS4,"")</f>
        <v/>
      </c>
      <c r="CCG3" s="18" t="str">
        <f>IF(CBS4&gt;0,CCG4/CBS4,"")</f>
        <v/>
      </c>
      <c r="CCH3" s="18" t="str">
        <f>IF(CBS4&gt;0,CCH4/CBS4,"")</f>
        <v/>
      </c>
      <c r="CCI3" s="18" t="str">
        <f>IF(CBS4&gt;0,CCI4/CBS4,"")</f>
        <v/>
      </c>
      <c r="CCJ3" s="18" t="str">
        <f>IF(CBS4&gt;0,CCJ4/CBS4,"")</f>
        <v/>
      </c>
      <c r="CCK3" s="18" t="str">
        <f>IF(CBS4&gt;0,CCK4/CBS4,"")</f>
        <v/>
      </c>
      <c r="CCL3" s="18" t="str">
        <f>IF(CBS4&gt;0,CCL4/CBS4,"")</f>
        <v/>
      </c>
      <c r="CCM3" s="18" t="str">
        <f>IF(CBS4&gt;0,CCM4/CBS4,"")</f>
        <v/>
      </c>
      <c r="CCN3" s="18" t="str">
        <f>IF(CBS4&gt;0,CCN4/CBS4,"")</f>
        <v/>
      </c>
      <c r="CCO3" s="18" t="str">
        <f>IF(CBS4&gt;0,CCO4/CBS4,"")</f>
        <v/>
      </c>
      <c r="CCP3" s="18" t="str">
        <f>IF(CBS4&gt;0,CCP4/CBS4,"")</f>
        <v/>
      </c>
      <c r="CCQ3" s="18" t="str">
        <f>IF(CBS4&gt;0,CCQ4/CBS4,"")</f>
        <v/>
      </c>
      <c r="CCR3" s="18" t="str">
        <f>IF(CBS4&gt;0,CCR4/CBS4,"")</f>
        <v/>
      </c>
      <c r="CCS3" s="18" t="str">
        <f>IF(CBS4&gt;0,CCS4/CBS4,"")</f>
        <v/>
      </c>
      <c r="CCT3" s="18" t="str">
        <f>IF(CBS4&gt;0,CCT4/CBS4,"")</f>
        <v/>
      </c>
      <c r="CCU3" s="18" t="str">
        <f>IF(CBS4&gt;0,CCU4/CBS4,"")</f>
        <v/>
      </c>
      <c r="CCV3" s="18" t="str">
        <f>IF(CBS4&gt;0,CCV4/CBS4,"")</f>
        <v/>
      </c>
      <c r="CCW3" s="18" t="str">
        <f>IF(CBS4&gt;0,CCW4/CBS4,"")</f>
        <v/>
      </c>
      <c r="CCY3" s="18" t="str">
        <f>IF(CCX4&gt;0,CCY4/CCX4,"")</f>
        <v/>
      </c>
      <c r="CCZ3" s="18" t="str">
        <f>IF(CCX4&gt;0,CCZ4/CCX4,"")</f>
        <v/>
      </c>
      <c r="CDA3" s="18" t="str">
        <f>IF(CCX4&gt;0,CDA4/CCX4,"")</f>
        <v/>
      </c>
      <c r="CDB3" s="18" t="str">
        <f>IF(CCX4&gt;0,CDB4/CCX4,"")</f>
        <v/>
      </c>
      <c r="CDC3" s="18" t="str">
        <f>IF(CCX4&gt;0,CDC4/CCX4,"")</f>
        <v/>
      </c>
      <c r="CDD3" s="18" t="str">
        <f>IF(CCX4&gt;0,CDD4/CCX4,"")</f>
        <v/>
      </c>
      <c r="CDE3" s="18" t="str">
        <f>IF(CCX4&gt;0,CDE4/CCX4,"")</f>
        <v/>
      </c>
      <c r="CDF3" s="18" t="str">
        <f>IF(CCX4&gt;0,CDF4/CCX4,"")</f>
        <v/>
      </c>
      <c r="CDG3" s="18" t="str">
        <f>IF(CCX4&gt;0,CDG4/CCX4,"")</f>
        <v/>
      </c>
      <c r="CDH3" s="18" t="str">
        <f>IF(CCX4&gt;0,CDH4/CCX4,"")</f>
        <v/>
      </c>
      <c r="CDI3" s="18" t="str">
        <f>IF(CCX4&gt;0,CDI4/CCX4,"")</f>
        <v/>
      </c>
      <c r="CDJ3" s="18" t="str">
        <f>IF(CCX4&gt;0,CDJ4/CCX4,"")</f>
        <v/>
      </c>
      <c r="CDK3" s="18" t="str">
        <f>IF(CCX4&gt;0,CDK4/CCX4,"")</f>
        <v/>
      </c>
      <c r="CDL3" s="18" t="str">
        <f>IF(CCX4&gt;0,CDL4/CCX4,"")</f>
        <v/>
      </c>
      <c r="CDM3" s="18" t="str">
        <f>IF(CCX4&gt;0,CDM4/CCX4,"")</f>
        <v/>
      </c>
      <c r="CDN3" s="18" t="str">
        <f>IF(CCX4&gt;0,CDN4/CCX4,"")</f>
        <v/>
      </c>
      <c r="CDO3" s="18" t="str">
        <f>IF(CCX4&gt;0,CDO4/CCX4,"")</f>
        <v/>
      </c>
      <c r="CDP3" s="18" t="str">
        <f>IF(CCX4&gt;0,CDP4/CCX4,"")</f>
        <v/>
      </c>
      <c r="CDQ3" s="18" t="str">
        <f>IF(CCX4&gt;0,CDQ4/CCX4,"")</f>
        <v/>
      </c>
      <c r="CDR3" s="18" t="str">
        <f>IF(CCX4&gt;0,CDR4/CCX4,"")</f>
        <v/>
      </c>
      <c r="CDS3" s="18" t="str">
        <f>IF(CCX4&gt;0,CDS4/CCX4,"")</f>
        <v/>
      </c>
      <c r="CDT3" s="18" t="str">
        <f>IF(CCX4&gt;0,CDT4/CCX4,"")</f>
        <v/>
      </c>
      <c r="CDU3" s="18" t="str">
        <f>IF(CCX4&gt;0,CDU4/CCX4,"")</f>
        <v/>
      </c>
      <c r="CDV3" s="18" t="str">
        <f>IF(CCX4&gt;0,CDV4/CCX4,"")</f>
        <v/>
      </c>
      <c r="CDW3" s="18" t="str">
        <f>IF(CCX4&gt;0,CDW4/CCX4,"")</f>
        <v/>
      </c>
      <c r="CDX3" s="18" t="str">
        <f>IF(CCX4&gt;0,CDX4/CCX4,"")</f>
        <v/>
      </c>
      <c r="CDY3" s="18" t="str">
        <f>IF(CCX4&gt;0,CDY4/CCX4,"")</f>
        <v/>
      </c>
      <c r="CDZ3" s="18" t="str">
        <f>IF(CCX4&gt;0,CDZ4/CCX4,"")</f>
        <v/>
      </c>
      <c r="CEA3" s="18" t="str">
        <f>IF(CCX4&gt;0,CEA4/CCX4,"")</f>
        <v/>
      </c>
      <c r="CEB3" s="18" t="str">
        <f>IF(CCX4&gt;0,CEB4/CCX4,"")</f>
        <v/>
      </c>
      <c r="CED3" s="18" t="str">
        <f>IF(CEC4&gt;0,CED4/CEC4,"")</f>
        <v/>
      </c>
      <c r="CEE3" s="18" t="str">
        <f>IF(CEC4&gt;0,CEE4/CEC4,"")</f>
        <v/>
      </c>
      <c r="CEF3" s="18" t="str">
        <f>IF(CEC4&gt;0,CEF4/CEC4,"")</f>
        <v/>
      </c>
      <c r="CEG3" s="18" t="str">
        <f>IF(CEC4&gt;0,CEG4/CEC4,"")</f>
        <v/>
      </c>
      <c r="CEH3" s="18" t="str">
        <f>IF(CEC4&gt;0,CEH4/CEC4,"")</f>
        <v/>
      </c>
      <c r="CEI3" s="18" t="str">
        <f>IF(CEC4&gt;0,CEI4/CEC4,"")</f>
        <v/>
      </c>
      <c r="CEJ3" s="18" t="str">
        <f>IF(CEC4&gt;0,CEJ4/CEC4,"")</f>
        <v/>
      </c>
      <c r="CEK3" s="18" t="str">
        <f>IF(CEC4&gt;0,CEK4/CEC4,"")</f>
        <v/>
      </c>
      <c r="CEL3" s="18" t="str">
        <f>IF(CEC4&gt;0,CEL4/CEC4,"")</f>
        <v/>
      </c>
      <c r="CEM3" s="18" t="str">
        <f>IF(CEC4&gt;0,CEM4/CEC4,"")</f>
        <v/>
      </c>
      <c r="CEN3" s="18" t="str">
        <f>IF(CEC4&gt;0,CEN4/CEC4,"")</f>
        <v/>
      </c>
      <c r="CEO3" s="18" t="str">
        <f>IF(CEC4&gt;0,CEO4/CEC4,"")</f>
        <v/>
      </c>
      <c r="CEP3" s="18" t="str">
        <f>IF(CEC4&gt;0,CEP4/CEC4,"")</f>
        <v/>
      </c>
      <c r="CEQ3" s="18" t="str">
        <f>IF(CEC4&gt;0,CEQ4/CEC4,"")</f>
        <v/>
      </c>
      <c r="CER3" s="18" t="str">
        <f>IF(CEC4&gt;0,CER4/CEC4,"")</f>
        <v/>
      </c>
      <c r="CES3" s="18" t="str">
        <f>IF(CEC4&gt;0,CES4/CEC4,"")</f>
        <v/>
      </c>
      <c r="CET3" s="18" t="str">
        <f>IF(CEC4&gt;0,CET4/CEC4,"")</f>
        <v/>
      </c>
      <c r="CEU3" s="18" t="str">
        <f>IF(CEC4&gt;0,CEU4/CEC4,"")</f>
        <v/>
      </c>
      <c r="CEV3" s="18" t="str">
        <f>IF(CEC4&gt;0,CEV4/CEC4,"")</f>
        <v/>
      </c>
      <c r="CEW3" s="18" t="str">
        <f>IF(CEC4&gt;0,CEW4/CEC4,"")</f>
        <v/>
      </c>
      <c r="CEX3" s="18" t="str">
        <f>IF(CEC4&gt;0,CEX4/CEC4,"")</f>
        <v/>
      </c>
      <c r="CEY3" s="18" t="str">
        <f>IF(CEC4&gt;0,CEY4/CEC4,"")</f>
        <v/>
      </c>
      <c r="CEZ3" s="18" t="str">
        <f>IF(CEC4&gt;0,CEZ4/CEC4,"")</f>
        <v/>
      </c>
      <c r="CFA3" s="18" t="str">
        <f>IF(CEC4&gt;0,CFA4/CEC4,"")</f>
        <v/>
      </c>
      <c r="CFB3" s="18" t="str">
        <f>IF(CEC4&gt;0,CFB4/CEC4,"")</f>
        <v/>
      </c>
      <c r="CFC3" s="18" t="str">
        <f>IF(CEC4&gt;0,CFC4/CEC4,"")</f>
        <v/>
      </c>
      <c r="CFD3" s="18" t="str">
        <f>IF(CEC4&gt;0,CFD4/CEC4,"")</f>
        <v/>
      </c>
      <c r="CFE3" s="18" t="str">
        <f>IF(CEC4&gt;0,CFE4/CEC4,"")</f>
        <v/>
      </c>
      <c r="CFF3" s="18" t="str">
        <f>IF(CEC4&gt;0,CFF4/CEC4,"")</f>
        <v/>
      </c>
      <c r="CFG3" s="18" t="str">
        <f>IF(CEC4&gt;0,CFG4/CEC4,"")</f>
        <v/>
      </c>
      <c r="CFI3" s="18" t="str">
        <f>IF(CFH4&gt;0,CFI4/CFH4,"")</f>
        <v/>
      </c>
      <c r="CFJ3" s="18" t="str">
        <f>IF(CFH4&gt;0,CFJ4/CFH4,"")</f>
        <v/>
      </c>
      <c r="CFK3" s="18" t="str">
        <f>IF(CFH4&gt;0,CFK4/CFH4,"")</f>
        <v/>
      </c>
      <c r="CFL3" s="18" t="str">
        <f>IF(CFH4&gt;0,CFL4/CFH4,"")</f>
        <v/>
      </c>
      <c r="CFM3" s="18" t="str">
        <f>IF(CFH4&gt;0,CFM4/CFH4,"")</f>
        <v/>
      </c>
      <c r="CFN3" s="18" t="str">
        <f>IF(CFH4&gt;0,CFN4/CFH4,"")</f>
        <v/>
      </c>
      <c r="CFO3" s="18" t="str">
        <f>IF(CFH4&gt;0,CFO4/CFH4,"")</f>
        <v/>
      </c>
      <c r="CFP3" s="18" t="str">
        <f>IF(CFH4&gt;0,CFP4/CFH4,"")</f>
        <v/>
      </c>
      <c r="CFQ3" s="18" t="str">
        <f>IF(CFH4&gt;0,CFQ4/CFH4,"")</f>
        <v/>
      </c>
      <c r="CFR3" s="18" t="str">
        <f>IF(CFH4&gt;0,CFR4/CFH4,"")</f>
        <v/>
      </c>
      <c r="CFS3" s="18" t="str">
        <f>IF(CFH4&gt;0,CFS4/CFH4,"")</f>
        <v/>
      </c>
      <c r="CFT3" s="18" t="str">
        <f>IF(CFH4&gt;0,CFT4/CFH4,"")</f>
        <v/>
      </c>
      <c r="CFU3" s="18" t="str">
        <f>IF(CFH4&gt;0,CFU4/CFH4,"")</f>
        <v/>
      </c>
      <c r="CFV3" s="18" t="str">
        <f>IF(CFH4&gt;0,CFV4/CFH4,"")</f>
        <v/>
      </c>
      <c r="CFW3" s="18" t="str">
        <f>IF(CFH4&gt;0,CFW4/CFH4,"")</f>
        <v/>
      </c>
      <c r="CFX3" s="18" t="str">
        <f>IF(CFH4&gt;0,CFX4/CFH4,"")</f>
        <v/>
      </c>
      <c r="CFY3" s="18" t="str">
        <f>IF(CFH4&gt;0,CFY4/CFH4,"")</f>
        <v/>
      </c>
      <c r="CFZ3" s="18" t="str">
        <f>IF(CFH4&gt;0,CFZ4/CFH4,"")</f>
        <v/>
      </c>
      <c r="CGA3" s="18" t="str">
        <f>IF(CFH4&gt;0,CGA4/CFH4,"")</f>
        <v/>
      </c>
      <c r="CGB3" s="18" t="str">
        <f>IF(CFH4&gt;0,CGB4/CFH4,"")</f>
        <v/>
      </c>
      <c r="CGC3" s="18" t="str">
        <f>IF(CFH4&gt;0,CGC4/CFH4,"")</f>
        <v/>
      </c>
      <c r="CGD3" s="18" t="str">
        <f>IF(CFH4&gt;0,CGD4/CFH4,"")</f>
        <v/>
      </c>
      <c r="CGE3" s="18" t="str">
        <f>IF(CFH4&gt;0,CGE4/CFH4,"")</f>
        <v/>
      </c>
      <c r="CGF3" s="18" t="str">
        <f>IF(CFH4&gt;0,CGF4/CFH4,"")</f>
        <v/>
      </c>
      <c r="CGG3" s="18" t="str">
        <f>IF(CFH4&gt;0,CGG4/CFH4,"")</f>
        <v/>
      </c>
      <c r="CGH3" s="18" t="str">
        <f>IF(CFH4&gt;0,CGH4/CFH4,"")</f>
        <v/>
      </c>
      <c r="CGI3" s="18" t="str">
        <f>IF(CFH4&gt;0,CGI4/CFH4,"")</f>
        <v/>
      </c>
      <c r="CGJ3" s="18" t="str">
        <f>IF(CFH4&gt;0,CGJ4/CFH4,"")</f>
        <v/>
      </c>
      <c r="CGK3" s="18" t="str">
        <f>IF(CFH4&gt;0,CGK4/CFH4,"")</f>
        <v/>
      </c>
      <c r="CGL3" s="18" t="str">
        <f>IF(CFH4&gt;0,CGL4/CFH4,"")</f>
        <v/>
      </c>
      <c r="CGN3" s="18" t="str">
        <f>IF(CGM4&gt;0,CGN4/CGM4,"")</f>
        <v/>
      </c>
      <c r="CGO3" s="18" t="str">
        <f>IF(CGM4&gt;0,CGO4/CGM4,"")</f>
        <v/>
      </c>
      <c r="CGP3" s="18" t="str">
        <f>IF(CGM4&gt;0,CGP4/CGM4,"")</f>
        <v/>
      </c>
      <c r="CGQ3" s="18" t="str">
        <f>IF(CGM4&gt;0,CGQ4/CGM4,"")</f>
        <v/>
      </c>
      <c r="CGR3" s="18" t="str">
        <f>IF(CGM4&gt;0,CGR4/CGM4,"")</f>
        <v/>
      </c>
      <c r="CGS3" s="18" t="str">
        <f>IF(CGM4&gt;0,CGS4/CGM4,"")</f>
        <v/>
      </c>
      <c r="CGT3" s="18" t="str">
        <f>IF(CGM4&gt;0,CGT4/CGM4,"")</f>
        <v/>
      </c>
      <c r="CGU3" s="18" t="str">
        <f>IF(CGM4&gt;0,CGU4/CGM4,"")</f>
        <v/>
      </c>
      <c r="CGV3" s="18" t="str">
        <f>IF(CGM4&gt;0,CGV4/CGM4,"")</f>
        <v/>
      </c>
      <c r="CGW3" s="18" t="str">
        <f>IF(CGM4&gt;0,CGW4/CGM4,"")</f>
        <v/>
      </c>
      <c r="CGX3" s="18" t="str">
        <f>IF(CGM4&gt;0,CGX4/CGM4,"")</f>
        <v/>
      </c>
      <c r="CGY3" s="18" t="str">
        <f>IF(CGM4&gt;0,CGY4/CGM4,"")</f>
        <v/>
      </c>
      <c r="CGZ3" s="18" t="str">
        <f>IF(CGM4&gt;0,CGZ4/CGM4,"")</f>
        <v/>
      </c>
      <c r="CHA3" s="18" t="str">
        <f>IF(CGM4&gt;0,CHA4/CGM4,"")</f>
        <v/>
      </c>
      <c r="CHB3" s="18" t="str">
        <f>IF(CGM4&gt;0,CHB4/CGM4,"")</f>
        <v/>
      </c>
      <c r="CHC3" s="18" t="str">
        <f>IF(CGM4&gt;0,CHC4/CGM4,"")</f>
        <v/>
      </c>
      <c r="CHD3" s="18" t="str">
        <f>IF(CGM4&gt;0,CHD4/CGM4,"")</f>
        <v/>
      </c>
      <c r="CHE3" s="18" t="str">
        <f>IF(CGM4&gt;0,CHE4/CGM4,"")</f>
        <v/>
      </c>
      <c r="CHF3" s="18" t="str">
        <f>IF(CGM4&gt;0,CHF4/CGM4,"")</f>
        <v/>
      </c>
      <c r="CHG3" s="18" t="str">
        <f>IF(CGM4&gt;0,CHG4/CGM4,"")</f>
        <v/>
      </c>
      <c r="CHH3" s="18" t="str">
        <f>IF(CGM4&gt;0,CHH4/CGM4,"")</f>
        <v/>
      </c>
      <c r="CHI3" s="18" t="str">
        <f>IF(CGM4&gt;0,CHI4/CGM4,"")</f>
        <v/>
      </c>
      <c r="CHJ3" s="18" t="str">
        <f>IF(CGM4&gt;0,CHJ4/CGM4,"")</f>
        <v/>
      </c>
      <c r="CHK3" s="18" t="str">
        <f>IF(CGM4&gt;0,CHK4/CGM4,"")</f>
        <v/>
      </c>
      <c r="CHL3" s="18" t="str">
        <f>IF(CGM4&gt;0,CHL4/CGM4,"")</f>
        <v/>
      </c>
      <c r="CHM3" s="18" t="str">
        <f>IF(CGM4&gt;0,CHM4/CGM4,"")</f>
        <v/>
      </c>
      <c r="CHN3" s="18" t="str">
        <f>IF(CGM4&gt;0,CHN4/CGM4,"")</f>
        <v/>
      </c>
      <c r="CHO3" s="18" t="str">
        <f>IF(CGM4&gt;0,CHO4/CGM4,"")</f>
        <v/>
      </c>
      <c r="CHP3" s="18" t="str">
        <f>IF(CGM4&gt;0,CHP4/CGM4,"")</f>
        <v/>
      </c>
      <c r="CHQ3" s="18" t="str">
        <f>IF(CGM4&gt;0,CHQ4/CGM4,"")</f>
        <v/>
      </c>
      <c r="CHS3" s="18" t="str">
        <f>IF(CHR4&gt;0,CHS4/CHR4,"")</f>
        <v/>
      </c>
      <c r="CHT3" s="18" t="str">
        <f>IF(CHR4&gt;0,CHT4/CHR4,"")</f>
        <v/>
      </c>
      <c r="CHU3" s="18" t="str">
        <f>IF(CHR4&gt;0,CHU4/CHR4,"")</f>
        <v/>
      </c>
      <c r="CHV3" s="18" t="str">
        <f>IF(CHR4&gt;0,CHV4/CHR4,"")</f>
        <v/>
      </c>
      <c r="CHW3" s="18" t="str">
        <f>IF(CHR4&gt;0,CHW4/CHR4,"")</f>
        <v/>
      </c>
      <c r="CHX3" s="18" t="str">
        <f>IF(CHR4&gt;0,CHX4/CHR4,"")</f>
        <v/>
      </c>
      <c r="CHY3" s="18" t="str">
        <f>IF(CHR4&gt;0,CHY4/CHR4,"")</f>
        <v/>
      </c>
      <c r="CHZ3" s="18" t="str">
        <f>IF(CHR4&gt;0,CHZ4/CHR4,"")</f>
        <v/>
      </c>
      <c r="CIA3" s="18" t="str">
        <f>IF(CHR4&gt;0,CIA4/CHR4,"")</f>
        <v/>
      </c>
      <c r="CIB3" s="18" t="str">
        <f>IF(CHR4&gt;0,CIB4/CHR4,"")</f>
        <v/>
      </c>
      <c r="CIC3" s="18" t="str">
        <f>IF(CHR4&gt;0,CIC4/CHR4,"")</f>
        <v/>
      </c>
      <c r="CID3" s="18" t="str">
        <f>IF(CHR4&gt;0,CID4/CHR4,"")</f>
        <v/>
      </c>
      <c r="CIE3" s="18" t="str">
        <f>IF(CHR4&gt;0,CIE4/CHR4,"")</f>
        <v/>
      </c>
      <c r="CIF3" s="18" t="str">
        <f>IF(CHR4&gt;0,CIF4/CHR4,"")</f>
        <v/>
      </c>
      <c r="CIG3" s="18" t="str">
        <f>IF(CHR4&gt;0,CIG4/CHR4,"")</f>
        <v/>
      </c>
      <c r="CIH3" s="18" t="str">
        <f>IF(CHR4&gt;0,CIH4/CHR4,"")</f>
        <v/>
      </c>
      <c r="CII3" s="18" t="str">
        <f>IF(CHR4&gt;0,CII4/CHR4,"")</f>
        <v/>
      </c>
      <c r="CIJ3" s="18" t="str">
        <f>IF(CHR4&gt;0,CIJ4/CHR4,"")</f>
        <v/>
      </c>
      <c r="CIK3" s="18" t="str">
        <f>IF(CHR4&gt;0,CIK4/CHR4,"")</f>
        <v/>
      </c>
      <c r="CIL3" s="18" t="str">
        <f>IF(CHR4&gt;0,CIL4/CHR4,"")</f>
        <v/>
      </c>
      <c r="CIM3" s="18" t="str">
        <f>IF(CHR4&gt;0,CIM4/CHR4,"")</f>
        <v/>
      </c>
      <c r="CIN3" s="18" t="str">
        <f>IF(CHR4&gt;0,CIN4/CHR4,"")</f>
        <v/>
      </c>
      <c r="CIO3" s="18" t="str">
        <f>IF(CHR4&gt;0,CIO4/CHR4,"")</f>
        <v/>
      </c>
      <c r="CIP3" s="18" t="str">
        <f>IF(CHR4&gt;0,CIP4/CHR4,"")</f>
        <v/>
      </c>
      <c r="CIQ3" s="18" t="str">
        <f>IF(CHR4&gt;0,CIQ4/CHR4,"")</f>
        <v/>
      </c>
      <c r="CIR3" s="18" t="str">
        <f>IF(CHR4&gt;0,CIR4/CHR4,"")</f>
        <v/>
      </c>
      <c r="CIS3" s="18" t="str">
        <f>IF(CHR4&gt;0,CIS4/CHR4,"")</f>
        <v/>
      </c>
      <c r="CIT3" s="18" t="str">
        <f>IF(CHR4&gt;0,CIT4/CHR4,"")</f>
        <v/>
      </c>
      <c r="CIU3" s="18" t="str">
        <f>IF(CHR4&gt;0,CIU4/CHR4,"")</f>
        <v/>
      </c>
      <c r="CIV3" s="18" t="str">
        <f>IF(CHR4&gt;0,CIV4/CHR4,"")</f>
        <v/>
      </c>
      <c r="CIX3" s="18" t="str">
        <f>IF(CIW4&gt;0,CIX4/CIW4,"")</f>
        <v/>
      </c>
      <c r="CIY3" s="18" t="str">
        <f>IF(CIW4&gt;0,CIY4/CIW4,"")</f>
        <v/>
      </c>
      <c r="CIZ3" s="18" t="str">
        <f>IF(CIW4&gt;0,CIZ4/CIW4,"")</f>
        <v/>
      </c>
      <c r="CJA3" s="18" t="str">
        <f>IF(CIW4&gt;0,CJA4/CIW4,"")</f>
        <v/>
      </c>
      <c r="CJB3" s="18" t="str">
        <f>IF(CIW4&gt;0,CJB4/CIW4,"")</f>
        <v/>
      </c>
      <c r="CJC3" s="18" t="str">
        <f>IF(CIW4&gt;0,CJC4/CIW4,"")</f>
        <v/>
      </c>
      <c r="CJD3" s="18" t="str">
        <f>IF(CIW4&gt;0,CJD4/CIW4,"")</f>
        <v/>
      </c>
      <c r="CJE3" s="18" t="str">
        <f>IF(CIW4&gt;0,CJE4/CIW4,"")</f>
        <v/>
      </c>
      <c r="CJF3" s="18" t="str">
        <f>IF(CIW4&gt;0,CJF4/CIW4,"")</f>
        <v/>
      </c>
      <c r="CJG3" s="18" t="str">
        <f>IF(CIW4&gt;0,CJG4/CIW4,"")</f>
        <v/>
      </c>
      <c r="CJH3" s="18" t="str">
        <f>IF(CIW4&gt;0,CJH4/CIW4,"")</f>
        <v/>
      </c>
      <c r="CJI3" s="18" t="str">
        <f>IF(CIW4&gt;0,CJI4/CIW4,"")</f>
        <v/>
      </c>
      <c r="CJJ3" s="18" t="str">
        <f>IF(CIW4&gt;0,CJJ4/CIW4,"")</f>
        <v/>
      </c>
      <c r="CJK3" s="18" t="str">
        <f>IF(CIW4&gt;0,CJK4/CIW4,"")</f>
        <v/>
      </c>
      <c r="CJL3" s="18" t="str">
        <f>IF(CIW4&gt;0,CJL4/CIW4,"")</f>
        <v/>
      </c>
      <c r="CJM3" s="18" t="str">
        <f>IF(CIW4&gt;0,CJM4/CIW4,"")</f>
        <v/>
      </c>
      <c r="CJN3" s="18" t="str">
        <f>IF(CIW4&gt;0,CJN4/CIW4,"")</f>
        <v/>
      </c>
      <c r="CJO3" s="18" t="str">
        <f>IF(CIW4&gt;0,CJO4/CIW4,"")</f>
        <v/>
      </c>
      <c r="CJP3" s="18" t="str">
        <f>IF(CIW4&gt;0,CJP4/CIW4,"")</f>
        <v/>
      </c>
      <c r="CJQ3" s="18" t="str">
        <f>IF(CIW4&gt;0,CJQ4/CIW4,"")</f>
        <v/>
      </c>
      <c r="CJR3" s="18" t="str">
        <f>IF(CIW4&gt;0,CJR4/CIW4,"")</f>
        <v/>
      </c>
      <c r="CJS3" s="18" t="str">
        <f>IF(CIW4&gt;0,CJS4/CIW4,"")</f>
        <v/>
      </c>
      <c r="CJT3" s="18" t="str">
        <f>IF(CIW4&gt;0,CJT4/CIW4,"")</f>
        <v/>
      </c>
      <c r="CJU3" s="18" t="str">
        <f>IF(CIW4&gt;0,CJU4/CIW4,"")</f>
        <v/>
      </c>
      <c r="CJV3" s="18" t="str">
        <f>IF(CIW4&gt;0,CJV4/CIW4,"")</f>
        <v/>
      </c>
      <c r="CJW3" s="18" t="str">
        <f>IF(CIW4&gt;0,CJW4/CIW4,"")</f>
        <v/>
      </c>
      <c r="CJX3" s="18" t="str">
        <f>IF(CIW4&gt;0,CJX4/CIW4,"")</f>
        <v/>
      </c>
      <c r="CJY3" s="18" t="str">
        <f>IF(CIW4&gt;0,CJY4/CIW4,"")</f>
        <v/>
      </c>
      <c r="CJZ3" s="18" t="str">
        <f>IF(CIW4&gt;0,CJZ4/CIW4,"")</f>
        <v/>
      </c>
      <c r="CKA3" s="18" t="str">
        <f>IF(CIW4&gt;0,CKA4/CIW4,"")</f>
        <v/>
      </c>
      <c r="CKC3" s="18" t="str">
        <f>IF(CKB4&gt;0,CKC4/CKB4,"")</f>
        <v/>
      </c>
      <c r="CKD3" s="18" t="str">
        <f>IF(CKB4&gt;0,CKD4/CKB4,"")</f>
        <v/>
      </c>
      <c r="CKE3" s="18" t="str">
        <f>IF(CKB4&gt;0,CKE4/CKB4,"")</f>
        <v/>
      </c>
      <c r="CKF3" s="18" t="str">
        <f>IF(CKB4&gt;0,CKF4/CKB4,"")</f>
        <v/>
      </c>
      <c r="CKG3" s="18" t="str">
        <f>IF(CKB4&gt;0,CKG4/CKB4,"")</f>
        <v/>
      </c>
      <c r="CKH3" s="18" t="str">
        <f>IF(CKB4&gt;0,CKH4/CKB4,"")</f>
        <v/>
      </c>
      <c r="CKI3" s="18" t="str">
        <f>IF(CKB4&gt;0,CKI4/CKB4,"")</f>
        <v/>
      </c>
      <c r="CKJ3" s="18" t="str">
        <f>IF(CKB4&gt;0,CKJ4/CKB4,"")</f>
        <v/>
      </c>
      <c r="CKK3" s="18" t="str">
        <f>IF(CKB4&gt;0,CKK4/CKB4,"")</f>
        <v/>
      </c>
      <c r="CKL3" s="18" t="str">
        <f>IF(CKB4&gt;0,CKL4/CKB4,"")</f>
        <v/>
      </c>
      <c r="CKM3" s="18" t="str">
        <f>IF(CKB4&gt;0,CKM4/CKB4,"")</f>
        <v/>
      </c>
      <c r="CKN3" s="18" t="str">
        <f>IF(CKB4&gt;0,CKN4/CKB4,"")</f>
        <v/>
      </c>
      <c r="CKO3" s="18" t="str">
        <f>IF(CKB4&gt;0,CKO4/CKB4,"")</f>
        <v/>
      </c>
      <c r="CKP3" s="18" t="str">
        <f>IF(CKB4&gt;0,CKP4/CKB4,"")</f>
        <v/>
      </c>
      <c r="CKQ3" s="18" t="str">
        <f>IF(CKB4&gt;0,CKQ4/CKB4,"")</f>
        <v/>
      </c>
      <c r="CKR3" s="18" t="str">
        <f>IF(CKB4&gt;0,CKR4/CKB4,"")</f>
        <v/>
      </c>
      <c r="CKS3" s="18" t="str">
        <f>IF(CKB4&gt;0,CKS4/CKB4,"")</f>
        <v/>
      </c>
      <c r="CKT3" s="18" t="str">
        <f>IF(CKB4&gt;0,CKT4/CKB4,"")</f>
        <v/>
      </c>
      <c r="CKU3" s="18" t="str">
        <f>IF(CKB4&gt;0,CKU4/CKB4,"")</f>
        <v/>
      </c>
      <c r="CKV3" s="18" t="str">
        <f>IF(CKB4&gt;0,CKV4/CKB4,"")</f>
        <v/>
      </c>
      <c r="CKW3" s="18" t="str">
        <f>IF(CKB4&gt;0,CKW4/CKB4,"")</f>
        <v/>
      </c>
      <c r="CKX3" s="18" t="str">
        <f>IF(CKB4&gt;0,CKX4/CKB4,"")</f>
        <v/>
      </c>
      <c r="CKY3" s="18" t="str">
        <f>IF(CKB4&gt;0,CKY4/CKB4,"")</f>
        <v/>
      </c>
      <c r="CKZ3" s="18" t="str">
        <f>IF(CKB4&gt;0,CKZ4/CKB4,"")</f>
        <v/>
      </c>
      <c r="CLA3" s="18" t="str">
        <f>IF(CKB4&gt;0,CLA4/CKB4,"")</f>
        <v/>
      </c>
      <c r="CLB3" s="18" t="str">
        <f>IF(CKB4&gt;0,CLB4/CKB4,"")</f>
        <v/>
      </c>
      <c r="CLC3" s="18" t="str">
        <f>IF(CKB4&gt;0,CLC4/CKB4,"")</f>
        <v/>
      </c>
      <c r="CLD3" s="18" t="str">
        <f>IF(CKB4&gt;0,CLD4/CKB4,"")</f>
        <v/>
      </c>
      <c r="CLE3" s="18" t="str">
        <f>IF(CKB4&gt;0,CLE4/CKB4,"")</f>
        <v/>
      </c>
      <c r="CLF3" s="18" t="str">
        <f>IF(CKB4&gt;0,CLF4/CKB4,"")</f>
        <v/>
      </c>
      <c r="CLH3" s="18" t="str">
        <f>IF(CLG4&gt;0,CLH4/CLG4,"")</f>
        <v/>
      </c>
      <c r="CLI3" s="18" t="str">
        <f>IF(CLG4&gt;0,CLI4/CLG4,"")</f>
        <v/>
      </c>
      <c r="CLJ3" s="18" t="str">
        <f>IF(CLG4&gt;0,CLJ4/CLG4,"")</f>
        <v/>
      </c>
      <c r="CLK3" s="18" t="str">
        <f>IF(CLG4&gt;0,CLK4/CLG4,"")</f>
        <v/>
      </c>
      <c r="CLL3" s="18" t="str">
        <f>IF(CLG4&gt;0,CLL4/CLG4,"")</f>
        <v/>
      </c>
      <c r="CLM3" s="18" t="str">
        <f>IF(CLG4&gt;0,CLM4/CLG4,"")</f>
        <v/>
      </c>
      <c r="CLN3" s="18" t="str">
        <f>IF(CLG4&gt;0,CLN4/CLG4,"")</f>
        <v/>
      </c>
      <c r="CLO3" s="18" t="str">
        <f>IF(CLG4&gt;0,CLO4/CLG4,"")</f>
        <v/>
      </c>
      <c r="CLP3" s="18" t="str">
        <f>IF(CLG4&gt;0,CLP4/CLG4,"")</f>
        <v/>
      </c>
      <c r="CLQ3" s="18" t="str">
        <f>IF(CLG4&gt;0,CLQ4/CLG4,"")</f>
        <v/>
      </c>
      <c r="CLR3" s="18" t="str">
        <f>IF(CLG4&gt;0,CLR4/CLG4,"")</f>
        <v/>
      </c>
      <c r="CLS3" s="18" t="str">
        <f>IF(CLG4&gt;0,CLS4/CLG4,"")</f>
        <v/>
      </c>
      <c r="CLT3" s="18" t="str">
        <f>IF(CLG4&gt;0,CLT4/CLG4,"")</f>
        <v/>
      </c>
      <c r="CLU3" s="18" t="str">
        <f>IF(CLG4&gt;0,CLU4/CLG4,"")</f>
        <v/>
      </c>
      <c r="CLV3" s="18" t="str">
        <f>IF(CLG4&gt;0,CLV4/CLG4,"")</f>
        <v/>
      </c>
      <c r="CLW3" s="18" t="str">
        <f>IF(CLG4&gt;0,CLW4/CLG4,"")</f>
        <v/>
      </c>
      <c r="CLX3" s="18" t="str">
        <f>IF(CLG4&gt;0,CLX4/CLG4,"")</f>
        <v/>
      </c>
      <c r="CLY3" s="18" t="str">
        <f>IF(CLG4&gt;0,CLY4/CLG4,"")</f>
        <v/>
      </c>
      <c r="CLZ3" s="18" t="str">
        <f>IF(CLG4&gt;0,CLZ4/CLG4,"")</f>
        <v/>
      </c>
      <c r="CMA3" s="18" t="str">
        <f>IF(CLG4&gt;0,CMA4/CLG4,"")</f>
        <v/>
      </c>
      <c r="CMB3" s="18" t="str">
        <f>IF(CLG4&gt;0,CMB4/CLG4,"")</f>
        <v/>
      </c>
      <c r="CMC3" s="18" t="str">
        <f>IF(CLG4&gt;0,CMC4/CLG4,"")</f>
        <v/>
      </c>
      <c r="CMD3" s="18" t="str">
        <f>IF(CLG4&gt;0,CMD4/CLG4,"")</f>
        <v/>
      </c>
      <c r="CME3" s="18" t="str">
        <f>IF(CLG4&gt;0,CME4/CLG4,"")</f>
        <v/>
      </c>
      <c r="CMF3" s="18" t="str">
        <f>IF(CLG4&gt;0,CMF4/CLG4,"")</f>
        <v/>
      </c>
      <c r="CMG3" s="18" t="str">
        <f>IF(CLG4&gt;0,CMG4/CLG4,"")</f>
        <v/>
      </c>
      <c r="CMH3" s="18" t="str">
        <f>IF(CLG4&gt;0,CMH4/CLG4,"")</f>
        <v/>
      </c>
      <c r="CMI3" s="18" t="str">
        <f>IF(CLG4&gt;0,CMI4/CLG4,"")</f>
        <v/>
      </c>
      <c r="CMJ3" s="18" t="str">
        <f>IF(CLG4&gt;0,CMJ4/CLG4,"")</f>
        <v/>
      </c>
      <c r="CMK3" s="18" t="str">
        <f>IF(CLG4&gt;0,CMK4/CLG4,"")</f>
        <v/>
      </c>
      <c r="CMM3" s="18" t="str">
        <f>IF(CML4&gt;0,CMM4/CML4,"")</f>
        <v/>
      </c>
      <c r="CMN3" s="18" t="str">
        <f>IF(CML4&gt;0,CMN4/CML4,"")</f>
        <v/>
      </c>
      <c r="CMO3" s="18" t="str">
        <f>IF(CML4&gt;0,CMO4/CML4,"")</f>
        <v/>
      </c>
      <c r="CMP3" s="18" t="str">
        <f>IF(CML4&gt;0,CMP4/CML4,"")</f>
        <v/>
      </c>
      <c r="CMQ3" s="18" t="str">
        <f>IF(CML4&gt;0,CMQ4/CML4,"")</f>
        <v/>
      </c>
      <c r="CMR3" s="18" t="str">
        <f>IF(CML4&gt;0,CMR4/CML4,"")</f>
        <v/>
      </c>
      <c r="CMS3" s="18" t="str">
        <f>IF(CML4&gt;0,CMS4/CML4,"")</f>
        <v/>
      </c>
      <c r="CMT3" s="18" t="str">
        <f>IF(CML4&gt;0,CMT4/CML4,"")</f>
        <v/>
      </c>
      <c r="CMU3" s="18" t="str">
        <f>IF(CML4&gt;0,CMU4/CML4,"")</f>
        <v/>
      </c>
      <c r="CMV3" s="18" t="str">
        <f>IF(CML4&gt;0,CMV4/CML4,"")</f>
        <v/>
      </c>
      <c r="CMW3" s="18" t="str">
        <f>IF(CML4&gt;0,CMW4/CML4,"")</f>
        <v/>
      </c>
      <c r="CMX3" s="18" t="str">
        <f>IF(CML4&gt;0,CMX4/CML4,"")</f>
        <v/>
      </c>
      <c r="CMY3" s="18" t="str">
        <f>IF(CML4&gt;0,CMY4/CML4,"")</f>
        <v/>
      </c>
      <c r="CMZ3" s="18" t="str">
        <f>IF(CML4&gt;0,CMZ4/CML4,"")</f>
        <v/>
      </c>
      <c r="CNA3" s="18" t="str">
        <f>IF(CML4&gt;0,CNA4/CML4,"")</f>
        <v/>
      </c>
      <c r="CNB3" s="18" t="str">
        <f>IF(CML4&gt;0,CNB4/CML4,"")</f>
        <v/>
      </c>
      <c r="CNC3" s="18" t="str">
        <f>IF(CML4&gt;0,CNC4/CML4,"")</f>
        <v/>
      </c>
      <c r="CND3" s="18" t="str">
        <f>IF(CML4&gt;0,CND4/CML4,"")</f>
        <v/>
      </c>
      <c r="CNE3" s="18" t="str">
        <f>IF(CML4&gt;0,CNE4/CML4,"")</f>
        <v/>
      </c>
      <c r="CNF3" s="18" t="str">
        <f>IF(CML4&gt;0,CNF4/CML4,"")</f>
        <v/>
      </c>
      <c r="CNG3" s="18" t="str">
        <f>IF(CML4&gt;0,CNG4/CML4,"")</f>
        <v/>
      </c>
      <c r="CNH3" s="18" t="str">
        <f>IF(CML4&gt;0,CNH4/CML4,"")</f>
        <v/>
      </c>
      <c r="CNI3" s="18" t="str">
        <f>IF(CML4&gt;0,CNI4/CML4,"")</f>
        <v/>
      </c>
      <c r="CNJ3" s="18" t="str">
        <f>IF(CML4&gt;0,CNJ4/CML4,"")</f>
        <v/>
      </c>
      <c r="CNK3" s="18" t="str">
        <f>IF(CML4&gt;0,CNK4/CML4,"")</f>
        <v/>
      </c>
      <c r="CNL3" s="18" t="str">
        <f>IF(CML4&gt;0,CNL4/CML4,"")</f>
        <v/>
      </c>
      <c r="CNM3" s="18" t="str">
        <f>IF(CML4&gt;0,CNM4/CML4,"")</f>
        <v/>
      </c>
      <c r="CNN3" s="18" t="str">
        <f>IF(CML4&gt;0,CNN4/CML4,"")</f>
        <v/>
      </c>
      <c r="CNO3" s="18" t="str">
        <f>IF(CML4&gt;0,CNO4/CML4,"")</f>
        <v/>
      </c>
      <c r="CNP3" s="18" t="str">
        <f>IF(CML4&gt;0,CNP4/CML4,"")</f>
        <v/>
      </c>
      <c r="CNR3" s="18" t="str">
        <f>IF(CNQ4&gt;0,CNR4/CNQ4,"")</f>
        <v/>
      </c>
      <c r="CNS3" s="18" t="str">
        <f>IF(CNQ4&gt;0,CNS4/CNQ4,"")</f>
        <v/>
      </c>
      <c r="CNT3" s="18" t="str">
        <f>IF(CNQ4&gt;0,CNT4/CNQ4,"")</f>
        <v/>
      </c>
      <c r="CNU3" s="18" t="str">
        <f>IF(CNQ4&gt;0,CNU4/CNQ4,"")</f>
        <v/>
      </c>
      <c r="CNV3" s="18" t="str">
        <f>IF(CNQ4&gt;0,CNV4/CNQ4,"")</f>
        <v/>
      </c>
      <c r="CNW3" s="18" t="str">
        <f>IF(CNQ4&gt;0,CNW4/CNQ4,"")</f>
        <v/>
      </c>
      <c r="CNX3" s="18" t="str">
        <f>IF(CNQ4&gt;0,CNX4/CNQ4,"")</f>
        <v/>
      </c>
      <c r="CNY3" s="18" t="str">
        <f>IF(CNQ4&gt;0,CNY4/CNQ4,"")</f>
        <v/>
      </c>
      <c r="CNZ3" s="18" t="str">
        <f>IF(CNQ4&gt;0,CNZ4/CNQ4,"")</f>
        <v/>
      </c>
      <c r="COA3" s="18" t="str">
        <f>IF(CNQ4&gt;0,COA4/CNQ4,"")</f>
        <v/>
      </c>
      <c r="COB3" s="18" t="str">
        <f>IF(CNQ4&gt;0,COB4/CNQ4,"")</f>
        <v/>
      </c>
      <c r="COC3" s="18" t="str">
        <f>IF(CNQ4&gt;0,COC4/CNQ4,"")</f>
        <v/>
      </c>
      <c r="COD3" s="18" t="str">
        <f>IF(CNQ4&gt;0,COD4/CNQ4,"")</f>
        <v/>
      </c>
      <c r="COE3" s="18" t="str">
        <f>IF(CNQ4&gt;0,COE4/CNQ4,"")</f>
        <v/>
      </c>
      <c r="COF3" s="18" t="str">
        <f>IF(CNQ4&gt;0,COF4/CNQ4,"")</f>
        <v/>
      </c>
      <c r="COG3" s="18" t="str">
        <f>IF(CNQ4&gt;0,COG4/CNQ4,"")</f>
        <v/>
      </c>
      <c r="COH3" s="18" t="str">
        <f>IF(CNQ4&gt;0,COH4/CNQ4,"")</f>
        <v/>
      </c>
      <c r="COI3" s="18" t="str">
        <f>IF(CNQ4&gt;0,COI4/CNQ4,"")</f>
        <v/>
      </c>
      <c r="COJ3" s="18" t="str">
        <f>IF(CNQ4&gt;0,COJ4/CNQ4,"")</f>
        <v/>
      </c>
      <c r="COK3" s="18" t="str">
        <f>IF(CNQ4&gt;0,COK4/CNQ4,"")</f>
        <v/>
      </c>
      <c r="COL3" s="18" t="str">
        <f>IF(CNQ4&gt;0,COL4/CNQ4,"")</f>
        <v/>
      </c>
      <c r="COM3" s="18" t="str">
        <f>IF(CNQ4&gt;0,COM4/CNQ4,"")</f>
        <v/>
      </c>
      <c r="CON3" s="18" t="str">
        <f>IF(CNQ4&gt;0,CON4/CNQ4,"")</f>
        <v/>
      </c>
      <c r="COO3" s="18" t="str">
        <f>IF(CNQ4&gt;0,COO4/CNQ4,"")</f>
        <v/>
      </c>
      <c r="COP3" s="18" t="str">
        <f>IF(CNQ4&gt;0,COP4/CNQ4,"")</f>
        <v/>
      </c>
      <c r="COQ3" s="18" t="str">
        <f>IF(CNQ4&gt;0,COQ4/CNQ4,"")</f>
        <v/>
      </c>
      <c r="COR3" s="18" t="str">
        <f>IF(CNQ4&gt;0,COR4/CNQ4,"")</f>
        <v/>
      </c>
      <c r="COS3" s="18" t="str">
        <f>IF(CNQ4&gt;0,COS4/CNQ4,"")</f>
        <v/>
      </c>
      <c r="COT3" s="18" t="str">
        <f>IF(CNQ4&gt;0,COT4/CNQ4,"")</f>
        <v/>
      </c>
      <c r="COU3" s="18" t="str">
        <f>IF(CNQ4&gt;0,COU4/CNQ4,"")</f>
        <v/>
      </c>
      <c r="COW3" s="18" t="str">
        <f>IF(COV4&gt;0,COW4/COV4,"")</f>
        <v/>
      </c>
      <c r="COX3" s="18" t="str">
        <f>IF(COV4&gt;0,COX4/COV4,"")</f>
        <v/>
      </c>
      <c r="COY3" s="18" t="str">
        <f>IF(COV4&gt;0,COY4/COV4,"")</f>
        <v/>
      </c>
      <c r="COZ3" s="18" t="str">
        <f>IF(COV4&gt;0,COZ4/COV4,"")</f>
        <v/>
      </c>
      <c r="CPA3" s="18" t="str">
        <f>IF(COV4&gt;0,CPA4/COV4,"")</f>
        <v/>
      </c>
      <c r="CPB3" s="18" t="str">
        <f>IF(COV4&gt;0,CPB4/COV4,"")</f>
        <v/>
      </c>
      <c r="CPC3" s="18" t="str">
        <f>IF(COV4&gt;0,CPC4/COV4,"")</f>
        <v/>
      </c>
      <c r="CPD3" s="18" t="str">
        <f>IF(COV4&gt;0,CPD4/COV4,"")</f>
        <v/>
      </c>
      <c r="CPE3" s="18" t="str">
        <f>IF(COV4&gt;0,CPE4/COV4,"")</f>
        <v/>
      </c>
      <c r="CPF3" s="18" t="str">
        <f>IF(COV4&gt;0,CPF4/COV4,"")</f>
        <v/>
      </c>
      <c r="CPG3" s="18" t="str">
        <f>IF(COV4&gt;0,CPG4/COV4,"")</f>
        <v/>
      </c>
      <c r="CPH3" s="18" t="str">
        <f>IF(COV4&gt;0,CPH4/COV4,"")</f>
        <v/>
      </c>
      <c r="CPI3" s="18" t="str">
        <f>IF(COV4&gt;0,CPI4/COV4,"")</f>
        <v/>
      </c>
      <c r="CPJ3" s="18" t="str">
        <f>IF(COV4&gt;0,CPJ4/COV4,"")</f>
        <v/>
      </c>
      <c r="CPK3" s="18" t="str">
        <f>IF(COV4&gt;0,CPK4/COV4,"")</f>
        <v/>
      </c>
      <c r="CPL3" s="18" t="str">
        <f>IF(COV4&gt;0,CPL4/COV4,"")</f>
        <v/>
      </c>
      <c r="CPM3" s="18" t="str">
        <f>IF(COV4&gt;0,CPM4/COV4,"")</f>
        <v/>
      </c>
      <c r="CPN3" s="18" t="str">
        <f>IF(COV4&gt;0,CPN4/COV4,"")</f>
        <v/>
      </c>
      <c r="CPO3" s="18" t="str">
        <f>IF(COV4&gt;0,CPO4/COV4,"")</f>
        <v/>
      </c>
      <c r="CPP3" s="18" t="str">
        <f>IF(COV4&gt;0,CPP4/COV4,"")</f>
        <v/>
      </c>
      <c r="CPQ3" s="18" t="str">
        <f>IF(COV4&gt;0,CPQ4/COV4,"")</f>
        <v/>
      </c>
      <c r="CPR3" s="18" t="str">
        <f>IF(COV4&gt;0,CPR4/COV4,"")</f>
        <v/>
      </c>
      <c r="CPS3" s="18" t="str">
        <f>IF(COV4&gt;0,CPS4/COV4,"")</f>
        <v/>
      </c>
      <c r="CPT3" s="18" t="str">
        <f>IF(COV4&gt;0,CPT4/COV4,"")</f>
        <v/>
      </c>
      <c r="CPU3" s="18" t="str">
        <f>IF(COV4&gt;0,CPU4/COV4,"")</f>
        <v/>
      </c>
      <c r="CPV3" s="18" t="str">
        <f>IF(COV4&gt;0,CPV4/COV4,"")</f>
        <v/>
      </c>
      <c r="CPW3" s="18" t="str">
        <f>IF(COV4&gt;0,CPW4/COV4,"")</f>
        <v/>
      </c>
      <c r="CPX3" s="18" t="str">
        <f>IF(COV4&gt;0,CPX4/COV4,"")</f>
        <v/>
      </c>
      <c r="CPY3" s="18" t="str">
        <f>IF(COV4&gt;0,CPY4/COV4,"")</f>
        <v/>
      </c>
      <c r="CPZ3" s="18" t="str">
        <f>IF(COV4&gt;0,CPZ4/COV4,"")</f>
        <v/>
      </c>
      <c r="CQB3" s="18" t="str">
        <f>IF(CQA4&gt;0,CQB4/CQA4,"")</f>
        <v/>
      </c>
      <c r="CQC3" s="18" t="str">
        <f>IF(CQA4&gt;0,CQC4/CQA4,"")</f>
        <v/>
      </c>
      <c r="CQD3" s="18" t="str">
        <f>IF(CQA4&gt;0,CQD4/CQA4,"")</f>
        <v/>
      </c>
      <c r="CQE3" s="18" t="str">
        <f>IF(CQA4&gt;0,CQE4/CQA4,"")</f>
        <v/>
      </c>
      <c r="CQF3" s="18" t="str">
        <f>IF(CQA4&gt;0,CQF4/CQA4,"")</f>
        <v/>
      </c>
      <c r="CQG3" s="18" t="str">
        <f>IF(CQA4&gt;0,CQG4/CQA4,"")</f>
        <v/>
      </c>
      <c r="CQH3" s="18" t="str">
        <f>IF(CQA4&gt;0,CQH4/CQA4,"")</f>
        <v/>
      </c>
      <c r="CQI3" s="18" t="str">
        <f>IF(CQA4&gt;0,CQI4/CQA4,"")</f>
        <v/>
      </c>
      <c r="CQJ3" s="18" t="str">
        <f>IF(CQA4&gt;0,CQJ4/CQA4,"")</f>
        <v/>
      </c>
      <c r="CQK3" s="18" t="str">
        <f>IF(CQA4&gt;0,CQK4/CQA4,"")</f>
        <v/>
      </c>
      <c r="CQL3" s="18" t="str">
        <f>IF(CQA4&gt;0,CQL4/CQA4,"")</f>
        <v/>
      </c>
      <c r="CQM3" s="18" t="str">
        <f>IF(CQA4&gt;0,CQM4/CQA4,"")</f>
        <v/>
      </c>
      <c r="CQN3" s="18" t="str">
        <f>IF(CQA4&gt;0,CQN4/CQA4,"")</f>
        <v/>
      </c>
      <c r="CQO3" s="18" t="str">
        <f>IF(CQA4&gt;0,CQO4/CQA4,"")</f>
        <v/>
      </c>
      <c r="CQP3" s="18" t="str">
        <f>IF(CQA4&gt;0,CQP4/CQA4,"")</f>
        <v/>
      </c>
      <c r="CQQ3" s="18" t="str">
        <f>IF(CQA4&gt;0,CQQ4/CQA4,"")</f>
        <v/>
      </c>
      <c r="CQR3" s="18" t="str">
        <f>IF(CQA4&gt;0,CQR4/CQA4,"")</f>
        <v/>
      </c>
      <c r="CQS3" s="18" t="str">
        <f>IF(CQA4&gt;0,CQS4/CQA4,"")</f>
        <v/>
      </c>
      <c r="CQT3" s="18" t="str">
        <f>IF(CQA4&gt;0,CQT4/CQA4,"")</f>
        <v/>
      </c>
      <c r="CQU3" s="18" t="str">
        <f>IF(CQA4&gt;0,CQU4/CQA4,"")</f>
        <v/>
      </c>
      <c r="CQV3" s="18" t="str">
        <f>IF(CQA4&gt;0,CQV4/CQA4,"")</f>
        <v/>
      </c>
      <c r="CQW3" s="18" t="str">
        <f>IF(CQA4&gt;0,CQW4/CQA4,"")</f>
        <v/>
      </c>
      <c r="CQX3" s="18" t="str">
        <f>IF(CQA4&gt;0,CQX4/CQA4,"")</f>
        <v/>
      </c>
      <c r="CQY3" s="18" t="str">
        <f>IF(CQA4&gt;0,CQY4/CQA4,"")</f>
        <v/>
      </c>
      <c r="CQZ3" s="18" t="str">
        <f>IF(CQA4&gt;0,CQZ4/CQA4,"")</f>
        <v/>
      </c>
      <c r="CRA3" s="18" t="str">
        <f>IF(CQA4&gt;0,CRA4/CQA4,"")</f>
        <v/>
      </c>
      <c r="CRB3" s="18" t="str">
        <f>IF(CQA4&gt;0,CRB4/CQA4,"")</f>
        <v/>
      </c>
      <c r="CRC3" s="18" t="str">
        <f>IF(CQA4&gt;0,CRC4/CQA4,"")</f>
        <v/>
      </c>
      <c r="CRD3" s="18" t="str">
        <f>IF(CQA4&gt;0,CRD4/CQA4,"")</f>
        <v/>
      </c>
      <c r="CRE3" s="18" t="str">
        <f>IF(CQA4&gt;0,CRE4/CQA4,"")</f>
        <v/>
      </c>
      <c r="CRG3" s="18" t="str">
        <f>IF(CRF4&gt;0,CRG4/CRF4,"")</f>
        <v/>
      </c>
      <c r="CRH3" s="18" t="str">
        <f>IF(CRF4&gt;0,CRH4/CRF4,"")</f>
        <v/>
      </c>
      <c r="CRI3" s="18" t="str">
        <f>IF(CRF4&gt;0,CRI4/CRF4,"")</f>
        <v/>
      </c>
      <c r="CRJ3" s="18" t="str">
        <f>IF(CRF4&gt;0,CRJ4/CRF4,"")</f>
        <v/>
      </c>
      <c r="CRK3" s="18" t="str">
        <f>IF(CRF4&gt;0,CRK4/CRF4,"")</f>
        <v/>
      </c>
      <c r="CRL3" s="18" t="str">
        <f>IF(CRF4&gt;0,CRL4/CRF4,"")</f>
        <v/>
      </c>
      <c r="CRM3" s="18" t="str">
        <f>IF(CRF4&gt;0,CRM4/CRF4,"")</f>
        <v/>
      </c>
      <c r="CRN3" s="18" t="str">
        <f>IF(CRF4&gt;0,CRN4/CRF4,"")</f>
        <v/>
      </c>
      <c r="CRO3" s="18" t="str">
        <f>IF(CRF4&gt;0,CRO4/CRF4,"")</f>
        <v/>
      </c>
      <c r="CRP3" s="18" t="str">
        <f>IF(CRF4&gt;0,CRP4/CRF4,"")</f>
        <v/>
      </c>
      <c r="CRQ3" s="18" t="str">
        <f>IF(CRF4&gt;0,CRQ4/CRF4,"")</f>
        <v/>
      </c>
      <c r="CRR3" s="18" t="str">
        <f>IF(CRF4&gt;0,CRR4/CRF4,"")</f>
        <v/>
      </c>
      <c r="CRS3" s="18" t="str">
        <f>IF(CRF4&gt;0,CRS4/CRF4,"")</f>
        <v/>
      </c>
      <c r="CRT3" s="18" t="str">
        <f>IF(CRF4&gt;0,CRT4/CRF4,"")</f>
        <v/>
      </c>
      <c r="CRU3" s="18" t="str">
        <f>IF(CRF4&gt;0,CRU4/CRF4,"")</f>
        <v/>
      </c>
      <c r="CRV3" s="18" t="str">
        <f>IF(CRF4&gt;0,CRV4/CRF4,"")</f>
        <v/>
      </c>
      <c r="CRW3" s="18" t="str">
        <f>IF(CRF4&gt;0,CRW4/CRF4,"")</f>
        <v/>
      </c>
      <c r="CRX3" s="18" t="str">
        <f>IF(CRF4&gt;0,CRX4/CRF4,"")</f>
        <v/>
      </c>
      <c r="CRY3" s="18" t="str">
        <f>IF(CRF4&gt;0,CRY4/CRF4,"")</f>
        <v/>
      </c>
      <c r="CRZ3" s="18" t="str">
        <f>IF(CRF4&gt;0,CRZ4/CRF4,"")</f>
        <v/>
      </c>
      <c r="CSA3" s="18" t="str">
        <f>IF(CRF4&gt;0,CSA4/CRF4,"")</f>
        <v/>
      </c>
      <c r="CSB3" s="18" t="str">
        <f>IF(CRF4&gt;0,CSB4/CRF4,"")</f>
        <v/>
      </c>
      <c r="CSC3" s="18" t="str">
        <f>IF(CRF4&gt;0,CSC4/CRF4,"")</f>
        <v/>
      </c>
      <c r="CSD3" s="18" t="str">
        <f>IF(CRF4&gt;0,CSD4/CRF4,"")</f>
        <v/>
      </c>
      <c r="CSE3" s="18" t="str">
        <f>IF(CRF4&gt;0,CSE4/CRF4,"")</f>
        <v/>
      </c>
      <c r="CSF3" s="18" t="str">
        <f>IF(CRF4&gt;0,CSF4/CRF4,"")</f>
        <v/>
      </c>
      <c r="CSG3" s="18" t="str">
        <f>IF(CRF4&gt;0,CSG4/CRF4,"")</f>
        <v/>
      </c>
      <c r="CSH3" s="18" t="str">
        <f>IF(CRF4&gt;0,CSH4/CRF4,"")</f>
        <v/>
      </c>
      <c r="CSI3" s="18" t="str">
        <f>IF(CRF4&gt;0,CSI4/CRF4,"")</f>
        <v/>
      </c>
      <c r="CSJ3" s="18" t="str">
        <f>IF(CRF4&gt;0,CSJ4/CRF4,"")</f>
        <v/>
      </c>
      <c r="CSK3" s="24" t="s">
        <v>1366</v>
      </c>
      <c r="CSL3" s="75"/>
      <c r="CSM3" s="75"/>
      <c r="CSN3" s="75"/>
      <c r="CSO3" s="75"/>
      <c r="CSP3" s="75"/>
      <c r="CSQ3" s="75"/>
      <c r="CSR3" s="75"/>
      <c r="CSS3" s="75"/>
      <c r="CST3" s="75"/>
      <c r="CSU3" s="75"/>
      <c r="CSV3" s="75"/>
      <c r="CSW3" s="75"/>
      <c r="CSX3" s="75"/>
      <c r="CSY3" s="75"/>
      <c r="CSZ3" s="75"/>
      <c r="CTA3" s="75"/>
      <c r="CTB3" s="75"/>
      <c r="CTC3" s="75"/>
      <c r="CTD3" s="75"/>
      <c r="CTE3" s="75"/>
      <c r="CTF3" s="75"/>
      <c r="CTG3" s="75"/>
      <c r="CTH3" s="75"/>
      <c r="CTI3" s="75"/>
      <c r="CTJ3" s="75"/>
      <c r="CTK3" s="75"/>
      <c r="CTL3" s="75"/>
      <c r="CTM3" s="75"/>
      <c r="CTN3" s="75"/>
      <c r="CTO3" s="75"/>
      <c r="CTP3" s="75"/>
      <c r="CTQ3" s="75"/>
      <c r="CTR3" s="75"/>
      <c r="CTS3" s="75"/>
      <c r="CTT3" s="75"/>
      <c r="CTU3" s="75"/>
      <c r="CTV3" s="75"/>
      <c r="CTW3" s="75"/>
      <c r="CTX3" s="75"/>
      <c r="CTY3" s="75"/>
      <c r="CTZ3" s="39"/>
      <c r="CUA3" s="72"/>
      <c r="CUB3" s="72"/>
      <c r="CUC3" s="72"/>
      <c r="CUD3" s="72"/>
      <c r="CUE3" s="72"/>
      <c r="CUF3" s="72"/>
      <c r="CUG3" s="72"/>
      <c r="CUH3" s="72"/>
      <c r="CUI3" s="72"/>
      <c r="CUJ3" s="72"/>
      <c r="CUK3" s="72"/>
      <c r="CUL3" s="72"/>
      <c r="CUM3" s="72"/>
      <c r="CUN3" s="72"/>
      <c r="CUO3" s="72"/>
      <c r="CUP3" s="72"/>
      <c r="CUQ3" s="72"/>
      <c r="CUR3" s="72"/>
      <c r="CUS3" s="72"/>
      <c r="CUT3" s="72"/>
      <c r="CUU3" s="72"/>
      <c r="CUV3" s="72"/>
      <c r="CUW3" s="72"/>
      <c r="CUX3" s="72"/>
      <c r="CUY3" s="72"/>
      <c r="CUZ3" s="72"/>
      <c r="CVA3" s="72"/>
      <c r="CVB3" s="72"/>
      <c r="CVC3" s="72"/>
      <c r="CVD3" s="72"/>
      <c r="CVE3" s="72"/>
      <c r="CVF3" s="72"/>
      <c r="CVG3" s="72"/>
      <c r="CVH3" s="72"/>
      <c r="CVI3" s="72"/>
      <c r="CVJ3" s="72"/>
      <c r="CVK3" s="72"/>
      <c r="CVL3" s="72"/>
      <c r="CVM3" s="72"/>
      <c r="CVN3" s="72"/>
    </row>
    <row r="4" spans="1:2616" x14ac:dyDescent="0.3">
      <c r="D4" s="46" t="s">
        <v>1428</v>
      </c>
      <c r="E4" s="61" t="s">
        <v>3</v>
      </c>
      <c r="F4" s="61" t="s">
        <v>4</v>
      </c>
      <c r="G4" s="61" t="s">
        <v>5</v>
      </c>
      <c r="H4" s="62" t="s">
        <v>1410</v>
      </c>
      <c r="I4" s="62" t="s">
        <v>1411</v>
      </c>
      <c r="J4" s="47" t="s">
        <v>7</v>
      </c>
      <c r="K4" s="48" t="s">
        <v>8</v>
      </c>
      <c r="L4" s="45" t="s">
        <v>6</v>
      </c>
      <c r="M4" s="4">
        <f t="shared" ref="M4:AZ4" ca="1" si="59">SUM(CSL6:CSL507)</f>
        <v>3</v>
      </c>
      <c r="N4" s="4">
        <f t="shared" ca="1" si="59"/>
        <v>0</v>
      </c>
      <c r="O4" s="4">
        <f t="shared" ca="1" si="59"/>
        <v>0</v>
      </c>
      <c r="P4" s="4">
        <f t="shared" ca="1" si="59"/>
        <v>0</v>
      </c>
      <c r="Q4" s="4">
        <f t="shared" ca="1" si="59"/>
        <v>0</v>
      </c>
      <c r="R4" s="4">
        <f t="shared" ca="1" si="59"/>
        <v>0</v>
      </c>
      <c r="S4" s="4">
        <f t="shared" ca="1" si="59"/>
        <v>0</v>
      </c>
      <c r="T4" s="4">
        <f t="shared" ca="1" si="59"/>
        <v>0</v>
      </c>
      <c r="U4" s="4">
        <f t="shared" ca="1" si="59"/>
        <v>0</v>
      </c>
      <c r="V4" s="4">
        <f t="shared" ca="1" si="59"/>
        <v>0</v>
      </c>
      <c r="W4" s="4">
        <f t="shared" ca="1" si="59"/>
        <v>0</v>
      </c>
      <c r="X4" s="4">
        <f t="shared" ca="1" si="59"/>
        <v>0</v>
      </c>
      <c r="Y4" s="4">
        <f t="shared" ca="1" si="59"/>
        <v>0</v>
      </c>
      <c r="Z4" s="4">
        <f t="shared" ca="1" si="59"/>
        <v>0</v>
      </c>
      <c r="AA4" s="4">
        <f t="shared" ca="1" si="59"/>
        <v>0</v>
      </c>
      <c r="AB4" s="4">
        <f t="shared" ca="1" si="59"/>
        <v>0</v>
      </c>
      <c r="AC4" s="4">
        <f t="shared" ca="1" si="59"/>
        <v>0</v>
      </c>
      <c r="AD4" s="4">
        <f t="shared" ca="1" si="59"/>
        <v>0</v>
      </c>
      <c r="AE4" s="4">
        <f t="shared" ca="1" si="59"/>
        <v>0</v>
      </c>
      <c r="AF4" s="4">
        <f t="shared" ca="1" si="59"/>
        <v>0</v>
      </c>
      <c r="AG4" s="4">
        <f t="shared" ca="1" si="59"/>
        <v>0</v>
      </c>
      <c r="AH4" s="4">
        <f t="shared" ca="1" si="59"/>
        <v>0</v>
      </c>
      <c r="AI4" s="4">
        <f t="shared" ca="1" si="59"/>
        <v>0</v>
      </c>
      <c r="AJ4" s="4">
        <f t="shared" ca="1" si="59"/>
        <v>0</v>
      </c>
      <c r="AK4" s="4">
        <f t="shared" ca="1" si="59"/>
        <v>0</v>
      </c>
      <c r="AL4" s="4">
        <f t="shared" ca="1" si="59"/>
        <v>0</v>
      </c>
      <c r="AM4" s="4">
        <f t="shared" ca="1" si="59"/>
        <v>0</v>
      </c>
      <c r="AN4" s="4">
        <f t="shared" ca="1" si="59"/>
        <v>0</v>
      </c>
      <c r="AO4" s="4">
        <f t="shared" ca="1" si="59"/>
        <v>0</v>
      </c>
      <c r="AP4" s="4">
        <f t="shared" ca="1" si="59"/>
        <v>0</v>
      </c>
      <c r="AQ4" s="4">
        <f t="shared" ca="1" si="59"/>
        <v>0</v>
      </c>
      <c r="AR4" s="4">
        <f t="shared" ca="1" si="59"/>
        <v>0</v>
      </c>
      <c r="AS4" s="4">
        <f t="shared" ca="1" si="59"/>
        <v>0</v>
      </c>
      <c r="AT4" s="4">
        <f t="shared" ca="1" si="59"/>
        <v>0</v>
      </c>
      <c r="AU4" s="4">
        <f t="shared" ca="1" si="59"/>
        <v>0</v>
      </c>
      <c r="AV4" s="4">
        <f t="shared" ca="1" si="59"/>
        <v>0</v>
      </c>
      <c r="AW4" s="4">
        <f t="shared" ca="1" si="59"/>
        <v>0</v>
      </c>
      <c r="AX4" s="4">
        <f t="shared" ca="1" si="59"/>
        <v>0</v>
      </c>
      <c r="AY4" s="4">
        <f t="shared" ca="1" si="59"/>
        <v>0</v>
      </c>
      <c r="AZ4" s="4">
        <f t="shared" ca="1" si="59"/>
        <v>0</v>
      </c>
      <c r="BA4" s="52">
        <f t="shared" ref="BA4:DL4" si="60">SUBTOTAL(9,BA6:BA507)</f>
        <v>2</v>
      </c>
      <c r="BB4" s="52">
        <f t="shared" si="60"/>
        <v>0</v>
      </c>
      <c r="BC4" s="52">
        <f t="shared" si="60"/>
        <v>0</v>
      </c>
      <c r="BD4" s="52">
        <f t="shared" si="60"/>
        <v>1</v>
      </c>
      <c r="BE4" s="52">
        <f t="shared" si="60"/>
        <v>0</v>
      </c>
      <c r="BF4" s="52">
        <f t="shared" si="60"/>
        <v>0</v>
      </c>
      <c r="BG4" s="52">
        <f t="shared" si="60"/>
        <v>0</v>
      </c>
      <c r="BH4" s="52">
        <f t="shared" si="60"/>
        <v>0</v>
      </c>
      <c r="BI4" s="52">
        <f t="shared" si="60"/>
        <v>2</v>
      </c>
      <c r="BJ4" s="52">
        <f t="shared" si="60"/>
        <v>0</v>
      </c>
      <c r="BK4" s="52">
        <f t="shared" si="60"/>
        <v>0</v>
      </c>
      <c r="BL4" s="52">
        <f t="shared" si="60"/>
        <v>0</v>
      </c>
      <c r="BM4" s="52">
        <f t="shared" si="60"/>
        <v>0</v>
      </c>
      <c r="BN4" s="52">
        <f t="shared" si="60"/>
        <v>0</v>
      </c>
      <c r="BO4" s="52">
        <f t="shared" si="60"/>
        <v>0</v>
      </c>
      <c r="BP4" s="52">
        <f t="shared" si="60"/>
        <v>0</v>
      </c>
      <c r="BQ4" s="52">
        <f t="shared" si="60"/>
        <v>0</v>
      </c>
      <c r="BR4" s="52">
        <f t="shared" si="60"/>
        <v>0</v>
      </c>
      <c r="BS4" s="52">
        <f t="shared" si="60"/>
        <v>0</v>
      </c>
      <c r="BT4" s="52">
        <f t="shared" si="60"/>
        <v>0</v>
      </c>
      <c r="BU4" s="52">
        <f t="shared" si="60"/>
        <v>0</v>
      </c>
      <c r="BV4" s="52">
        <f t="shared" si="60"/>
        <v>0</v>
      </c>
      <c r="BW4" s="52">
        <f t="shared" si="60"/>
        <v>0</v>
      </c>
      <c r="BX4" s="52">
        <f t="shared" si="60"/>
        <v>0</v>
      </c>
      <c r="BY4" s="52">
        <f t="shared" si="60"/>
        <v>0</v>
      </c>
      <c r="BZ4" s="52">
        <f t="shared" si="60"/>
        <v>0</v>
      </c>
      <c r="CA4" s="52">
        <f t="shared" si="60"/>
        <v>0</v>
      </c>
      <c r="CB4" s="52">
        <f t="shared" si="60"/>
        <v>0</v>
      </c>
      <c r="CC4" s="52">
        <f t="shared" si="60"/>
        <v>0</v>
      </c>
      <c r="CD4" s="52">
        <f t="shared" si="60"/>
        <v>0</v>
      </c>
      <c r="CE4" s="52">
        <f t="shared" si="60"/>
        <v>0</v>
      </c>
      <c r="CF4" s="52">
        <f t="shared" si="60"/>
        <v>1</v>
      </c>
      <c r="CG4" s="52">
        <f t="shared" si="60"/>
        <v>0</v>
      </c>
      <c r="CH4" s="52">
        <f t="shared" si="60"/>
        <v>0</v>
      </c>
      <c r="CI4" s="52">
        <f t="shared" si="60"/>
        <v>0</v>
      </c>
      <c r="CJ4" s="52">
        <f t="shared" si="60"/>
        <v>1</v>
      </c>
      <c r="CK4" s="52">
        <f t="shared" si="60"/>
        <v>1</v>
      </c>
      <c r="CL4" s="52">
        <f t="shared" si="60"/>
        <v>1</v>
      </c>
      <c r="CM4" s="52">
        <f t="shared" si="60"/>
        <v>0</v>
      </c>
      <c r="CN4" s="52">
        <f t="shared" si="60"/>
        <v>0</v>
      </c>
      <c r="CO4" s="52">
        <f t="shared" si="60"/>
        <v>0</v>
      </c>
      <c r="CP4" s="52">
        <f t="shared" si="60"/>
        <v>0</v>
      </c>
      <c r="CQ4" s="52">
        <f t="shared" si="60"/>
        <v>0</v>
      </c>
      <c r="CR4" s="52">
        <f t="shared" si="60"/>
        <v>0</v>
      </c>
      <c r="CS4" s="52">
        <f t="shared" si="60"/>
        <v>0</v>
      </c>
      <c r="CT4" s="52">
        <f t="shared" si="60"/>
        <v>0</v>
      </c>
      <c r="CU4" s="52">
        <f t="shared" si="60"/>
        <v>0</v>
      </c>
      <c r="CV4" s="52">
        <f t="shared" si="60"/>
        <v>0</v>
      </c>
      <c r="CW4" s="52">
        <f t="shared" si="60"/>
        <v>0</v>
      </c>
      <c r="CX4" s="52">
        <f t="shared" si="60"/>
        <v>0</v>
      </c>
      <c r="CY4" s="52">
        <f t="shared" si="60"/>
        <v>0</v>
      </c>
      <c r="CZ4" s="52">
        <f t="shared" si="60"/>
        <v>0</v>
      </c>
      <c r="DA4" s="52">
        <f t="shared" si="60"/>
        <v>0</v>
      </c>
      <c r="DB4" s="52">
        <f t="shared" si="60"/>
        <v>0</v>
      </c>
      <c r="DC4" s="52">
        <f t="shared" si="60"/>
        <v>0</v>
      </c>
      <c r="DD4" s="52">
        <f t="shared" si="60"/>
        <v>0</v>
      </c>
      <c r="DE4" s="52">
        <f t="shared" si="60"/>
        <v>0</v>
      </c>
      <c r="DF4" s="52">
        <f t="shared" si="60"/>
        <v>0</v>
      </c>
      <c r="DG4" s="52">
        <f t="shared" si="60"/>
        <v>0</v>
      </c>
      <c r="DH4" s="52">
        <f t="shared" si="60"/>
        <v>0</v>
      </c>
      <c r="DI4" s="52">
        <f t="shared" si="60"/>
        <v>0</v>
      </c>
      <c r="DJ4" s="52">
        <f t="shared" si="60"/>
        <v>0</v>
      </c>
      <c r="DK4" s="52">
        <f t="shared" si="60"/>
        <v>0</v>
      </c>
      <c r="DL4" s="52">
        <f t="shared" si="60"/>
        <v>0</v>
      </c>
      <c r="DM4" s="52">
        <f t="shared" ref="DM4:FX4" si="61">SUBTOTAL(9,DM6:DM507)</f>
        <v>0</v>
      </c>
      <c r="DN4" s="52">
        <f t="shared" si="61"/>
        <v>0</v>
      </c>
      <c r="DO4" s="52">
        <f t="shared" si="61"/>
        <v>0</v>
      </c>
      <c r="DP4" s="52">
        <f t="shared" si="61"/>
        <v>0</v>
      </c>
      <c r="DQ4" s="52">
        <f t="shared" si="61"/>
        <v>0</v>
      </c>
      <c r="DR4" s="52">
        <f t="shared" si="61"/>
        <v>0</v>
      </c>
      <c r="DS4" s="52">
        <f t="shared" si="61"/>
        <v>0</v>
      </c>
      <c r="DT4" s="52">
        <f t="shared" si="61"/>
        <v>0</v>
      </c>
      <c r="DU4" s="52">
        <f t="shared" si="61"/>
        <v>0</v>
      </c>
      <c r="DV4" s="52">
        <f t="shared" si="61"/>
        <v>0</v>
      </c>
      <c r="DW4" s="52">
        <f t="shared" si="61"/>
        <v>0</v>
      </c>
      <c r="DX4" s="52">
        <f t="shared" si="61"/>
        <v>0</v>
      </c>
      <c r="DY4" s="52">
        <f t="shared" si="61"/>
        <v>0</v>
      </c>
      <c r="DZ4" s="52">
        <f t="shared" si="61"/>
        <v>0</v>
      </c>
      <c r="EA4" s="52">
        <f t="shared" si="61"/>
        <v>0</v>
      </c>
      <c r="EB4" s="52">
        <f t="shared" si="61"/>
        <v>0</v>
      </c>
      <c r="EC4" s="52">
        <f t="shared" si="61"/>
        <v>0</v>
      </c>
      <c r="ED4" s="52">
        <f t="shared" si="61"/>
        <v>0</v>
      </c>
      <c r="EE4" s="52">
        <f t="shared" si="61"/>
        <v>0</v>
      </c>
      <c r="EF4" s="52">
        <f t="shared" si="61"/>
        <v>0</v>
      </c>
      <c r="EG4" s="52">
        <f t="shared" si="61"/>
        <v>0</v>
      </c>
      <c r="EH4" s="52">
        <f t="shared" si="61"/>
        <v>0</v>
      </c>
      <c r="EI4" s="52">
        <f t="shared" si="61"/>
        <v>0</v>
      </c>
      <c r="EJ4" s="52">
        <f t="shared" si="61"/>
        <v>0</v>
      </c>
      <c r="EK4" s="52">
        <f t="shared" si="61"/>
        <v>0</v>
      </c>
      <c r="EL4" s="52">
        <f t="shared" si="61"/>
        <v>0</v>
      </c>
      <c r="EM4" s="52">
        <f t="shared" si="61"/>
        <v>0</v>
      </c>
      <c r="EN4" s="52">
        <f t="shared" si="61"/>
        <v>0</v>
      </c>
      <c r="EO4" s="52">
        <f t="shared" si="61"/>
        <v>0</v>
      </c>
      <c r="EP4" s="52">
        <f t="shared" si="61"/>
        <v>0</v>
      </c>
      <c r="EQ4" s="52">
        <f t="shared" si="61"/>
        <v>0</v>
      </c>
      <c r="ER4" s="52">
        <f t="shared" si="61"/>
        <v>0</v>
      </c>
      <c r="ES4" s="52">
        <f t="shared" si="61"/>
        <v>0</v>
      </c>
      <c r="ET4" s="52">
        <f t="shared" si="61"/>
        <v>0</v>
      </c>
      <c r="EU4" s="52">
        <f t="shared" si="61"/>
        <v>0</v>
      </c>
      <c r="EV4" s="52">
        <f t="shared" si="61"/>
        <v>0</v>
      </c>
      <c r="EW4" s="52">
        <f t="shared" si="61"/>
        <v>0</v>
      </c>
      <c r="EX4" s="52">
        <f t="shared" si="61"/>
        <v>0</v>
      </c>
      <c r="EY4" s="52">
        <f t="shared" si="61"/>
        <v>0</v>
      </c>
      <c r="EZ4" s="52">
        <f t="shared" si="61"/>
        <v>0</v>
      </c>
      <c r="FA4" s="52">
        <f t="shared" si="61"/>
        <v>0</v>
      </c>
      <c r="FB4" s="52">
        <f t="shared" si="61"/>
        <v>0</v>
      </c>
      <c r="FC4" s="52">
        <f t="shared" si="61"/>
        <v>0</v>
      </c>
      <c r="FD4" s="52">
        <f t="shared" si="61"/>
        <v>0</v>
      </c>
      <c r="FE4" s="52">
        <f t="shared" si="61"/>
        <v>0</v>
      </c>
      <c r="FF4" s="52">
        <f t="shared" si="61"/>
        <v>0</v>
      </c>
      <c r="FG4" s="52">
        <f t="shared" si="61"/>
        <v>0</v>
      </c>
      <c r="FH4" s="52">
        <f t="shared" si="61"/>
        <v>0</v>
      </c>
      <c r="FI4" s="52">
        <f t="shared" si="61"/>
        <v>0</v>
      </c>
      <c r="FJ4" s="52">
        <f t="shared" si="61"/>
        <v>0</v>
      </c>
      <c r="FK4" s="52">
        <f t="shared" si="61"/>
        <v>0</v>
      </c>
      <c r="FL4" s="52">
        <f t="shared" si="61"/>
        <v>0</v>
      </c>
      <c r="FM4" s="52">
        <f t="shared" si="61"/>
        <v>0</v>
      </c>
      <c r="FN4" s="52">
        <f t="shared" si="61"/>
        <v>0</v>
      </c>
      <c r="FO4" s="52">
        <f t="shared" si="61"/>
        <v>0</v>
      </c>
      <c r="FP4" s="52">
        <f t="shared" si="61"/>
        <v>0</v>
      </c>
      <c r="FQ4" s="52">
        <f t="shared" si="61"/>
        <v>0</v>
      </c>
      <c r="FR4" s="52">
        <f t="shared" si="61"/>
        <v>0</v>
      </c>
      <c r="FS4" s="52">
        <f t="shared" si="61"/>
        <v>0</v>
      </c>
      <c r="FT4" s="52">
        <f t="shared" si="61"/>
        <v>0</v>
      </c>
      <c r="FU4" s="52">
        <f t="shared" si="61"/>
        <v>0</v>
      </c>
      <c r="FV4" s="52">
        <f t="shared" si="61"/>
        <v>0</v>
      </c>
      <c r="FW4" s="52">
        <f t="shared" si="61"/>
        <v>0</v>
      </c>
      <c r="FX4" s="52">
        <f t="shared" si="61"/>
        <v>0</v>
      </c>
      <c r="FY4" s="52">
        <f t="shared" ref="FY4:IJ4" si="62">SUBTOTAL(9,FY6:FY507)</f>
        <v>0</v>
      </c>
      <c r="FZ4" s="52">
        <f t="shared" si="62"/>
        <v>0</v>
      </c>
      <c r="GA4" s="52">
        <f t="shared" si="62"/>
        <v>0</v>
      </c>
      <c r="GB4" s="52">
        <f t="shared" si="62"/>
        <v>0</v>
      </c>
      <c r="GC4" s="52">
        <f t="shared" si="62"/>
        <v>0</v>
      </c>
      <c r="GD4" s="52">
        <f t="shared" si="62"/>
        <v>0</v>
      </c>
      <c r="GE4" s="52">
        <f t="shared" si="62"/>
        <v>0</v>
      </c>
      <c r="GF4" s="52">
        <f t="shared" si="62"/>
        <v>0</v>
      </c>
      <c r="GG4" s="52">
        <f t="shared" si="62"/>
        <v>0</v>
      </c>
      <c r="GH4" s="52">
        <f t="shared" si="62"/>
        <v>0</v>
      </c>
      <c r="GI4" s="52">
        <f t="shared" si="62"/>
        <v>0</v>
      </c>
      <c r="GJ4" s="52">
        <f t="shared" si="62"/>
        <v>0</v>
      </c>
      <c r="GK4" s="52">
        <f t="shared" si="62"/>
        <v>0</v>
      </c>
      <c r="GL4" s="52">
        <f t="shared" si="62"/>
        <v>0</v>
      </c>
      <c r="GM4" s="52">
        <f t="shared" si="62"/>
        <v>0</v>
      </c>
      <c r="GN4" s="52">
        <f t="shared" si="62"/>
        <v>0</v>
      </c>
      <c r="GO4" s="52">
        <f t="shared" si="62"/>
        <v>0</v>
      </c>
      <c r="GP4" s="52">
        <f t="shared" si="62"/>
        <v>0</v>
      </c>
      <c r="GQ4" s="52">
        <f t="shared" si="62"/>
        <v>0</v>
      </c>
      <c r="GR4" s="52">
        <f t="shared" si="62"/>
        <v>0</v>
      </c>
      <c r="GS4" s="52">
        <f t="shared" si="62"/>
        <v>0</v>
      </c>
      <c r="GT4" s="52">
        <f t="shared" si="62"/>
        <v>0</v>
      </c>
      <c r="GU4" s="52">
        <f t="shared" si="62"/>
        <v>0</v>
      </c>
      <c r="GV4" s="52">
        <f t="shared" si="62"/>
        <v>0</v>
      </c>
      <c r="GW4" s="52">
        <f t="shared" si="62"/>
        <v>0</v>
      </c>
      <c r="GX4" s="52">
        <f t="shared" si="62"/>
        <v>0</v>
      </c>
      <c r="GY4" s="52">
        <f t="shared" si="62"/>
        <v>0</v>
      </c>
      <c r="GZ4" s="52">
        <f t="shared" si="62"/>
        <v>0</v>
      </c>
      <c r="HA4" s="52">
        <f t="shared" si="62"/>
        <v>0</v>
      </c>
      <c r="HB4" s="52">
        <f t="shared" si="62"/>
        <v>0</v>
      </c>
      <c r="HC4" s="52">
        <f t="shared" si="62"/>
        <v>0</v>
      </c>
      <c r="HD4" s="52">
        <f t="shared" si="62"/>
        <v>0</v>
      </c>
      <c r="HE4" s="52">
        <f t="shared" si="62"/>
        <v>0</v>
      </c>
      <c r="HF4" s="52">
        <f t="shared" si="62"/>
        <v>0</v>
      </c>
      <c r="HG4" s="52">
        <f t="shared" si="62"/>
        <v>0</v>
      </c>
      <c r="HH4" s="52">
        <f t="shared" si="62"/>
        <v>0</v>
      </c>
      <c r="HI4" s="52">
        <f t="shared" si="62"/>
        <v>0</v>
      </c>
      <c r="HJ4" s="52">
        <f t="shared" si="62"/>
        <v>0</v>
      </c>
      <c r="HK4" s="52">
        <f t="shared" si="62"/>
        <v>0</v>
      </c>
      <c r="HL4" s="52">
        <f t="shared" si="62"/>
        <v>0</v>
      </c>
      <c r="HM4" s="52">
        <f t="shared" si="62"/>
        <v>0</v>
      </c>
      <c r="HN4" s="52">
        <f t="shared" si="62"/>
        <v>0</v>
      </c>
      <c r="HO4" s="52">
        <f t="shared" si="62"/>
        <v>0</v>
      </c>
      <c r="HP4" s="52">
        <f t="shared" si="62"/>
        <v>0</v>
      </c>
      <c r="HQ4" s="52">
        <f t="shared" si="62"/>
        <v>0</v>
      </c>
      <c r="HR4" s="52">
        <f t="shared" si="62"/>
        <v>0</v>
      </c>
      <c r="HS4" s="52">
        <f t="shared" si="62"/>
        <v>0</v>
      </c>
      <c r="HT4" s="52">
        <f t="shared" si="62"/>
        <v>0</v>
      </c>
      <c r="HU4" s="52">
        <f t="shared" si="62"/>
        <v>0</v>
      </c>
      <c r="HV4" s="52">
        <f t="shared" si="62"/>
        <v>0</v>
      </c>
      <c r="HW4" s="52">
        <f t="shared" si="62"/>
        <v>0</v>
      </c>
      <c r="HX4" s="52">
        <f t="shared" si="62"/>
        <v>0</v>
      </c>
      <c r="HY4" s="52">
        <f t="shared" si="62"/>
        <v>0</v>
      </c>
      <c r="HZ4" s="52">
        <f t="shared" si="62"/>
        <v>0</v>
      </c>
      <c r="IA4" s="52">
        <f t="shared" si="62"/>
        <v>0</v>
      </c>
      <c r="IB4" s="52">
        <f t="shared" si="62"/>
        <v>0</v>
      </c>
      <c r="IC4" s="52">
        <f t="shared" si="62"/>
        <v>0</v>
      </c>
      <c r="ID4" s="52">
        <f t="shared" si="62"/>
        <v>0</v>
      </c>
      <c r="IE4" s="52">
        <f t="shared" si="62"/>
        <v>0</v>
      </c>
      <c r="IF4" s="52">
        <f t="shared" si="62"/>
        <v>0</v>
      </c>
      <c r="IG4" s="52">
        <f t="shared" si="62"/>
        <v>0</v>
      </c>
      <c r="IH4" s="52">
        <f t="shared" si="62"/>
        <v>0</v>
      </c>
      <c r="II4" s="52">
        <f t="shared" si="62"/>
        <v>0</v>
      </c>
      <c r="IJ4" s="52">
        <f t="shared" si="62"/>
        <v>0</v>
      </c>
      <c r="IK4" s="52">
        <f t="shared" ref="IK4:KV4" si="63">SUBTOTAL(9,IK6:IK507)</f>
        <v>0</v>
      </c>
      <c r="IL4" s="52">
        <f t="shared" si="63"/>
        <v>0</v>
      </c>
      <c r="IM4" s="52">
        <f t="shared" si="63"/>
        <v>0</v>
      </c>
      <c r="IN4" s="52">
        <f t="shared" si="63"/>
        <v>0</v>
      </c>
      <c r="IO4" s="52">
        <f t="shared" si="63"/>
        <v>0</v>
      </c>
      <c r="IP4" s="52">
        <f t="shared" si="63"/>
        <v>0</v>
      </c>
      <c r="IQ4" s="52">
        <f t="shared" si="63"/>
        <v>0</v>
      </c>
      <c r="IR4" s="52">
        <f t="shared" si="63"/>
        <v>0</v>
      </c>
      <c r="IS4" s="52">
        <f t="shared" si="63"/>
        <v>0</v>
      </c>
      <c r="IT4" s="52">
        <f t="shared" si="63"/>
        <v>0</v>
      </c>
      <c r="IU4" s="52">
        <f t="shared" si="63"/>
        <v>0</v>
      </c>
      <c r="IV4" s="52">
        <f t="shared" si="63"/>
        <v>0</v>
      </c>
      <c r="IW4" s="52">
        <f t="shared" si="63"/>
        <v>0</v>
      </c>
      <c r="IX4" s="52">
        <f t="shared" si="63"/>
        <v>0</v>
      </c>
      <c r="IY4" s="52">
        <f t="shared" si="63"/>
        <v>0</v>
      </c>
      <c r="IZ4" s="52">
        <f t="shared" si="63"/>
        <v>0</v>
      </c>
      <c r="JA4" s="52">
        <f t="shared" si="63"/>
        <v>0</v>
      </c>
      <c r="JB4" s="52">
        <f t="shared" si="63"/>
        <v>0</v>
      </c>
      <c r="JC4" s="52">
        <f t="shared" si="63"/>
        <v>0</v>
      </c>
      <c r="JD4" s="52">
        <f t="shared" si="63"/>
        <v>0</v>
      </c>
      <c r="JE4" s="52">
        <f t="shared" si="63"/>
        <v>0</v>
      </c>
      <c r="JF4" s="52">
        <f t="shared" si="63"/>
        <v>0</v>
      </c>
      <c r="JG4" s="52">
        <f t="shared" si="63"/>
        <v>0</v>
      </c>
      <c r="JH4" s="52">
        <f t="shared" si="63"/>
        <v>0</v>
      </c>
      <c r="JI4" s="52">
        <f t="shared" si="63"/>
        <v>0</v>
      </c>
      <c r="JJ4" s="52">
        <f t="shared" si="63"/>
        <v>0</v>
      </c>
      <c r="JK4" s="52">
        <f t="shared" si="63"/>
        <v>0</v>
      </c>
      <c r="JL4" s="52">
        <f t="shared" si="63"/>
        <v>0</v>
      </c>
      <c r="JM4" s="52">
        <f t="shared" si="63"/>
        <v>0</v>
      </c>
      <c r="JN4" s="52">
        <f t="shared" si="63"/>
        <v>0</v>
      </c>
      <c r="JO4" s="52">
        <f t="shared" si="63"/>
        <v>0</v>
      </c>
      <c r="JP4" s="52">
        <f t="shared" si="63"/>
        <v>0</v>
      </c>
      <c r="JQ4" s="52">
        <f t="shared" si="63"/>
        <v>0</v>
      </c>
      <c r="JR4" s="52">
        <f t="shared" si="63"/>
        <v>0</v>
      </c>
      <c r="JS4" s="52">
        <f t="shared" si="63"/>
        <v>0</v>
      </c>
      <c r="JT4" s="52">
        <f t="shared" si="63"/>
        <v>0</v>
      </c>
      <c r="JU4" s="52">
        <f t="shared" si="63"/>
        <v>0</v>
      </c>
      <c r="JV4" s="52">
        <f t="shared" si="63"/>
        <v>0</v>
      </c>
      <c r="JW4" s="52">
        <f t="shared" si="63"/>
        <v>0</v>
      </c>
      <c r="JX4" s="52">
        <f t="shared" si="63"/>
        <v>0</v>
      </c>
      <c r="JY4" s="52">
        <f t="shared" si="63"/>
        <v>0</v>
      </c>
      <c r="JZ4" s="52">
        <f t="shared" si="63"/>
        <v>0</v>
      </c>
      <c r="KA4" s="52">
        <f t="shared" si="63"/>
        <v>0</v>
      </c>
      <c r="KB4" s="52">
        <f t="shared" si="63"/>
        <v>0</v>
      </c>
      <c r="KC4" s="52">
        <f t="shared" si="63"/>
        <v>0</v>
      </c>
      <c r="KD4" s="52">
        <f t="shared" si="63"/>
        <v>0</v>
      </c>
      <c r="KE4" s="52">
        <f t="shared" si="63"/>
        <v>0</v>
      </c>
      <c r="KF4" s="52">
        <f t="shared" si="63"/>
        <v>0</v>
      </c>
      <c r="KG4" s="52">
        <f t="shared" si="63"/>
        <v>0</v>
      </c>
      <c r="KH4" s="52">
        <f t="shared" si="63"/>
        <v>0</v>
      </c>
      <c r="KI4" s="52">
        <f t="shared" si="63"/>
        <v>0</v>
      </c>
      <c r="KJ4" s="52">
        <f t="shared" si="63"/>
        <v>0</v>
      </c>
      <c r="KK4" s="52">
        <f t="shared" si="63"/>
        <v>0</v>
      </c>
      <c r="KL4" s="52">
        <f t="shared" si="63"/>
        <v>0</v>
      </c>
      <c r="KM4" s="52">
        <f t="shared" si="63"/>
        <v>0</v>
      </c>
      <c r="KN4" s="52">
        <f t="shared" si="63"/>
        <v>0</v>
      </c>
      <c r="KO4" s="52">
        <f t="shared" si="63"/>
        <v>0</v>
      </c>
      <c r="KP4" s="52">
        <f t="shared" si="63"/>
        <v>0</v>
      </c>
      <c r="KQ4" s="52">
        <f t="shared" si="63"/>
        <v>0</v>
      </c>
      <c r="KR4" s="52">
        <f t="shared" si="63"/>
        <v>0</v>
      </c>
      <c r="KS4" s="52">
        <f t="shared" si="63"/>
        <v>0</v>
      </c>
      <c r="KT4" s="52">
        <f t="shared" si="63"/>
        <v>0</v>
      </c>
      <c r="KU4" s="52">
        <f t="shared" si="63"/>
        <v>0</v>
      </c>
      <c r="KV4" s="52">
        <f t="shared" si="63"/>
        <v>0</v>
      </c>
      <c r="KW4" s="52">
        <f t="shared" ref="KW4:NH4" si="64">SUBTOTAL(9,KW6:KW507)</f>
        <v>0</v>
      </c>
      <c r="KX4" s="52">
        <f t="shared" si="64"/>
        <v>0</v>
      </c>
      <c r="KY4" s="52">
        <f t="shared" si="64"/>
        <v>0</v>
      </c>
      <c r="KZ4" s="52">
        <f t="shared" si="64"/>
        <v>0</v>
      </c>
      <c r="LA4" s="52">
        <f t="shared" si="64"/>
        <v>0</v>
      </c>
      <c r="LB4" s="52">
        <f t="shared" si="64"/>
        <v>0</v>
      </c>
      <c r="LC4" s="52">
        <f t="shared" si="64"/>
        <v>0</v>
      </c>
      <c r="LD4" s="52">
        <f t="shared" si="64"/>
        <v>0</v>
      </c>
      <c r="LE4" s="52">
        <f t="shared" si="64"/>
        <v>0</v>
      </c>
      <c r="LF4" s="52">
        <f t="shared" si="64"/>
        <v>0</v>
      </c>
      <c r="LG4" s="52">
        <f t="shared" si="64"/>
        <v>0</v>
      </c>
      <c r="LH4" s="52">
        <f t="shared" si="64"/>
        <v>0</v>
      </c>
      <c r="LI4" s="52">
        <f t="shared" si="64"/>
        <v>0</v>
      </c>
      <c r="LJ4" s="52">
        <f t="shared" si="64"/>
        <v>0</v>
      </c>
      <c r="LK4" s="52">
        <f t="shared" si="64"/>
        <v>0</v>
      </c>
      <c r="LL4" s="52">
        <f t="shared" si="64"/>
        <v>0</v>
      </c>
      <c r="LM4" s="52">
        <f t="shared" si="64"/>
        <v>0</v>
      </c>
      <c r="LN4" s="52">
        <f t="shared" si="64"/>
        <v>0</v>
      </c>
      <c r="LO4" s="52">
        <f t="shared" si="64"/>
        <v>0</v>
      </c>
      <c r="LP4" s="52">
        <f t="shared" si="64"/>
        <v>0</v>
      </c>
      <c r="LQ4" s="52">
        <f t="shared" si="64"/>
        <v>0</v>
      </c>
      <c r="LR4" s="52">
        <f t="shared" si="64"/>
        <v>0</v>
      </c>
      <c r="LS4" s="52">
        <f t="shared" si="64"/>
        <v>0</v>
      </c>
      <c r="LT4" s="52">
        <f t="shared" si="64"/>
        <v>0</v>
      </c>
      <c r="LU4" s="52">
        <f t="shared" si="64"/>
        <v>0</v>
      </c>
      <c r="LV4" s="52">
        <f t="shared" si="64"/>
        <v>0</v>
      </c>
      <c r="LW4" s="52">
        <f t="shared" si="64"/>
        <v>0</v>
      </c>
      <c r="LX4" s="52">
        <f t="shared" si="64"/>
        <v>0</v>
      </c>
      <c r="LY4" s="52">
        <f t="shared" si="64"/>
        <v>0</v>
      </c>
      <c r="LZ4" s="52">
        <f t="shared" si="64"/>
        <v>0</v>
      </c>
      <c r="MA4" s="52">
        <f t="shared" si="64"/>
        <v>0</v>
      </c>
      <c r="MB4" s="52">
        <f t="shared" si="64"/>
        <v>0</v>
      </c>
      <c r="MC4" s="52">
        <f t="shared" si="64"/>
        <v>0</v>
      </c>
      <c r="MD4" s="52">
        <f t="shared" si="64"/>
        <v>0</v>
      </c>
      <c r="ME4" s="52">
        <f t="shared" si="64"/>
        <v>0</v>
      </c>
      <c r="MF4" s="52">
        <f t="shared" si="64"/>
        <v>0</v>
      </c>
      <c r="MG4" s="52">
        <f t="shared" si="64"/>
        <v>0</v>
      </c>
      <c r="MH4" s="52">
        <f t="shared" si="64"/>
        <v>0</v>
      </c>
      <c r="MI4" s="52">
        <f t="shared" si="64"/>
        <v>0</v>
      </c>
      <c r="MJ4" s="52">
        <f t="shared" si="64"/>
        <v>0</v>
      </c>
      <c r="MK4" s="52">
        <f t="shared" si="64"/>
        <v>0</v>
      </c>
      <c r="ML4" s="52">
        <f t="shared" si="64"/>
        <v>0</v>
      </c>
      <c r="MM4" s="52">
        <f t="shared" si="64"/>
        <v>0</v>
      </c>
      <c r="MN4" s="52">
        <f t="shared" si="64"/>
        <v>0</v>
      </c>
      <c r="MO4" s="52">
        <f t="shared" si="64"/>
        <v>0</v>
      </c>
      <c r="MP4" s="52">
        <f t="shared" si="64"/>
        <v>0</v>
      </c>
      <c r="MQ4" s="52">
        <f t="shared" si="64"/>
        <v>0</v>
      </c>
      <c r="MR4" s="52">
        <f t="shared" si="64"/>
        <v>0</v>
      </c>
      <c r="MS4" s="52">
        <f t="shared" si="64"/>
        <v>0</v>
      </c>
      <c r="MT4" s="52">
        <f t="shared" si="64"/>
        <v>0</v>
      </c>
      <c r="MU4" s="52">
        <f t="shared" si="64"/>
        <v>0</v>
      </c>
      <c r="MV4" s="52">
        <f t="shared" si="64"/>
        <v>0</v>
      </c>
      <c r="MW4" s="52">
        <f t="shared" si="64"/>
        <v>0</v>
      </c>
      <c r="MX4" s="52">
        <f t="shared" si="64"/>
        <v>0</v>
      </c>
      <c r="MY4" s="52">
        <f t="shared" si="64"/>
        <v>0</v>
      </c>
      <c r="MZ4" s="52">
        <f t="shared" si="64"/>
        <v>0</v>
      </c>
      <c r="NA4" s="52">
        <f t="shared" si="64"/>
        <v>0</v>
      </c>
      <c r="NB4" s="52">
        <f t="shared" si="64"/>
        <v>0</v>
      </c>
      <c r="NC4" s="52">
        <f t="shared" si="64"/>
        <v>0</v>
      </c>
      <c r="ND4" s="52">
        <f t="shared" si="64"/>
        <v>0</v>
      </c>
      <c r="NE4" s="52">
        <f t="shared" si="64"/>
        <v>0</v>
      </c>
      <c r="NF4" s="52">
        <f t="shared" si="64"/>
        <v>0</v>
      </c>
      <c r="NG4" s="52">
        <f t="shared" si="64"/>
        <v>0</v>
      </c>
      <c r="NH4" s="52">
        <f t="shared" si="64"/>
        <v>0</v>
      </c>
      <c r="NI4" s="52">
        <f t="shared" ref="NI4:PT4" si="65">SUBTOTAL(9,NI6:NI507)</f>
        <v>0</v>
      </c>
      <c r="NJ4" s="52">
        <f t="shared" si="65"/>
        <v>0</v>
      </c>
      <c r="NK4" s="52">
        <f t="shared" si="65"/>
        <v>0</v>
      </c>
      <c r="NL4" s="52">
        <f t="shared" si="65"/>
        <v>0</v>
      </c>
      <c r="NM4" s="52">
        <f t="shared" si="65"/>
        <v>0</v>
      </c>
      <c r="NN4" s="52">
        <f t="shared" si="65"/>
        <v>0</v>
      </c>
      <c r="NO4" s="52">
        <f t="shared" si="65"/>
        <v>0</v>
      </c>
      <c r="NP4" s="52">
        <f t="shared" si="65"/>
        <v>0</v>
      </c>
      <c r="NQ4" s="52">
        <f t="shared" si="65"/>
        <v>0</v>
      </c>
      <c r="NR4" s="52">
        <f t="shared" si="65"/>
        <v>0</v>
      </c>
      <c r="NS4" s="52">
        <f t="shared" si="65"/>
        <v>0</v>
      </c>
      <c r="NT4" s="52">
        <f t="shared" si="65"/>
        <v>0</v>
      </c>
      <c r="NU4" s="52">
        <f t="shared" si="65"/>
        <v>0</v>
      </c>
      <c r="NV4" s="52">
        <f t="shared" si="65"/>
        <v>0</v>
      </c>
      <c r="NW4" s="52">
        <f t="shared" si="65"/>
        <v>0</v>
      </c>
      <c r="NX4" s="52">
        <f t="shared" si="65"/>
        <v>0</v>
      </c>
      <c r="NY4" s="52">
        <f t="shared" si="65"/>
        <v>0</v>
      </c>
      <c r="NZ4" s="52">
        <f t="shared" si="65"/>
        <v>0</v>
      </c>
      <c r="OA4" s="52">
        <f t="shared" si="65"/>
        <v>0</v>
      </c>
      <c r="OB4" s="52">
        <f t="shared" si="65"/>
        <v>0</v>
      </c>
      <c r="OC4" s="52">
        <f t="shared" si="65"/>
        <v>0</v>
      </c>
      <c r="OD4" s="52">
        <f t="shared" si="65"/>
        <v>0</v>
      </c>
      <c r="OE4" s="52">
        <f t="shared" si="65"/>
        <v>0</v>
      </c>
      <c r="OF4" s="52">
        <f t="shared" si="65"/>
        <v>0</v>
      </c>
      <c r="OG4" s="52">
        <f t="shared" si="65"/>
        <v>0</v>
      </c>
      <c r="OH4" s="52">
        <f t="shared" si="65"/>
        <v>0</v>
      </c>
      <c r="OI4" s="52">
        <f t="shared" si="65"/>
        <v>0</v>
      </c>
      <c r="OJ4" s="52">
        <f t="shared" si="65"/>
        <v>0</v>
      </c>
      <c r="OK4" s="52">
        <f t="shared" si="65"/>
        <v>0</v>
      </c>
      <c r="OL4" s="52">
        <f t="shared" si="65"/>
        <v>0</v>
      </c>
      <c r="OM4" s="52">
        <f t="shared" si="65"/>
        <v>0</v>
      </c>
      <c r="ON4" s="52">
        <f t="shared" si="65"/>
        <v>0</v>
      </c>
      <c r="OO4" s="52">
        <f t="shared" si="65"/>
        <v>0</v>
      </c>
      <c r="OP4" s="52">
        <f t="shared" si="65"/>
        <v>0</v>
      </c>
      <c r="OQ4" s="52">
        <f t="shared" si="65"/>
        <v>0</v>
      </c>
      <c r="OR4" s="52">
        <f t="shared" si="65"/>
        <v>0</v>
      </c>
      <c r="OS4" s="52">
        <f t="shared" si="65"/>
        <v>0</v>
      </c>
      <c r="OT4" s="52">
        <f t="shared" si="65"/>
        <v>0</v>
      </c>
      <c r="OU4" s="52">
        <f t="shared" si="65"/>
        <v>0</v>
      </c>
      <c r="OV4" s="52">
        <f t="shared" si="65"/>
        <v>0</v>
      </c>
      <c r="OW4" s="52">
        <f t="shared" si="65"/>
        <v>0</v>
      </c>
      <c r="OX4" s="52">
        <f t="shared" si="65"/>
        <v>0</v>
      </c>
      <c r="OY4" s="52">
        <f t="shared" si="65"/>
        <v>0</v>
      </c>
      <c r="OZ4" s="52">
        <f t="shared" si="65"/>
        <v>0</v>
      </c>
      <c r="PA4" s="52">
        <f t="shared" si="65"/>
        <v>0</v>
      </c>
      <c r="PB4" s="52">
        <f t="shared" si="65"/>
        <v>0</v>
      </c>
      <c r="PC4" s="52">
        <f t="shared" si="65"/>
        <v>0</v>
      </c>
      <c r="PD4" s="52">
        <f t="shared" si="65"/>
        <v>0</v>
      </c>
      <c r="PE4" s="52">
        <f t="shared" si="65"/>
        <v>0</v>
      </c>
      <c r="PF4" s="52">
        <f t="shared" si="65"/>
        <v>0</v>
      </c>
      <c r="PG4" s="52">
        <f t="shared" si="65"/>
        <v>0</v>
      </c>
      <c r="PH4" s="52">
        <f t="shared" si="65"/>
        <v>0</v>
      </c>
      <c r="PI4" s="52">
        <f t="shared" si="65"/>
        <v>0</v>
      </c>
      <c r="PJ4" s="52">
        <f t="shared" si="65"/>
        <v>0</v>
      </c>
      <c r="PK4" s="52">
        <f t="shared" si="65"/>
        <v>0</v>
      </c>
      <c r="PL4" s="52">
        <f t="shared" si="65"/>
        <v>0</v>
      </c>
      <c r="PM4" s="52">
        <f t="shared" si="65"/>
        <v>0</v>
      </c>
      <c r="PN4" s="52">
        <f t="shared" si="65"/>
        <v>0</v>
      </c>
      <c r="PO4" s="52">
        <f t="shared" si="65"/>
        <v>0</v>
      </c>
      <c r="PP4" s="52">
        <f t="shared" si="65"/>
        <v>0</v>
      </c>
      <c r="PQ4" s="52">
        <f t="shared" si="65"/>
        <v>0</v>
      </c>
      <c r="PR4" s="52">
        <f t="shared" si="65"/>
        <v>0</v>
      </c>
      <c r="PS4" s="52">
        <f t="shared" si="65"/>
        <v>0</v>
      </c>
      <c r="PT4" s="52">
        <f t="shared" si="65"/>
        <v>0</v>
      </c>
      <c r="PU4" s="52">
        <f t="shared" ref="PU4:SF4" si="66">SUBTOTAL(9,PU6:PU507)</f>
        <v>0</v>
      </c>
      <c r="PV4" s="52">
        <f t="shared" si="66"/>
        <v>0</v>
      </c>
      <c r="PW4" s="52">
        <f t="shared" si="66"/>
        <v>0</v>
      </c>
      <c r="PX4" s="52">
        <f t="shared" si="66"/>
        <v>0</v>
      </c>
      <c r="PY4" s="52">
        <f t="shared" si="66"/>
        <v>0</v>
      </c>
      <c r="PZ4" s="52">
        <f t="shared" si="66"/>
        <v>0</v>
      </c>
      <c r="QA4" s="52">
        <f t="shared" si="66"/>
        <v>0</v>
      </c>
      <c r="QB4" s="52">
        <f t="shared" si="66"/>
        <v>0</v>
      </c>
      <c r="QC4" s="52">
        <f t="shared" si="66"/>
        <v>0</v>
      </c>
      <c r="QD4" s="52">
        <f t="shared" si="66"/>
        <v>0</v>
      </c>
      <c r="QE4" s="52">
        <f t="shared" si="66"/>
        <v>0</v>
      </c>
      <c r="QF4" s="52">
        <f t="shared" si="66"/>
        <v>0</v>
      </c>
      <c r="QG4" s="52">
        <f t="shared" si="66"/>
        <v>0</v>
      </c>
      <c r="QH4" s="52">
        <f t="shared" si="66"/>
        <v>0</v>
      </c>
      <c r="QI4" s="52">
        <f t="shared" si="66"/>
        <v>0</v>
      </c>
      <c r="QJ4" s="52">
        <f t="shared" si="66"/>
        <v>0</v>
      </c>
      <c r="QK4" s="52">
        <f t="shared" si="66"/>
        <v>0</v>
      </c>
      <c r="QL4" s="52">
        <f t="shared" si="66"/>
        <v>0</v>
      </c>
      <c r="QM4" s="52">
        <f t="shared" si="66"/>
        <v>0</v>
      </c>
      <c r="QN4" s="52">
        <f t="shared" si="66"/>
        <v>0</v>
      </c>
      <c r="QO4" s="52">
        <f t="shared" si="66"/>
        <v>0</v>
      </c>
      <c r="QP4" s="52">
        <f t="shared" si="66"/>
        <v>0</v>
      </c>
      <c r="QQ4" s="52">
        <f t="shared" si="66"/>
        <v>0</v>
      </c>
      <c r="QR4" s="52">
        <f t="shared" si="66"/>
        <v>0</v>
      </c>
      <c r="QS4" s="52">
        <f t="shared" si="66"/>
        <v>0</v>
      </c>
      <c r="QT4" s="52">
        <f t="shared" si="66"/>
        <v>0</v>
      </c>
      <c r="QU4" s="52">
        <f t="shared" si="66"/>
        <v>0</v>
      </c>
      <c r="QV4" s="52">
        <f t="shared" si="66"/>
        <v>0</v>
      </c>
      <c r="QW4" s="52">
        <f t="shared" si="66"/>
        <v>0</v>
      </c>
      <c r="QX4" s="52">
        <f t="shared" si="66"/>
        <v>0</v>
      </c>
      <c r="QY4" s="52">
        <f t="shared" si="66"/>
        <v>0</v>
      </c>
      <c r="QZ4" s="52">
        <f t="shared" si="66"/>
        <v>0</v>
      </c>
      <c r="RA4" s="52">
        <f t="shared" si="66"/>
        <v>0</v>
      </c>
      <c r="RB4" s="52">
        <f t="shared" si="66"/>
        <v>0</v>
      </c>
      <c r="RC4" s="52">
        <f t="shared" si="66"/>
        <v>0</v>
      </c>
      <c r="RD4" s="52">
        <f t="shared" si="66"/>
        <v>0</v>
      </c>
      <c r="RE4" s="52">
        <f t="shared" si="66"/>
        <v>0</v>
      </c>
      <c r="RF4" s="52">
        <f t="shared" si="66"/>
        <v>0</v>
      </c>
      <c r="RG4" s="52">
        <f t="shared" si="66"/>
        <v>0</v>
      </c>
      <c r="RH4" s="52">
        <f t="shared" si="66"/>
        <v>0</v>
      </c>
      <c r="RI4" s="52">
        <f t="shared" si="66"/>
        <v>0</v>
      </c>
      <c r="RJ4" s="52">
        <f t="shared" si="66"/>
        <v>0</v>
      </c>
      <c r="RK4" s="52">
        <f t="shared" si="66"/>
        <v>0</v>
      </c>
      <c r="RL4" s="52">
        <f t="shared" si="66"/>
        <v>0</v>
      </c>
      <c r="RM4" s="52">
        <f t="shared" si="66"/>
        <v>0</v>
      </c>
      <c r="RN4" s="52">
        <f t="shared" si="66"/>
        <v>0</v>
      </c>
      <c r="RO4" s="52">
        <f t="shared" si="66"/>
        <v>0</v>
      </c>
      <c r="RP4" s="52">
        <f t="shared" si="66"/>
        <v>0</v>
      </c>
      <c r="RQ4" s="52">
        <f t="shared" si="66"/>
        <v>0</v>
      </c>
      <c r="RR4" s="52">
        <f t="shared" si="66"/>
        <v>0</v>
      </c>
      <c r="RS4" s="52">
        <f t="shared" si="66"/>
        <v>0</v>
      </c>
      <c r="RT4" s="52">
        <f t="shared" si="66"/>
        <v>0</v>
      </c>
      <c r="RU4" s="52">
        <f t="shared" si="66"/>
        <v>0</v>
      </c>
      <c r="RV4" s="52">
        <f t="shared" si="66"/>
        <v>0</v>
      </c>
      <c r="RW4" s="52">
        <f t="shared" si="66"/>
        <v>0</v>
      </c>
      <c r="RX4" s="52">
        <f t="shared" si="66"/>
        <v>0</v>
      </c>
      <c r="RY4" s="52">
        <f t="shared" si="66"/>
        <v>0</v>
      </c>
      <c r="RZ4" s="52">
        <f t="shared" si="66"/>
        <v>0</v>
      </c>
      <c r="SA4" s="52">
        <f t="shared" si="66"/>
        <v>0</v>
      </c>
      <c r="SB4" s="52">
        <f t="shared" si="66"/>
        <v>0</v>
      </c>
      <c r="SC4" s="52">
        <f t="shared" si="66"/>
        <v>0</v>
      </c>
      <c r="SD4" s="52">
        <f t="shared" si="66"/>
        <v>0</v>
      </c>
      <c r="SE4" s="52">
        <f t="shared" si="66"/>
        <v>0</v>
      </c>
      <c r="SF4" s="52">
        <f t="shared" si="66"/>
        <v>0</v>
      </c>
      <c r="SG4" s="52">
        <f t="shared" ref="SG4:UR4" si="67">SUBTOTAL(9,SG6:SG507)</f>
        <v>0</v>
      </c>
      <c r="SH4" s="52">
        <f t="shared" si="67"/>
        <v>0</v>
      </c>
      <c r="SI4" s="52">
        <f t="shared" si="67"/>
        <v>0</v>
      </c>
      <c r="SJ4" s="52">
        <f t="shared" si="67"/>
        <v>0</v>
      </c>
      <c r="SK4" s="52">
        <f t="shared" si="67"/>
        <v>0</v>
      </c>
      <c r="SL4" s="52">
        <f t="shared" si="67"/>
        <v>0</v>
      </c>
      <c r="SM4" s="52">
        <f t="shared" si="67"/>
        <v>0</v>
      </c>
      <c r="SN4" s="52">
        <f t="shared" si="67"/>
        <v>0</v>
      </c>
      <c r="SO4" s="52">
        <f t="shared" si="67"/>
        <v>0</v>
      </c>
      <c r="SP4" s="52">
        <f t="shared" si="67"/>
        <v>0</v>
      </c>
      <c r="SQ4" s="52">
        <f t="shared" si="67"/>
        <v>0</v>
      </c>
      <c r="SR4" s="52">
        <f t="shared" si="67"/>
        <v>0</v>
      </c>
      <c r="SS4" s="52">
        <f t="shared" si="67"/>
        <v>0</v>
      </c>
      <c r="ST4" s="52">
        <f t="shared" si="67"/>
        <v>0</v>
      </c>
      <c r="SU4" s="52">
        <f t="shared" si="67"/>
        <v>0</v>
      </c>
      <c r="SV4" s="52">
        <f t="shared" si="67"/>
        <v>0</v>
      </c>
      <c r="SW4" s="52">
        <f t="shared" si="67"/>
        <v>0</v>
      </c>
      <c r="SX4" s="52">
        <f t="shared" si="67"/>
        <v>0</v>
      </c>
      <c r="SY4" s="52">
        <f t="shared" si="67"/>
        <v>0</v>
      </c>
      <c r="SZ4" s="52">
        <f t="shared" si="67"/>
        <v>0</v>
      </c>
      <c r="TA4" s="52">
        <f t="shared" si="67"/>
        <v>0</v>
      </c>
      <c r="TB4" s="52">
        <f t="shared" si="67"/>
        <v>0</v>
      </c>
      <c r="TC4" s="52">
        <f t="shared" si="67"/>
        <v>0</v>
      </c>
      <c r="TD4" s="52">
        <f t="shared" si="67"/>
        <v>0</v>
      </c>
      <c r="TE4" s="52">
        <f t="shared" si="67"/>
        <v>0</v>
      </c>
      <c r="TF4" s="52">
        <f t="shared" si="67"/>
        <v>0</v>
      </c>
      <c r="TG4" s="52">
        <f t="shared" si="67"/>
        <v>0</v>
      </c>
      <c r="TH4" s="52">
        <f t="shared" si="67"/>
        <v>0</v>
      </c>
      <c r="TI4" s="52">
        <f t="shared" si="67"/>
        <v>0</v>
      </c>
      <c r="TJ4" s="52">
        <f t="shared" si="67"/>
        <v>0</v>
      </c>
      <c r="TK4" s="52">
        <f t="shared" si="67"/>
        <v>0</v>
      </c>
      <c r="TL4" s="52">
        <f t="shared" si="67"/>
        <v>0</v>
      </c>
      <c r="TM4" s="52">
        <f t="shared" si="67"/>
        <v>0</v>
      </c>
      <c r="TN4" s="52">
        <f t="shared" si="67"/>
        <v>0</v>
      </c>
      <c r="TO4" s="52">
        <f t="shared" si="67"/>
        <v>0</v>
      </c>
      <c r="TP4" s="52">
        <f t="shared" si="67"/>
        <v>0</v>
      </c>
      <c r="TQ4" s="52">
        <f t="shared" si="67"/>
        <v>0</v>
      </c>
      <c r="TR4" s="52">
        <f t="shared" si="67"/>
        <v>0</v>
      </c>
      <c r="TS4" s="52">
        <f t="shared" si="67"/>
        <v>0</v>
      </c>
      <c r="TT4" s="52">
        <f t="shared" si="67"/>
        <v>0</v>
      </c>
      <c r="TU4" s="52">
        <f t="shared" si="67"/>
        <v>0</v>
      </c>
      <c r="TV4" s="52">
        <f t="shared" si="67"/>
        <v>0</v>
      </c>
      <c r="TW4" s="52">
        <f t="shared" si="67"/>
        <v>0</v>
      </c>
      <c r="TX4" s="52">
        <f t="shared" si="67"/>
        <v>0</v>
      </c>
      <c r="TY4" s="52">
        <f t="shared" si="67"/>
        <v>0</v>
      </c>
      <c r="TZ4" s="52">
        <f t="shared" si="67"/>
        <v>0</v>
      </c>
      <c r="UA4" s="52">
        <f t="shared" si="67"/>
        <v>0</v>
      </c>
      <c r="UB4" s="52">
        <f t="shared" si="67"/>
        <v>0</v>
      </c>
      <c r="UC4" s="52">
        <f t="shared" si="67"/>
        <v>0</v>
      </c>
      <c r="UD4" s="52">
        <f t="shared" si="67"/>
        <v>0</v>
      </c>
      <c r="UE4" s="52">
        <f t="shared" si="67"/>
        <v>0</v>
      </c>
      <c r="UF4" s="52">
        <f t="shared" si="67"/>
        <v>0</v>
      </c>
      <c r="UG4" s="52">
        <f t="shared" si="67"/>
        <v>0</v>
      </c>
      <c r="UH4" s="52">
        <f t="shared" si="67"/>
        <v>0</v>
      </c>
      <c r="UI4" s="52">
        <f t="shared" si="67"/>
        <v>0</v>
      </c>
      <c r="UJ4" s="52">
        <f t="shared" si="67"/>
        <v>0</v>
      </c>
      <c r="UK4" s="52">
        <f t="shared" si="67"/>
        <v>0</v>
      </c>
      <c r="UL4" s="52">
        <f t="shared" si="67"/>
        <v>0</v>
      </c>
      <c r="UM4" s="52">
        <f t="shared" si="67"/>
        <v>0</v>
      </c>
      <c r="UN4" s="52">
        <f t="shared" si="67"/>
        <v>0</v>
      </c>
      <c r="UO4" s="52">
        <f t="shared" si="67"/>
        <v>0</v>
      </c>
      <c r="UP4" s="52">
        <f t="shared" si="67"/>
        <v>0</v>
      </c>
      <c r="UQ4" s="52">
        <f t="shared" si="67"/>
        <v>0</v>
      </c>
      <c r="UR4" s="52">
        <f t="shared" si="67"/>
        <v>0</v>
      </c>
      <c r="US4" s="52">
        <f t="shared" ref="US4:XD4" si="68">SUBTOTAL(9,US6:US507)</f>
        <v>0</v>
      </c>
      <c r="UT4" s="52">
        <f t="shared" si="68"/>
        <v>0</v>
      </c>
      <c r="UU4" s="52">
        <f t="shared" si="68"/>
        <v>0</v>
      </c>
      <c r="UV4" s="52">
        <f t="shared" si="68"/>
        <v>0</v>
      </c>
      <c r="UW4" s="52">
        <f t="shared" si="68"/>
        <v>0</v>
      </c>
      <c r="UX4" s="52">
        <f t="shared" si="68"/>
        <v>0</v>
      </c>
      <c r="UY4" s="52">
        <f t="shared" si="68"/>
        <v>0</v>
      </c>
      <c r="UZ4" s="52">
        <f t="shared" si="68"/>
        <v>0</v>
      </c>
      <c r="VA4" s="52">
        <f t="shared" si="68"/>
        <v>0</v>
      </c>
      <c r="VB4" s="52">
        <f t="shared" si="68"/>
        <v>0</v>
      </c>
      <c r="VC4" s="52">
        <f t="shared" si="68"/>
        <v>0</v>
      </c>
      <c r="VD4" s="52">
        <f t="shared" si="68"/>
        <v>0</v>
      </c>
      <c r="VE4" s="52">
        <f t="shared" si="68"/>
        <v>0</v>
      </c>
      <c r="VF4" s="52">
        <f t="shared" si="68"/>
        <v>0</v>
      </c>
      <c r="VG4" s="52">
        <f t="shared" si="68"/>
        <v>0</v>
      </c>
      <c r="VH4" s="52">
        <f t="shared" si="68"/>
        <v>0</v>
      </c>
      <c r="VI4" s="52">
        <f t="shared" si="68"/>
        <v>0</v>
      </c>
      <c r="VJ4" s="52">
        <f t="shared" si="68"/>
        <v>0</v>
      </c>
      <c r="VK4" s="52">
        <f t="shared" si="68"/>
        <v>0</v>
      </c>
      <c r="VL4" s="52">
        <f t="shared" si="68"/>
        <v>0</v>
      </c>
      <c r="VM4" s="52">
        <f t="shared" si="68"/>
        <v>0</v>
      </c>
      <c r="VN4" s="52">
        <f t="shared" si="68"/>
        <v>0</v>
      </c>
      <c r="VO4" s="52">
        <f t="shared" si="68"/>
        <v>0</v>
      </c>
      <c r="VP4" s="52">
        <f t="shared" si="68"/>
        <v>0</v>
      </c>
      <c r="VQ4" s="52">
        <f t="shared" si="68"/>
        <v>0</v>
      </c>
      <c r="VR4" s="52">
        <f t="shared" si="68"/>
        <v>0</v>
      </c>
      <c r="VS4" s="52">
        <f t="shared" si="68"/>
        <v>0</v>
      </c>
      <c r="VT4" s="52">
        <f t="shared" si="68"/>
        <v>0</v>
      </c>
      <c r="VU4" s="52">
        <f t="shared" si="68"/>
        <v>0</v>
      </c>
      <c r="VV4" s="52">
        <f t="shared" si="68"/>
        <v>0</v>
      </c>
      <c r="VW4" s="52">
        <f t="shared" si="68"/>
        <v>0</v>
      </c>
      <c r="VX4" s="52">
        <f t="shared" si="68"/>
        <v>0</v>
      </c>
      <c r="VY4" s="52">
        <f t="shared" si="68"/>
        <v>0</v>
      </c>
      <c r="VZ4" s="52">
        <f t="shared" si="68"/>
        <v>0</v>
      </c>
      <c r="WA4" s="52">
        <f t="shared" si="68"/>
        <v>0</v>
      </c>
      <c r="WB4" s="52">
        <f t="shared" si="68"/>
        <v>0</v>
      </c>
      <c r="WC4" s="52">
        <f t="shared" si="68"/>
        <v>0</v>
      </c>
      <c r="WD4" s="52">
        <f t="shared" si="68"/>
        <v>0</v>
      </c>
      <c r="WE4" s="52">
        <f t="shared" si="68"/>
        <v>0</v>
      </c>
      <c r="WF4" s="52">
        <f t="shared" si="68"/>
        <v>0</v>
      </c>
      <c r="WG4" s="52">
        <f t="shared" si="68"/>
        <v>0</v>
      </c>
      <c r="WH4" s="52">
        <f t="shared" si="68"/>
        <v>0</v>
      </c>
      <c r="WI4" s="52">
        <f t="shared" si="68"/>
        <v>0</v>
      </c>
      <c r="WJ4" s="52">
        <f t="shared" si="68"/>
        <v>0</v>
      </c>
      <c r="WK4" s="52">
        <f t="shared" si="68"/>
        <v>0</v>
      </c>
      <c r="WL4" s="52">
        <f t="shared" si="68"/>
        <v>0</v>
      </c>
      <c r="WM4" s="52">
        <f t="shared" si="68"/>
        <v>0</v>
      </c>
      <c r="WN4" s="52">
        <f t="shared" si="68"/>
        <v>0</v>
      </c>
      <c r="WO4" s="52">
        <f t="shared" si="68"/>
        <v>0</v>
      </c>
      <c r="WP4" s="52">
        <f t="shared" si="68"/>
        <v>0</v>
      </c>
      <c r="WQ4" s="52">
        <f t="shared" si="68"/>
        <v>0</v>
      </c>
      <c r="WR4" s="52">
        <f t="shared" si="68"/>
        <v>0</v>
      </c>
      <c r="WS4" s="52">
        <f t="shared" si="68"/>
        <v>0</v>
      </c>
      <c r="WT4" s="52">
        <f t="shared" si="68"/>
        <v>0</v>
      </c>
      <c r="WU4" s="52">
        <f t="shared" si="68"/>
        <v>0</v>
      </c>
      <c r="WV4" s="52">
        <f t="shared" si="68"/>
        <v>0</v>
      </c>
      <c r="WW4" s="52">
        <f t="shared" si="68"/>
        <v>0</v>
      </c>
      <c r="WX4" s="52">
        <f t="shared" si="68"/>
        <v>0</v>
      </c>
      <c r="WY4" s="52">
        <f t="shared" si="68"/>
        <v>0</v>
      </c>
      <c r="WZ4" s="52">
        <f t="shared" si="68"/>
        <v>0</v>
      </c>
      <c r="XA4" s="52">
        <f t="shared" si="68"/>
        <v>0</v>
      </c>
      <c r="XB4" s="52">
        <f t="shared" si="68"/>
        <v>0</v>
      </c>
      <c r="XC4" s="52">
        <f t="shared" si="68"/>
        <v>0</v>
      </c>
      <c r="XD4" s="52">
        <f t="shared" si="68"/>
        <v>0</v>
      </c>
      <c r="XE4" s="52">
        <f t="shared" ref="XE4:ZP4" si="69">SUBTOTAL(9,XE6:XE507)</f>
        <v>0</v>
      </c>
      <c r="XF4" s="52">
        <f t="shared" si="69"/>
        <v>0</v>
      </c>
      <c r="XG4" s="52">
        <f t="shared" si="69"/>
        <v>0</v>
      </c>
      <c r="XH4" s="52">
        <f t="shared" si="69"/>
        <v>0</v>
      </c>
      <c r="XI4" s="52">
        <f t="shared" si="69"/>
        <v>0</v>
      </c>
      <c r="XJ4" s="52">
        <f t="shared" si="69"/>
        <v>0</v>
      </c>
      <c r="XK4" s="52">
        <f t="shared" si="69"/>
        <v>0</v>
      </c>
      <c r="XL4" s="52">
        <f t="shared" si="69"/>
        <v>0</v>
      </c>
      <c r="XM4" s="52">
        <f t="shared" si="69"/>
        <v>0</v>
      </c>
      <c r="XN4" s="52">
        <f t="shared" si="69"/>
        <v>0</v>
      </c>
      <c r="XO4" s="52">
        <f t="shared" si="69"/>
        <v>0</v>
      </c>
      <c r="XP4" s="52">
        <f t="shared" si="69"/>
        <v>0</v>
      </c>
      <c r="XQ4" s="52">
        <f t="shared" si="69"/>
        <v>0</v>
      </c>
      <c r="XR4" s="52">
        <f t="shared" si="69"/>
        <v>0</v>
      </c>
      <c r="XS4" s="52">
        <f t="shared" si="69"/>
        <v>0</v>
      </c>
      <c r="XT4" s="52">
        <f t="shared" si="69"/>
        <v>0</v>
      </c>
      <c r="XU4" s="52">
        <f t="shared" si="69"/>
        <v>0</v>
      </c>
      <c r="XV4" s="52">
        <f t="shared" si="69"/>
        <v>0</v>
      </c>
      <c r="XW4" s="52">
        <f t="shared" si="69"/>
        <v>0</v>
      </c>
      <c r="XX4" s="52">
        <f t="shared" si="69"/>
        <v>0</v>
      </c>
      <c r="XY4" s="52">
        <f t="shared" si="69"/>
        <v>0</v>
      </c>
      <c r="XZ4" s="52">
        <f t="shared" si="69"/>
        <v>0</v>
      </c>
      <c r="YA4" s="52">
        <f t="shared" si="69"/>
        <v>0</v>
      </c>
      <c r="YB4" s="52">
        <f t="shared" si="69"/>
        <v>0</v>
      </c>
      <c r="YC4" s="52">
        <f t="shared" si="69"/>
        <v>0</v>
      </c>
      <c r="YD4" s="52">
        <f t="shared" si="69"/>
        <v>0</v>
      </c>
      <c r="YE4" s="52">
        <f t="shared" si="69"/>
        <v>0</v>
      </c>
      <c r="YF4" s="52">
        <f t="shared" si="69"/>
        <v>0</v>
      </c>
      <c r="YG4" s="52">
        <f t="shared" si="69"/>
        <v>0</v>
      </c>
      <c r="YH4" s="52">
        <f t="shared" si="69"/>
        <v>0</v>
      </c>
      <c r="YI4" s="52">
        <f t="shared" si="69"/>
        <v>0</v>
      </c>
      <c r="YJ4" s="52">
        <f t="shared" si="69"/>
        <v>0</v>
      </c>
      <c r="YK4" s="52">
        <f t="shared" si="69"/>
        <v>0</v>
      </c>
      <c r="YL4" s="52">
        <f t="shared" si="69"/>
        <v>0</v>
      </c>
      <c r="YM4" s="52">
        <f t="shared" si="69"/>
        <v>0</v>
      </c>
      <c r="YN4" s="52">
        <f t="shared" si="69"/>
        <v>0</v>
      </c>
      <c r="YO4" s="52">
        <f t="shared" si="69"/>
        <v>0</v>
      </c>
      <c r="YP4" s="52">
        <f t="shared" si="69"/>
        <v>0</v>
      </c>
      <c r="YQ4" s="52">
        <f t="shared" si="69"/>
        <v>0</v>
      </c>
      <c r="YR4" s="52">
        <f t="shared" si="69"/>
        <v>0</v>
      </c>
      <c r="YS4" s="52">
        <f t="shared" si="69"/>
        <v>0</v>
      </c>
      <c r="YT4" s="52">
        <f t="shared" si="69"/>
        <v>0</v>
      </c>
      <c r="YU4" s="52">
        <f t="shared" si="69"/>
        <v>0</v>
      </c>
      <c r="YV4" s="52">
        <f t="shared" si="69"/>
        <v>0</v>
      </c>
      <c r="YW4" s="52">
        <f t="shared" si="69"/>
        <v>0</v>
      </c>
      <c r="YX4" s="52">
        <f t="shared" si="69"/>
        <v>0</v>
      </c>
      <c r="YY4" s="52">
        <f t="shared" si="69"/>
        <v>0</v>
      </c>
      <c r="YZ4" s="52">
        <f t="shared" si="69"/>
        <v>0</v>
      </c>
      <c r="ZA4" s="52">
        <f t="shared" si="69"/>
        <v>0</v>
      </c>
      <c r="ZB4" s="52">
        <f t="shared" si="69"/>
        <v>0</v>
      </c>
      <c r="ZC4" s="52">
        <f t="shared" si="69"/>
        <v>0</v>
      </c>
      <c r="ZD4" s="52">
        <f t="shared" si="69"/>
        <v>0</v>
      </c>
      <c r="ZE4" s="52">
        <f t="shared" si="69"/>
        <v>0</v>
      </c>
      <c r="ZF4" s="52">
        <f t="shared" si="69"/>
        <v>0</v>
      </c>
      <c r="ZG4" s="52">
        <f t="shared" si="69"/>
        <v>0</v>
      </c>
      <c r="ZH4" s="52">
        <f t="shared" si="69"/>
        <v>0</v>
      </c>
      <c r="ZI4" s="52">
        <f t="shared" si="69"/>
        <v>0</v>
      </c>
      <c r="ZJ4" s="52">
        <f t="shared" si="69"/>
        <v>0</v>
      </c>
      <c r="ZK4" s="52">
        <f t="shared" si="69"/>
        <v>0</v>
      </c>
      <c r="ZL4" s="52">
        <f t="shared" si="69"/>
        <v>0</v>
      </c>
      <c r="ZM4" s="52">
        <f t="shared" si="69"/>
        <v>0</v>
      </c>
      <c r="ZN4" s="52">
        <f t="shared" si="69"/>
        <v>0</v>
      </c>
      <c r="ZO4" s="52">
        <f t="shared" si="69"/>
        <v>0</v>
      </c>
      <c r="ZP4" s="52">
        <f t="shared" si="69"/>
        <v>0</v>
      </c>
      <c r="ZQ4" s="52">
        <f t="shared" ref="ZQ4:ACB4" si="70">SUBTOTAL(9,ZQ6:ZQ507)</f>
        <v>0</v>
      </c>
      <c r="ZR4" s="52">
        <f t="shared" si="70"/>
        <v>0</v>
      </c>
      <c r="ZS4" s="52">
        <f t="shared" si="70"/>
        <v>0</v>
      </c>
      <c r="ZT4" s="52">
        <f t="shared" si="70"/>
        <v>0</v>
      </c>
      <c r="ZU4" s="52">
        <f t="shared" si="70"/>
        <v>0</v>
      </c>
      <c r="ZV4" s="52">
        <f t="shared" si="70"/>
        <v>0</v>
      </c>
      <c r="ZW4" s="52">
        <f t="shared" si="70"/>
        <v>0</v>
      </c>
      <c r="ZX4" s="52">
        <f t="shared" si="70"/>
        <v>0</v>
      </c>
      <c r="ZY4" s="52">
        <f t="shared" si="70"/>
        <v>0</v>
      </c>
      <c r="ZZ4" s="52">
        <f t="shared" si="70"/>
        <v>0</v>
      </c>
      <c r="AAA4" s="52">
        <f t="shared" si="70"/>
        <v>0</v>
      </c>
      <c r="AAB4" s="52">
        <f t="shared" si="70"/>
        <v>0</v>
      </c>
      <c r="AAC4" s="52">
        <f t="shared" si="70"/>
        <v>0</v>
      </c>
      <c r="AAD4" s="52">
        <f t="shared" si="70"/>
        <v>0</v>
      </c>
      <c r="AAE4" s="52">
        <f t="shared" si="70"/>
        <v>0</v>
      </c>
      <c r="AAF4" s="52">
        <f t="shared" si="70"/>
        <v>0</v>
      </c>
      <c r="AAG4" s="52">
        <f t="shared" si="70"/>
        <v>0</v>
      </c>
      <c r="AAH4" s="52">
        <f t="shared" si="70"/>
        <v>0</v>
      </c>
      <c r="AAI4" s="52">
        <f t="shared" si="70"/>
        <v>0</v>
      </c>
      <c r="AAJ4" s="52">
        <f t="shared" si="70"/>
        <v>0</v>
      </c>
      <c r="AAK4" s="52">
        <f t="shared" si="70"/>
        <v>0</v>
      </c>
      <c r="AAL4" s="52">
        <f t="shared" si="70"/>
        <v>0</v>
      </c>
      <c r="AAM4" s="52">
        <f t="shared" si="70"/>
        <v>0</v>
      </c>
      <c r="AAN4" s="52">
        <f t="shared" si="70"/>
        <v>0</v>
      </c>
      <c r="AAO4" s="52">
        <f t="shared" si="70"/>
        <v>0</v>
      </c>
      <c r="AAP4" s="52">
        <f t="shared" si="70"/>
        <v>0</v>
      </c>
      <c r="AAQ4" s="52">
        <f t="shared" si="70"/>
        <v>0</v>
      </c>
      <c r="AAR4" s="52">
        <f t="shared" si="70"/>
        <v>0</v>
      </c>
      <c r="AAS4" s="52">
        <f t="shared" si="70"/>
        <v>0</v>
      </c>
      <c r="AAT4" s="52">
        <f t="shared" si="70"/>
        <v>0</v>
      </c>
      <c r="AAU4" s="52">
        <f t="shared" si="70"/>
        <v>0</v>
      </c>
      <c r="AAV4" s="52">
        <f t="shared" si="70"/>
        <v>0</v>
      </c>
      <c r="AAW4" s="52">
        <f t="shared" si="70"/>
        <v>0</v>
      </c>
      <c r="AAX4" s="52">
        <f t="shared" si="70"/>
        <v>0</v>
      </c>
      <c r="AAY4" s="52">
        <f t="shared" si="70"/>
        <v>0</v>
      </c>
      <c r="AAZ4" s="52">
        <f t="shared" si="70"/>
        <v>0</v>
      </c>
      <c r="ABA4" s="52">
        <f t="shared" si="70"/>
        <v>0</v>
      </c>
      <c r="ABB4" s="52">
        <f t="shared" si="70"/>
        <v>0</v>
      </c>
      <c r="ABC4" s="52">
        <f t="shared" si="70"/>
        <v>0</v>
      </c>
      <c r="ABD4" s="52">
        <f t="shared" si="70"/>
        <v>0</v>
      </c>
      <c r="ABE4" s="52">
        <f t="shared" si="70"/>
        <v>0</v>
      </c>
      <c r="ABF4" s="52">
        <f t="shared" si="70"/>
        <v>0</v>
      </c>
      <c r="ABG4" s="52">
        <f t="shared" si="70"/>
        <v>0</v>
      </c>
      <c r="ABH4" s="52">
        <f t="shared" si="70"/>
        <v>0</v>
      </c>
      <c r="ABI4" s="52">
        <f t="shared" si="70"/>
        <v>0</v>
      </c>
      <c r="ABJ4" s="52">
        <f t="shared" si="70"/>
        <v>0</v>
      </c>
      <c r="ABK4" s="52">
        <f t="shared" si="70"/>
        <v>0</v>
      </c>
      <c r="ABL4" s="52">
        <f t="shared" si="70"/>
        <v>0</v>
      </c>
      <c r="ABM4" s="52">
        <f t="shared" si="70"/>
        <v>0</v>
      </c>
      <c r="ABN4" s="52">
        <f t="shared" si="70"/>
        <v>0</v>
      </c>
      <c r="ABO4" s="52">
        <f t="shared" si="70"/>
        <v>0</v>
      </c>
      <c r="ABP4" s="52">
        <f t="shared" si="70"/>
        <v>0</v>
      </c>
      <c r="ABQ4" s="52">
        <f t="shared" si="70"/>
        <v>0</v>
      </c>
      <c r="ABR4" s="52">
        <f t="shared" si="70"/>
        <v>0</v>
      </c>
      <c r="ABS4" s="52">
        <f t="shared" si="70"/>
        <v>0</v>
      </c>
      <c r="ABT4" s="52">
        <f t="shared" si="70"/>
        <v>0</v>
      </c>
      <c r="ABU4" s="52">
        <f t="shared" si="70"/>
        <v>0</v>
      </c>
      <c r="ABV4" s="52">
        <f t="shared" si="70"/>
        <v>0</v>
      </c>
      <c r="ABW4" s="52">
        <f t="shared" si="70"/>
        <v>0</v>
      </c>
      <c r="ABX4" s="52">
        <f t="shared" si="70"/>
        <v>0</v>
      </c>
      <c r="ABY4" s="52">
        <f t="shared" si="70"/>
        <v>0</v>
      </c>
      <c r="ABZ4" s="52">
        <f t="shared" si="70"/>
        <v>0</v>
      </c>
      <c r="ACA4" s="52">
        <f t="shared" si="70"/>
        <v>0</v>
      </c>
      <c r="ACB4" s="52">
        <f t="shared" si="70"/>
        <v>0</v>
      </c>
      <c r="ACC4" s="52">
        <f t="shared" ref="ACC4:AEN4" si="71">SUBTOTAL(9,ACC6:ACC507)</f>
        <v>0</v>
      </c>
      <c r="ACD4" s="52">
        <f t="shared" si="71"/>
        <v>0</v>
      </c>
      <c r="ACE4" s="52">
        <f t="shared" si="71"/>
        <v>0</v>
      </c>
      <c r="ACF4" s="52">
        <f t="shared" si="71"/>
        <v>0</v>
      </c>
      <c r="ACG4" s="52">
        <f t="shared" si="71"/>
        <v>0</v>
      </c>
      <c r="ACH4" s="52">
        <f t="shared" si="71"/>
        <v>0</v>
      </c>
      <c r="ACI4" s="52">
        <f t="shared" si="71"/>
        <v>0</v>
      </c>
      <c r="ACJ4" s="52">
        <f t="shared" si="71"/>
        <v>0</v>
      </c>
      <c r="ACK4" s="52">
        <f t="shared" si="71"/>
        <v>0</v>
      </c>
      <c r="ACL4" s="52">
        <f t="shared" si="71"/>
        <v>0</v>
      </c>
      <c r="ACM4" s="52">
        <f t="shared" si="71"/>
        <v>0</v>
      </c>
      <c r="ACN4" s="52">
        <f t="shared" si="71"/>
        <v>0</v>
      </c>
      <c r="ACO4" s="52">
        <f t="shared" si="71"/>
        <v>0</v>
      </c>
      <c r="ACP4" s="52">
        <f t="shared" si="71"/>
        <v>0</v>
      </c>
      <c r="ACQ4" s="52">
        <f t="shared" si="71"/>
        <v>0</v>
      </c>
      <c r="ACR4" s="52">
        <f t="shared" si="71"/>
        <v>0</v>
      </c>
      <c r="ACS4" s="52">
        <f t="shared" si="71"/>
        <v>0</v>
      </c>
      <c r="ACT4" s="52">
        <f t="shared" si="71"/>
        <v>0</v>
      </c>
      <c r="ACU4" s="52">
        <f t="shared" si="71"/>
        <v>0</v>
      </c>
      <c r="ACV4" s="52">
        <f t="shared" si="71"/>
        <v>0</v>
      </c>
      <c r="ACW4" s="52">
        <f t="shared" si="71"/>
        <v>0</v>
      </c>
      <c r="ACX4" s="52">
        <f t="shared" si="71"/>
        <v>0</v>
      </c>
      <c r="ACY4" s="52">
        <f t="shared" si="71"/>
        <v>0</v>
      </c>
      <c r="ACZ4" s="52">
        <f t="shared" si="71"/>
        <v>0</v>
      </c>
      <c r="ADA4" s="52">
        <f t="shared" si="71"/>
        <v>0</v>
      </c>
      <c r="ADB4" s="52">
        <f t="shared" si="71"/>
        <v>0</v>
      </c>
      <c r="ADC4" s="52">
        <f t="shared" si="71"/>
        <v>0</v>
      </c>
      <c r="ADD4" s="52">
        <f t="shared" si="71"/>
        <v>0</v>
      </c>
      <c r="ADE4" s="52">
        <f t="shared" si="71"/>
        <v>0</v>
      </c>
      <c r="ADF4" s="52">
        <f t="shared" si="71"/>
        <v>0</v>
      </c>
      <c r="ADG4" s="52">
        <f t="shared" si="71"/>
        <v>0</v>
      </c>
      <c r="ADH4" s="52">
        <f t="shared" si="71"/>
        <v>0</v>
      </c>
      <c r="ADI4" s="52">
        <f t="shared" si="71"/>
        <v>0</v>
      </c>
      <c r="ADJ4" s="52">
        <f t="shared" si="71"/>
        <v>0</v>
      </c>
      <c r="ADK4" s="52">
        <f t="shared" si="71"/>
        <v>0</v>
      </c>
      <c r="ADL4" s="52">
        <f t="shared" si="71"/>
        <v>0</v>
      </c>
      <c r="ADM4" s="52">
        <f t="shared" si="71"/>
        <v>0</v>
      </c>
      <c r="ADN4" s="52">
        <f t="shared" si="71"/>
        <v>0</v>
      </c>
      <c r="ADO4" s="52">
        <f t="shared" si="71"/>
        <v>0</v>
      </c>
      <c r="ADP4" s="52">
        <f t="shared" si="71"/>
        <v>0</v>
      </c>
      <c r="ADQ4" s="52">
        <f t="shared" si="71"/>
        <v>0</v>
      </c>
      <c r="ADR4" s="52">
        <f t="shared" si="71"/>
        <v>0</v>
      </c>
      <c r="ADS4" s="52">
        <f t="shared" si="71"/>
        <v>0</v>
      </c>
      <c r="ADT4" s="52">
        <f t="shared" si="71"/>
        <v>0</v>
      </c>
      <c r="ADU4" s="52">
        <f t="shared" si="71"/>
        <v>0</v>
      </c>
      <c r="ADV4" s="52">
        <f t="shared" si="71"/>
        <v>0</v>
      </c>
      <c r="ADW4" s="52">
        <f t="shared" si="71"/>
        <v>0</v>
      </c>
      <c r="ADX4" s="52">
        <f t="shared" si="71"/>
        <v>0</v>
      </c>
      <c r="ADY4" s="52">
        <f t="shared" si="71"/>
        <v>0</v>
      </c>
      <c r="ADZ4" s="52">
        <f t="shared" si="71"/>
        <v>0</v>
      </c>
      <c r="AEA4" s="52">
        <f t="shared" si="71"/>
        <v>0</v>
      </c>
      <c r="AEB4" s="52">
        <f t="shared" si="71"/>
        <v>0</v>
      </c>
      <c r="AEC4" s="52">
        <f t="shared" si="71"/>
        <v>0</v>
      </c>
      <c r="AED4" s="52">
        <f t="shared" si="71"/>
        <v>0</v>
      </c>
      <c r="AEE4" s="52">
        <f t="shared" si="71"/>
        <v>0</v>
      </c>
      <c r="AEF4" s="52">
        <f t="shared" si="71"/>
        <v>0</v>
      </c>
      <c r="AEG4" s="52">
        <f t="shared" si="71"/>
        <v>0</v>
      </c>
      <c r="AEH4" s="52">
        <f t="shared" si="71"/>
        <v>0</v>
      </c>
      <c r="AEI4" s="52">
        <f t="shared" si="71"/>
        <v>0</v>
      </c>
      <c r="AEJ4" s="52">
        <f t="shared" si="71"/>
        <v>0</v>
      </c>
      <c r="AEK4" s="52">
        <f t="shared" si="71"/>
        <v>0</v>
      </c>
      <c r="AEL4" s="52">
        <f t="shared" si="71"/>
        <v>0</v>
      </c>
      <c r="AEM4" s="52">
        <f t="shared" si="71"/>
        <v>0</v>
      </c>
      <c r="AEN4" s="52">
        <f t="shared" si="71"/>
        <v>0</v>
      </c>
      <c r="AEO4" s="52">
        <f t="shared" ref="AEO4:AGZ4" si="72">SUBTOTAL(9,AEO6:AEO507)</f>
        <v>0</v>
      </c>
      <c r="AEP4" s="52">
        <f t="shared" si="72"/>
        <v>0</v>
      </c>
      <c r="AEQ4" s="52">
        <f t="shared" si="72"/>
        <v>0</v>
      </c>
      <c r="AER4" s="52">
        <f t="shared" si="72"/>
        <v>0</v>
      </c>
      <c r="AES4" s="52">
        <f t="shared" si="72"/>
        <v>0</v>
      </c>
      <c r="AET4" s="52">
        <f t="shared" si="72"/>
        <v>0</v>
      </c>
      <c r="AEU4" s="52">
        <f t="shared" si="72"/>
        <v>0</v>
      </c>
      <c r="AEV4" s="52">
        <f t="shared" si="72"/>
        <v>0</v>
      </c>
      <c r="AEW4" s="52">
        <f t="shared" si="72"/>
        <v>0</v>
      </c>
      <c r="AEX4" s="52">
        <f t="shared" si="72"/>
        <v>0</v>
      </c>
      <c r="AEY4" s="52">
        <f t="shared" si="72"/>
        <v>0</v>
      </c>
      <c r="AEZ4" s="52">
        <f t="shared" si="72"/>
        <v>0</v>
      </c>
      <c r="AFA4" s="52">
        <f t="shared" si="72"/>
        <v>0</v>
      </c>
      <c r="AFB4" s="52">
        <f t="shared" si="72"/>
        <v>0</v>
      </c>
      <c r="AFC4" s="52">
        <f t="shared" si="72"/>
        <v>0</v>
      </c>
      <c r="AFD4" s="52">
        <f t="shared" si="72"/>
        <v>0</v>
      </c>
      <c r="AFE4" s="52">
        <f t="shared" si="72"/>
        <v>0</v>
      </c>
      <c r="AFF4" s="52">
        <f t="shared" si="72"/>
        <v>0</v>
      </c>
      <c r="AFG4" s="52">
        <f t="shared" si="72"/>
        <v>0</v>
      </c>
      <c r="AFH4" s="52">
        <f t="shared" si="72"/>
        <v>0</v>
      </c>
      <c r="AFI4" s="52">
        <f t="shared" si="72"/>
        <v>0</v>
      </c>
      <c r="AFJ4" s="52">
        <f t="shared" si="72"/>
        <v>0</v>
      </c>
      <c r="AFK4" s="52">
        <f t="shared" si="72"/>
        <v>0</v>
      </c>
      <c r="AFL4" s="52">
        <f t="shared" si="72"/>
        <v>0</v>
      </c>
      <c r="AFM4" s="52">
        <f t="shared" si="72"/>
        <v>0</v>
      </c>
      <c r="AFN4" s="52">
        <f t="shared" si="72"/>
        <v>0</v>
      </c>
      <c r="AFO4" s="52">
        <f t="shared" si="72"/>
        <v>0</v>
      </c>
      <c r="AFP4" s="52">
        <f t="shared" si="72"/>
        <v>0</v>
      </c>
      <c r="AFQ4" s="52">
        <f t="shared" si="72"/>
        <v>0</v>
      </c>
      <c r="AFR4" s="52">
        <f t="shared" si="72"/>
        <v>0</v>
      </c>
      <c r="AFS4" s="52">
        <f t="shared" si="72"/>
        <v>0</v>
      </c>
      <c r="AFT4" s="52">
        <f t="shared" si="72"/>
        <v>0</v>
      </c>
      <c r="AFU4" s="52">
        <f t="shared" si="72"/>
        <v>0</v>
      </c>
      <c r="AFV4" s="52">
        <f t="shared" si="72"/>
        <v>0</v>
      </c>
      <c r="AFW4" s="52">
        <f t="shared" si="72"/>
        <v>0</v>
      </c>
      <c r="AFX4" s="52">
        <f t="shared" si="72"/>
        <v>0</v>
      </c>
      <c r="AFY4" s="52">
        <f t="shared" si="72"/>
        <v>0</v>
      </c>
      <c r="AFZ4" s="52">
        <f t="shared" si="72"/>
        <v>0</v>
      </c>
      <c r="AGA4" s="52">
        <f t="shared" si="72"/>
        <v>0</v>
      </c>
      <c r="AGB4" s="52">
        <f t="shared" si="72"/>
        <v>0</v>
      </c>
      <c r="AGC4" s="52">
        <f t="shared" si="72"/>
        <v>0</v>
      </c>
      <c r="AGD4" s="52">
        <f t="shared" si="72"/>
        <v>0</v>
      </c>
      <c r="AGE4" s="52">
        <f t="shared" si="72"/>
        <v>0</v>
      </c>
      <c r="AGF4" s="52">
        <f t="shared" si="72"/>
        <v>0</v>
      </c>
      <c r="AGG4" s="52">
        <f t="shared" si="72"/>
        <v>0</v>
      </c>
      <c r="AGH4" s="52">
        <f t="shared" si="72"/>
        <v>0</v>
      </c>
      <c r="AGI4" s="52">
        <f t="shared" si="72"/>
        <v>0</v>
      </c>
      <c r="AGJ4" s="52">
        <f t="shared" si="72"/>
        <v>0</v>
      </c>
      <c r="AGK4" s="52">
        <f t="shared" si="72"/>
        <v>0</v>
      </c>
      <c r="AGL4" s="52">
        <f t="shared" si="72"/>
        <v>0</v>
      </c>
      <c r="AGM4" s="52">
        <f t="shared" si="72"/>
        <v>0</v>
      </c>
      <c r="AGN4" s="52">
        <f t="shared" si="72"/>
        <v>0</v>
      </c>
      <c r="AGO4" s="52">
        <f t="shared" si="72"/>
        <v>0</v>
      </c>
      <c r="AGP4" s="52">
        <f t="shared" si="72"/>
        <v>0</v>
      </c>
      <c r="AGQ4" s="52">
        <f t="shared" si="72"/>
        <v>0</v>
      </c>
      <c r="AGR4" s="52">
        <f t="shared" si="72"/>
        <v>0</v>
      </c>
      <c r="AGS4" s="52">
        <f t="shared" si="72"/>
        <v>0</v>
      </c>
      <c r="AGT4" s="52">
        <f t="shared" si="72"/>
        <v>0</v>
      </c>
      <c r="AGU4" s="52">
        <f t="shared" si="72"/>
        <v>0</v>
      </c>
      <c r="AGV4" s="52">
        <f t="shared" si="72"/>
        <v>0</v>
      </c>
      <c r="AGW4" s="52">
        <f t="shared" si="72"/>
        <v>0</v>
      </c>
      <c r="AGX4" s="52">
        <f t="shared" si="72"/>
        <v>0</v>
      </c>
      <c r="AGY4" s="52">
        <f t="shared" si="72"/>
        <v>0</v>
      </c>
      <c r="AGZ4" s="52">
        <f t="shared" si="72"/>
        <v>0</v>
      </c>
      <c r="AHA4" s="52">
        <f t="shared" ref="AHA4:AJL4" si="73">SUBTOTAL(9,AHA6:AHA507)</f>
        <v>0</v>
      </c>
      <c r="AHB4" s="52">
        <f t="shared" si="73"/>
        <v>0</v>
      </c>
      <c r="AHC4" s="52">
        <f t="shared" si="73"/>
        <v>0</v>
      </c>
      <c r="AHD4" s="52">
        <f t="shared" si="73"/>
        <v>0</v>
      </c>
      <c r="AHE4" s="52">
        <f t="shared" si="73"/>
        <v>0</v>
      </c>
      <c r="AHF4" s="52">
        <f t="shared" si="73"/>
        <v>0</v>
      </c>
      <c r="AHG4" s="52">
        <f t="shared" si="73"/>
        <v>0</v>
      </c>
      <c r="AHH4" s="52">
        <f t="shared" si="73"/>
        <v>0</v>
      </c>
      <c r="AHI4" s="52">
        <f t="shared" si="73"/>
        <v>0</v>
      </c>
      <c r="AHJ4" s="52">
        <f t="shared" si="73"/>
        <v>0</v>
      </c>
      <c r="AHK4" s="52">
        <f t="shared" si="73"/>
        <v>0</v>
      </c>
      <c r="AHL4" s="52">
        <f t="shared" si="73"/>
        <v>0</v>
      </c>
      <c r="AHM4" s="52">
        <f t="shared" si="73"/>
        <v>0</v>
      </c>
      <c r="AHN4" s="52">
        <f t="shared" si="73"/>
        <v>0</v>
      </c>
      <c r="AHO4" s="52">
        <f t="shared" si="73"/>
        <v>0</v>
      </c>
      <c r="AHP4" s="52">
        <f t="shared" si="73"/>
        <v>0</v>
      </c>
      <c r="AHQ4" s="52">
        <f t="shared" si="73"/>
        <v>0</v>
      </c>
      <c r="AHR4" s="52">
        <f t="shared" si="73"/>
        <v>0</v>
      </c>
      <c r="AHS4" s="52">
        <f t="shared" si="73"/>
        <v>0</v>
      </c>
      <c r="AHT4" s="52">
        <f t="shared" si="73"/>
        <v>0</v>
      </c>
      <c r="AHU4" s="52">
        <f t="shared" si="73"/>
        <v>0</v>
      </c>
      <c r="AHV4" s="52">
        <f t="shared" si="73"/>
        <v>0</v>
      </c>
      <c r="AHW4" s="52">
        <f t="shared" si="73"/>
        <v>0</v>
      </c>
      <c r="AHX4" s="52">
        <f t="shared" si="73"/>
        <v>0</v>
      </c>
      <c r="AHY4" s="52">
        <f t="shared" si="73"/>
        <v>0</v>
      </c>
      <c r="AHZ4" s="52">
        <f t="shared" si="73"/>
        <v>0</v>
      </c>
      <c r="AIA4" s="52">
        <f t="shared" si="73"/>
        <v>0</v>
      </c>
      <c r="AIB4" s="52">
        <f t="shared" si="73"/>
        <v>0</v>
      </c>
      <c r="AIC4" s="52">
        <f t="shared" si="73"/>
        <v>0</v>
      </c>
      <c r="AID4" s="52">
        <f t="shared" si="73"/>
        <v>0</v>
      </c>
      <c r="AIE4" s="52">
        <f t="shared" si="73"/>
        <v>0</v>
      </c>
      <c r="AIF4" s="52">
        <f t="shared" si="73"/>
        <v>0</v>
      </c>
      <c r="AIG4" s="52">
        <f t="shared" si="73"/>
        <v>0</v>
      </c>
      <c r="AIH4" s="52">
        <f t="shared" si="73"/>
        <v>0</v>
      </c>
      <c r="AII4" s="52">
        <f t="shared" si="73"/>
        <v>0</v>
      </c>
      <c r="AIJ4" s="52">
        <f t="shared" si="73"/>
        <v>0</v>
      </c>
      <c r="AIK4" s="52">
        <f t="shared" si="73"/>
        <v>0</v>
      </c>
      <c r="AIL4" s="52">
        <f t="shared" si="73"/>
        <v>0</v>
      </c>
      <c r="AIM4" s="52">
        <f t="shared" si="73"/>
        <v>0</v>
      </c>
      <c r="AIN4" s="52">
        <f t="shared" si="73"/>
        <v>0</v>
      </c>
      <c r="AIO4" s="52">
        <f t="shared" si="73"/>
        <v>0</v>
      </c>
      <c r="AIP4" s="52">
        <f t="shared" si="73"/>
        <v>0</v>
      </c>
      <c r="AIQ4" s="52">
        <f t="shared" si="73"/>
        <v>0</v>
      </c>
      <c r="AIR4" s="52">
        <f t="shared" si="73"/>
        <v>0</v>
      </c>
      <c r="AIS4" s="52">
        <f t="shared" si="73"/>
        <v>0</v>
      </c>
      <c r="AIT4" s="52">
        <f t="shared" si="73"/>
        <v>0</v>
      </c>
      <c r="AIU4" s="52">
        <f t="shared" si="73"/>
        <v>0</v>
      </c>
      <c r="AIV4" s="52">
        <f t="shared" si="73"/>
        <v>0</v>
      </c>
      <c r="AIW4" s="52">
        <f t="shared" si="73"/>
        <v>0</v>
      </c>
      <c r="AIX4" s="52">
        <f t="shared" si="73"/>
        <v>0</v>
      </c>
      <c r="AIY4" s="52">
        <f t="shared" si="73"/>
        <v>0</v>
      </c>
      <c r="AIZ4" s="52">
        <f t="shared" si="73"/>
        <v>0</v>
      </c>
      <c r="AJA4" s="52">
        <f t="shared" si="73"/>
        <v>0</v>
      </c>
      <c r="AJB4" s="52">
        <f t="shared" si="73"/>
        <v>0</v>
      </c>
      <c r="AJC4" s="52">
        <f t="shared" si="73"/>
        <v>0</v>
      </c>
      <c r="AJD4" s="52">
        <f t="shared" si="73"/>
        <v>0</v>
      </c>
      <c r="AJE4" s="52">
        <f t="shared" si="73"/>
        <v>0</v>
      </c>
      <c r="AJF4" s="52">
        <f t="shared" si="73"/>
        <v>0</v>
      </c>
      <c r="AJG4" s="52">
        <f t="shared" si="73"/>
        <v>0</v>
      </c>
      <c r="AJH4" s="52">
        <f t="shared" si="73"/>
        <v>0</v>
      </c>
      <c r="AJI4" s="52">
        <f t="shared" si="73"/>
        <v>0</v>
      </c>
      <c r="AJJ4" s="52">
        <f t="shared" si="73"/>
        <v>0</v>
      </c>
      <c r="AJK4" s="52">
        <f t="shared" si="73"/>
        <v>0</v>
      </c>
      <c r="AJL4" s="52">
        <f t="shared" si="73"/>
        <v>0</v>
      </c>
      <c r="AJM4" s="52">
        <f t="shared" ref="AJM4:ALX4" si="74">SUBTOTAL(9,AJM6:AJM507)</f>
        <v>0</v>
      </c>
      <c r="AJN4" s="52">
        <f t="shared" si="74"/>
        <v>0</v>
      </c>
      <c r="AJO4" s="52">
        <f t="shared" si="74"/>
        <v>0</v>
      </c>
      <c r="AJP4" s="52">
        <f t="shared" si="74"/>
        <v>0</v>
      </c>
      <c r="AJQ4" s="52">
        <f t="shared" si="74"/>
        <v>0</v>
      </c>
      <c r="AJR4" s="52">
        <f t="shared" si="74"/>
        <v>0</v>
      </c>
      <c r="AJS4" s="52">
        <f t="shared" si="74"/>
        <v>0</v>
      </c>
      <c r="AJT4" s="52">
        <f t="shared" si="74"/>
        <v>0</v>
      </c>
      <c r="AJU4" s="52">
        <f t="shared" si="74"/>
        <v>0</v>
      </c>
      <c r="AJV4" s="52">
        <f t="shared" si="74"/>
        <v>0</v>
      </c>
      <c r="AJW4" s="52">
        <f t="shared" si="74"/>
        <v>0</v>
      </c>
      <c r="AJX4" s="52">
        <f t="shared" si="74"/>
        <v>0</v>
      </c>
      <c r="AJY4" s="52">
        <f t="shared" si="74"/>
        <v>0</v>
      </c>
      <c r="AJZ4" s="52">
        <f t="shared" si="74"/>
        <v>0</v>
      </c>
      <c r="AKA4" s="52">
        <f t="shared" si="74"/>
        <v>0</v>
      </c>
      <c r="AKB4" s="52">
        <f t="shared" si="74"/>
        <v>0</v>
      </c>
      <c r="AKC4" s="52">
        <f t="shared" si="74"/>
        <v>0</v>
      </c>
      <c r="AKD4" s="52">
        <f t="shared" si="74"/>
        <v>0</v>
      </c>
      <c r="AKE4" s="52">
        <f t="shared" si="74"/>
        <v>0</v>
      </c>
      <c r="AKF4" s="52">
        <f t="shared" si="74"/>
        <v>0</v>
      </c>
      <c r="AKG4" s="52">
        <f t="shared" si="74"/>
        <v>0</v>
      </c>
      <c r="AKH4" s="52">
        <f t="shared" si="74"/>
        <v>0</v>
      </c>
      <c r="AKI4" s="52">
        <f t="shared" si="74"/>
        <v>0</v>
      </c>
      <c r="AKJ4" s="52">
        <f t="shared" si="74"/>
        <v>0</v>
      </c>
      <c r="AKK4" s="52">
        <f t="shared" si="74"/>
        <v>0</v>
      </c>
      <c r="AKL4" s="52">
        <f t="shared" si="74"/>
        <v>0</v>
      </c>
      <c r="AKM4" s="52">
        <f t="shared" si="74"/>
        <v>0</v>
      </c>
      <c r="AKN4" s="52">
        <f t="shared" si="74"/>
        <v>0</v>
      </c>
      <c r="AKO4" s="52">
        <f t="shared" si="74"/>
        <v>0</v>
      </c>
      <c r="AKP4" s="52">
        <f t="shared" si="74"/>
        <v>0</v>
      </c>
      <c r="AKQ4" s="52">
        <f t="shared" si="74"/>
        <v>0</v>
      </c>
      <c r="AKR4" s="52">
        <f t="shared" si="74"/>
        <v>0</v>
      </c>
      <c r="AKS4" s="52">
        <f t="shared" si="74"/>
        <v>0</v>
      </c>
      <c r="AKT4" s="52">
        <f t="shared" si="74"/>
        <v>0</v>
      </c>
      <c r="AKU4" s="52">
        <f t="shared" si="74"/>
        <v>0</v>
      </c>
      <c r="AKV4" s="52">
        <f t="shared" si="74"/>
        <v>0</v>
      </c>
      <c r="AKW4" s="52">
        <f t="shared" si="74"/>
        <v>0</v>
      </c>
      <c r="AKX4" s="52">
        <f t="shared" si="74"/>
        <v>0</v>
      </c>
      <c r="AKY4" s="52">
        <f t="shared" si="74"/>
        <v>0</v>
      </c>
      <c r="AKZ4" s="52">
        <f t="shared" si="74"/>
        <v>0</v>
      </c>
      <c r="ALA4" s="52">
        <f t="shared" si="74"/>
        <v>0</v>
      </c>
      <c r="ALB4" s="52">
        <f t="shared" si="74"/>
        <v>0</v>
      </c>
      <c r="ALC4" s="52">
        <f t="shared" si="74"/>
        <v>0</v>
      </c>
      <c r="ALD4" s="52">
        <f t="shared" si="74"/>
        <v>0</v>
      </c>
      <c r="ALE4" s="52">
        <f t="shared" si="74"/>
        <v>0</v>
      </c>
      <c r="ALF4" s="52">
        <f t="shared" si="74"/>
        <v>0</v>
      </c>
      <c r="ALG4" s="52">
        <f t="shared" si="74"/>
        <v>0</v>
      </c>
      <c r="ALH4" s="52">
        <f t="shared" si="74"/>
        <v>0</v>
      </c>
      <c r="ALI4" s="52">
        <f t="shared" si="74"/>
        <v>0</v>
      </c>
      <c r="ALJ4" s="52">
        <f t="shared" si="74"/>
        <v>0</v>
      </c>
      <c r="ALK4" s="52">
        <f t="shared" si="74"/>
        <v>0</v>
      </c>
      <c r="ALL4" s="52">
        <f t="shared" si="74"/>
        <v>0</v>
      </c>
      <c r="ALM4" s="52">
        <f t="shared" si="74"/>
        <v>0</v>
      </c>
      <c r="ALN4" s="52">
        <f t="shared" si="74"/>
        <v>0</v>
      </c>
      <c r="ALO4" s="52">
        <f t="shared" si="74"/>
        <v>0</v>
      </c>
      <c r="ALP4" s="52">
        <f t="shared" si="74"/>
        <v>0</v>
      </c>
      <c r="ALQ4" s="52">
        <f t="shared" si="74"/>
        <v>0</v>
      </c>
      <c r="ALR4" s="52">
        <f t="shared" si="74"/>
        <v>0</v>
      </c>
      <c r="ALS4" s="52">
        <f t="shared" si="74"/>
        <v>0</v>
      </c>
      <c r="ALT4" s="52">
        <f t="shared" si="74"/>
        <v>0</v>
      </c>
      <c r="ALU4" s="52">
        <f t="shared" si="74"/>
        <v>0</v>
      </c>
      <c r="ALV4" s="52">
        <f t="shared" si="74"/>
        <v>0</v>
      </c>
      <c r="ALW4" s="52">
        <f t="shared" si="74"/>
        <v>0</v>
      </c>
      <c r="ALX4" s="52">
        <f t="shared" si="74"/>
        <v>0</v>
      </c>
      <c r="ALY4" s="52">
        <f t="shared" ref="ALY4:AOJ4" si="75">SUBTOTAL(9,ALY6:ALY507)</f>
        <v>0</v>
      </c>
      <c r="ALZ4" s="52">
        <f t="shared" si="75"/>
        <v>0</v>
      </c>
      <c r="AMA4" s="52">
        <f t="shared" si="75"/>
        <v>0</v>
      </c>
      <c r="AMB4" s="52">
        <f t="shared" si="75"/>
        <v>0</v>
      </c>
      <c r="AMC4" s="52">
        <f t="shared" si="75"/>
        <v>0</v>
      </c>
      <c r="AMD4" s="52">
        <f t="shared" si="75"/>
        <v>0</v>
      </c>
      <c r="AME4" s="52">
        <f t="shared" si="75"/>
        <v>0</v>
      </c>
      <c r="AMF4" s="52">
        <f t="shared" si="75"/>
        <v>0</v>
      </c>
      <c r="AMG4" s="52">
        <f t="shared" si="75"/>
        <v>0</v>
      </c>
      <c r="AMH4" s="52">
        <f t="shared" si="75"/>
        <v>0</v>
      </c>
      <c r="AMI4" s="52">
        <f t="shared" si="75"/>
        <v>0</v>
      </c>
      <c r="AMJ4" s="52">
        <f t="shared" si="75"/>
        <v>0</v>
      </c>
      <c r="AMK4" s="52">
        <f t="shared" si="75"/>
        <v>0</v>
      </c>
      <c r="AML4" s="52">
        <f t="shared" si="75"/>
        <v>0</v>
      </c>
      <c r="AMM4" s="52">
        <f t="shared" si="75"/>
        <v>0</v>
      </c>
      <c r="AMN4" s="52">
        <f t="shared" si="75"/>
        <v>0</v>
      </c>
      <c r="AMO4" s="52">
        <f t="shared" si="75"/>
        <v>0</v>
      </c>
      <c r="AMP4" s="52">
        <f t="shared" si="75"/>
        <v>0</v>
      </c>
      <c r="AMQ4" s="52">
        <f t="shared" si="75"/>
        <v>0</v>
      </c>
      <c r="AMR4" s="52">
        <f t="shared" si="75"/>
        <v>0</v>
      </c>
      <c r="AMS4" s="52">
        <f t="shared" si="75"/>
        <v>0</v>
      </c>
      <c r="AMT4" s="52">
        <f t="shared" si="75"/>
        <v>0</v>
      </c>
      <c r="AMU4" s="52">
        <f t="shared" si="75"/>
        <v>0</v>
      </c>
      <c r="AMV4" s="52">
        <f t="shared" si="75"/>
        <v>0</v>
      </c>
      <c r="AMW4" s="52">
        <f t="shared" si="75"/>
        <v>0</v>
      </c>
      <c r="AMX4" s="52">
        <f t="shared" si="75"/>
        <v>0</v>
      </c>
      <c r="AMY4" s="52">
        <f t="shared" si="75"/>
        <v>0</v>
      </c>
      <c r="AMZ4" s="52">
        <f t="shared" si="75"/>
        <v>0</v>
      </c>
      <c r="ANA4" s="52">
        <f t="shared" si="75"/>
        <v>0</v>
      </c>
      <c r="ANB4" s="52">
        <f t="shared" si="75"/>
        <v>0</v>
      </c>
      <c r="ANC4" s="52">
        <f t="shared" si="75"/>
        <v>0</v>
      </c>
      <c r="AND4" s="52">
        <f t="shared" si="75"/>
        <v>0</v>
      </c>
      <c r="ANE4" s="52">
        <f t="shared" si="75"/>
        <v>0</v>
      </c>
      <c r="ANF4" s="52">
        <f t="shared" si="75"/>
        <v>0</v>
      </c>
      <c r="ANG4" s="52">
        <f t="shared" si="75"/>
        <v>0</v>
      </c>
      <c r="ANH4" s="52">
        <f t="shared" si="75"/>
        <v>0</v>
      </c>
      <c r="ANI4" s="52">
        <f t="shared" si="75"/>
        <v>0</v>
      </c>
      <c r="ANJ4" s="52">
        <f t="shared" si="75"/>
        <v>0</v>
      </c>
      <c r="ANK4" s="52">
        <f t="shared" si="75"/>
        <v>0</v>
      </c>
      <c r="ANL4" s="52">
        <f t="shared" si="75"/>
        <v>0</v>
      </c>
      <c r="ANM4" s="52">
        <f t="shared" si="75"/>
        <v>0</v>
      </c>
      <c r="ANN4" s="52">
        <f t="shared" si="75"/>
        <v>0</v>
      </c>
      <c r="ANO4" s="52">
        <f t="shared" si="75"/>
        <v>0</v>
      </c>
      <c r="ANP4" s="52">
        <f t="shared" si="75"/>
        <v>0</v>
      </c>
      <c r="ANQ4" s="52">
        <f t="shared" si="75"/>
        <v>0</v>
      </c>
      <c r="ANR4" s="52">
        <f t="shared" si="75"/>
        <v>0</v>
      </c>
      <c r="ANS4" s="52">
        <f t="shared" si="75"/>
        <v>0</v>
      </c>
      <c r="ANT4" s="52">
        <f t="shared" si="75"/>
        <v>0</v>
      </c>
      <c r="ANU4" s="52">
        <f t="shared" si="75"/>
        <v>0</v>
      </c>
      <c r="ANV4" s="52">
        <f t="shared" si="75"/>
        <v>0</v>
      </c>
      <c r="ANW4" s="52">
        <f t="shared" si="75"/>
        <v>0</v>
      </c>
      <c r="ANX4" s="52">
        <f t="shared" si="75"/>
        <v>0</v>
      </c>
      <c r="ANY4" s="52">
        <f t="shared" si="75"/>
        <v>0</v>
      </c>
      <c r="ANZ4" s="52">
        <f t="shared" si="75"/>
        <v>0</v>
      </c>
      <c r="AOA4" s="52">
        <f t="shared" si="75"/>
        <v>0</v>
      </c>
      <c r="AOB4" s="52">
        <f t="shared" si="75"/>
        <v>0</v>
      </c>
      <c r="AOC4" s="52">
        <f t="shared" si="75"/>
        <v>0</v>
      </c>
      <c r="AOD4" s="52">
        <f t="shared" si="75"/>
        <v>0</v>
      </c>
      <c r="AOE4" s="52">
        <f t="shared" si="75"/>
        <v>0</v>
      </c>
      <c r="AOF4" s="52">
        <f t="shared" si="75"/>
        <v>0</v>
      </c>
      <c r="AOG4" s="52">
        <f t="shared" si="75"/>
        <v>0</v>
      </c>
      <c r="AOH4" s="52">
        <f t="shared" si="75"/>
        <v>0</v>
      </c>
      <c r="AOI4" s="52">
        <f t="shared" si="75"/>
        <v>0</v>
      </c>
      <c r="AOJ4" s="52">
        <f t="shared" si="75"/>
        <v>0</v>
      </c>
      <c r="AOK4" s="52">
        <f t="shared" ref="AOK4:AQV4" si="76">SUBTOTAL(9,AOK6:AOK507)</f>
        <v>0</v>
      </c>
      <c r="AOL4" s="52">
        <f t="shared" si="76"/>
        <v>0</v>
      </c>
      <c r="AOM4" s="52">
        <f t="shared" si="76"/>
        <v>0</v>
      </c>
      <c r="AON4" s="52">
        <f t="shared" si="76"/>
        <v>0</v>
      </c>
      <c r="AOO4" s="52">
        <f t="shared" si="76"/>
        <v>0</v>
      </c>
      <c r="AOP4" s="52">
        <f t="shared" si="76"/>
        <v>0</v>
      </c>
      <c r="AOQ4" s="52">
        <f t="shared" si="76"/>
        <v>0</v>
      </c>
      <c r="AOR4" s="52">
        <f t="shared" si="76"/>
        <v>0</v>
      </c>
      <c r="AOS4" s="52">
        <f t="shared" si="76"/>
        <v>0</v>
      </c>
      <c r="AOT4" s="52">
        <f t="shared" si="76"/>
        <v>0</v>
      </c>
      <c r="AOU4" s="52">
        <f t="shared" si="76"/>
        <v>0</v>
      </c>
      <c r="AOV4" s="52">
        <f t="shared" si="76"/>
        <v>0</v>
      </c>
      <c r="AOW4" s="52">
        <f t="shared" si="76"/>
        <v>0</v>
      </c>
      <c r="AOX4" s="52">
        <f t="shared" si="76"/>
        <v>0</v>
      </c>
      <c r="AOY4" s="52">
        <f t="shared" si="76"/>
        <v>0</v>
      </c>
      <c r="AOZ4" s="52">
        <f t="shared" si="76"/>
        <v>0</v>
      </c>
      <c r="APA4" s="52">
        <f t="shared" si="76"/>
        <v>0</v>
      </c>
      <c r="APB4" s="52">
        <f t="shared" si="76"/>
        <v>0</v>
      </c>
      <c r="APC4" s="52">
        <f t="shared" si="76"/>
        <v>0</v>
      </c>
      <c r="APD4" s="52">
        <f t="shared" si="76"/>
        <v>0</v>
      </c>
      <c r="APE4" s="52">
        <f t="shared" si="76"/>
        <v>0</v>
      </c>
      <c r="APF4" s="52">
        <f t="shared" si="76"/>
        <v>0</v>
      </c>
      <c r="APG4" s="52">
        <f t="shared" si="76"/>
        <v>0</v>
      </c>
      <c r="APH4" s="52">
        <f t="shared" si="76"/>
        <v>0</v>
      </c>
      <c r="API4" s="52">
        <f t="shared" si="76"/>
        <v>0</v>
      </c>
      <c r="APJ4" s="52">
        <f t="shared" si="76"/>
        <v>0</v>
      </c>
      <c r="APK4" s="52">
        <f t="shared" si="76"/>
        <v>0</v>
      </c>
      <c r="APL4" s="52">
        <f t="shared" si="76"/>
        <v>0</v>
      </c>
      <c r="APM4" s="52">
        <f t="shared" si="76"/>
        <v>0</v>
      </c>
      <c r="APN4" s="52">
        <f t="shared" si="76"/>
        <v>0</v>
      </c>
      <c r="APO4" s="52">
        <f t="shared" si="76"/>
        <v>0</v>
      </c>
      <c r="APP4" s="52">
        <f t="shared" si="76"/>
        <v>0</v>
      </c>
      <c r="APQ4" s="52">
        <f t="shared" si="76"/>
        <v>0</v>
      </c>
      <c r="APR4" s="52">
        <f t="shared" si="76"/>
        <v>0</v>
      </c>
      <c r="APS4" s="52">
        <f t="shared" si="76"/>
        <v>0</v>
      </c>
      <c r="APT4" s="52">
        <f t="shared" si="76"/>
        <v>0</v>
      </c>
      <c r="APU4" s="52">
        <f t="shared" si="76"/>
        <v>0</v>
      </c>
      <c r="APV4" s="52">
        <f t="shared" si="76"/>
        <v>0</v>
      </c>
      <c r="APW4" s="52">
        <f t="shared" si="76"/>
        <v>0</v>
      </c>
      <c r="APX4" s="52">
        <f t="shared" si="76"/>
        <v>0</v>
      </c>
      <c r="APY4" s="52">
        <f t="shared" si="76"/>
        <v>0</v>
      </c>
      <c r="APZ4" s="52">
        <f t="shared" si="76"/>
        <v>0</v>
      </c>
      <c r="AQA4" s="52">
        <f t="shared" si="76"/>
        <v>0</v>
      </c>
      <c r="AQB4" s="52">
        <f t="shared" si="76"/>
        <v>0</v>
      </c>
      <c r="AQC4" s="52">
        <f t="shared" si="76"/>
        <v>0</v>
      </c>
      <c r="AQD4" s="52">
        <f t="shared" si="76"/>
        <v>0</v>
      </c>
      <c r="AQE4" s="52">
        <f t="shared" si="76"/>
        <v>0</v>
      </c>
      <c r="AQF4" s="52">
        <f t="shared" si="76"/>
        <v>0</v>
      </c>
      <c r="AQG4" s="52">
        <f t="shared" si="76"/>
        <v>0</v>
      </c>
      <c r="AQH4" s="52">
        <f t="shared" si="76"/>
        <v>0</v>
      </c>
      <c r="AQI4" s="52">
        <f t="shared" si="76"/>
        <v>0</v>
      </c>
      <c r="AQJ4" s="52">
        <f t="shared" si="76"/>
        <v>0</v>
      </c>
      <c r="AQK4" s="52">
        <f t="shared" si="76"/>
        <v>0</v>
      </c>
      <c r="AQL4" s="52">
        <f t="shared" si="76"/>
        <v>0</v>
      </c>
      <c r="AQM4" s="52">
        <f t="shared" si="76"/>
        <v>0</v>
      </c>
      <c r="AQN4" s="52">
        <f t="shared" si="76"/>
        <v>0</v>
      </c>
      <c r="AQO4" s="52">
        <f t="shared" si="76"/>
        <v>0</v>
      </c>
      <c r="AQP4" s="52">
        <f t="shared" si="76"/>
        <v>0</v>
      </c>
      <c r="AQQ4" s="52">
        <f t="shared" si="76"/>
        <v>0</v>
      </c>
      <c r="AQR4" s="52">
        <f t="shared" si="76"/>
        <v>0</v>
      </c>
      <c r="AQS4" s="52">
        <f t="shared" si="76"/>
        <v>0</v>
      </c>
      <c r="AQT4" s="52">
        <f t="shared" si="76"/>
        <v>0</v>
      </c>
      <c r="AQU4" s="52">
        <f t="shared" si="76"/>
        <v>0</v>
      </c>
      <c r="AQV4" s="52">
        <f t="shared" si="76"/>
        <v>0</v>
      </c>
      <c r="AQW4" s="52">
        <f t="shared" ref="AQW4:ATH4" si="77">SUBTOTAL(9,AQW6:AQW507)</f>
        <v>0</v>
      </c>
      <c r="AQX4" s="52">
        <f t="shared" si="77"/>
        <v>0</v>
      </c>
      <c r="AQY4" s="52">
        <f t="shared" si="77"/>
        <v>0</v>
      </c>
      <c r="AQZ4" s="52">
        <f t="shared" si="77"/>
        <v>0</v>
      </c>
      <c r="ARA4" s="52">
        <f t="shared" si="77"/>
        <v>0</v>
      </c>
      <c r="ARB4" s="52">
        <f t="shared" si="77"/>
        <v>0</v>
      </c>
      <c r="ARC4" s="52">
        <f t="shared" si="77"/>
        <v>0</v>
      </c>
      <c r="ARD4" s="52">
        <f t="shared" si="77"/>
        <v>0</v>
      </c>
      <c r="ARE4" s="52">
        <f t="shared" si="77"/>
        <v>0</v>
      </c>
      <c r="ARF4" s="52">
        <f t="shared" si="77"/>
        <v>0</v>
      </c>
      <c r="ARG4" s="52">
        <f t="shared" si="77"/>
        <v>0</v>
      </c>
      <c r="ARH4" s="52">
        <f t="shared" si="77"/>
        <v>0</v>
      </c>
      <c r="ARI4" s="52">
        <f t="shared" si="77"/>
        <v>0</v>
      </c>
      <c r="ARJ4" s="52">
        <f t="shared" si="77"/>
        <v>0</v>
      </c>
      <c r="ARK4" s="52">
        <f t="shared" si="77"/>
        <v>0</v>
      </c>
      <c r="ARL4" s="52">
        <f t="shared" si="77"/>
        <v>0</v>
      </c>
      <c r="ARM4" s="52">
        <f t="shared" si="77"/>
        <v>0</v>
      </c>
      <c r="ARN4" s="52">
        <f t="shared" si="77"/>
        <v>0</v>
      </c>
      <c r="ARO4" s="52">
        <f t="shared" si="77"/>
        <v>0</v>
      </c>
      <c r="ARP4" s="52">
        <f t="shared" si="77"/>
        <v>0</v>
      </c>
      <c r="ARQ4" s="52">
        <f t="shared" si="77"/>
        <v>0</v>
      </c>
      <c r="ARR4" s="52">
        <f t="shared" si="77"/>
        <v>0</v>
      </c>
      <c r="ARS4" s="52">
        <f t="shared" si="77"/>
        <v>0</v>
      </c>
      <c r="ART4" s="52">
        <f t="shared" si="77"/>
        <v>0</v>
      </c>
      <c r="ARU4" s="52">
        <f t="shared" si="77"/>
        <v>0</v>
      </c>
      <c r="ARV4" s="52">
        <f t="shared" si="77"/>
        <v>0</v>
      </c>
      <c r="ARW4" s="52">
        <f t="shared" si="77"/>
        <v>0</v>
      </c>
      <c r="ARX4" s="52">
        <f t="shared" si="77"/>
        <v>0</v>
      </c>
      <c r="ARY4" s="52">
        <f t="shared" si="77"/>
        <v>0</v>
      </c>
      <c r="ARZ4" s="52">
        <f t="shared" si="77"/>
        <v>0</v>
      </c>
      <c r="ASA4" s="52">
        <f t="shared" si="77"/>
        <v>0</v>
      </c>
      <c r="ASB4" s="52">
        <f t="shared" si="77"/>
        <v>0</v>
      </c>
      <c r="ASC4" s="52">
        <f t="shared" si="77"/>
        <v>0</v>
      </c>
      <c r="ASD4" s="52">
        <f t="shared" si="77"/>
        <v>0</v>
      </c>
      <c r="ASE4" s="52">
        <f t="shared" si="77"/>
        <v>0</v>
      </c>
      <c r="ASF4" s="52">
        <f t="shared" si="77"/>
        <v>0</v>
      </c>
      <c r="ASG4" s="52">
        <f t="shared" si="77"/>
        <v>0</v>
      </c>
      <c r="ASH4" s="52">
        <f t="shared" si="77"/>
        <v>0</v>
      </c>
      <c r="ASI4" s="52">
        <f t="shared" si="77"/>
        <v>0</v>
      </c>
      <c r="ASJ4" s="52">
        <f t="shared" si="77"/>
        <v>0</v>
      </c>
      <c r="ASK4" s="52">
        <f t="shared" si="77"/>
        <v>0</v>
      </c>
      <c r="ASL4" s="52">
        <f t="shared" si="77"/>
        <v>0</v>
      </c>
      <c r="ASM4" s="52">
        <f t="shared" si="77"/>
        <v>0</v>
      </c>
      <c r="ASN4" s="52">
        <f t="shared" si="77"/>
        <v>0</v>
      </c>
      <c r="ASO4" s="52">
        <f t="shared" si="77"/>
        <v>0</v>
      </c>
      <c r="ASP4" s="52">
        <f t="shared" si="77"/>
        <v>0</v>
      </c>
      <c r="ASQ4" s="52">
        <f t="shared" si="77"/>
        <v>0</v>
      </c>
      <c r="ASR4" s="52">
        <f t="shared" si="77"/>
        <v>0</v>
      </c>
      <c r="ASS4" s="52">
        <f t="shared" si="77"/>
        <v>0</v>
      </c>
      <c r="AST4" s="52">
        <f t="shared" si="77"/>
        <v>0</v>
      </c>
      <c r="ASU4" s="52">
        <f t="shared" si="77"/>
        <v>0</v>
      </c>
      <c r="ASV4" s="52">
        <f t="shared" si="77"/>
        <v>0</v>
      </c>
      <c r="ASW4" s="52">
        <f t="shared" si="77"/>
        <v>0</v>
      </c>
      <c r="ASX4" s="52">
        <f t="shared" si="77"/>
        <v>0</v>
      </c>
      <c r="ASY4" s="52">
        <f t="shared" si="77"/>
        <v>0</v>
      </c>
      <c r="ASZ4" s="52">
        <f t="shared" si="77"/>
        <v>0</v>
      </c>
      <c r="ATA4" s="52">
        <f t="shared" si="77"/>
        <v>0</v>
      </c>
      <c r="ATB4" s="52">
        <f t="shared" si="77"/>
        <v>0</v>
      </c>
      <c r="ATC4" s="52">
        <f t="shared" si="77"/>
        <v>0</v>
      </c>
      <c r="ATD4" s="52">
        <f t="shared" si="77"/>
        <v>0</v>
      </c>
      <c r="ATE4" s="52">
        <f t="shared" si="77"/>
        <v>0</v>
      </c>
      <c r="ATF4" s="52">
        <f t="shared" si="77"/>
        <v>0</v>
      </c>
      <c r="ATG4" s="52">
        <f t="shared" si="77"/>
        <v>0</v>
      </c>
      <c r="ATH4" s="52">
        <f t="shared" si="77"/>
        <v>0</v>
      </c>
      <c r="ATI4" s="52">
        <f t="shared" ref="ATI4:AVT4" si="78">SUBTOTAL(9,ATI6:ATI507)</f>
        <v>0</v>
      </c>
      <c r="ATJ4" s="52">
        <f t="shared" si="78"/>
        <v>0</v>
      </c>
      <c r="ATK4" s="52">
        <f t="shared" si="78"/>
        <v>0</v>
      </c>
      <c r="ATL4" s="52">
        <f t="shared" si="78"/>
        <v>0</v>
      </c>
      <c r="ATM4" s="52">
        <f t="shared" si="78"/>
        <v>0</v>
      </c>
      <c r="ATN4" s="52">
        <f t="shared" si="78"/>
        <v>0</v>
      </c>
      <c r="ATO4" s="52">
        <f t="shared" si="78"/>
        <v>0</v>
      </c>
      <c r="ATP4" s="52">
        <f t="shared" si="78"/>
        <v>0</v>
      </c>
      <c r="ATQ4" s="52">
        <f t="shared" si="78"/>
        <v>0</v>
      </c>
      <c r="ATR4" s="52">
        <f t="shared" si="78"/>
        <v>0</v>
      </c>
      <c r="ATS4" s="52">
        <f t="shared" si="78"/>
        <v>0</v>
      </c>
      <c r="ATT4" s="52">
        <f t="shared" si="78"/>
        <v>0</v>
      </c>
      <c r="ATU4" s="52">
        <f t="shared" si="78"/>
        <v>0</v>
      </c>
      <c r="ATV4" s="52">
        <f t="shared" si="78"/>
        <v>0</v>
      </c>
      <c r="ATW4" s="52">
        <f t="shared" si="78"/>
        <v>0</v>
      </c>
      <c r="ATX4" s="52">
        <f t="shared" si="78"/>
        <v>0</v>
      </c>
      <c r="ATY4" s="52">
        <f t="shared" si="78"/>
        <v>0</v>
      </c>
      <c r="ATZ4" s="52">
        <f t="shared" si="78"/>
        <v>0</v>
      </c>
      <c r="AUA4" s="52">
        <f t="shared" si="78"/>
        <v>0</v>
      </c>
      <c r="AUB4" s="52">
        <f t="shared" si="78"/>
        <v>0</v>
      </c>
      <c r="AUC4" s="52">
        <f t="shared" si="78"/>
        <v>0</v>
      </c>
      <c r="AUD4" s="52">
        <f t="shared" si="78"/>
        <v>0</v>
      </c>
      <c r="AUE4" s="52">
        <f t="shared" si="78"/>
        <v>0</v>
      </c>
      <c r="AUF4" s="52">
        <f t="shared" si="78"/>
        <v>0</v>
      </c>
      <c r="AUG4" s="52">
        <f t="shared" si="78"/>
        <v>0</v>
      </c>
      <c r="AUH4" s="52">
        <f t="shared" si="78"/>
        <v>0</v>
      </c>
      <c r="AUI4" s="52">
        <f t="shared" si="78"/>
        <v>0</v>
      </c>
      <c r="AUJ4" s="52">
        <f t="shared" si="78"/>
        <v>0</v>
      </c>
      <c r="AUK4" s="52">
        <f t="shared" si="78"/>
        <v>0</v>
      </c>
      <c r="AUL4" s="52">
        <f t="shared" si="78"/>
        <v>0</v>
      </c>
      <c r="AUM4" s="52">
        <f t="shared" si="78"/>
        <v>0</v>
      </c>
      <c r="AUN4" s="52">
        <f t="shared" si="78"/>
        <v>0</v>
      </c>
      <c r="AUO4" s="52">
        <f t="shared" si="78"/>
        <v>0</v>
      </c>
      <c r="AUP4" s="52">
        <f t="shared" si="78"/>
        <v>0</v>
      </c>
      <c r="AUQ4" s="52">
        <f t="shared" si="78"/>
        <v>0</v>
      </c>
      <c r="AUR4" s="52">
        <f t="shared" si="78"/>
        <v>0</v>
      </c>
      <c r="AUS4" s="52">
        <f t="shared" si="78"/>
        <v>0</v>
      </c>
      <c r="AUT4" s="52">
        <f t="shared" si="78"/>
        <v>0</v>
      </c>
      <c r="AUU4" s="52">
        <f t="shared" si="78"/>
        <v>0</v>
      </c>
      <c r="AUV4" s="52">
        <f t="shared" si="78"/>
        <v>0</v>
      </c>
      <c r="AUW4" s="52">
        <f t="shared" si="78"/>
        <v>0</v>
      </c>
      <c r="AUX4" s="52">
        <f t="shared" si="78"/>
        <v>0</v>
      </c>
      <c r="AUY4" s="52">
        <f t="shared" si="78"/>
        <v>0</v>
      </c>
      <c r="AUZ4" s="52">
        <f t="shared" si="78"/>
        <v>0</v>
      </c>
      <c r="AVA4" s="52">
        <f t="shared" si="78"/>
        <v>0</v>
      </c>
      <c r="AVB4" s="52">
        <f t="shared" si="78"/>
        <v>0</v>
      </c>
      <c r="AVC4" s="52">
        <f t="shared" si="78"/>
        <v>0</v>
      </c>
      <c r="AVD4" s="52">
        <f t="shared" si="78"/>
        <v>0</v>
      </c>
      <c r="AVE4" s="52">
        <f t="shared" si="78"/>
        <v>0</v>
      </c>
      <c r="AVF4" s="52">
        <f t="shared" si="78"/>
        <v>0</v>
      </c>
      <c r="AVG4" s="52">
        <f t="shared" si="78"/>
        <v>0</v>
      </c>
      <c r="AVH4" s="52">
        <f t="shared" si="78"/>
        <v>0</v>
      </c>
      <c r="AVI4" s="52">
        <f t="shared" si="78"/>
        <v>0</v>
      </c>
      <c r="AVJ4" s="52">
        <f t="shared" si="78"/>
        <v>0</v>
      </c>
      <c r="AVK4" s="52">
        <f t="shared" si="78"/>
        <v>0</v>
      </c>
      <c r="AVL4" s="52">
        <f t="shared" si="78"/>
        <v>0</v>
      </c>
      <c r="AVM4" s="52">
        <f t="shared" si="78"/>
        <v>0</v>
      </c>
      <c r="AVN4" s="52">
        <f t="shared" si="78"/>
        <v>0</v>
      </c>
      <c r="AVO4" s="52">
        <f t="shared" si="78"/>
        <v>0</v>
      </c>
      <c r="AVP4" s="52">
        <f t="shared" si="78"/>
        <v>0</v>
      </c>
      <c r="AVQ4" s="52">
        <f t="shared" si="78"/>
        <v>0</v>
      </c>
      <c r="AVR4" s="52">
        <f t="shared" si="78"/>
        <v>0</v>
      </c>
      <c r="AVS4" s="52">
        <f t="shared" si="78"/>
        <v>0</v>
      </c>
      <c r="AVT4" s="52">
        <f t="shared" si="78"/>
        <v>0</v>
      </c>
      <c r="AVU4" s="52">
        <f t="shared" ref="AVU4:AYF4" si="79">SUBTOTAL(9,AVU6:AVU507)</f>
        <v>0</v>
      </c>
      <c r="AVV4" s="52">
        <f t="shared" si="79"/>
        <v>0</v>
      </c>
      <c r="AVW4" s="52">
        <f t="shared" si="79"/>
        <v>0</v>
      </c>
      <c r="AVX4" s="52">
        <f t="shared" si="79"/>
        <v>0</v>
      </c>
      <c r="AVY4" s="52">
        <f t="shared" si="79"/>
        <v>0</v>
      </c>
      <c r="AVZ4" s="52">
        <f t="shared" si="79"/>
        <v>0</v>
      </c>
      <c r="AWA4" s="52">
        <f t="shared" si="79"/>
        <v>0</v>
      </c>
      <c r="AWB4" s="52">
        <f t="shared" si="79"/>
        <v>0</v>
      </c>
      <c r="AWC4" s="52">
        <f t="shared" si="79"/>
        <v>0</v>
      </c>
      <c r="AWD4" s="52">
        <f t="shared" si="79"/>
        <v>0</v>
      </c>
      <c r="AWE4" s="52">
        <f t="shared" si="79"/>
        <v>0</v>
      </c>
      <c r="AWF4" s="52">
        <f t="shared" si="79"/>
        <v>0</v>
      </c>
      <c r="AWG4" s="52">
        <f t="shared" si="79"/>
        <v>0</v>
      </c>
      <c r="AWH4" s="52">
        <f t="shared" si="79"/>
        <v>0</v>
      </c>
      <c r="AWI4" s="52">
        <f t="shared" si="79"/>
        <v>0</v>
      </c>
      <c r="AWJ4" s="52">
        <f t="shared" si="79"/>
        <v>0</v>
      </c>
      <c r="AWK4" s="52">
        <f t="shared" si="79"/>
        <v>0</v>
      </c>
      <c r="AWL4" s="52">
        <f t="shared" si="79"/>
        <v>0</v>
      </c>
      <c r="AWM4" s="52">
        <f t="shared" si="79"/>
        <v>0</v>
      </c>
      <c r="AWN4" s="52">
        <f t="shared" si="79"/>
        <v>0</v>
      </c>
      <c r="AWO4" s="52">
        <f t="shared" si="79"/>
        <v>0</v>
      </c>
      <c r="AWP4" s="52">
        <f t="shared" si="79"/>
        <v>0</v>
      </c>
      <c r="AWQ4" s="52">
        <f t="shared" si="79"/>
        <v>0</v>
      </c>
      <c r="AWR4" s="52">
        <f t="shared" si="79"/>
        <v>0</v>
      </c>
      <c r="AWS4" s="52">
        <f t="shared" si="79"/>
        <v>0</v>
      </c>
      <c r="AWT4" s="52">
        <f t="shared" si="79"/>
        <v>0</v>
      </c>
      <c r="AWU4" s="52">
        <f t="shared" si="79"/>
        <v>0</v>
      </c>
      <c r="AWV4" s="52">
        <f t="shared" si="79"/>
        <v>0</v>
      </c>
      <c r="AWW4" s="52">
        <f t="shared" si="79"/>
        <v>0</v>
      </c>
      <c r="AWX4" s="52">
        <f t="shared" si="79"/>
        <v>0</v>
      </c>
      <c r="AWY4" s="52">
        <f t="shared" si="79"/>
        <v>0</v>
      </c>
      <c r="AWZ4" s="52">
        <f t="shared" si="79"/>
        <v>0</v>
      </c>
      <c r="AXA4" s="52">
        <f t="shared" si="79"/>
        <v>0</v>
      </c>
      <c r="AXB4" s="52">
        <f t="shared" si="79"/>
        <v>0</v>
      </c>
      <c r="AXC4" s="52">
        <f t="shared" si="79"/>
        <v>0</v>
      </c>
      <c r="AXD4" s="52">
        <f t="shared" si="79"/>
        <v>0</v>
      </c>
      <c r="AXE4" s="52">
        <f t="shared" si="79"/>
        <v>0</v>
      </c>
      <c r="AXF4" s="52">
        <f t="shared" si="79"/>
        <v>0</v>
      </c>
      <c r="AXG4" s="52">
        <f t="shared" si="79"/>
        <v>0</v>
      </c>
      <c r="AXH4" s="52">
        <f t="shared" si="79"/>
        <v>0</v>
      </c>
      <c r="AXI4" s="52">
        <f t="shared" si="79"/>
        <v>0</v>
      </c>
      <c r="AXJ4" s="52">
        <f t="shared" si="79"/>
        <v>0</v>
      </c>
      <c r="AXK4" s="52">
        <f t="shared" si="79"/>
        <v>0</v>
      </c>
      <c r="AXL4" s="52">
        <f t="shared" si="79"/>
        <v>0</v>
      </c>
      <c r="AXM4" s="52">
        <f t="shared" si="79"/>
        <v>0</v>
      </c>
      <c r="AXN4" s="52">
        <f t="shared" si="79"/>
        <v>0</v>
      </c>
      <c r="AXO4" s="52">
        <f t="shared" si="79"/>
        <v>0</v>
      </c>
      <c r="AXP4" s="52">
        <f t="shared" si="79"/>
        <v>0</v>
      </c>
      <c r="AXQ4" s="52">
        <f t="shared" si="79"/>
        <v>0</v>
      </c>
      <c r="AXR4" s="52">
        <f t="shared" si="79"/>
        <v>0</v>
      </c>
      <c r="AXS4" s="52">
        <f t="shared" si="79"/>
        <v>0</v>
      </c>
      <c r="AXT4" s="52">
        <f t="shared" si="79"/>
        <v>0</v>
      </c>
      <c r="AXU4" s="52">
        <f t="shared" si="79"/>
        <v>0</v>
      </c>
      <c r="AXV4" s="52">
        <f t="shared" si="79"/>
        <v>0</v>
      </c>
      <c r="AXW4" s="52">
        <f t="shared" si="79"/>
        <v>0</v>
      </c>
      <c r="AXX4" s="52">
        <f t="shared" si="79"/>
        <v>0</v>
      </c>
      <c r="AXY4" s="52">
        <f t="shared" si="79"/>
        <v>0</v>
      </c>
      <c r="AXZ4" s="52">
        <f t="shared" si="79"/>
        <v>0</v>
      </c>
      <c r="AYA4" s="52">
        <f t="shared" si="79"/>
        <v>0</v>
      </c>
      <c r="AYB4" s="52">
        <f t="shared" si="79"/>
        <v>0</v>
      </c>
      <c r="AYC4" s="52">
        <f t="shared" si="79"/>
        <v>0</v>
      </c>
      <c r="AYD4" s="52">
        <f t="shared" si="79"/>
        <v>0</v>
      </c>
      <c r="AYE4" s="52">
        <f t="shared" si="79"/>
        <v>0</v>
      </c>
      <c r="AYF4" s="52">
        <f t="shared" si="79"/>
        <v>0</v>
      </c>
      <c r="AYG4" s="52">
        <f t="shared" ref="AYG4:BAR4" si="80">SUBTOTAL(9,AYG6:AYG507)</f>
        <v>0</v>
      </c>
      <c r="AYH4" s="52">
        <f t="shared" si="80"/>
        <v>0</v>
      </c>
      <c r="AYI4" s="52">
        <f t="shared" si="80"/>
        <v>0</v>
      </c>
      <c r="AYJ4" s="52">
        <f t="shared" si="80"/>
        <v>0</v>
      </c>
      <c r="AYK4" s="52">
        <f t="shared" si="80"/>
        <v>0</v>
      </c>
      <c r="AYL4" s="52">
        <f t="shared" si="80"/>
        <v>0</v>
      </c>
      <c r="AYM4" s="52">
        <f t="shared" si="80"/>
        <v>0</v>
      </c>
      <c r="AYN4" s="52">
        <f t="shared" si="80"/>
        <v>0</v>
      </c>
      <c r="AYO4" s="52">
        <f t="shared" si="80"/>
        <v>0</v>
      </c>
      <c r="AYP4" s="52">
        <f t="shared" si="80"/>
        <v>0</v>
      </c>
      <c r="AYQ4" s="52">
        <f t="shared" si="80"/>
        <v>0</v>
      </c>
      <c r="AYR4" s="52">
        <f t="shared" si="80"/>
        <v>0</v>
      </c>
      <c r="AYS4" s="52">
        <f t="shared" si="80"/>
        <v>0</v>
      </c>
      <c r="AYT4" s="52">
        <f t="shared" si="80"/>
        <v>0</v>
      </c>
      <c r="AYU4" s="52">
        <f t="shared" si="80"/>
        <v>0</v>
      </c>
      <c r="AYV4" s="52">
        <f t="shared" si="80"/>
        <v>0</v>
      </c>
      <c r="AYW4" s="52">
        <f t="shared" si="80"/>
        <v>0</v>
      </c>
      <c r="AYX4" s="52">
        <f t="shared" si="80"/>
        <v>0</v>
      </c>
      <c r="AYY4" s="52">
        <f t="shared" si="80"/>
        <v>0</v>
      </c>
      <c r="AYZ4" s="52">
        <f t="shared" si="80"/>
        <v>0</v>
      </c>
      <c r="AZA4" s="52">
        <f t="shared" si="80"/>
        <v>0</v>
      </c>
      <c r="AZB4" s="52">
        <f t="shared" si="80"/>
        <v>0</v>
      </c>
      <c r="AZC4" s="52">
        <f t="shared" si="80"/>
        <v>0</v>
      </c>
      <c r="AZD4" s="52">
        <f t="shared" si="80"/>
        <v>0</v>
      </c>
      <c r="AZE4" s="52">
        <f t="shared" si="80"/>
        <v>0</v>
      </c>
      <c r="AZF4" s="52">
        <f t="shared" si="80"/>
        <v>0</v>
      </c>
      <c r="AZG4" s="52">
        <f t="shared" si="80"/>
        <v>0</v>
      </c>
      <c r="AZH4" s="52">
        <f t="shared" si="80"/>
        <v>0</v>
      </c>
      <c r="AZI4" s="52">
        <f t="shared" si="80"/>
        <v>0</v>
      </c>
      <c r="AZJ4" s="52">
        <f t="shared" si="80"/>
        <v>0</v>
      </c>
      <c r="AZK4" s="52">
        <f t="shared" si="80"/>
        <v>0</v>
      </c>
      <c r="AZL4" s="52">
        <f t="shared" si="80"/>
        <v>0</v>
      </c>
      <c r="AZM4" s="52">
        <f t="shared" si="80"/>
        <v>0</v>
      </c>
      <c r="AZN4" s="52">
        <f t="shared" si="80"/>
        <v>0</v>
      </c>
      <c r="AZO4" s="52">
        <f t="shared" si="80"/>
        <v>0</v>
      </c>
      <c r="AZP4" s="52">
        <f t="shared" si="80"/>
        <v>0</v>
      </c>
      <c r="AZQ4" s="52">
        <f t="shared" si="80"/>
        <v>0</v>
      </c>
      <c r="AZR4" s="52">
        <f t="shared" si="80"/>
        <v>0</v>
      </c>
      <c r="AZS4" s="52">
        <f t="shared" si="80"/>
        <v>0</v>
      </c>
      <c r="AZT4" s="52">
        <f t="shared" si="80"/>
        <v>0</v>
      </c>
      <c r="AZU4" s="52">
        <f t="shared" si="80"/>
        <v>0</v>
      </c>
      <c r="AZV4" s="52">
        <f t="shared" si="80"/>
        <v>0</v>
      </c>
      <c r="AZW4" s="52">
        <f t="shared" si="80"/>
        <v>0</v>
      </c>
      <c r="AZX4" s="52">
        <f t="shared" si="80"/>
        <v>0</v>
      </c>
      <c r="AZY4" s="52">
        <f t="shared" si="80"/>
        <v>0</v>
      </c>
      <c r="AZZ4" s="52">
        <f t="shared" si="80"/>
        <v>0</v>
      </c>
      <c r="BAA4" s="52">
        <f t="shared" si="80"/>
        <v>0</v>
      </c>
      <c r="BAB4" s="52">
        <f t="shared" si="80"/>
        <v>0</v>
      </c>
      <c r="BAC4" s="52">
        <f t="shared" si="80"/>
        <v>0</v>
      </c>
      <c r="BAD4" s="52">
        <f t="shared" si="80"/>
        <v>0</v>
      </c>
      <c r="BAE4" s="52">
        <f t="shared" si="80"/>
        <v>0</v>
      </c>
      <c r="BAF4" s="52">
        <f t="shared" si="80"/>
        <v>0</v>
      </c>
      <c r="BAG4" s="52">
        <f t="shared" si="80"/>
        <v>0</v>
      </c>
      <c r="BAH4" s="52">
        <f t="shared" si="80"/>
        <v>0</v>
      </c>
      <c r="BAI4" s="52">
        <f t="shared" si="80"/>
        <v>0</v>
      </c>
      <c r="BAJ4" s="52">
        <f t="shared" si="80"/>
        <v>0</v>
      </c>
      <c r="BAK4" s="52">
        <f t="shared" si="80"/>
        <v>0</v>
      </c>
      <c r="BAL4" s="52">
        <f t="shared" si="80"/>
        <v>0</v>
      </c>
      <c r="BAM4" s="52">
        <f t="shared" si="80"/>
        <v>0</v>
      </c>
      <c r="BAN4" s="52">
        <f t="shared" si="80"/>
        <v>0</v>
      </c>
      <c r="BAO4" s="52">
        <f t="shared" si="80"/>
        <v>0</v>
      </c>
      <c r="BAP4" s="52">
        <f t="shared" si="80"/>
        <v>0</v>
      </c>
      <c r="BAQ4" s="52">
        <f t="shared" si="80"/>
        <v>0</v>
      </c>
      <c r="BAR4" s="52">
        <f t="shared" si="80"/>
        <v>0</v>
      </c>
      <c r="BAS4" s="52">
        <f t="shared" ref="BAS4:BDD4" si="81">SUBTOTAL(9,BAS6:BAS507)</f>
        <v>0</v>
      </c>
      <c r="BAT4" s="52">
        <f t="shared" si="81"/>
        <v>0</v>
      </c>
      <c r="BAU4" s="52">
        <f t="shared" si="81"/>
        <v>0</v>
      </c>
      <c r="BAV4" s="52">
        <f t="shared" si="81"/>
        <v>0</v>
      </c>
      <c r="BAW4" s="52">
        <f t="shared" si="81"/>
        <v>0</v>
      </c>
      <c r="BAX4" s="52">
        <f t="shared" si="81"/>
        <v>0</v>
      </c>
      <c r="BAY4" s="52">
        <f t="shared" si="81"/>
        <v>0</v>
      </c>
      <c r="BAZ4" s="52">
        <f t="shared" si="81"/>
        <v>0</v>
      </c>
      <c r="BBA4" s="52">
        <f t="shared" si="81"/>
        <v>0</v>
      </c>
      <c r="BBB4" s="52">
        <f t="shared" si="81"/>
        <v>0</v>
      </c>
      <c r="BBC4" s="52">
        <f t="shared" si="81"/>
        <v>0</v>
      </c>
      <c r="BBD4" s="52">
        <f t="shared" si="81"/>
        <v>0</v>
      </c>
      <c r="BBE4" s="52">
        <f t="shared" si="81"/>
        <v>0</v>
      </c>
      <c r="BBF4" s="52">
        <f t="shared" si="81"/>
        <v>0</v>
      </c>
      <c r="BBG4" s="52">
        <f t="shared" si="81"/>
        <v>0</v>
      </c>
      <c r="BBH4" s="52">
        <f t="shared" si="81"/>
        <v>0</v>
      </c>
      <c r="BBI4" s="52">
        <f t="shared" si="81"/>
        <v>0</v>
      </c>
      <c r="BBJ4" s="52">
        <f t="shared" si="81"/>
        <v>0</v>
      </c>
      <c r="BBK4" s="52">
        <f t="shared" si="81"/>
        <v>0</v>
      </c>
      <c r="BBL4" s="52">
        <f t="shared" si="81"/>
        <v>0</v>
      </c>
      <c r="BBM4" s="52">
        <f t="shared" si="81"/>
        <v>0</v>
      </c>
      <c r="BBN4" s="52">
        <f t="shared" si="81"/>
        <v>0</v>
      </c>
      <c r="BBO4" s="52">
        <f t="shared" si="81"/>
        <v>0</v>
      </c>
      <c r="BBP4" s="52">
        <f t="shared" si="81"/>
        <v>0</v>
      </c>
      <c r="BBQ4" s="52">
        <f t="shared" si="81"/>
        <v>0</v>
      </c>
      <c r="BBR4" s="52">
        <f t="shared" si="81"/>
        <v>0</v>
      </c>
      <c r="BBS4" s="52">
        <f t="shared" si="81"/>
        <v>0</v>
      </c>
      <c r="BBT4" s="52">
        <f t="shared" si="81"/>
        <v>0</v>
      </c>
      <c r="BBU4" s="52">
        <f t="shared" si="81"/>
        <v>0</v>
      </c>
      <c r="BBV4" s="52">
        <f t="shared" si="81"/>
        <v>0</v>
      </c>
      <c r="BBW4" s="52">
        <f t="shared" si="81"/>
        <v>0</v>
      </c>
      <c r="BBX4" s="52">
        <f t="shared" si="81"/>
        <v>0</v>
      </c>
      <c r="BBY4" s="52">
        <f t="shared" si="81"/>
        <v>0</v>
      </c>
      <c r="BBZ4" s="52">
        <f t="shared" si="81"/>
        <v>0</v>
      </c>
      <c r="BCA4" s="52">
        <f t="shared" si="81"/>
        <v>0</v>
      </c>
      <c r="BCB4" s="52">
        <f t="shared" si="81"/>
        <v>0</v>
      </c>
      <c r="BCC4" s="52">
        <f t="shared" si="81"/>
        <v>0</v>
      </c>
      <c r="BCD4" s="52">
        <f t="shared" si="81"/>
        <v>0</v>
      </c>
      <c r="BCE4" s="52">
        <f t="shared" si="81"/>
        <v>0</v>
      </c>
      <c r="BCF4" s="52">
        <f t="shared" si="81"/>
        <v>0</v>
      </c>
      <c r="BCG4" s="52">
        <f t="shared" si="81"/>
        <v>0</v>
      </c>
      <c r="BCH4" s="52">
        <f t="shared" si="81"/>
        <v>0</v>
      </c>
      <c r="BCI4" s="52">
        <f t="shared" si="81"/>
        <v>0</v>
      </c>
      <c r="BCJ4" s="52">
        <f t="shared" si="81"/>
        <v>0</v>
      </c>
      <c r="BCK4" s="52">
        <f t="shared" si="81"/>
        <v>0</v>
      </c>
      <c r="BCL4" s="52">
        <f t="shared" si="81"/>
        <v>0</v>
      </c>
      <c r="BCM4" s="52">
        <f t="shared" si="81"/>
        <v>0</v>
      </c>
      <c r="BCN4" s="52">
        <f t="shared" si="81"/>
        <v>0</v>
      </c>
      <c r="BCO4" s="52">
        <f t="shared" si="81"/>
        <v>0</v>
      </c>
      <c r="BCP4" s="52">
        <f t="shared" si="81"/>
        <v>0</v>
      </c>
      <c r="BCQ4" s="52">
        <f t="shared" si="81"/>
        <v>0</v>
      </c>
      <c r="BCR4" s="52">
        <f t="shared" si="81"/>
        <v>0</v>
      </c>
      <c r="BCS4" s="52">
        <f t="shared" si="81"/>
        <v>0</v>
      </c>
      <c r="BCT4" s="52">
        <f t="shared" si="81"/>
        <v>0</v>
      </c>
      <c r="BCU4" s="52">
        <f t="shared" si="81"/>
        <v>0</v>
      </c>
      <c r="BCV4" s="52">
        <f t="shared" si="81"/>
        <v>0</v>
      </c>
      <c r="BCW4" s="52">
        <f t="shared" si="81"/>
        <v>0</v>
      </c>
      <c r="BCX4" s="52">
        <f t="shared" si="81"/>
        <v>0</v>
      </c>
      <c r="BCY4" s="52">
        <f t="shared" si="81"/>
        <v>0</v>
      </c>
      <c r="BCZ4" s="52">
        <f t="shared" si="81"/>
        <v>0</v>
      </c>
      <c r="BDA4" s="52">
        <f t="shared" si="81"/>
        <v>0</v>
      </c>
      <c r="BDB4" s="52">
        <f t="shared" si="81"/>
        <v>0</v>
      </c>
      <c r="BDC4" s="52">
        <f t="shared" si="81"/>
        <v>0</v>
      </c>
      <c r="BDD4" s="52">
        <f t="shared" si="81"/>
        <v>0</v>
      </c>
      <c r="BDE4" s="52">
        <f t="shared" ref="BDE4:BFP4" si="82">SUBTOTAL(9,BDE6:BDE507)</f>
        <v>0</v>
      </c>
      <c r="BDF4" s="52">
        <f t="shared" si="82"/>
        <v>0</v>
      </c>
      <c r="BDG4" s="52">
        <f t="shared" si="82"/>
        <v>0</v>
      </c>
      <c r="BDH4" s="52">
        <f t="shared" si="82"/>
        <v>0</v>
      </c>
      <c r="BDI4" s="52">
        <f t="shared" si="82"/>
        <v>0</v>
      </c>
      <c r="BDJ4" s="52">
        <f t="shared" si="82"/>
        <v>0</v>
      </c>
      <c r="BDK4" s="52">
        <f t="shared" si="82"/>
        <v>0</v>
      </c>
      <c r="BDL4" s="52">
        <f t="shared" si="82"/>
        <v>0</v>
      </c>
      <c r="BDM4" s="52">
        <f t="shared" si="82"/>
        <v>0</v>
      </c>
      <c r="BDN4" s="52">
        <f t="shared" si="82"/>
        <v>0</v>
      </c>
      <c r="BDO4" s="52">
        <f t="shared" si="82"/>
        <v>0</v>
      </c>
      <c r="BDP4" s="52">
        <f t="shared" si="82"/>
        <v>0</v>
      </c>
      <c r="BDQ4" s="52">
        <f t="shared" si="82"/>
        <v>0</v>
      </c>
      <c r="BDR4" s="52">
        <f t="shared" si="82"/>
        <v>0</v>
      </c>
      <c r="BDS4" s="52">
        <f t="shared" si="82"/>
        <v>0</v>
      </c>
      <c r="BDT4" s="52">
        <f t="shared" si="82"/>
        <v>0</v>
      </c>
      <c r="BDU4" s="52">
        <f t="shared" si="82"/>
        <v>0</v>
      </c>
      <c r="BDV4" s="52">
        <f t="shared" si="82"/>
        <v>0</v>
      </c>
      <c r="BDW4" s="52">
        <f t="shared" si="82"/>
        <v>0</v>
      </c>
      <c r="BDX4" s="52">
        <f t="shared" si="82"/>
        <v>0</v>
      </c>
      <c r="BDY4" s="52">
        <f t="shared" si="82"/>
        <v>0</v>
      </c>
      <c r="BDZ4" s="52">
        <f t="shared" si="82"/>
        <v>0</v>
      </c>
      <c r="BEA4" s="52">
        <f t="shared" si="82"/>
        <v>0</v>
      </c>
      <c r="BEB4" s="52">
        <f t="shared" si="82"/>
        <v>0</v>
      </c>
      <c r="BEC4" s="52">
        <f t="shared" si="82"/>
        <v>0</v>
      </c>
      <c r="BED4" s="52">
        <f t="shared" si="82"/>
        <v>0</v>
      </c>
      <c r="BEE4" s="52">
        <f t="shared" si="82"/>
        <v>0</v>
      </c>
      <c r="BEF4" s="52">
        <f t="shared" si="82"/>
        <v>0</v>
      </c>
      <c r="BEG4" s="52">
        <f t="shared" si="82"/>
        <v>0</v>
      </c>
      <c r="BEH4" s="52">
        <f t="shared" si="82"/>
        <v>0</v>
      </c>
      <c r="BEI4" s="52">
        <f t="shared" si="82"/>
        <v>0</v>
      </c>
      <c r="BEJ4" s="52">
        <f t="shared" si="82"/>
        <v>0</v>
      </c>
      <c r="BEK4" s="52">
        <f t="shared" si="82"/>
        <v>0</v>
      </c>
      <c r="BEL4" s="52">
        <f t="shared" si="82"/>
        <v>0</v>
      </c>
      <c r="BEM4" s="52">
        <f t="shared" si="82"/>
        <v>0</v>
      </c>
      <c r="BEN4" s="52">
        <f t="shared" si="82"/>
        <v>0</v>
      </c>
      <c r="BEO4" s="52">
        <f t="shared" si="82"/>
        <v>0</v>
      </c>
      <c r="BEP4" s="52">
        <f t="shared" si="82"/>
        <v>0</v>
      </c>
      <c r="BEQ4" s="52">
        <f t="shared" si="82"/>
        <v>0</v>
      </c>
      <c r="BER4" s="52">
        <f t="shared" si="82"/>
        <v>0</v>
      </c>
      <c r="BES4" s="52">
        <f t="shared" si="82"/>
        <v>0</v>
      </c>
      <c r="BET4" s="52">
        <f t="shared" si="82"/>
        <v>0</v>
      </c>
      <c r="BEU4" s="52">
        <f t="shared" si="82"/>
        <v>0</v>
      </c>
      <c r="BEV4" s="52">
        <f t="shared" si="82"/>
        <v>0</v>
      </c>
      <c r="BEW4" s="52">
        <f t="shared" si="82"/>
        <v>0</v>
      </c>
      <c r="BEX4" s="52">
        <f t="shared" si="82"/>
        <v>0</v>
      </c>
      <c r="BEY4" s="52">
        <f t="shared" si="82"/>
        <v>0</v>
      </c>
      <c r="BEZ4" s="52">
        <f t="shared" si="82"/>
        <v>0</v>
      </c>
      <c r="BFA4" s="52">
        <f t="shared" si="82"/>
        <v>0</v>
      </c>
      <c r="BFB4" s="52">
        <f t="shared" si="82"/>
        <v>0</v>
      </c>
      <c r="BFC4" s="52">
        <f t="shared" si="82"/>
        <v>0</v>
      </c>
      <c r="BFD4" s="52">
        <f t="shared" si="82"/>
        <v>0</v>
      </c>
      <c r="BFE4" s="52">
        <f t="shared" si="82"/>
        <v>0</v>
      </c>
      <c r="BFF4" s="52">
        <f t="shared" si="82"/>
        <v>0</v>
      </c>
      <c r="BFG4" s="52">
        <f t="shared" si="82"/>
        <v>0</v>
      </c>
      <c r="BFH4" s="52">
        <f t="shared" si="82"/>
        <v>0</v>
      </c>
      <c r="BFI4" s="52">
        <f t="shared" si="82"/>
        <v>0</v>
      </c>
      <c r="BFJ4" s="52">
        <f t="shared" si="82"/>
        <v>0</v>
      </c>
      <c r="BFK4" s="52">
        <f t="shared" si="82"/>
        <v>0</v>
      </c>
      <c r="BFL4" s="52">
        <f t="shared" si="82"/>
        <v>0</v>
      </c>
      <c r="BFM4" s="52">
        <f t="shared" si="82"/>
        <v>0</v>
      </c>
      <c r="BFN4" s="52">
        <f t="shared" si="82"/>
        <v>0</v>
      </c>
      <c r="BFO4" s="52">
        <f t="shared" si="82"/>
        <v>0</v>
      </c>
      <c r="BFP4" s="52">
        <f t="shared" si="82"/>
        <v>0</v>
      </c>
      <c r="BFQ4" s="52">
        <f t="shared" ref="BFQ4:BIB4" si="83">SUBTOTAL(9,BFQ6:BFQ507)</f>
        <v>0</v>
      </c>
      <c r="BFR4" s="52">
        <f t="shared" si="83"/>
        <v>0</v>
      </c>
      <c r="BFS4" s="52">
        <f t="shared" si="83"/>
        <v>0</v>
      </c>
      <c r="BFT4" s="52">
        <f t="shared" si="83"/>
        <v>0</v>
      </c>
      <c r="BFU4" s="52">
        <f t="shared" si="83"/>
        <v>0</v>
      </c>
      <c r="BFV4" s="52">
        <f t="shared" si="83"/>
        <v>0</v>
      </c>
      <c r="BFW4" s="52">
        <f t="shared" si="83"/>
        <v>0</v>
      </c>
      <c r="BFX4" s="52">
        <f t="shared" si="83"/>
        <v>0</v>
      </c>
      <c r="BFY4" s="52">
        <f t="shared" si="83"/>
        <v>0</v>
      </c>
      <c r="BFZ4" s="52">
        <f t="shared" si="83"/>
        <v>0</v>
      </c>
      <c r="BGA4" s="52">
        <f t="shared" si="83"/>
        <v>0</v>
      </c>
      <c r="BGB4" s="52">
        <f t="shared" si="83"/>
        <v>0</v>
      </c>
      <c r="BGC4" s="52">
        <f t="shared" si="83"/>
        <v>0</v>
      </c>
      <c r="BGD4" s="52">
        <f t="shared" si="83"/>
        <v>0</v>
      </c>
      <c r="BGE4" s="52">
        <f t="shared" si="83"/>
        <v>0</v>
      </c>
      <c r="BGF4" s="52">
        <f t="shared" si="83"/>
        <v>0</v>
      </c>
      <c r="BGG4" s="52">
        <f t="shared" si="83"/>
        <v>0</v>
      </c>
      <c r="BGH4" s="52">
        <f t="shared" si="83"/>
        <v>0</v>
      </c>
      <c r="BGI4" s="52">
        <f t="shared" si="83"/>
        <v>0</v>
      </c>
      <c r="BGJ4" s="52">
        <f t="shared" si="83"/>
        <v>0</v>
      </c>
      <c r="BGK4" s="52">
        <f t="shared" si="83"/>
        <v>0</v>
      </c>
      <c r="BGL4" s="52">
        <f t="shared" si="83"/>
        <v>0</v>
      </c>
      <c r="BGM4" s="52">
        <f t="shared" si="83"/>
        <v>0</v>
      </c>
      <c r="BGN4" s="52">
        <f t="shared" si="83"/>
        <v>0</v>
      </c>
      <c r="BGO4" s="52">
        <f t="shared" si="83"/>
        <v>0</v>
      </c>
      <c r="BGP4" s="52">
        <f t="shared" si="83"/>
        <v>0</v>
      </c>
      <c r="BGQ4" s="52">
        <f t="shared" si="83"/>
        <v>0</v>
      </c>
      <c r="BGR4" s="52">
        <f t="shared" si="83"/>
        <v>0</v>
      </c>
      <c r="BGS4" s="52">
        <f t="shared" si="83"/>
        <v>0</v>
      </c>
      <c r="BGT4" s="52">
        <f t="shared" si="83"/>
        <v>0</v>
      </c>
      <c r="BGU4" s="52">
        <f t="shared" si="83"/>
        <v>0</v>
      </c>
      <c r="BGV4" s="52">
        <f t="shared" si="83"/>
        <v>0</v>
      </c>
      <c r="BGW4" s="52">
        <f t="shared" si="83"/>
        <v>0</v>
      </c>
      <c r="BGX4" s="52">
        <f t="shared" si="83"/>
        <v>0</v>
      </c>
      <c r="BGY4" s="52">
        <f t="shared" si="83"/>
        <v>0</v>
      </c>
      <c r="BGZ4" s="52">
        <f t="shared" si="83"/>
        <v>0</v>
      </c>
      <c r="BHA4" s="52">
        <f t="shared" si="83"/>
        <v>0</v>
      </c>
      <c r="BHB4" s="52">
        <f t="shared" si="83"/>
        <v>0</v>
      </c>
      <c r="BHC4" s="52">
        <f t="shared" si="83"/>
        <v>0</v>
      </c>
      <c r="BHD4" s="52">
        <f t="shared" si="83"/>
        <v>0</v>
      </c>
      <c r="BHE4" s="52">
        <f t="shared" si="83"/>
        <v>0</v>
      </c>
      <c r="BHF4" s="52">
        <f t="shared" si="83"/>
        <v>0</v>
      </c>
      <c r="BHG4" s="52">
        <f t="shared" si="83"/>
        <v>0</v>
      </c>
      <c r="BHH4" s="52">
        <f t="shared" si="83"/>
        <v>0</v>
      </c>
      <c r="BHI4" s="52">
        <f t="shared" si="83"/>
        <v>0</v>
      </c>
      <c r="BHJ4" s="52">
        <f t="shared" si="83"/>
        <v>0</v>
      </c>
      <c r="BHK4" s="52">
        <f t="shared" si="83"/>
        <v>0</v>
      </c>
      <c r="BHL4" s="52">
        <f t="shared" si="83"/>
        <v>0</v>
      </c>
      <c r="BHM4" s="52">
        <f t="shared" si="83"/>
        <v>0</v>
      </c>
      <c r="BHN4" s="52">
        <f t="shared" si="83"/>
        <v>0</v>
      </c>
      <c r="BHO4" s="52">
        <f t="shared" si="83"/>
        <v>0</v>
      </c>
      <c r="BHP4" s="52">
        <f t="shared" si="83"/>
        <v>0</v>
      </c>
      <c r="BHQ4" s="52">
        <f t="shared" si="83"/>
        <v>0</v>
      </c>
      <c r="BHR4" s="52">
        <f t="shared" si="83"/>
        <v>0</v>
      </c>
      <c r="BHS4" s="52">
        <f t="shared" si="83"/>
        <v>0</v>
      </c>
      <c r="BHT4" s="52">
        <f t="shared" si="83"/>
        <v>0</v>
      </c>
      <c r="BHU4" s="52">
        <f t="shared" si="83"/>
        <v>0</v>
      </c>
      <c r="BHV4" s="52">
        <f t="shared" si="83"/>
        <v>0</v>
      </c>
      <c r="BHW4" s="52">
        <f t="shared" si="83"/>
        <v>0</v>
      </c>
      <c r="BHX4" s="52">
        <f t="shared" si="83"/>
        <v>0</v>
      </c>
      <c r="BHY4" s="52">
        <f t="shared" si="83"/>
        <v>0</v>
      </c>
      <c r="BHZ4" s="52">
        <f t="shared" si="83"/>
        <v>0</v>
      </c>
      <c r="BIA4" s="52">
        <f t="shared" si="83"/>
        <v>0</v>
      </c>
      <c r="BIB4" s="52">
        <f t="shared" si="83"/>
        <v>0</v>
      </c>
      <c r="BIC4" s="52">
        <f t="shared" ref="BIC4:BKN4" si="84">SUBTOTAL(9,BIC6:BIC507)</f>
        <v>0</v>
      </c>
      <c r="BID4" s="52">
        <f t="shared" si="84"/>
        <v>0</v>
      </c>
      <c r="BIE4" s="52">
        <f t="shared" si="84"/>
        <v>0</v>
      </c>
      <c r="BIF4" s="52">
        <f t="shared" si="84"/>
        <v>0</v>
      </c>
      <c r="BIG4" s="52">
        <f t="shared" si="84"/>
        <v>0</v>
      </c>
      <c r="BIH4" s="52">
        <f t="shared" si="84"/>
        <v>0</v>
      </c>
      <c r="BII4" s="52">
        <f t="shared" si="84"/>
        <v>0</v>
      </c>
      <c r="BIJ4" s="52">
        <f t="shared" si="84"/>
        <v>0</v>
      </c>
      <c r="BIK4" s="52">
        <f t="shared" si="84"/>
        <v>0</v>
      </c>
      <c r="BIL4" s="52">
        <f t="shared" si="84"/>
        <v>0</v>
      </c>
      <c r="BIM4" s="52">
        <f t="shared" si="84"/>
        <v>0</v>
      </c>
      <c r="BIN4" s="52">
        <f t="shared" si="84"/>
        <v>0</v>
      </c>
      <c r="BIO4" s="52">
        <f t="shared" si="84"/>
        <v>0</v>
      </c>
      <c r="BIP4" s="52">
        <f t="shared" si="84"/>
        <v>0</v>
      </c>
      <c r="BIQ4" s="52">
        <f t="shared" si="84"/>
        <v>0</v>
      </c>
      <c r="BIR4" s="52">
        <f t="shared" si="84"/>
        <v>0</v>
      </c>
      <c r="BIS4" s="52">
        <f t="shared" si="84"/>
        <v>0</v>
      </c>
      <c r="BIT4" s="52">
        <f t="shared" si="84"/>
        <v>0</v>
      </c>
      <c r="BIU4" s="52">
        <f t="shared" si="84"/>
        <v>0</v>
      </c>
      <c r="BIV4" s="52">
        <f t="shared" si="84"/>
        <v>0</v>
      </c>
      <c r="BIW4" s="52">
        <f t="shared" si="84"/>
        <v>0</v>
      </c>
      <c r="BIX4" s="52">
        <f t="shared" si="84"/>
        <v>0</v>
      </c>
      <c r="BIY4" s="52">
        <f t="shared" si="84"/>
        <v>0</v>
      </c>
      <c r="BIZ4" s="52">
        <f t="shared" si="84"/>
        <v>0</v>
      </c>
      <c r="BJA4" s="52">
        <f t="shared" si="84"/>
        <v>0</v>
      </c>
      <c r="BJB4" s="52">
        <f t="shared" si="84"/>
        <v>0</v>
      </c>
      <c r="BJC4" s="52">
        <f t="shared" si="84"/>
        <v>0</v>
      </c>
      <c r="BJD4" s="52">
        <f t="shared" si="84"/>
        <v>0</v>
      </c>
      <c r="BJE4" s="52">
        <f t="shared" si="84"/>
        <v>0</v>
      </c>
      <c r="BJF4" s="52">
        <f t="shared" si="84"/>
        <v>0</v>
      </c>
      <c r="BJG4" s="52">
        <f t="shared" si="84"/>
        <v>0</v>
      </c>
      <c r="BJH4" s="52">
        <f t="shared" si="84"/>
        <v>0</v>
      </c>
      <c r="BJI4" s="52">
        <f t="shared" si="84"/>
        <v>0</v>
      </c>
      <c r="BJJ4" s="52">
        <f t="shared" si="84"/>
        <v>0</v>
      </c>
      <c r="BJK4" s="52">
        <f t="shared" si="84"/>
        <v>0</v>
      </c>
      <c r="BJL4" s="52">
        <f t="shared" si="84"/>
        <v>0</v>
      </c>
      <c r="BJM4" s="52">
        <f t="shared" si="84"/>
        <v>0</v>
      </c>
      <c r="BJN4" s="52">
        <f t="shared" si="84"/>
        <v>0</v>
      </c>
      <c r="BJO4" s="52">
        <f t="shared" si="84"/>
        <v>0</v>
      </c>
      <c r="BJP4" s="52">
        <f t="shared" si="84"/>
        <v>0</v>
      </c>
      <c r="BJQ4" s="52">
        <f t="shared" si="84"/>
        <v>0</v>
      </c>
      <c r="BJR4" s="52">
        <f t="shared" si="84"/>
        <v>0</v>
      </c>
      <c r="BJS4" s="52">
        <f t="shared" si="84"/>
        <v>0</v>
      </c>
      <c r="BJT4" s="52">
        <f t="shared" si="84"/>
        <v>0</v>
      </c>
      <c r="BJU4" s="52">
        <f t="shared" si="84"/>
        <v>0</v>
      </c>
      <c r="BJV4" s="52">
        <f t="shared" si="84"/>
        <v>0</v>
      </c>
      <c r="BJW4" s="52">
        <f t="shared" si="84"/>
        <v>0</v>
      </c>
      <c r="BJX4" s="52">
        <f t="shared" si="84"/>
        <v>0</v>
      </c>
      <c r="BJY4" s="52">
        <f t="shared" si="84"/>
        <v>0</v>
      </c>
      <c r="BJZ4" s="52">
        <f t="shared" si="84"/>
        <v>0</v>
      </c>
      <c r="BKA4" s="52">
        <f t="shared" si="84"/>
        <v>0</v>
      </c>
      <c r="BKB4" s="52">
        <f t="shared" si="84"/>
        <v>0</v>
      </c>
      <c r="BKC4" s="52">
        <f t="shared" si="84"/>
        <v>0</v>
      </c>
      <c r="BKD4" s="52">
        <f t="shared" si="84"/>
        <v>0</v>
      </c>
      <c r="BKE4" s="52">
        <f t="shared" si="84"/>
        <v>0</v>
      </c>
      <c r="BKF4" s="52">
        <f t="shared" si="84"/>
        <v>0</v>
      </c>
      <c r="BKG4" s="52">
        <f t="shared" si="84"/>
        <v>0</v>
      </c>
      <c r="BKH4" s="52">
        <f t="shared" si="84"/>
        <v>0</v>
      </c>
      <c r="BKI4" s="52">
        <f t="shared" si="84"/>
        <v>0</v>
      </c>
      <c r="BKJ4" s="52">
        <f t="shared" si="84"/>
        <v>0</v>
      </c>
      <c r="BKK4" s="52">
        <f t="shared" si="84"/>
        <v>0</v>
      </c>
      <c r="BKL4" s="52">
        <f t="shared" si="84"/>
        <v>0</v>
      </c>
      <c r="BKM4" s="52">
        <f t="shared" si="84"/>
        <v>0</v>
      </c>
      <c r="BKN4" s="52">
        <f t="shared" si="84"/>
        <v>0</v>
      </c>
      <c r="BKO4" s="52">
        <f t="shared" ref="BKO4:BMZ4" si="85">SUBTOTAL(9,BKO6:BKO507)</f>
        <v>0</v>
      </c>
      <c r="BKP4" s="52">
        <f t="shared" si="85"/>
        <v>0</v>
      </c>
      <c r="BKQ4" s="52">
        <f t="shared" si="85"/>
        <v>0</v>
      </c>
      <c r="BKR4" s="52">
        <f t="shared" si="85"/>
        <v>0</v>
      </c>
      <c r="BKS4" s="52">
        <f t="shared" si="85"/>
        <v>0</v>
      </c>
      <c r="BKT4" s="52">
        <f t="shared" si="85"/>
        <v>0</v>
      </c>
      <c r="BKU4" s="52">
        <f t="shared" si="85"/>
        <v>0</v>
      </c>
      <c r="BKV4" s="52">
        <f t="shared" si="85"/>
        <v>0</v>
      </c>
      <c r="BKW4" s="52">
        <f t="shared" si="85"/>
        <v>0</v>
      </c>
      <c r="BKX4" s="52">
        <f t="shared" si="85"/>
        <v>0</v>
      </c>
      <c r="BKY4" s="52">
        <f t="shared" si="85"/>
        <v>0</v>
      </c>
      <c r="BKZ4" s="52">
        <f t="shared" si="85"/>
        <v>0</v>
      </c>
      <c r="BLA4" s="52">
        <f t="shared" si="85"/>
        <v>0</v>
      </c>
      <c r="BLB4" s="52">
        <f t="shared" si="85"/>
        <v>0</v>
      </c>
      <c r="BLC4" s="52">
        <f t="shared" si="85"/>
        <v>0</v>
      </c>
      <c r="BLD4" s="52">
        <f t="shared" si="85"/>
        <v>0</v>
      </c>
      <c r="BLE4" s="52">
        <f t="shared" si="85"/>
        <v>0</v>
      </c>
      <c r="BLF4" s="52">
        <f t="shared" si="85"/>
        <v>0</v>
      </c>
      <c r="BLG4" s="52">
        <f t="shared" si="85"/>
        <v>0</v>
      </c>
      <c r="BLH4" s="52">
        <f t="shared" si="85"/>
        <v>0</v>
      </c>
      <c r="BLI4" s="52">
        <f t="shared" si="85"/>
        <v>0</v>
      </c>
      <c r="BLJ4" s="52">
        <f t="shared" si="85"/>
        <v>0</v>
      </c>
      <c r="BLK4" s="52">
        <f t="shared" si="85"/>
        <v>0</v>
      </c>
      <c r="BLL4" s="52">
        <f t="shared" si="85"/>
        <v>0</v>
      </c>
      <c r="BLM4" s="52">
        <f t="shared" si="85"/>
        <v>0</v>
      </c>
      <c r="BLN4" s="52">
        <f t="shared" si="85"/>
        <v>0</v>
      </c>
      <c r="BLO4" s="52">
        <f t="shared" si="85"/>
        <v>0</v>
      </c>
      <c r="BLP4" s="52">
        <f t="shared" si="85"/>
        <v>0</v>
      </c>
      <c r="BLQ4" s="52">
        <f t="shared" si="85"/>
        <v>0</v>
      </c>
      <c r="BLR4" s="52">
        <f t="shared" si="85"/>
        <v>0</v>
      </c>
      <c r="BLS4" s="52">
        <f t="shared" si="85"/>
        <v>0</v>
      </c>
      <c r="BLT4" s="52">
        <f t="shared" si="85"/>
        <v>0</v>
      </c>
      <c r="BLU4" s="52">
        <f t="shared" si="85"/>
        <v>0</v>
      </c>
      <c r="BLV4" s="52">
        <f t="shared" si="85"/>
        <v>0</v>
      </c>
      <c r="BLW4" s="52">
        <f t="shared" si="85"/>
        <v>0</v>
      </c>
      <c r="BLX4" s="52">
        <f t="shared" si="85"/>
        <v>0</v>
      </c>
      <c r="BLY4" s="52">
        <f t="shared" si="85"/>
        <v>0</v>
      </c>
      <c r="BLZ4" s="52">
        <f t="shared" si="85"/>
        <v>0</v>
      </c>
      <c r="BMA4" s="52">
        <f t="shared" si="85"/>
        <v>0</v>
      </c>
      <c r="BMB4" s="52">
        <f t="shared" si="85"/>
        <v>0</v>
      </c>
      <c r="BMC4" s="52">
        <f t="shared" si="85"/>
        <v>0</v>
      </c>
      <c r="BMD4" s="52">
        <f t="shared" si="85"/>
        <v>0</v>
      </c>
      <c r="BME4" s="52">
        <f t="shared" si="85"/>
        <v>0</v>
      </c>
      <c r="BMF4" s="52">
        <f t="shared" si="85"/>
        <v>0</v>
      </c>
      <c r="BMG4" s="52">
        <f t="shared" si="85"/>
        <v>0</v>
      </c>
      <c r="BMH4" s="52">
        <f t="shared" si="85"/>
        <v>0</v>
      </c>
      <c r="BMI4" s="52">
        <f t="shared" si="85"/>
        <v>0</v>
      </c>
      <c r="BMJ4" s="52">
        <f t="shared" si="85"/>
        <v>0</v>
      </c>
      <c r="BMK4" s="52">
        <f t="shared" si="85"/>
        <v>0</v>
      </c>
      <c r="BML4" s="52">
        <f t="shared" si="85"/>
        <v>0</v>
      </c>
      <c r="BMM4" s="52">
        <f t="shared" si="85"/>
        <v>0</v>
      </c>
      <c r="BMN4" s="52">
        <f t="shared" si="85"/>
        <v>0</v>
      </c>
      <c r="BMO4" s="52">
        <f t="shared" si="85"/>
        <v>0</v>
      </c>
      <c r="BMP4" s="52">
        <f t="shared" si="85"/>
        <v>0</v>
      </c>
      <c r="BMQ4" s="52">
        <f t="shared" si="85"/>
        <v>0</v>
      </c>
      <c r="BMR4" s="52">
        <f t="shared" si="85"/>
        <v>0</v>
      </c>
      <c r="BMS4" s="52">
        <f t="shared" si="85"/>
        <v>0</v>
      </c>
      <c r="BMT4" s="52">
        <f t="shared" si="85"/>
        <v>0</v>
      </c>
      <c r="BMU4" s="52">
        <f t="shared" si="85"/>
        <v>0</v>
      </c>
      <c r="BMV4" s="52">
        <f t="shared" si="85"/>
        <v>0</v>
      </c>
      <c r="BMW4" s="52">
        <f t="shared" si="85"/>
        <v>0</v>
      </c>
      <c r="BMX4" s="52">
        <f t="shared" si="85"/>
        <v>0</v>
      </c>
      <c r="BMY4" s="52">
        <f t="shared" si="85"/>
        <v>0</v>
      </c>
      <c r="BMZ4" s="52">
        <f t="shared" si="85"/>
        <v>0</v>
      </c>
      <c r="BNA4" s="52">
        <f t="shared" ref="BNA4:BPL4" si="86">SUBTOTAL(9,BNA6:BNA507)</f>
        <v>0</v>
      </c>
      <c r="BNB4" s="52">
        <f t="shared" si="86"/>
        <v>0</v>
      </c>
      <c r="BNC4" s="52">
        <f t="shared" si="86"/>
        <v>0</v>
      </c>
      <c r="BND4" s="52">
        <f t="shared" si="86"/>
        <v>0</v>
      </c>
      <c r="BNE4" s="52">
        <f t="shared" si="86"/>
        <v>0</v>
      </c>
      <c r="BNF4" s="52">
        <f t="shared" si="86"/>
        <v>0</v>
      </c>
      <c r="BNG4" s="52">
        <f t="shared" si="86"/>
        <v>0</v>
      </c>
      <c r="BNH4" s="52">
        <f t="shared" si="86"/>
        <v>0</v>
      </c>
      <c r="BNI4" s="52">
        <f t="shared" si="86"/>
        <v>0</v>
      </c>
      <c r="BNJ4" s="52">
        <f t="shared" si="86"/>
        <v>0</v>
      </c>
      <c r="BNK4" s="52">
        <f t="shared" si="86"/>
        <v>0</v>
      </c>
      <c r="BNL4" s="52">
        <f t="shared" si="86"/>
        <v>0</v>
      </c>
      <c r="BNM4" s="52">
        <f t="shared" si="86"/>
        <v>0</v>
      </c>
      <c r="BNN4" s="52">
        <f t="shared" si="86"/>
        <v>0</v>
      </c>
      <c r="BNO4" s="52">
        <f t="shared" si="86"/>
        <v>0</v>
      </c>
      <c r="BNP4" s="52">
        <f t="shared" si="86"/>
        <v>0</v>
      </c>
      <c r="BNQ4" s="52">
        <f t="shared" si="86"/>
        <v>0</v>
      </c>
      <c r="BNR4" s="52">
        <f t="shared" si="86"/>
        <v>0</v>
      </c>
      <c r="BNS4" s="52">
        <f t="shared" si="86"/>
        <v>0</v>
      </c>
      <c r="BNT4" s="52">
        <f t="shared" si="86"/>
        <v>0</v>
      </c>
      <c r="BNU4" s="52">
        <f t="shared" si="86"/>
        <v>0</v>
      </c>
      <c r="BNV4" s="52">
        <f t="shared" si="86"/>
        <v>0</v>
      </c>
      <c r="BNW4" s="52">
        <f t="shared" si="86"/>
        <v>0</v>
      </c>
      <c r="BNX4" s="52">
        <f t="shared" si="86"/>
        <v>0</v>
      </c>
      <c r="BNY4" s="52">
        <f t="shared" si="86"/>
        <v>0</v>
      </c>
      <c r="BNZ4" s="52">
        <f t="shared" si="86"/>
        <v>0</v>
      </c>
      <c r="BOA4" s="52">
        <f t="shared" si="86"/>
        <v>0</v>
      </c>
      <c r="BOB4" s="52">
        <f t="shared" si="86"/>
        <v>0</v>
      </c>
      <c r="BOC4" s="52">
        <f t="shared" si="86"/>
        <v>0</v>
      </c>
      <c r="BOD4" s="52">
        <f t="shared" si="86"/>
        <v>0</v>
      </c>
      <c r="BOE4" s="52">
        <f t="shared" si="86"/>
        <v>0</v>
      </c>
      <c r="BOF4" s="52">
        <f t="shared" si="86"/>
        <v>0</v>
      </c>
      <c r="BOG4" s="52">
        <f t="shared" si="86"/>
        <v>0</v>
      </c>
      <c r="BOH4" s="52">
        <f t="shared" si="86"/>
        <v>0</v>
      </c>
      <c r="BOI4" s="52">
        <f t="shared" si="86"/>
        <v>0</v>
      </c>
      <c r="BOJ4" s="52">
        <f t="shared" si="86"/>
        <v>0</v>
      </c>
      <c r="BOK4" s="52">
        <f t="shared" si="86"/>
        <v>0</v>
      </c>
      <c r="BOL4" s="52">
        <f t="shared" si="86"/>
        <v>0</v>
      </c>
      <c r="BOM4" s="52">
        <f t="shared" si="86"/>
        <v>0</v>
      </c>
      <c r="BON4" s="52">
        <f t="shared" si="86"/>
        <v>0</v>
      </c>
      <c r="BOO4" s="52">
        <f t="shared" si="86"/>
        <v>0</v>
      </c>
      <c r="BOP4" s="52">
        <f t="shared" si="86"/>
        <v>0</v>
      </c>
      <c r="BOQ4" s="52">
        <f t="shared" si="86"/>
        <v>0</v>
      </c>
      <c r="BOR4" s="52">
        <f t="shared" si="86"/>
        <v>0</v>
      </c>
      <c r="BOS4" s="52">
        <f t="shared" si="86"/>
        <v>0</v>
      </c>
      <c r="BOT4" s="52">
        <f t="shared" si="86"/>
        <v>0</v>
      </c>
      <c r="BOU4" s="52">
        <f t="shared" si="86"/>
        <v>0</v>
      </c>
      <c r="BOV4" s="52">
        <f t="shared" si="86"/>
        <v>0</v>
      </c>
      <c r="BOW4" s="52">
        <f t="shared" si="86"/>
        <v>0</v>
      </c>
      <c r="BOX4" s="52">
        <f t="shared" si="86"/>
        <v>0</v>
      </c>
      <c r="BOY4" s="52">
        <f t="shared" si="86"/>
        <v>0</v>
      </c>
      <c r="BOZ4" s="52">
        <f t="shared" si="86"/>
        <v>0</v>
      </c>
      <c r="BPA4" s="52">
        <f t="shared" si="86"/>
        <v>0</v>
      </c>
      <c r="BPB4" s="52">
        <f t="shared" si="86"/>
        <v>0</v>
      </c>
      <c r="BPC4" s="52">
        <f t="shared" si="86"/>
        <v>0</v>
      </c>
      <c r="BPD4" s="52">
        <f t="shared" si="86"/>
        <v>0</v>
      </c>
      <c r="BPE4" s="52">
        <f t="shared" si="86"/>
        <v>0</v>
      </c>
      <c r="BPF4" s="52">
        <f t="shared" si="86"/>
        <v>0</v>
      </c>
      <c r="BPG4" s="52">
        <f t="shared" si="86"/>
        <v>0</v>
      </c>
      <c r="BPH4" s="52">
        <f t="shared" si="86"/>
        <v>0</v>
      </c>
      <c r="BPI4" s="52">
        <f t="shared" si="86"/>
        <v>0</v>
      </c>
      <c r="BPJ4" s="52">
        <f t="shared" si="86"/>
        <v>0</v>
      </c>
      <c r="BPK4" s="52">
        <f t="shared" si="86"/>
        <v>0</v>
      </c>
      <c r="BPL4" s="52">
        <f t="shared" si="86"/>
        <v>0</v>
      </c>
      <c r="BPM4" s="52">
        <f t="shared" ref="BPM4:BRX4" si="87">SUBTOTAL(9,BPM6:BPM507)</f>
        <v>0</v>
      </c>
      <c r="BPN4" s="52">
        <f t="shared" si="87"/>
        <v>0</v>
      </c>
      <c r="BPO4" s="52">
        <f t="shared" si="87"/>
        <v>0</v>
      </c>
      <c r="BPP4" s="52">
        <f t="shared" si="87"/>
        <v>0</v>
      </c>
      <c r="BPQ4" s="52">
        <f t="shared" si="87"/>
        <v>0</v>
      </c>
      <c r="BPR4" s="52">
        <f t="shared" si="87"/>
        <v>0</v>
      </c>
      <c r="BPS4" s="52">
        <f t="shared" si="87"/>
        <v>0</v>
      </c>
      <c r="BPT4" s="52">
        <f t="shared" si="87"/>
        <v>0</v>
      </c>
      <c r="BPU4" s="52">
        <f t="shared" si="87"/>
        <v>0</v>
      </c>
      <c r="BPV4" s="52">
        <f t="shared" si="87"/>
        <v>0</v>
      </c>
      <c r="BPW4" s="52">
        <f t="shared" si="87"/>
        <v>0</v>
      </c>
      <c r="BPX4" s="52">
        <f t="shared" si="87"/>
        <v>0</v>
      </c>
      <c r="BPY4" s="52">
        <f t="shared" si="87"/>
        <v>0</v>
      </c>
      <c r="BPZ4" s="52">
        <f t="shared" si="87"/>
        <v>0</v>
      </c>
      <c r="BQA4" s="52">
        <f t="shared" si="87"/>
        <v>0</v>
      </c>
      <c r="BQB4" s="52">
        <f t="shared" si="87"/>
        <v>0</v>
      </c>
      <c r="BQC4" s="52">
        <f t="shared" si="87"/>
        <v>0</v>
      </c>
      <c r="BQD4" s="52">
        <f t="shared" si="87"/>
        <v>0</v>
      </c>
      <c r="BQE4" s="52">
        <f t="shared" si="87"/>
        <v>0</v>
      </c>
      <c r="BQF4" s="52">
        <f t="shared" si="87"/>
        <v>0</v>
      </c>
      <c r="BQG4" s="52">
        <f t="shared" si="87"/>
        <v>0</v>
      </c>
      <c r="BQH4" s="52">
        <f t="shared" si="87"/>
        <v>0</v>
      </c>
      <c r="BQI4" s="52">
        <f t="shared" si="87"/>
        <v>0</v>
      </c>
      <c r="BQJ4" s="52">
        <f t="shared" si="87"/>
        <v>0</v>
      </c>
      <c r="BQK4" s="52">
        <f t="shared" si="87"/>
        <v>0</v>
      </c>
      <c r="BQL4" s="52">
        <f t="shared" si="87"/>
        <v>0</v>
      </c>
      <c r="BQM4" s="52">
        <f t="shared" si="87"/>
        <v>0</v>
      </c>
      <c r="BQN4" s="52">
        <f t="shared" si="87"/>
        <v>0</v>
      </c>
      <c r="BQO4" s="52">
        <f t="shared" si="87"/>
        <v>0</v>
      </c>
      <c r="BQP4" s="52">
        <f t="shared" si="87"/>
        <v>0</v>
      </c>
      <c r="BQQ4" s="52">
        <f t="shared" si="87"/>
        <v>0</v>
      </c>
      <c r="BQR4" s="52">
        <f t="shared" si="87"/>
        <v>0</v>
      </c>
      <c r="BQS4" s="52">
        <f t="shared" si="87"/>
        <v>0</v>
      </c>
      <c r="BQT4" s="52">
        <f t="shared" si="87"/>
        <v>0</v>
      </c>
      <c r="BQU4" s="52">
        <f t="shared" si="87"/>
        <v>0</v>
      </c>
      <c r="BQV4" s="52">
        <f t="shared" si="87"/>
        <v>0</v>
      </c>
      <c r="BQW4" s="52">
        <f t="shared" si="87"/>
        <v>0</v>
      </c>
      <c r="BQX4" s="52">
        <f t="shared" si="87"/>
        <v>0</v>
      </c>
      <c r="BQY4" s="52">
        <f t="shared" si="87"/>
        <v>0</v>
      </c>
      <c r="BQZ4" s="52">
        <f t="shared" si="87"/>
        <v>0</v>
      </c>
      <c r="BRA4" s="52">
        <f t="shared" si="87"/>
        <v>0</v>
      </c>
      <c r="BRB4" s="52">
        <f t="shared" si="87"/>
        <v>0</v>
      </c>
      <c r="BRC4" s="52">
        <f t="shared" si="87"/>
        <v>0</v>
      </c>
      <c r="BRD4" s="52">
        <f t="shared" si="87"/>
        <v>0</v>
      </c>
      <c r="BRE4" s="52">
        <f t="shared" si="87"/>
        <v>0</v>
      </c>
      <c r="BRF4" s="52">
        <f t="shared" si="87"/>
        <v>0</v>
      </c>
      <c r="BRG4" s="52">
        <f t="shared" si="87"/>
        <v>0</v>
      </c>
      <c r="BRH4" s="52">
        <f t="shared" si="87"/>
        <v>0</v>
      </c>
      <c r="BRI4" s="52">
        <f t="shared" si="87"/>
        <v>0</v>
      </c>
      <c r="BRJ4" s="52">
        <f t="shared" si="87"/>
        <v>0</v>
      </c>
      <c r="BRK4" s="52">
        <f t="shared" si="87"/>
        <v>0</v>
      </c>
      <c r="BRL4" s="52">
        <f t="shared" si="87"/>
        <v>0</v>
      </c>
      <c r="BRM4" s="52">
        <f t="shared" si="87"/>
        <v>0</v>
      </c>
      <c r="BRN4" s="52">
        <f t="shared" si="87"/>
        <v>0</v>
      </c>
      <c r="BRO4" s="52">
        <f t="shared" si="87"/>
        <v>0</v>
      </c>
      <c r="BRP4" s="52">
        <f t="shared" si="87"/>
        <v>0</v>
      </c>
      <c r="BRQ4" s="52">
        <f t="shared" si="87"/>
        <v>0</v>
      </c>
      <c r="BRR4" s="52">
        <f t="shared" si="87"/>
        <v>0</v>
      </c>
      <c r="BRS4" s="52">
        <f t="shared" si="87"/>
        <v>0</v>
      </c>
      <c r="BRT4" s="52">
        <f t="shared" si="87"/>
        <v>0</v>
      </c>
      <c r="BRU4" s="52">
        <f t="shared" si="87"/>
        <v>0</v>
      </c>
      <c r="BRV4" s="52">
        <f t="shared" si="87"/>
        <v>0</v>
      </c>
      <c r="BRW4" s="52">
        <f t="shared" si="87"/>
        <v>0</v>
      </c>
      <c r="BRX4" s="52">
        <f t="shared" si="87"/>
        <v>0</v>
      </c>
      <c r="BRY4" s="52">
        <f t="shared" ref="BRY4:BUJ4" si="88">SUBTOTAL(9,BRY6:BRY507)</f>
        <v>0</v>
      </c>
      <c r="BRZ4" s="52">
        <f t="shared" si="88"/>
        <v>0</v>
      </c>
      <c r="BSA4" s="52">
        <f t="shared" si="88"/>
        <v>0</v>
      </c>
      <c r="BSB4" s="52">
        <f t="shared" si="88"/>
        <v>0</v>
      </c>
      <c r="BSC4" s="52">
        <f t="shared" si="88"/>
        <v>0</v>
      </c>
      <c r="BSD4" s="52">
        <f t="shared" si="88"/>
        <v>0</v>
      </c>
      <c r="BSE4" s="52">
        <f t="shared" si="88"/>
        <v>0</v>
      </c>
      <c r="BSF4" s="52">
        <f t="shared" si="88"/>
        <v>0</v>
      </c>
      <c r="BSG4" s="52">
        <f t="shared" si="88"/>
        <v>0</v>
      </c>
      <c r="BSH4" s="52">
        <f t="shared" si="88"/>
        <v>0</v>
      </c>
      <c r="BSI4" s="52">
        <f t="shared" si="88"/>
        <v>0</v>
      </c>
      <c r="BSJ4" s="52">
        <f t="shared" si="88"/>
        <v>0</v>
      </c>
      <c r="BSK4" s="52">
        <f t="shared" si="88"/>
        <v>0</v>
      </c>
      <c r="BSL4" s="52">
        <f t="shared" si="88"/>
        <v>0</v>
      </c>
      <c r="BSM4" s="52">
        <f t="shared" si="88"/>
        <v>0</v>
      </c>
      <c r="BSN4" s="52">
        <f t="shared" si="88"/>
        <v>0</v>
      </c>
      <c r="BSO4" s="52">
        <f t="shared" si="88"/>
        <v>0</v>
      </c>
      <c r="BSP4" s="52">
        <f t="shared" si="88"/>
        <v>0</v>
      </c>
      <c r="BSQ4" s="52">
        <f t="shared" si="88"/>
        <v>0</v>
      </c>
      <c r="BSR4" s="52">
        <f t="shared" si="88"/>
        <v>0</v>
      </c>
      <c r="BSS4" s="52">
        <f t="shared" si="88"/>
        <v>0</v>
      </c>
      <c r="BST4" s="52">
        <f t="shared" si="88"/>
        <v>0</v>
      </c>
      <c r="BSU4" s="52">
        <f t="shared" si="88"/>
        <v>0</v>
      </c>
      <c r="BSV4" s="52">
        <f t="shared" si="88"/>
        <v>0</v>
      </c>
      <c r="BSW4" s="52">
        <f t="shared" si="88"/>
        <v>0</v>
      </c>
      <c r="BSX4" s="52">
        <f t="shared" si="88"/>
        <v>0</v>
      </c>
      <c r="BSY4" s="52">
        <f t="shared" si="88"/>
        <v>0</v>
      </c>
      <c r="BSZ4" s="52">
        <f t="shared" si="88"/>
        <v>0</v>
      </c>
      <c r="BTA4" s="52">
        <f t="shared" si="88"/>
        <v>0</v>
      </c>
      <c r="BTB4" s="52">
        <f t="shared" si="88"/>
        <v>0</v>
      </c>
      <c r="BTC4" s="52">
        <f t="shared" si="88"/>
        <v>0</v>
      </c>
      <c r="BTD4" s="52">
        <f t="shared" si="88"/>
        <v>0</v>
      </c>
      <c r="BTE4" s="52">
        <f t="shared" si="88"/>
        <v>0</v>
      </c>
      <c r="BTF4" s="52">
        <f t="shared" si="88"/>
        <v>0</v>
      </c>
      <c r="BTG4" s="52">
        <f t="shared" si="88"/>
        <v>0</v>
      </c>
      <c r="BTH4" s="52">
        <f t="shared" si="88"/>
        <v>0</v>
      </c>
      <c r="BTI4" s="52">
        <f t="shared" si="88"/>
        <v>0</v>
      </c>
      <c r="BTJ4" s="52">
        <f t="shared" si="88"/>
        <v>0</v>
      </c>
      <c r="BTK4" s="52">
        <f t="shared" si="88"/>
        <v>0</v>
      </c>
      <c r="BTL4" s="52">
        <f t="shared" si="88"/>
        <v>0</v>
      </c>
      <c r="BTM4" s="52">
        <f t="shared" si="88"/>
        <v>0</v>
      </c>
      <c r="BTN4" s="52">
        <f t="shared" si="88"/>
        <v>0</v>
      </c>
      <c r="BTO4" s="52">
        <f t="shared" si="88"/>
        <v>0</v>
      </c>
      <c r="BTP4" s="52">
        <f t="shared" si="88"/>
        <v>0</v>
      </c>
      <c r="BTQ4" s="52">
        <f t="shared" si="88"/>
        <v>0</v>
      </c>
      <c r="BTR4" s="52">
        <f t="shared" si="88"/>
        <v>0</v>
      </c>
      <c r="BTS4" s="52">
        <f t="shared" si="88"/>
        <v>0</v>
      </c>
      <c r="BTT4" s="52">
        <f t="shared" si="88"/>
        <v>0</v>
      </c>
      <c r="BTU4" s="52">
        <f t="shared" si="88"/>
        <v>0</v>
      </c>
      <c r="BTV4" s="52">
        <f t="shared" si="88"/>
        <v>0</v>
      </c>
      <c r="BTW4" s="52">
        <f t="shared" si="88"/>
        <v>0</v>
      </c>
      <c r="BTX4" s="52">
        <f t="shared" si="88"/>
        <v>0</v>
      </c>
      <c r="BTY4" s="52">
        <f t="shared" si="88"/>
        <v>0</v>
      </c>
      <c r="BTZ4" s="52">
        <f t="shared" si="88"/>
        <v>0</v>
      </c>
      <c r="BUA4" s="52">
        <f t="shared" si="88"/>
        <v>0</v>
      </c>
      <c r="BUB4" s="52">
        <f t="shared" si="88"/>
        <v>0</v>
      </c>
      <c r="BUC4" s="52">
        <f t="shared" si="88"/>
        <v>0</v>
      </c>
      <c r="BUD4" s="52">
        <f t="shared" si="88"/>
        <v>0</v>
      </c>
      <c r="BUE4" s="52">
        <f t="shared" si="88"/>
        <v>0</v>
      </c>
      <c r="BUF4" s="52">
        <f t="shared" si="88"/>
        <v>0</v>
      </c>
      <c r="BUG4" s="52">
        <f t="shared" si="88"/>
        <v>0</v>
      </c>
      <c r="BUH4" s="52">
        <f t="shared" si="88"/>
        <v>0</v>
      </c>
      <c r="BUI4" s="52">
        <f t="shared" si="88"/>
        <v>0</v>
      </c>
      <c r="BUJ4" s="52">
        <f t="shared" si="88"/>
        <v>0</v>
      </c>
      <c r="BUK4" s="52">
        <f t="shared" ref="BUK4:BWV4" si="89">SUBTOTAL(9,BUK6:BUK507)</f>
        <v>0</v>
      </c>
      <c r="BUL4" s="52">
        <f t="shared" si="89"/>
        <v>0</v>
      </c>
      <c r="BUM4" s="52">
        <f t="shared" si="89"/>
        <v>0</v>
      </c>
      <c r="BUN4" s="52">
        <f t="shared" si="89"/>
        <v>0</v>
      </c>
      <c r="BUO4" s="52">
        <f t="shared" si="89"/>
        <v>0</v>
      </c>
      <c r="BUP4" s="52">
        <f t="shared" si="89"/>
        <v>0</v>
      </c>
      <c r="BUQ4" s="52">
        <f t="shared" si="89"/>
        <v>0</v>
      </c>
      <c r="BUR4" s="52">
        <f t="shared" si="89"/>
        <v>0</v>
      </c>
      <c r="BUS4" s="52">
        <f t="shared" si="89"/>
        <v>0</v>
      </c>
      <c r="BUT4" s="52">
        <f t="shared" si="89"/>
        <v>0</v>
      </c>
      <c r="BUU4" s="52">
        <f t="shared" si="89"/>
        <v>0</v>
      </c>
      <c r="BUV4" s="52">
        <f t="shared" si="89"/>
        <v>0</v>
      </c>
      <c r="BUW4" s="52">
        <f t="shared" si="89"/>
        <v>0</v>
      </c>
      <c r="BUX4" s="52">
        <f t="shared" si="89"/>
        <v>0</v>
      </c>
      <c r="BUY4" s="52">
        <f t="shared" si="89"/>
        <v>0</v>
      </c>
      <c r="BUZ4" s="52">
        <f t="shared" si="89"/>
        <v>0</v>
      </c>
      <c r="BVA4" s="52">
        <f t="shared" si="89"/>
        <v>0</v>
      </c>
      <c r="BVB4" s="52">
        <f t="shared" si="89"/>
        <v>0</v>
      </c>
      <c r="BVC4" s="52">
        <f t="shared" si="89"/>
        <v>0</v>
      </c>
      <c r="BVD4" s="52">
        <f t="shared" si="89"/>
        <v>0</v>
      </c>
      <c r="BVE4" s="52">
        <f t="shared" si="89"/>
        <v>0</v>
      </c>
      <c r="BVF4" s="52">
        <f t="shared" si="89"/>
        <v>0</v>
      </c>
      <c r="BVG4" s="52">
        <f t="shared" si="89"/>
        <v>0</v>
      </c>
      <c r="BVH4" s="52">
        <f t="shared" si="89"/>
        <v>0</v>
      </c>
      <c r="BVI4" s="52">
        <f t="shared" si="89"/>
        <v>0</v>
      </c>
      <c r="BVJ4" s="52">
        <f t="shared" si="89"/>
        <v>0</v>
      </c>
      <c r="BVK4" s="52">
        <f t="shared" si="89"/>
        <v>0</v>
      </c>
      <c r="BVL4" s="52">
        <f t="shared" si="89"/>
        <v>0</v>
      </c>
      <c r="BVM4" s="52">
        <f t="shared" si="89"/>
        <v>0</v>
      </c>
      <c r="BVN4" s="52">
        <f t="shared" si="89"/>
        <v>0</v>
      </c>
      <c r="BVO4" s="52">
        <f t="shared" si="89"/>
        <v>0</v>
      </c>
      <c r="BVP4" s="52">
        <f t="shared" si="89"/>
        <v>0</v>
      </c>
      <c r="BVQ4" s="52">
        <f t="shared" si="89"/>
        <v>0</v>
      </c>
      <c r="BVR4" s="52">
        <f t="shared" si="89"/>
        <v>0</v>
      </c>
      <c r="BVS4" s="52">
        <f t="shared" si="89"/>
        <v>0</v>
      </c>
      <c r="BVT4" s="52">
        <f t="shared" si="89"/>
        <v>0</v>
      </c>
      <c r="BVU4" s="52">
        <f t="shared" si="89"/>
        <v>0</v>
      </c>
      <c r="BVV4" s="52">
        <f t="shared" si="89"/>
        <v>0</v>
      </c>
      <c r="BVW4" s="52">
        <f t="shared" si="89"/>
        <v>0</v>
      </c>
      <c r="BVX4" s="52">
        <f t="shared" si="89"/>
        <v>0</v>
      </c>
      <c r="BVY4" s="52">
        <f t="shared" si="89"/>
        <v>0</v>
      </c>
      <c r="BVZ4" s="52">
        <f t="shared" si="89"/>
        <v>0</v>
      </c>
      <c r="BWA4" s="52">
        <f t="shared" si="89"/>
        <v>0</v>
      </c>
      <c r="BWB4" s="52">
        <f t="shared" si="89"/>
        <v>0</v>
      </c>
      <c r="BWC4" s="52">
        <f t="shared" si="89"/>
        <v>0</v>
      </c>
      <c r="BWD4" s="52">
        <f t="shared" si="89"/>
        <v>0</v>
      </c>
      <c r="BWE4" s="52">
        <f t="shared" si="89"/>
        <v>0</v>
      </c>
      <c r="BWF4" s="52">
        <f t="shared" si="89"/>
        <v>0</v>
      </c>
      <c r="BWG4" s="52">
        <f t="shared" si="89"/>
        <v>0</v>
      </c>
      <c r="BWH4" s="52">
        <f t="shared" si="89"/>
        <v>0</v>
      </c>
      <c r="BWI4" s="52">
        <f t="shared" si="89"/>
        <v>0</v>
      </c>
      <c r="BWJ4" s="52">
        <f t="shared" si="89"/>
        <v>0</v>
      </c>
      <c r="BWK4" s="52">
        <f t="shared" si="89"/>
        <v>0</v>
      </c>
      <c r="BWL4" s="52">
        <f t="shared" si="89"/>
        <v>0</v>
      </c>
      <c r="BWM4" s="52">
        <f t="shared" si="89"/>
        <v>0</v>
      </c>
      <c r="BWN4" s="52">
        <f t="shared" si="89"/>
        <v>0</v>
      </c>
      <c r="BWO4" s="52">
        <f t="shared" si="89"/>
        <v>0</v>
      </c>
      <c r="BWP4" s="52">
        <f t="shared" si="89"/>
        <v>0</v>
      </c>
      <c r="BWQ4" s="52">
        <f t="shared" si="89"/>
        <v>0</v>
      </c>
      <c r="BWR4" s="52">
        <f t="shared" si="89"/>
        <v>0</v>
      </c>
      <c r="BWS4" s="52">
        <f t="shared" si="89"/>
        <v>0</v>
      </c>
      <c r="BWT4" s="52">
        <f t="shared" si="89"/>
        <v>0</v>
      </c>
      <c r="BWU4" s="52">
        <f t="shared" si="89"/>
        <v>0</v>
      </c>
      <c r="BWV4" s="52">
        <f t="shared" si="89"/>
        <v>0</v>
      </c>
      <c r="BWW4" s="52">
        <f t="shared" ref="BWW4:BZH4" si="90">SUBTOTAL(9,BWW6:BWW507)</f>
        <v>0</v>
      </c>
      <c r="BWX4" s="52">
        <f t="shared" si="90"/>
        <v>0</v>
      </c>
      <c r="BWY4" s="52">
        <f t="shared" si="90"/>
        <v>0</v>
      </c>
      <c r="BWZ4" s="52">
        <f t="shared" si="90"/>
        <v>0</v>
      </c>
      <c r="BXA4" s="52">
        <f t="shared" si="90"/>
        <v>0</v>
      </c>
      <c r="BXB4" s="52">
        <f t="shared" si="90"/>
        <v>0</v>
      </c>
      <c r="BXC4" s="52">
        <f t="shared" si="90"/>
        <v>0</v>
      </c>
      <c r="BXD4" s="52">
        <f t="shared" si="90"/>
        <v>0</v>
      </c>
      <c r="BXE4" s="52">
        <f t="shared" si="90"/>
        <v>0</v>
      </c>
      <c r="BXF4" s="52">
        <f t="shared" si="90"/>
        <v>0</v>
      </c>
      <c r="BXG4" s="52">
        <f t="shared" si="90"/>
        <v>0</v>
      </c>
      <c r="BXH4" s="52">
        <f t="shared" si="90"/>
        <v>0</v>
      </c>
      <c r="BXI4" s="52">
        <f t="shared" si="90"/>
        <v>0</v>
      </c>
      <c r="BXJ4" s="52">
        <f t="shared" si="90"/>
        <v>0</v>
      </c>
      <c r="BXK4" s="52">
        <f t="shared" si="90"/>
        <v>0</v>
      </c>
      <c r="BXL4" s="52">
        <f t="shared" si="90"/>
        <v>0</v>
      </c>
      <c r="BXM4" s="52">
        <f t="shared" si="90"/>
        <v>0</v>
      </c>
      <c r="BXN4" s="52">
        <f t="shared" si="90"/>
        <v>0</v>
      </c>
      <c r="BXO4" s="52">
        <f t="shared" si="90"/>
        <v>0</v>
      </c>
      <c r="BXP4" s="52">
        <f t="shared" si="90"/>
        <v>0</v>
      </c>
      <c r="BXQ4" s="52">
        <f t="shared" si="90"/>
        <v>0</v>
      </c>
      <c r="BXR4" s="52">
        <f t="shared" si="90"/>
        <v>0</v>
      </c>
      <c r="BXS4" s="52">
        <f t="shared" si="90"/>
        <v>0</v>
      </c>
      <c r="BXT4" s="52">
        <f t="shared" si="90"/>
        <v>0</v>
      </c>
      <c r="BXU4" s="52">
        <f t="shared" si="90"/>
        <v>0</v>
      </c>
      <c r="BXV4" s="52">
        <f t="shared" si="90"/>
        <v>0</v>
      </c>
      <c r="BXW4" s="52">
        <f t="shared" si="90"/>
        <v>0</v>
      </c>
      <c r="BXX4" s="52">
        <f t="shared" si="90"/>
        <v>0</v>
      </c>
      <c r="BXY4" s="52">
        <f t="shared" si="90"/>
        <v>0</v>
      </c>
      <c r="BXZ4" s="52">
        <f t="shared" si="90"/>
        <v>0</v>
      </c>
      <c r="BYA4" s="52">
        <f t="shared" si="90"/>
        <v>0</v>
      </c>
      <c r="BYB4" s="52">
        <f t="shared" si="90"/>
        <v>0</v>
      </c>
      <c r="BYC4" s="52">
        <f t="shared" si="90"/>
        <v>0</v>
      </c>
      <c r="BYD4" s="52">
        <f t="shared" si="90"/>
        <v>0</v>
      </c>
      <c r="BYE4" s="52">
        <f t="shared" si="90"/>
        <v>0</v>
      </c>
      <c r="BYF4" s="52">
        <f t="shared" si="90"/>
        <v>0</v>
      </c>
      <c r="BYG4" s="52">
        <f t="shared" si="90"/>
        <v>0</v>
      </c>
      <c r="BYH4" s="52">
        <f t="shared" si="90"/>
        <v>0</v>
      </c>
      <c r="BYI4" s="52">
        <f t="shared" si="90"/>
        <v>0</v>
      </c>
      <c r="BYJ4" s="52">
        <f t="shared" si="90"/>
        <v>0</v>
      </c>
      <c r="BYK4" s="52">
        <f t="shared" si="90"/>
        <v>0</v>
      </c>
      <c r="BYL4" s="52">
        <f t="shared" si="90"/>
        <v>0</v>
      </c>
      <c r="BYM4" s="52">
        <f t="shared" si="90"/>
        <v>0</v>
      </c>
      <c r="BYN4" s="52">
        <f t="shared" si="90"/>
        <v>0</v>
      </c>
      <c r="BYO4" s="52">
        <f t="shared" si="90"/>
        <v>0</v>
      </c>
      <c r="BYP4" s="52">
        <f t="shared" si="90"/>
        <v>0</v>
      </c>
      <c r="BYQ4" s="52">
        <f t="shared" si="90"/>
        <v>0</v>
      </c>
      <c r="BYR4" s="52">
        <f t="shared" si="90"/>
        <v>0</v>
      </c>
      <c r="BYS4" s="52">
        <f t="shared" si="90"/>
        <v>0</v>
      </c>
      <c r="BYT4" s="52">
        <f t="shared" si="90"/>
        <v>0</v>
      </c>
      <c r="BYU4" s="52">
        <f t="shared" si="90"/>
        <v>0</v>
      </c>
      <c r="BYV4" s="52">
        <f t="shared" si="90"/>
        <v>0</v>
      </c>
      <c r="BYW4" s="52">
        <f t="shared" si="90"/>
        <v>0</v>
      </c>
      <c r="BYX4" s="52">
        <f t="shared" si="90"/>
        <v>0</v>
      </c>
      <c r="BYY4" s="52">
        <f t="shared" si="90"/>
        <v>0</v>
      </c>
      <c r="BYZ4" s="52">
        <f t="shared" si="90"/>
        <v>0</v>
      </c>
      <c r="BZA4" s="52">
        <f t="shared" si="90"/>
        <v>0</v>
      </c>
      <c r="BZB4" s="52">
        <f t="shared" si="90"/>
        <v>0</v>
      </c>
      <c r="BZC4" s="52">
        <f t="shared" si="90"/>
        <v>0</v>
      </c>
      <c r="BZD4" s="52">
        <f t="shared" si="90"/>
        <v>0</v>
      </c>
      <c r="BZE4" s="52">
        <f t="shared" si="90"/>
        <v>0</v>
      </c>
      <c r="BZF4" s="52">
        <f t="shared" si="90"/>
        <v>0</v>
      </c>
      <c r="BZG4" s="52">
        <f t="shared" si="90"/>
        <v>0</v>
      </c>
      <c r="BZH4" s="52">
        <f t="shared" si="90"/>
        <v>0</v>
      </c>
      <c r="BZI4" s="52">
        <f t="shared" ref="BZI4:CBT4" si="91">SUBTOTAL(9,BZI6:BZI507)</f>
        <v>0</v>
      </c>
      <c r="BZJ4" s="52">
        <f t="shared" si="91"/>
        <v>0</v>
      </c>
      <c r="BZK4" s="52">
        <f t="shared" si="91"/>
        <v>0</v>
      </c>
      <c r="BZL4" s="52">
        <f t="shared" si="91"/>
        <v>0</v>
      </c>
      <c r="BZM4" s="52">
        <f t="shared" si="91"/>
        <v>0</v>
      </c>
      <c r="BZN4" s="52">
        <f t="shared" si="91"/>
        <v>0</v>
      </c>
      <c r="BZO4" s="52">
        <f t="shared" si="91"/>
        <v>0</v>
      </c>
      <c r="BZP4" s="52">
        <f t="shared" si="91"/>
        <v>0</v>
      </c>
      <c r="BZQ4" s="52">
        <f t="shared" si="91"/>
        <v>0</v>
      </c>
      <c r="BZR4" s="52">
        <f t="shared" si="91"/>
        <v>0</v>
      </c>
      <c r="BZS4" s="52">
        <f t="shared" si="91"/>
        <v>0</v>
      </c>
      <c r="BZT4" s="52">
        <f t="shared" si="91"/>
        <v>0</v>
      </c>
      <c r="BZU4" s="52">
        <f t="shared" si="91"/>
        <v>0</v>
      </c>
      <c r="BZV4" s="52">
        <f t="shared" si="91"/>
        <v>0</v>
      </c>
      <c r="BZW4" s="52">
        <f t="shared" si="91"/>
        <v>0</v>
      </c>
      <c r="BZX4" s="52">
        <f t="shared" si="91"/>
        <v>0</v>
      </c>
      <c r="BZY4" s="52">
        <f t="shared" si="91"/>
        <v>0</v>
      </c>
      <c r="BZZ4" s="52">
        <f t="shared" si="91"/>
        <v>0</v>
      </c>
      <c r="CAA4" s="52">
        <f t="shared" si="91"/>
        <v>0</v>
      </c>
      <c r="CAB4" s="52">
        <f t="shared" si="91"/>
        <v>0</v>
      </c>
      <c r="CAC4" s="52">
        <f t="shared" si="91"/>
        <v>0</v>
      </c>
      <c r="CAD4" s="52">
        <f t="shared" si="91"/>
        <v>0</v>
      </c>
      <c r="CAE4" s="52">
        <f t="shared" si="91"/>
        <v>0</v>
      </c>
      <c r="CAF4" s="52">
        <f t="shared" si="91"/>
        <v>0</v>
      </c>
      <c r="CAG4" s="52">
        <f t="shared" si="91"/>
        <v>0</v>
      </c>
      <c r="CAH4" s="52">
        <f t="shared" si="91"/>
        <v>0</v>
      </c>
      <c r="CAI4" s="52">
        <f t="shared" si="91"/>
        <v>0</v>
      </c>
      <c r="CAJ4" s="52">
        <f t="shared" si="91"/>
        <v>0</v>
      </c>
      <c r="CAK4" s="52">
        <f t="shared" si="91"/>
        <v>0</v>
      </c>
      <c r="CAL4" s="52">
        <f t="shared" si="91"/>
        <v>0</v>
      </c>
      <c r="CAM4" s="52">
        <f t="shared" si="91"/>
        <v>0</v>
      </c>
      <c r="CAN4" s="52">
        <f t="shared" si="91"/>
        <v>0</v>
      </c>
      <c r="CAO4" s="52">
        <f t="shared" si="91"/>
        <v>0</v>
      </c>
      <c r="CAP4" s="52">
        <f t="shared" si="91"/>
        <v>0</v>
      </c>
      <c r="CAQ4" s="52">
        <f t="shared" si="91"/>
        <v>0</v>
      </c>
      <c r="CAR4" s="52">
        <f t="shared" si="91"/>
        <v>0</v>
      </c>
      <c r="CAS4" s="52">
        <f t="shared" si="91"/>
        <v>0</v>
      </c>
      <c r="CAT4" s="52">
        <f t="shared" si="91"/>
        <v>0</v>
      </c>
      <c r="CAU4" s="52">
        <f t="shared" si="91"/>
        <v>0</v>
      </c>
      <c r="CAV4" s="52">
        <f t="shared" si="91"/>
        <v>0</v>
      </c>
      <c r="CAW4" s="52">
        <f t="shared" si="91"/>
        <v>0</v>
      </c>
      <c r="CAX4" s="52">
        <f t="shared" si="91"/>
        <v>0</v>
      </c>
      <c r="CAY4" s="52">
        <f t="shared" si="91"/>
        <v>0</v>
      </c>
      <c r="CAZ4" s="52">
        <f t="shared" si="91"/>
        <v>0</v>
      </c>
      <c r="CBA4" s="52">
        <f t="shared" si="91"/>
        <v>0</v>
      </c>
      <c r="CBB4" s="52">
        <f t="shared" si="91"/>
        <v>0</v>
      </c>
      <c r="CBC4" s="52">
        <f t="shared" si="91"/>
        <v>0</v>
      </c>
      <c r="CBD4" s="52">
        <f t="shared" si="91"/>
        <v>0</v>
      </c>
      <c r="CBE4" s="52">
        <f t="shared" si="91"/>
        <v>0</v>
      </c>
      <c r="CBF4" s="52">
        <f t="shared" si="91"/>
        <v>0</v>
      </c>
      <c r="CBG4" s="52">
        <f t="shared" si="91"/>
        <v>0</v>
      </c>
      <c r="CBH4" s="52">
        <f t="shared" si="91"/>
        <v>0</v>
      </c>
      <c r="CBI4" s="52">
        <f t="shared" si="91"/>
        <v>0</v>
      </c>
      <c r="CBJ4" s="52">
        <f t="shared" si="91"/>
        <v>0</v>
      </c>
      <c r="CBK4" s="52">
        <f t="shared" si="91"/>
        <v>0</v>
      </c>
      <c r="CBL4" s="52">
        <f t="shared" si="91"/>
        <v>0</v>
      </c>
      <c r="CBM4" s="52">
        <f t="shared" si="91"/>
        <v>0</v>
      </c>
      <c r="CBN4" s="52">
        <f t="shared" si="91"/>
        <v>0</v>
      </c>
      <c r="CBO4" s="52">
        <f t="shared" si="91"/>
        <v>0</v>
      </c>
      <c r="CBP4" s="52">
        <f t="shared" si="91"/>
        <v>0</v>
      </c>
      <c r="CBQ4" s="52">
        <f t="shared" si="91"/>
        <v>0</v>
      </c>
      <c r="CBR4" s="52">
        <f t="shared" si="91"/>
        <v>0</v>
      </c>
      <c r="CBS4" s="52">
        <f t="shared" si="91"/>
        <v>0</v>
      </c>
      <c r="CBT4" s="52">
        <f t="shared" si="91"/>
        <v>0</v>
      </c>
      <c r="CBU4" s="52">
        <f t="shared" ref="CBU4:CEF4" si="92">SUBTOTAL(9,CBU6:CBU507)</f>
        <v>0</v>
      </c>
      <c r="CBV4" s="52">
        <f t="shared" si="92"/>
        <v>0</v>
      </c>
      <c r="CBW4" s="52">
        <f t="shared" si="92"/>
        <v>0</v>
      </c>
      <c r="CBX4" s="52">
        <f t="shared" si="92"/>
        <v>0</v>
      </c>
      <c r="CBY4" s="52">
        <f t="shared" si="92"/>
        <v>0</v>
      </c>
      <c r="CBZ4" s="52">
        <f t="shared" si="92"/>
        <v>0</v>
      </c>
      <c r="CCA4" s="52">
        <f t="shared" si="92"/>
        <v>0</v>
      </c>
      <c r="CCB4" s="52">
        <f t="shared" si="92"/>
        <v>0</v>
      </c>
      <c r="CCC4" s="52">
        <f t="shared" si="92"/>
        <v>0</v>
      </c>
      <c r="CCD4" s="52">
        <f t="shared" si="92"/>
        <v>0</v>
      </c>
      <c r="CCE4" s="52">
        <f t="shared" si="92"/>
        <v>0</v>
      </c>
      <c r="CCF4" s="52">
        <f t="shared" si="92"/>
        <v>0</v>
      </c>
      <c r="CCG4" s="52">
        <f t="shared" si="92"/>
        <v>0</v>
      </c>
      <c r="CCH4" s="52">
        <f t="shared" si="92"/>
        <v>0</v>
      </c>
      <c r="CCI4" s="52">
        <f t="shared" si="92"/>
        <v>0</v>
      </c>
      <c r="CCJ4" s="52">
        <f t="shared" si="92"/>
        <v>0</v>
      </c>
      <c r="CCK4" s="52">
        <f t="shared" si="92"/>
        <v>0</v>
      </c>
      <c r="CCL4" s="52">
        <f t="shared" si="92"/>
        <v>0</v>
      </c>
      <c r="CCM4" s="52">
        <f t="shared" si="92"/>
        <v>0</v>
      </c>
      <c r="CCN4" s="52">
        <f t="shared" si="92"/>
        <v>0</v>
      </c>
      <c r="CCO4" s="52">
        <f t="shared" si="92"/>
        <v>0</v>
      </c>
      <c r="CCP4" s="52">
        <f t="shared" si="92"/>
        <v>0</v>
      </c>
      <c r="CCQ4" s="52">
        <f t="shared" si="92"/>
        <v>0</v>
      </c>
      <c r="CCR4" s="52">
        <f t="shared" si="92"/>
        <v>0</v>
      </c>
      <c r="CCS4" s="52">
        <f t="shared" si="92"/>
        <v>0</v>
      </c>
      <c r="CCT4" s="52">
        <f t="shared" si="92"/>
        <v>0</v>
      </c>
      <c r="CCU4" s="52">
        <f t="shared" si="92"/>
        <v>0</v>
      </c>
      <c r="CCV4" s="52">
        <f t="shared" si="92"/>
        <v>0</v>
      </c>
      <c r="CCW4" s="52">
        <f t="shared" si="92"/>
        <v>0</v>
      </c>
      <c r="CCX4" s="52">
        <f t="shared" si="92"/>
        <v>0</v>
      </c>
      <c r="CCY4" s="52">
        <f t="shared" si="92"/>
        <v>0</v>
      </c>
      <c r="CCZ4" s="52">
        <f t="shared" si="92"/>
        <v>0</v>
      </c>
      <c r="CDA4" s="52">
        <f t="shared" si="92"/>
        <v>0</v>
      </c>
      <c r="CDB4" s="52">
        <f t="shared" si="92"/>
        <v>0</v>
      </c>
      <c r="CDC4" s="52">
        <f t="shared" si="92"/>
        <v>0</v>
      </c>
      <c r="CDD4" s="52">
        <f t="shared" si="92"/>
        <v>0</v>
      </c>
      <c r="CDE4" s="52">
        <f t="shared" si="92"/>
        <v>0</v>
      </c>
      <c r="CDF4" s="52">
        <f t="shared" si="92"/>
        <v>0</v>
      </c>
      <c r="CDG4" s="52">
        <f t="shared" si="92"/>
        <v>0</v>
      </c>
      <c r="CDH4" s="52">
        <f t="shared" si="92"/>
        <v>0</v>
      </c>
      <c r="CDI4" s="52">
        <f t="shared" si="92"/>
        <v>0</v>
      </c>
      <c r="CDJ4" s="52">
        <f t="shared" si="92"/>
        <v>0</v>
      </c>
      <c r="CDK4" s="52">
        <f t="shared" si="92"/>
        <v>0</v>
      </c>
      <c r="CDL4" s="52">
        <f t="shared" si="92"/>
        <v>0</v>
      </c>
      <c r="CDM4" s="52">
        <f t="shared" si="92"/>
        <v>0</v>
      </c>
      <c r="CDN4" s="52">
        <f t="shared" si="92"/>
        <v>0</v>
      </c>
      <c r="CDO4" s="52">
        <f t="shared" si="92"/>
        <v>0</v>
      </c>
      <c r="CDP4" s="52">
        <f t="shared" si="92"/>
        <v>0</v>
      </c>
      <c r="CDQ4" s="52">
        <f t="shared" si="92"/>
        <v>0</v>
      </c>
      <c r="CDR4" s="52">
        <f t="shared" si="92"/>
        <v>0</v>
      </c>
      <c r="CDS4" s="52">
        <f t="shared" si="92"/>
        <v>0</v>
      </c>
      <c r="CDT4" s="52">
        <f t="shared" si="92"/>
        <v>0</v>
      </c>
      <c r="CDU4" s="52">
        <f t="shared" si="92"/>
        <v>0</v>
      </c>
      <c r="CDV4" s="52">
        <f t="shared" si="92"/>
        <v>0</v>
      </c>
      <c r="CDW4" s="52">
        <f t="shared" si="92"/>
        <v>0</v>
      </c>
      <c r="CDX4" s="52">
        <f t="shared" si="92"/>
        <v>0</v>
      </c>
      <c r="CDY4" s="52">
        <f t="shared" si="92"/>
        <v>0</v>
      </c>
      <c r="CDZ4" s="52">
        <f t="shared" si="92"/>
        <v>0</v>
      </c>
      <c r="CEA4" s="52">
        <f t="shared" si="92"/>
        <v>0</v>
      </c>
      <c r="CEB4" s="52">
        <f t="shared" si="92"/>
        <v>0</v>
      </c>
      <c r="CEC4" s="52">
        <f t="shared" si="92"/>
        <v>0</v>
      </c>
      <c r="CED4" s="52">
        <f t="shared" si="92"/>
        <v>0</v>
      </c>
      <c r="CEE4" s="52">
        <f t="shared" si="92"/>
        <v>0</v>
      </c>
      <c r="CEF4" s="52">
        <f t="shared" si="92"/>
        <v>0</v>
      </c>
      <c r="CEG4" s="52">
        <f t="shared" ref="CEG4:CGR4" si="93">SUBTOTAL(9,CEG6:CEG507)</f>
        <v>0</v>
      </c>
      <c r="CEH4" s="52">
        <f t="shared" si="93"/>
        <v>0</v>
      </c>
      <c r="CEI4" s="52">
        <f t="shared" si="93"/>
        <v>0</v>
      </c>
      <c r="CEJ4" s="52">
        <f t="shared" si="93"/>
        <v>0</v>
      </c>
      <c r="CEK4" s="52">
        <f t="shared" si="93"/>
        <v>0</v>
      </c>
      <c r="CEL4" s="52">
        <f t="shared" si="93"/>
        <v>0</v>
      </c>
      <c r="CEM4" s="52">
        <f t="shared" si="93"/>
        <v>0</v>
      </c>
      <c r="CEN4" s="52">
        <f t="shared" si="93"/>
        <v>0</v>
      </c>
      <c r="CEO4" s="52">
        <f t="shared" si="93"/>
        <v>0</v>
      </c>
      <c r="CEP4" s="52">
        <f t="shared" si="93"/>
        <v>0</v>
      </c>
      <c r="CEQ4" s="52">
        <f t="shared" si="93"/>
        <v>0</v>
      </c>
      <c r="CER4" s="52">
        <f t="shared" si="93"/>
        <v>0</v>
      </c>
      <c r="CES4" s="52">
        <f t="shared" si="93"/>
        <v>0</v>
      </c>
      <c r="CET4" s="52">
        <f t="shared" si="93"/>
        <v>0</v>
      </c>
      <c r="CEU4" s="52">
        <f t="shared" si="93"/>
        <v>0</v>
      </c>
      <c r="CEV4" s="52">
        <f t="shared" si="93"/>
        <v>0</v>
      </c>
      <c r="CEW4" s="52">
        <f t="shared" si="93"/>
        <v>0</v>
      </c>
      <c r="CEX4" s="52">
        <f t="shared" si="93"/>
        <v>0</v>
      </c>
      <c r="CEY4" s="52">
        <f t="shared" si="93"/>
        <v>0</v>
      </c>
      <c r="CEZ4" s="52">
        <f t="shared" si="93"/>
        <v>0</v>
      </c>
      <c r="CFA4" s="52">
        <f t="shared" si="93"/>
        <v>0</v>
      </c>
      <c r="CFB4" s="52">
        <f t="shared" si="93"/>
        <v>0</v>
      </c>
      <c r="CFC4" s="52">
        <f t="shared" si="93"/>
        <v>0</v>
      </c>
      <c r="CFD4" s="52">
        <f t="shared" si="93"/>
        <v>0</v>
      </c>
      <c r="CFE4" s="52">
        <f t="shared" si="93"/>
        <v>0</v>
      </c>
      <c r="CFF4" s="52">
        <f t="shared" si="93"/>
        <v>0</v>
      </c>
      <c r="CFG4" s="52">
        <f t="shared" si="93"/>
        <v>0</v>
      </c>
      <c r="CFH4" s="52">
        <f t="shared" si="93"/>
        <v>0</v>
      </c>
      <c r="CFI4" s="52">
        <f t="shared" si="93"/>
        <v>0</v>
      </c>
      <c r="CFJ4" s="52">
        <f t="shared" si="93"/>
        <v>0</v>
      </c>
      <c r="CFK4" s="52">
        <f t="shared" si="93"/>
        <v>0</v>
      </c>
      <c r="CFL4" s="52">
        <f t="shared" si="93"/>
        <v>0</v>
      </c>
      <c r="CFM4" s="52">
        <f t="shared" si="93"/>
        <v>0</v>
      </c>
      <c r="CFN4" s="52">
        <f t="shared" si="93"/>
        <v>0</v>
      </c>
      <c r="CFO4" s="52">
        <f t="shared" si="93"/>
        <v>0</v>
      </c>
      <c r="CFP4" s="52">
        <f t="shared" si="93"/>
        <v>0</v>
      </c>
      <c r="CFQ4" s="52">
        <f t="shared" si="93"/>
        <v>0</v>
      </c>
      <c r="CFR4" s="52">
        <f t="shared" si="93"/>
        <v>0</v>
      </c>
      <c r="CFS4" s="52">
        <f t="shared" si="93"/>
        <v>0</v>
      </c>
      <c r="CFT4" s="52">
        <f t="shared" si="93"/>
        <v>0</v>
      </c>
      <c r="CFU4" s="52">
        <f t="shared" si="93"/>
        <v>0</v>
      </c>
      <c r="CFV4" s="52">
        <f t="shared" si="93"/>
        <v>0</v>
      </c>
      <c r="CFW4" s="52">
        <f t="shared" si="93"/>
        <v>0</v>
      </c>
      <c r="CFX4" s="52">
        <f t="shared" si="93"/>
        <v>0</v>
      </c>
      <c r="CFY4" s="52">
        <f t="shared" si="93"/>
        <v>0</v>
      </c>
      <c r="CFZ4" s="52">
        <f t="shared" si="93"/>
        <v>0</v>
      </c>
      <c r="CGA4" s="52">
        <f t="shared" si="93"/>
        <v>0</v>
      </c>
      <c r="CGB4" s="52">
        <f t="shared" si="93"/>
        <v>0</v>
      </c>
      <c r="CGC4" s="52">
        <f t="shared" si="93"/>
        <v>0</v>
      </c>
      <c r="CGD4" s="52">
        <f t="shared" si="93"/>
        <v>0</v>
      </c>
      <c r="CGE4" s="52">
        <f t="shared" si="93"/>
        <v>0</v>
      </c>
      <c r="CGF4" s="52">
        <f t="shared" si="93"/>
        <v>0</v>
      </c>
      <c r="CGG4" s="52">
        <f t="shared" si="93"/>
        <v>0</v>
      </c>
      <c r="CGH4" s="52">
        <f t="shared" si="93"/>
        <v>0</v>
      </c>
      <c r="CGI4" s="52">
        <f t="shared" si="93"/>
        <v>0</v>
      </c>
      <c r="CGJ4" s="52">
        <f t="shared" si="93"/>
        <v>0</v>
      </c>
      <c r="CGK4" s="52">
        <f t="shared" si="93"/>
        <v>0</v>
      </c>
      <c r="CGL4" s="52">
        <f t="shared" si="93"/>
        <v>0</v>
      </c>
      <c r="CGM4" s="52">
        <f t="shared" si="93"/>
        <v>0</v>
      </c>
      <c r="CGN4" s="52">
        <f t="shared" si="93"/>
        <v>0</v>
      </c>
      <c r="CGO4" s="52">
        <f t="shared" si="93"/>
        <v>0</v>
      </c>
      <c r="CGP4" s="52">
        <f t="shared" si="93"/>
        <v>0</v>
      </c>
      <c r="CGQ4" s="52">
        <f t="shared" si="93"/>
        <v>0</v>
      </c>
      <c r="CGR4" s="52">
        <f t="shared" si="93"/>
        <v>0</v>
      </c>
      <c r="CGS4" s="52">
        <f t="shared" ref="CGS4:CJD4" si="94">SUBTOTAL(9,CGS6:CGS507)</f>
        <v>0</v>
      </c>
      <c r="CGT4" s="52">
        <f t="shared" si="94"/>
        <v>0</v>
      </c>
      <c r="CGU4" s="52">
        <f t="shared" si="94"/>
        <v>0</v>
      </c>
      <c r="CGV4" s="52">
        <f t="shared" si="94"/>
        <v>0</v>
      </c>
      <c r="CGW4" s="52">
        <f t="shared" si="94"/>
        <v>0</v>
      </c>
      <c r="CGX4" s="52">
        <f t="shared" si="94"/>
        <v>0</v>
      </c>
      <c r="CGY4" s="52">
        <f t="shared" si="94"/>
        <v>0</v>
      </c>
      <c r="CGZ4" s="52">
        <f t="shared" si="94"/>
        <v>0</v>
      </c>
      <c r="CHA4" s="52">
        <f t="shared" si="94"/>
        <v>0</v>
      </c>
      <c r="CHB4" s="52">
        <f t="shared" si="94"/>
        <v>0</v>
      </c>
      <c r="CHC4" s="52">
        <f t="shared" si="94"/>
        <v>0</v>
      </c>
      <c r="CHD4" s="52">
        <f t="shared" si="94"/>
        <v>0</v>
      </c>
      <c r="CHE4" s="52">
        <f t="shared" si="94"/>
        <v>0</v>
      </c>
      <c r="CHF4" s="52">
        <f t="shared" si="94"/>
        <v>0</v>
      </c>
      <c r="CHG4" s="52">
        <f t="shared" si="94"/>
        <v>0</v>
      </c>
      <c r="CHH4" s="52">
        <f t="shared" si="94"/>
        <v>0</v>
      </c>
      <c r="CHI4" s="52">
        <f t="shared" si="94"/>
        <v>0</v>
      </c>
      <c r="CHJ4" s="52">
        <f t="shared" si="94"/>
        <v>0</v>
      </c>
      <c r="CHK4" s="52">
        <f t="shared" si="94"/>
        <v>0</v>
      </c>
      <c r="CHL4" s="52">
        <f t="shared" si="94"/>
        <v>0</v>
      </c>
      <c r="CHM4" s="52">
        <f t="shared" si="94"/>
        <v>0</v>
      </c>
      <c r="CHN4" s="52">
        <f t="shared" si="94"/>
        <v>0</v>
      </c>
      <c r="CHO4" s="52">
        <f t="shared" si="94"/>
        <v>0</v>
      </c>
      <c r="CHP4" s="52">
        <f t="shared" si="94"/>
        <v>0</v>
      </c>
      <c r="CHQ4" s="52">
        <f t="shared" si="94"/>
        <v>0</v>
      </c>
      <c r="CHR4" s="52">
        <f t="shared" si="94"/>
        <v>0</v>
      </c>
      <c r="CHS4" s="52">
        <f t="shared" si="94"/>
        <v>0</v>
      </c>
      <c r="CHT4" s="52">
        <f t="shared" si="94"/>
        <v>0</v>
      </c>
      <c r="CHU4" s="52">
        <f t="shared" si="94"/>
        <v>0</v>
      </c>
      <c r="CHV4" s="52">
        <f t="shared" si="94"/>
        <v>0</v>
      </c>
      <c r="CHW4" s="52">
        <f t="shared" si="94"/>
        <v>0</v>
      </c>
      <c r="CHX4" s="52">
        <f t="shared" si="94"/>
        <v>0</v>
      </c>
      <c r="CHY4" s="52">
        <f t="shared" si="94"/>
        <v>0</v>
      </c>
      <c r="CHZ4" s="52">
        <f t="shared" si="94"/>
        <v>0</v>
      </c>
      <c r="CIA4" s="52">
        <f t="shared" si="94"/>
        <v>0</v>
      </c>
      <c r="CIB4" s="52">
        <f t="shared" si="94"/>
        <v>0</v>
      </c>
      <c r="CIC4" s="52">
        <f t="shared" si="94"/>
        <v>0</v>
      </c>
      <c r="CID4" s="52">
        <f t="shared" si="94"/>
        <v>0</v>
      </c>
      <c r="CIE4" s="52">
        <f t="shared" si="94"/>
        <v>0</v>
      </c>
      <c r="CIF4" s="52">
        <f t="shared" si="94"/>
        <v>0</v>
      </c>
      <c r="CIG4" s="52">
        <f t="shared" si="94"/>
        <v>0</v>
      </c>
      <c r="CIH4" s="52">
        <f t="shared" si="94"/>
        <v>0</v>
      </c>
      <c r="CII4" s="52">
        <f t="shared" si="94"/>
        <v>0</v>
      </c>
      <c r="CIJ4" s="52">
        <f t="shared" si="94"/>
        <v>0</v>
      </c>
      <c r="CIK4" s="52">
        <f t="shared" si="94"/>
        <v>0</v>
      </c>
      <c r="CIL4" s="52">
        <f t="shared" si="94"/>
        <v>0</v>
      </c>
      <c r="CIM4" s="52">
        <f t="shared" si="94"/>
        <v>0</v>
      </c>
      <c r="CIN4" s="52">
        <f t="shared" si="94"/>
        <v>0</v>
      </c>
      <c r="CIO4" s="52">
        <f t="shared" si="94"/>
        <v>0</v>
      </c>
      <c r="CIP4" s="52">
        <f t="shared" si="94"/>
        <v>0</v>
      </c>
      <c r="CIQ4" s="52">
        <f t="shared" si="94"/>
        <v>0</v>
      </c>
      <c r="CIR4" s="52">
        <f t="shared" si="94"/>
        <v>0</v>
      </c>
      <c r="CIS4" s="52">
        <f t="shared" si="94"/>
        <v>0</v>
      </c>
      <c r="CIT4" s="52">
        <f t="shared" si="94"/>
        <v>0</v>
      </c>
      <c r="CIU4" s="52">
        <f t="shared" si="94"/>
        <v>0</v>
      </c>
      <c r="CIV4" s="52">
        <f t="shared" si="94"/>
        <v>0</v>
      </c>
      <c r="CIW4" s="52">
        <f t="shared" si="94"/>
        <v>0</v>
      </c>
      <c r="CIX4" s="52">
        <f t="shared" si="94"/>
        <v>0</v>
      </c>
      <c r="CIY4" s="52">
        <f t="shared" si="94"/>
        <v>0</v>
      </c>
      <c r="CIZ4" s="52">
        <f t="shared" si="94"/>
        <v>0</v>
      </c>
      <c r="CJA4" s="52">
        <f t="shared" si="94"/>
        <v>0</v>
      </c>
      <c r="CJB4" s="52">
        <f t="shared" si="94"/>
        <v>0</v>
      </c>
      <c r="CJC4" s="52">
        <f t="shared" si="94"/>
        <v>0</v>
      </c>
      <c r="CJD4" s="52">
        <f t="shared" si="94"/>
        <v>0</v>
      </c>
      <c r="CJE4" s="52">
        <f t="shared" ref="CJE4:CLP4" si="95">SUBTOTAL(9,CJE6:CJE507)</f>
        <v>0</v>
      </c>
      <c r="CJF4" s="52">
        <f t="shared" si="95"/>
        <v>0</v>
      </c>
      <c r="CJG4" s="52">
        <f t="shared" si="95"/>
        <v>0</v>
      </c>
      <c r="CJH4" s="52">
        <f t="shared" si="95"/>
        <v>0</v>
      </c>
      <c r="CJI4" s="52">
        <f t="shared" si="95"/>
        <v>0</v>
      </c>
      <c r="CJJ4" s="52">
        <f t="shared" si="95"/>
        <v>0</v>
      </c>
      <c r="CJK4" s="52">
        <f t="shared" si="95"/>
        <v>0</v>
      </c>
      <c r="CJL4" s="52">
        <f t="shared" si="95"/>
        <v>0</v>
      </c>
      <c r="CJM4" s="52">
        <f t="shared" si="95"/>
        <v>0</v>
      </c>
      <c r="CJN4" s="52">
        <f t="shared" si="95"/>
        <v>0</v>
      </c>
      <c r="CJO4" s="52">
        <f t="shared" si="95"/>
        <v>0</v>
      </c>
      <c r="CJP4" s="52">
        <f t="shared" si="95"/>
        <v>0</v>
      </c>
      <c r="CJQ4" s="52">
        <f t="shared" si="95"/>
        <v>0</v>
      </c>
      <c r="CJR4" s="52">
        <f t="shared" si="95"/>
        <v>0</v>
      </c>
      <c r="CJS4" s="52">
        <f t="shared" si="95"/>
        <v>0</v>
      </c>
      <c r="CJT4" s="52">
        <f t="shared" si="95"/>
        <v>0</v>
      </c>
      <c r="CJU4" s="52">
        <f t="shared" si="95"/>
        <v>0</v>
      </c>
      <c r="CJV4" s="52">
        <f t="shared" si="95"/>
        <v>0</v>
      </c>
      <c r="CJW4" s="52">
        <f t="shared" si="95"/>
        <v>0</v>
      </c>
      <c r="CJX4" s="52">
        <f t="shared" si="95"/>
        <v>0</v>
      </c>
      <c r="CJY4" s="52">
        <f t="shared" si="95"/>
        <v>0</v>
      </c>
      <c r="CJZ4" s="52">
        <f t="shared" si="95"/>
        <v>0</v>
      </c>
      <c r="CKA4" s="52">
        <f t="shared" si="95"/>
        <v>0</v>
      </c>
      <c r="CKB4" s="52">
        <f t="shared" si="95"/>
        <v>0</v>
      </c>
      <c r="CKC4" s="52">
        <f t="shared" si="95"/>
        <v>0</v>
      </c>
      <c r="CKD4" s="52">
        <f t="shared" si="95"/>
        <v>0</v>
      </c>
      <c r="CKE4" s="52">
        <f t="shared" si="95"/>
        <v>0</v>
      </c>
      <c r="CKF4" s="52">
        <f t="shared" si="95"/>
        <v>0</v>
      </c>
      <c r="CKG4" s="52">
        <f t="shared" si="95"/>
        <v>0</v>
      </c>
      <c r="CKH4" s="52">
        <f t="shared" si="95"/>
        <v>0</v>
      </c>
      <c r="CKI4" s="52">
        <f t="shared" si="95"/>
        <v>0</v>
      </c>
      <c r="CKJ4" s="52">
        <f t="shared" si="95"/>
        <v>0</v>
      </c>
      <c r="CKK4" s="52">
        <f t="shared" si="95"/>
        <v>0</v>
      </c>
      <c r="CKL4" s="52">
        <f t="shared" si="95"/>
        <v>0</v>
      </c>
      <c r="CKM4" s="52">
        <f t="shared" si="95"/>
        <v>0</v>
      </c>
      <c r="CKN4" s="52">
        <f t="shared" si="95"/>
        <v>0</v>
      </c>
      <c r="CKO4" s="52">
        <f t="shared" si="95"/>
        <v>0</v>
      </c>
      <c r="CKP4" s="52">
        <f t="shared" si="95"/>
        <v>0</v>
      </c>
      <c r="CKQ4" s="52">
        <f t="shared" si="95"/>
        <v>0</v>
      </c>
      <c r="CKR4" s="52">
        <f t="shared" si="95"/>
        <v>0</v>
      </c>
      <c r="CKS4" s="52">
        <f t="shared" si="95"/>
        <v>0</v>
      </c>
      <c r="CKT4" s="52">
        <f t="shared" si="95"/>
        <v>0</v>
      </c>
      <c r="CKU4" s="52">
        <f t="shared" si="95"/>
        <v>0</v>
      </c>
      <c r="CKV4" s="52">
        <f t="shared" si="95"/>
        <v>0</v>
      </c>
      <c r="CKW4" s="52">
        <f t="shared" si="95"/>
        <v>0</v>
      </c>
      <c r="CKX4" s="52">
        <f t="shared" si="95"/>
        <v>0</v>
      </c>
      <c r="CKY4" s="52">
        <f t="shared" si="95"/>
        <v>0</v>
      </c>
      <c r="CKZ4" s="52">
        <f t="shared" si="95"/>
        <v>0</v>
      </c>
      <c r="CLA4" s="52">
        <f t="shared" si="95"/>
        <v>0</v>
      </c>
      <c r="CLB4" s="52">
        <f t="shared" si="95"/>
        <v>0</v>
      </c>
      <c r="CLC4" s="52">
        <f t="shared" si="95"/>
        <v>0</v>
      </c>
      <c r="CLD4" s="52">
        <f t="shared" si="95"/>
        <v>0</v>
      </c>
      <c r="CLE4" s="52">
        <f t="shared" si="95"/>
        <v>0</v>
      </c>
      <c r="CLF4" s="52">
        <f t="shared" si="95"/>
        <v>0</v>
      </c>
      <c r="CLG4" s="52">
        <f t="shared" si="95"/>
        <v>0</v>
      </c>
      <c r="CLH4" s="52">
        <f t="shared" si="95"/>
        <v>0</v>
      </c>
      <c r="CLI4" s="52">
        <f t="shared" si="95"/>
        <v>0</v>
      </c>
      <c r="CLJ4" s="52">
        <f t="shared" si="95"/>
        <v>0</v>
      </c>
      <c r="CLK4" s="52">
        <f t="shared" si="95"/>
        <v>0</v>
      </c>
      <c r="CLL4" s="52">
        <f t="shared" si="95"/>
        <v>0</v>
      </c>
      <c r="CLM4" s="52">
        <f t="shared" si="95"/>
        <v>0</v>
      </c>
      <c r="CLN4" s="52">
        <f t="shared" si="95"/>
        <v>0</v>
      </c>
      <c r="CLO4" s="52">
        <f t="shared" si="95"/>
        <v>0</v>
      </c>
      <c r="CLP4" s="52">
        <f t="shared" si="95"/>
        <v>0</v>
      </c>
      <c r="CLQ4" s="52">
        <f t="shared" ref="CLQ4:COB4" si="96">SUBTOTAL(9,CLQ6:CLQ507)</f>
        <v>0</v>
      </c>
      <c r="CLR4" s="52">
        <f t="shared" si="96"/>
        <v>0</v>
      </c>
      <c r="CLS4" s="52">
        <f t="shared" si="96"/>
        <v>0</v>
      </c>
      <c r="CLT4" s="52">
        <f t="shared" si="96"/>
        <v>0</v>
      </c>
      <c r="CLU4" s="52">
        <f t="shared" si="96"/>
        <v>0</v>
      </c>
      <c r="CLV4" s="52">
        <f t="shared" si="96"/>
        <v>0</v>
      </c>
      <c r="CLW4" s="52">
        <f t="shared" si="96"/>
        <v>0</v>
      </c>
      <c r="CLX4" s="52">
        <f t="shared" si="96"/>
        <v>0</v>
      </c>
      <c r="CLY4" s="52">
        <f t="shared" si="96"/>
        <v>0</v>
      </c>
      <c r="CLZ4" s="52">
        <f t="shared" si="96"/>
        <v>0</v>
      </c>
      <c r="CMA4" s="52">
        <f t="shared" si="96"/>
        <v>0</v>
      </c>
      <c r="CMB4" s="52">
        <f t="shared" si="96"/>
        <v>0</v>
      </c>
      <c r="CMC4" s="52">
        <f t="shared" si="96"/>
        <v>0</v>
      </c>
      <c r="CMD4" s="52">
        <f t="shared" si="96"/>
        <v>0</v>
      </c>
      <c r="CME4" s="52">
        <f t="shared" si="96"/>
        <v>0</v>
      </c>
      <c r="CMF4" s="52">
        <f t="shared" si="96"/>
        <v>0</v>
      </c>
      <c r="CMG4" s="52">
        <f t="shared" si="96"/>
        <v>0</v>
      </c>
      <c r="CMH4" s="52">
        <f t="shared" si="96"/>
        <v>0</v>
      </c>
      <c r="CMI4" s="52">
        <f t="shared" si="96"/>
        <v>0</v>
      </c>
      <c r="CMJ4" s="52">
        <f t="shared" si="96"/>
        <v>0</v>
      </c>
      <c r="CMK4" s="52">
        <f t="shared" si="96"/>
        <v>0</v>
      </c>
      <c r="CML4" s="52">
        <f t="shared" si="96"/>
        <v>0</v>
      </c>
      <c r="CMM4" s="52">
        <f t="shared" si="96"/>
        <v>0</v>
      </c>
      <c r="CMN4" s="52">
        <f t="shared" si="96"/>
        <v>0</v>
      </c>
      <c r="CMO4" s="52">
        <f t="shared" si="96"/>
        <v>0</v>
      </c>
      <c r="CMP4" s="52">
        <f t="shared" si="96"/>
        <v>0</v>
      </c>
      <c r="CMQ4" s="52">
        <f t="shared" si="96"/>
        <v>0</v>
      </c>
      <c r="CMR4" s="52">
        <f t="shared" si="96"/>
        <v>0</v>
      </c>
      <c r="CMS4" s="52">
        <f t="shared" si="96"/>
        <v>0</v>
      </c>
      <c r="CMT4" s="52">
        <f t="shared" si="96"/>
        <v>0</v>
      </c>
      <c r="CMU4" s="52">
        <f t="shared" si="96"/>
        <v>0</v>
      </c>
      <c r="CMV4" s="52">
        <f t="shared" si="96"/>
        <v>0</v>
      </c>
      <c r="CMW4" s="52">
        <f t="shared" si="96"/>
        <v>0</v>
      </c>
      <c r="CMX4" s="52">
        <f t="shared" si="96"/>
        <v>0</v>
      </c>
      <c r="CMY4" s="52">
        <f t="shared" si="96"/>
        <v>0</v>
      </c>
      <c r="CMZ4" s="52">
        <f t="shared" si="96"/>
        <v>0</v>
      </c>
      <c r="CNA4" s="52">
        <f t="shared" si="96"/>
        <v>0</v>
      </c>
      <c r="CNB4" s="52">
        <f t="shared" si="96"/>
        <v>0</v>
      </c>
      <c r="CNC4" s="52">
        <f t="shared" si="96"/>
        <v>0</v>
      </c>
      <c r="CND4" s="52">
        <f t="shared" si="96"/>
        <v>0</v>
      </c>
      <c r="CNE4" s="52">
        <f t="shared" si="96"/>
        <v>0</v>
      </c>
      <c r="CNF4" s="52">
        <f t="shared" si="96"/>
        <v>0</v>
      </c>
      <c r="CNG4" s="52">
        <f t="shared" si="96"/>
        <v>0</v>
      </c>
      <c r="CNH4" s="52">
        <f t="shared" si="96"/>
        <v>0</v>
      </c>
      <c r="CNI4" s="52">
        <f t="shared" si="96"/>
        <v>0</v>
      </c>
      <c r="CNJ4" s="52">
        <f t="shared" si="96"/>
        <v>0</v>
      </c>
      <c r="CNK4" s="52">
        <f t="shared" si="96"/>
        <v>0</v>
      </c>
      <c r="CNL4" s="52">
        <f t="shared" si="96"/>
        <v>0</v>
      </c>
      <c r="CNM4" s="52">
        <f t="shared" si="96"/>
        <v>0</v>
      </c>
      <c r="CNN4" s="52">
        <f t="shared" si="96"/>
        <v>0</v>
      </c>
      <c r="CNO4" s="52">
        <f t="shared" si="96"/>
        <v>0</v>
      </c>
      <c r="CNP4" s="52">
        <f t="shared" si="96"/>
        <v>0</v>
      </c>
      <c r="CNQ4" s="52">
        <f t="shared" si="96"/>
        <v>0</v>
      </c>
      <c r="CNR4" s="52">
        <f t="shared" si="96"/>
        <v>0</v>
      </c>
      <c r="CNS4" s="52">
        <f t="shared" si="96"/>
        <v>0</v>
      </c>
      <c r="CNT4" s="52">
        <f t="shared" si="96"/>
        <v>0</v>
      </c>
      <c r="CNU4" s="52">
        <f t="shared" si="96"/>
        <v>0</v>
      </c>
      <c r="CNV4" s="52">
        <f t="shared" si="96"/>
        <v>0</v>
      </c>
      <c r="CNW4" s="52">
        <f t="shared" si="96"/>
        <v>0</v>
      </c>
      <c r="CNX4" s="52">
        <f t="shared" si="96"/>
        <v>0</v>
      </c>
      <c r="CNY4" s="52">
        <f t="shared" si="96"/>
        <v>0</v>
      </c>
      <c r="CNZ4" s="52">
        <f t="shared" si="96"/>
        <v>0</v>
      </c>
      <c r="COA4" s="52">
        <f t="shared" si="96"/>
        <v>0</v>
      </c>
      <c r="COB4" s="52">
        <f t="shared" si="96"/>
        <v>0</v>
      </c>
      <c r="COC4" s="52">
        <f t="shared" ref="COC4:CQN4" si="97">SUBTOTAL(9,COC6:COC507)</f>
        <v>0</v>
      </c>
      <c r="COD4" s="52">
        <f t="shared" si="97"/>
        <v>0</v>
      </c>
      <c r="COE4" s="52">
        <f t="shared" si="97"/>
        <v>0</v>
      </c>
      <c r="COF4" s="52">
        <f t="shared" si="97"/>
        <v>0</v>
      </c>
      <c r="COG4" s="52">
        <f t="shared" si="97"/>
        <v>0</v>
      </c>
      <c r="COH4" s="52">
        <f t="shared" si="97"/>
        <v>0</v>
      </c>
      <c r="COI4" s="52">
        <f t="shared" si="97"/>
        <v>0</v>
      </c>
      <c r="COJ4" s="52">
        <f t="shared" si="97"/>
        <v>0</v>
      </c>
      <c r="COK4" s="52">
        <f t="shared" si="97"/>
        <v>0</v>
      </c>
      <c r="COL4" s="52">
        <f t="shared" si="97"/>
        <v>0</v>
      </c>
      <c r="COM4" s="52">
        <f t="shared" si="97"/>
        <v>0</v>
      </c>
      <c r="CON4" s="52">
        <f t="shared" si="97"/>
        <v>0</v>
      </c>
      <c r="COO4" s="52">
        <f t="shared" si="97"/>
        <v>0</v>
      </c>
      <c r="COP4" s="52">
        <f t="shared" si="97"/>
        <v>0</v>
      </c>
      <c r="COQ4" s="52">
        <f t="shared" si="97"/>
        <v>0</v>
      </c>
      <c r="COR4" s="52">
        <f t="shared" si="97"/>
        <v>0</v>
      </c>
      <c r="COS4" s="52">
        <f t="shared" si="97"/>
        <v>0</v>
      </c>
      <c r="COT4" s="52">
        <f t="shared" si="97"/>
        <v>0</v>
      </c>
      <c r="COU4" s="52">
        <f t="shared" si="97"/>
        <v>0</v>
      </c>
      <c r="COV4" s="52">
        <f t="shared" si="97"/>
        <v>0</v>
      </c>
      <c r="COW4" s="52">
        <f t="shared" si="97"/>
        <v>0</v>
      </c>
      <c r="COX4" s="52">
        <f t="shared" si="97"/>
        <v>0</v>
      </c>
      <c r="COY4" s="52">
        <f t="shared" si="97"/>
        <v>0</v>
      </c>
      <c r="COZ4" s="52">
        <f t="shared" si="97"/>
        <v>0</v>
      </c>
      <c r="CPA4" s="52">
        <f t="shared" si="97"/>
        <v>0</v>
      </c>
      <c r="CPB4" s="52">
        <f t="shared" si="97"/>
        <v>0</v>
      </c>
      <c r="CPC4" s="52">
        <f t="shared" si="97"/>
        <v>0</v>
      </c>
      <c r="CPD4" s="52">
        <f t="shared" si="97"/>
        <v>0</v>
      </c>
      <c r="CPE4" s="52">
        <f t="shared" si="97"/>
        <v>0</v>
      </c>
      <c r="CPF4" s="52">
        <f t="shared" si="97"/>
        <v>0</v>
      </c>
      <c r="CPG4" s="52">
        <f t="shared" si="97"/>
        <v>0</v>
      </c>
      <c r="CPH4" s="52">
        <f t="shared" si="97"/>
        <v>0</v>
      </c>
      <c r="CPI4" s="52">
        <f t="shared" si="97"/>
        <v>0</v>
      </c>
      <c r="CPJ4" s="52">
        <f t="shared" si="97"/>
        <v>0</v>
      </c>
      <c r="CPK4" s="52">
        <f t="shared" si="97"/>
        <v>0</v>
      </c>
      <c r="CPL4" s="52">
        <f t="shared" si="97"/>
        <v>0</v>
      </c>
      <c r="CPM4" s="52">
        <f t="shared" si="97"/>
        <v>0</v>
      </c>
      <c r="CPN4" s="52">
        <f t="shared" si="97"/>
        <v>0</v>
      </c>
      <c r="CPO4" s="52">
        <f t="shared" si="97"/>
        <v>0</v>
      </c>
      <c r="CPP4" s="52">
        <f t="shared" si="97"/>
        <v>0</v>
      </c>
      <c r="CPQ4" s="52">
        <f t="shared" si="97"/>
        <v>0</v>
      </c>
      <c r="CPR4" s="52">
        <f t="shared" si="97"/>
        <v>0</v>
      </c>
      <c r="CPS4" s="52">
        <f t="shared" si="97"/>
        <v>0</v>
      </c>
      <c r="CPT4" s="52">
        <f t="shared" si="97"/>
        <v>0</v>
      </c>
      <c r="CPU4" s="52">
        <f t="shared" si="97"/>
        <v>0</v>
      </c>
      <c r="CPV4" s="52">
        <f t="shared" si="97"/>
        <v>0</v>
      </c>
      <c r="CPW4" s="52">
        <f t="shared" si="97"/>
        <v>0</v>
      </c>
      <c r="CPX4" s="52">
        <f t="shared" si="97"/>
        <v>0</v>
      </c>
      <c r="CPY4" s="52">
        <f t="shared" si="97"/>
        <v>0</v>
      </c>
      <c r="CPZ4" s="52">
        <f t="shared" si="97"/>
        <v>0</v>
      </c>
      <c r="CQA4" s="52">
        <f t="shared" si="97"/>
        <v>0</v>
      </c>
      <c r="CQB4" s="52">
        <f t="shared" si="97"/>
        <v>0</v>
      </c>
      <c r="CQC4" s="52">
        <f t="shared" si="97"/>
        <v>0</v>
      </c>
      <c r="CQD4" s="52">
        <f t="shared" si="97"/>
        <v>0</v>
      </c>
      <c r="CQE4" s="52">
        <f t="shared" si="97"/>
        <v>0</v>
      </c>
      <c r="CQF4" s="52">
        <f t="shared" si="97"/>
        <v>0</v>
      </c>
      <c r="CQG4" s="52">
        <f t="shared" si="97"/>
        <v>0</v>
      </c>
      <c r="CQH4" s="52">
        <f t="shared" si="97"/>
        <v>0</v>
      </c>
      <c r="CQI4" s="52">
        <f t="shared" si="97"/>
        <v>0</v>
      </c>
      <c r="CQJ4" s="52">
        <f t="shared" si="97"/>
        <v>0</v>
      </c>
      <c r="CQK4" s="52">
        <f t="shared" si="97"/>
        <v>0</v>
      </c>
      <c r="CQL4" s="52">
        <f t="shared" si="97"/>
        <v>0</v>
      </c>
      <c r="CQM4" s="52">
        <f t="shared" si="97"/>
        <v>0</v>
      </c>
      <c r="CQN4" s="52">
        <f t="shared" si="97"/>
        <v>0</v>
      </c>
      <c r="CQO4" s="52">
        <f t="shared" ref="CQO4:CSJ4" si="98">SUBTOTAL(9,CQO6:CQO507)</f>
        <v>0</v>
      </c>
      <c r="CQP4" s="52">
        <f t="shared" si="98"/>
        <v>0</v>
      </c>
      <c r="CQQ4" s="52">
        <f t="shared" si="98"/>
        <v>0</v>
      </c>
      <c r="CQR4" s="52">
        <f t="shared" si="98"/>
        <v>0</v>
      </c>
      <c r="CQS4" s="52">
        <f t="shared" si="98"/>
        <v>0</v>
      </c>
      <c r="CQT4" s="52">
        <f t="shared" si="98"/>
        <v>0</v>
      </c>
      <c r="CQU4" s="52">
        <f t="shared" si="98"/>
        <v>0</v>
      </c>
      <c r="CQV4" s="52">
        <f t="shared" si="98"/>
        <v>0</v>
      </c>
      <c r="CQW4" s="52">
        <f t="shared" si="98"/>
        <v>0</v>
      </c>
      <c r="CQX4" s="52">
        <f t="shared" si="98"/>
        <v>0</v>
      </c>
      <c r="CQY4" s="52">
        <f t="shared" si="98"/>
        <v>0</v>
      </c>
      <c r="CQZ4" s="52">
        <f t="shared" si="98"/>
        <v>0</v>
      </c>
      <c r="CRA4" s="52">
        <f t="shared" si="98"/>
        <v>0</v>
      </c>
      <c r="CRB4" s="52">
        <f t="shared" si="98"/>
        <v>0</v>
      </c>
      <c r="CRC4" s="52">
        <f t="shared" si="98"/>
        <v>0</v>
      </c>
      <c r="CRD4" s="52">
        <f t="shared" si="98"/>
        <v>0</v>
      </c>
      <c r="CRE4" s="52">
        <f t="shared" si="98"/>
        <v>0</v>
      </c>
      <c r="CRF4" s="52">
        <f t="shared" si="98"/>
        <v>0</v>
      </c>
      <c r="CRG4" s="52">
        <f t="shared" si="98"/>
        <v>0</v>
      </c>
      <c r="CRH4" s="52">
        <f t="shared" si="98"/>
        <v>0</v>
      </c>
      <c r="CRI4" s="52">
        <f t="shared" si="98"/>
        <v>0</v>
      </c>
      <c r="CRJ4" s="52">
        <f t="shared" si="98"/>
        <v>0</v>
      </c>
      <c r="CRK4" s="52">
        <f t="shared" si="98"/>
        <v>0</v>
      </c>
      <c r="CRL4" s="52">
        <f t="shared" si="98"/>
        <v>0</v>
      </c>
      <c r="CRM4" s="52">
        <f t="shared" si="98"/>
        <v>0</v>
      </c>
      <c r="CRN4" s="52">
        <f t="shared" si="98"/>
        <v>0</v>
      </c>
      <c r="CRO4" s="52">
        <f t="shared" si="98"/>
        <v>0</v>
      </c>
      <c r="CRP4" s="52">
        <f t="shared" si="98"/>
        <v>0</v>
      </c>
      <c r="CRQ4" s="52">
        <f t="shared" si="98"/>
        <v>0</v>
      </c>
      <c r="CRR4" s="52">
        <f t="shared" si="98"/>
        <v>0</v>
      </c>
      <c r="CRS4" s="52">
        <f t="shared" si="98"/>
        <v>0</v>
      </c>
      <c r="CRT4" s="52">
        <f t="shared" si="98"/>
        <v>0</v>
      </c>
      <c r="CRU4" s="52">
        <f t="shared" si="98"/>
        <v>0</v>
      </c>
      <c r="CRV4" s="52">
        <f t="shared" si="98"/>
        <v>0</v>
      </c>
      <c r="CRW4" s="52">
        <f t="shared" si="98"/>
        <v>0</v>
      </c>
      <c r="CRX4" s="52">
        <f t="shared" si="98"/>
        <v>0</v>
      </c>
      <c r="CRY4" s="52">
        <f t="shared" si="98"/>
        <v>0</v>
      </c>
      <c r="CRZ4" s="52">
        <f t="shared" si="98"/>
        <v>0</v>
      </c>
      <c r="CSA4" s="52">
        <f t="shared" si="98"/>
        <v>0</v>
      </c>
      <c r="CSB4" s="52">
        <f t="shared" si="98"/>
        <v>0</v>
      </c>
      <c r="CSC4" s="52">
        <f t="shared" si="98"/>
        <v>0</v>
      </c>
      <c r="CSD4" s="52">
        <f t="shared" si="98"/>
        <v>0</v>
      </c>
      <c r="CSE4" s="52">
        <f t="shared" si="98"/>
        <v>0</v>
      </c>
      <c r="CSF4" s="52">
        <f t="shared" si="98"/>
        <v>0</v>
      </c>
      <c r="CSG4" s="52">
        <f t="shared" si="98"/>
        <v>0</v>
      </c>
      <c r="CSH4" s="52">
        <f t="shared" si="98"/>
        <v>0</v>
      </c>
      <c r="CSI4" s="52">
        <f t="shared" si="98"/>
        <v>0</v>
      </c>
      <c r="CSJ4" s="52">
        <f t="shared" si="98"/>
        <v>0</v>
      </c>
      <c r="CSK4" s="24" t="s">
        <v>1366</v>
      </c>
      <c r="CSL4" s="3"/>
      <c r="CSM4" s="3"/>
      <c r="CSN4" s="3"/>
      <c r="CSO4" s="3"/>
      <c r="CSP4" s="3"/>
      <c r="CSQ4" s="21"/>
      <c r="CTZ4" s="36" t="s">
        <v>1366</v>
      </c>
      <c r="CUA4" s="1"/>
      <c r="CUB4" s="1"/>
      <c r="CUC4" s="1"/>
      <c r="CUD4" s="1"/>
      <c r="CUE4" s="1"/>
      <c r="CUF4" s="1"/>
    </row>
    <row r="5" spans="1:2616" s="63" customFormat="1" ht="12.75" x14ac:dyDescent="0.25">
      <c r="A5" s="63" t="s">
        <v>0</v>
      </c>
      <c r="B5" s="63" t="s">
        <v>1</v>
      </c>
      <c r="C5" s="63" t="s">
        <v>2</v>
      </c>
      <c r="D5" s="11" t="s">
        <v>1428</v>
      </c>
      <c r="E5" s="63" t="s">
        <v>3</v>
      </c>
      <c r="F5" s="63" t="s">
        <v>4</v>
      </c>
      <c r="G5" s="63" t="s">
        <v>5</v>
      </c>
      <c r="H5" s="11" t="s">
        <v>1410</v>
      </c>
      <c r="I5" s="11" t="s">
        <v>1411</v>
      </c>
      <c r="J5" s="63" t="s">
        <v>7</v>
      </c>
      <c r="K5" s="64" t="s">
        <v>8</v>
      </c>
      <c r="L5" s="63" t="s">
        <v>6</v>
      </c>
      <c r="M5" s="11" t="s">
        <v>1429</v>
      </c>
      <c r="N5" s="11" t="s">
        <v>1430</v>
      </c>
      <c r="O5" s="11" t="s">
        <v>1431</v>
      </c>
      <c r="P5" s="11" t="s">
        <v>1432</v>
      </c>
      <c r="Q5" s="11" t="s">
        <v>1433</v>
      </c>
      <c r="R5" s="11" t="s">
        <v>1434</v>
      </c>
      <c r="S5" s="11" t="s">
        <v>1435</v>
      </c>
      <c r="T5" s="11" t="s">
        <v>1436</v>
      </c>
      <c r="U5" s="11" t="s">
        <v>1437</v>
      </c>
      <c r="V5" s="11" t="s">
        <v>1438</v>
      </c>
      <c r="W5" s="11" t="s">
        <v>1439</v>
      </c>
      <c r="X5" s="11" t="s">
        <v>1440</v>
      </c>
      <c r="Y5" s="11" t="s">
        <v>1441</v>
      </c>
      <c r="Z5" s="11" t="s">
        <v>1442</v>
      </c>
      <c r="AA5" s="11" t="s">
        <v>1443</v>
      </c>
      <c r="AB5" s="11" t="s">
        <v>1444</v>
      </c>
      <c r="AC5" s="11" t="s">
        <v>1445</v>
      </c>
      <c r="AD5" s="11" t="s">
        <v>1446</v>
      </c>
      <c r="AE5" s="11" t="s">
        <v>1447</v>
      </c>
      <c r="AF5" s="11" t="s">
        <v>1448</v>
      </c>
      <c r="AG5" s="11" t="s">
        <v>1449</v>
      </c>
      <c r="AH5" s="11" t="s">
        <v>1450</v>
      </c>
      <c r="AI5" s="11" t="s">
        <v>1451</v>
      </c>
      <c r="AJ5" s="11" t="s">
        <v>1452</v>
      </c>
      <c r="AK5" s="11" t="s">
        <v>1453</v>
      </c>
      <c r="AL5" s="11" t="s">
        <v>1454</v>
      </c>
      <c r="AM5" s="11" t="s">
        <v>1455</v>
      </c>
      <c r="AN5" s="11" t="s">
        <v>1456</v>
      </c>
      <c r="AO5" s="11" t="s">
        <v>1457</v>
      </c>
      <c r="AP5" s="11" t="s">
        <v>1458</v>
      </c>
      <c r="AQ5" s="11" t="s">
        <v>1459</v>
      </c>
      <c r="AR5" s="11" t="s">
        <v>1460</v>
      </c>
      <c r="AS5" s="11" t="s">
        <v>1461</v>
      </c>
      <c r="AT5" s="11" t="s">
        <v>1462</v>
      </c>
      <c r="AU5" s="11" t="s">
        <v>1463</v>
      </c>
      <c r="AV5" s="11" t="s">
        <v>1464</v>
      </c>
      <c r="AW5" s="11" t="s">
        <v>1465</v>
      </c>
      <c r="AX5" s="11" t="s">
        <v>1466</v>
      </c>
      <c r="AY5" s="11" t="s">
        <v>1467</v>
      </c>
      <c r="AZ5" s="11" t="s">
        <v>1468</v>
      </c>
      <c r="BA5" s="65" t="s">
        <v>9</v>
      </c>
      <c r="BB5" s="65" t="s">
        <v>2710</v>
      </c>
      <c r="BC5" s="65" t="s">
        <v>2711</v>
      </c>
      <c r="BD5" s="65" t="s">
        <v>2712</v>
      </c>
      <c r="BE5" s="65" t="s">
        <v>2713</v>
      </c>
      <c r="BF5" s="65" t="s">
        <v>2714</v>
      </c>
      <c r="BG5" s="65" t="s">
        <v>2715</v>
      </c>
      <c r="BH5" s="65" t="s">
        <v>2716</v>
      </c>
      <c r="BI5" s="65" t="s">
        <v>2717</v>
      </c>
      <c r="BJ5" s="65" t="s">
        <v>2718</v>
      </c>
      <c r="BK5" s="65" t="s">
        <v>2719</v>
      </c>
      <c r="BL5" s="65" t="s">
        <v>2720</v>
      </c>
      <c r="BM5" s="65" t="s">
        <v>2657</v>
      </c>
      <c r="BN5" s="65" t="s">
        <v>2658</v>
      </c>
      <c r="BO5" s="65" t="s">
        <v>2659</v>
      </c>
      <c r="BP5" s="65" t="s">
        <v>1557</v>
      </c>
      <c r="BQ5" s="65" t="s">
        <v>1558</v>
      </c>
      <c r="BR5" s="65" t="s">
        <v>1559</v>
      </c>
      <c r="BS5" s="65" t="s">
        <v>1560</v>
      </c>
      <c r="BT5" s="65" t="s">
        <v>89</v>
      </c>
      <c r="BU5" s="65" t="s">
        <v>90</v>
      </c>
      <c r="BV5" s="65" t="s">
        <v>91</v>
      </c>
      <c r="BW5" s="65" t="s">
        <v>92</v>
      </c>
      <c r="BX5" s="65" t="s">
        <v>93</v>
      </c>
      <c r="BY5" s="65" t="s">
        <v>94</v>
      </c>
      <c r="BZ5" s="65" t="s">
        <v>95</v>
      </c>
      <c r="CA5" s="65" t="s">
        <v>96</v>
      </c>
      <c r="CB5" s="65" t="s">
        <v>97</v>
      </c>
      <c r="CC5" s="65" t="s">
        <v>98</v>
      </c>
      <c r="CD5" s="65" t="s">
        <v>99</v>
      </c>
      <c r="CE5" s="65" t="s">
        <v>100</v>
      </c>
      <c r="CF5" s="65" t="s">
        <v>10</v>
      </c>
      <c r="CG5" s="65" t="s">
        <v>2721</v>
      </c>
      <c r="CH5" s="65" t="s">
        <v>2722</v>
      </c>
      <c r="CI5" s="65" t="s">
        <v>2723</v>
      </c>
      <c r="CJ5" s="65" t="s">
        <v>2724</v>
      </c>
      <c r="CK5" s="65" t="s">
        <v>2725</v>
      </c>
      <c r="CL5" s="65" t="s">
        <v>2726</v>
      </c>
      <c r="CM5" s="65" t="s">
        <v>2727</v>
      </c>
      <c r="CN5" s="65" t="s">
        <v>2728</v>
      </c>
      <c r="CO5" s="65" t="s">
        <v>2729</v>
      </c>
      <c r="CP5" s="65" t="s">
        <v>2730</v>
      </c>
      <c r="CQ5" s="65" t="s">
        <v>2731</v>
      </c>
      <c r="CR5" s="65" t="s">
        <v>2732</v>
      </c>
      <c r="CS5" s="65" t="s">
        <v>2660</v>
      </c>
      <c r="CT5" s="65" t="s">
        <v>2661</v>
      </c>
      <c r="CU5" s="65" t="s">
        <v>2662</v>
      </c>
      <c r="CV5" s="65" t="s">
        <v>2663</v>
      </c>
      <c r="CW5" s="65" t="s">
        <v>101</v>
      </c>
      <c r="CX5" s="65" t="s">
        <v>102</v>
      </c>
      <c r="CY5" s="65" t="s">
        <v>103</v>
      </c>
      <c r="CZ5" s="65" t="s">
        <v>104</v>
      </c>
      <c r="DA5" s="65" t="s">
        <v>105</v>
      </c>
      <c r="DB5" s="65" t="s">
        <v>106</v>
      </c>
      <c r="DC5" s="65" t="s">
        <v>107</v>
      </c>
      <c r="DD5" s="65" t="s">
        <v>108</v>
      </c>
      <c r="DE5" s="65" t="s">
        <v>109</v>
      </c>
      <c r="DF5" s="65" t="s">
        <v>110</v>
      </c>
      <c r="DG5" s="65" t="s">
        <v>111</v>
      </c>
      <c r="DH5" s="65" t="s">
        <v>112</v>
      </c>
      <c r="DI5" s="65" t="s">
        <v>113</v>
      </c>
      <c r="DJ5" s="65" t="s">
        <v>114</v>
      </c>
      <c r="DK5" s="63" t="s">
        <v>11</v>
      </c>
      <c r="DL5" s="63" t="s">
        <v>1561</v>
      </c>
      <c r="DM5" s="63" t="s">
        <v>1562</v>
      </c>
      <c r="DN5" s="63" t="s">
        <v>1563</v>
      </c>
      <c r="DO5" s="63" t="s">
        <v>1564</v>
      </c>
      <c r="DP5" s="63" t="s">
        <v>1565</v>
      </c>
      <c r="DQ5" s="63" t="s">
        <v>1566</v>
      </c>
      <c r="DR5" s="63" t="s">
        <v>1567</v>
      </c>
      <c r="DS5" s="63" t="s">
        <v>1568</v>
      </c>
      <c r="DT5" s="63" t="s">
        <v>1569</v>
      </c>
      <c r="DU5" s="63" t="s">
        <v>1570</v>
      </c>
      <c r="DV5" s="63" t="s">
        <v>1571</v>
      </c>
      <c r="DW5" s="63" t="s">
        <v>1572</v>
      </c>
      <c r="DX5" s="63" t="s">
        <v>1573</v>
      </c>
      <c r="DY5" s="63" t="s">
        <v>1574</v>
      </c>
      <c r="DZ5" s="63" t="s">
        <v>1575</v>
      </c>
      <c r="EA5" s="63" t="s">
        <v>1576</v>
      </c>
      <c r="EB5" s="63" t="s">
        <v>115</v>
      </c>
      <c r="EC5" s="63" t="s">
        <v>116</v>
      </c>
      <c r="ED5" s="63" t="s">
        <v>117</v>
      </c>
      <c r="EE5" s="63" t="s">
        <v>118</v>
      </c>
      <c r="EF5" s="63" t="s">
        <v>119</v>
      </c>
      <c r="EG5" s="63" t="s">
        <v>120</v>
      </c>
      <c r="EH5" s="63" t="s">
        <v>121</v>
      </c>
      <c r="EI5" s="63" t="s">
        <v>122</v>
      </c>
      <c r="EJ5" s="63" t="s">
        <v>123</v>
      </c>
      <c r="EK5" s="63" t="s">
        <v>124</v>
      </c>
      <c r="EL5" s="63" t="s">
        <v>125</v>
      </c>
      <c r="EM5" s="63" t="s">
        <v>126</v>
      </c>
      <c r="EN5" s="63" t="s">
        <v>127</v>
      </c>
      <c r="EO5" s="63" t="s">
        <v>128</v>
      </c>
      <c r="EP5" s="63" t="s">
        <v>12</v>
      </c>
      <c r="EQ5" s="63" t="s">
        <v>1577</v>
      </c>
      <c r="ER5" s="63" t="s">
        <v>1578</v>
      </c>
      <c r="ES5" s="63" t="s">
        <v>1579</v>
      </c>
      <c r="ET5" s="63" t="s">
        <v>1580</v>
      </c>
      <c r="EU5" s="63" t="s">
        <v>1581</v>
      </c>
      <c r="EV5" s="63" t="s">
        <v>1582</v>
      </c>
      <c r="EW5" s="63" t="s">
        <v>1583</v>
      </c>
      <c r="EX5" s="63" t="s">
        <v>1584</v>
      </c>
      <c r="EY5" s="63" t="s">
        <v>1585</v>
      </c>
      <c r="EZ5" s="63" t="s">
        <v>1586</v>
      </c>
      <c r="FA5" s="63" t="s">
        <v>1587</v>
      </c>
      <c r="FB5" s="63" t="s">
        <v>1588</v>
      </c>
      <c r="FC5" s="63" t="s">
        <v>1589</v>
      </c>
      <c r="FD5" s="63" t="s">
        <v>1590</v>
      </c>
      <c r="FE5" s="63" t="s">
        <v>1591</v>
      </c>
      <c r="FF5" s="63" t="s">
        <v>1592</v>
      </c>
      <c r="FG5" s="63" t="s">
        <v>129</v>
      </c>
      <c r="FH5" s="63" t="s">
        <v>130</v>
      </c>
      <c r="FI5" s="63" t="s">
        <v>131</v>
      </c>
      <c r="FJ5" s="63" t="s">
        <v>132</v>
      </c>
      <c r="FK5" s="63" t="s">
        <v>133</v>
      </c>
      <c r="FL5" s="63" t="s">
        <v>134</v>
      </c>
      <c r="FM5" s="63" t="s">
        <v>135</v>
      </c>
      <c r="FN5" s="63" t="s">
        <v>136</v>
      </c>
      <c r="FO5" s="63" t="s">
        <v>137</v>
      </c>
      <c r="FP5" s="63" t="s">
        <v>138</v>
      </c>
      <c r="FQ5" s="63" t="s">
        <v>139</v>
      </c>
      <c r="FR5" s="63" t="s">
        <v>140</v>
      </c>
      <c r="FS5" s="63" t="s">
        <v>141</v>
      </c>
      <c r="FT5" s="63" t="s">
        <v>142</v>
      </c>
      <c r="FU5" s="63" t="s">
        <v>13</v>
      </c>
      <c r="FV5" s="63" t="s">
        <v>1593</v>
      </c>
      <c r="FW5" s="63" t="s">
        <v>1594</v>
      </c>
      <c r="FX5" s="63" t="s">
        <v>1595</v>
      </c>
      <c r="FY5" s="63" t="s">
        <v>1596</v>
      </c>
      <c r="FZ5" s="63" t="s">
        <v>1597</v>
      </c>
      <c r="GA5" s="63" t="s">
        <v>1598</v>
      </c>
      <c r="GB5" s="63" t="s">
        <v>1599</v>
      </c>
      <c r="GC5" s="63" t="s">
        <v>1600</v>
      </c>
      <c r="GD5" s="63" t="s">
        <v>1601</v>
      </c>
      <c r="GE5" s="63" t="s">
        <v>1602</v>
      </c>
      <c r="GF5" s="63" t="s">
        <v>1603</v>
      </c>
      <c r="GG5" s="63" t="s">
        <v>1604</v>
      </c>
      <c r="GH5" s="63" t="s">
        <v>1605</v>
      </c>
      <c r="GI5" s="63" t="s">
        <v>1606</v>
      </c>
      <c r="GJ5" s="63" t="s">
        <v>1607</v>
      </c>
      <c r="GK5" s="63" t="s">
        <v>1608</v>
      </c>
      <c r="GL5" s="63" t="s">
        <v>1609</v>
      </c>
      <c r="GM5" s="63" t="s">
        <v>1610</v>
      </c>
      <c r="GN5" s="63" t="s">
        <v>1611</v>
      </c>
      <c r="GO5" s="63" t="s">
        <v>143</v>
      </c>
      <c r="GP5" s="63" t="s">
        <v>144</v>
      </c>
      <c r="GQ5" s="63" t="s">
        <v>145</v>
      </c>
      <c r="GR5" s="63" t="s">
        <v>146</v>
      </c>
      <c r="GS5" s="63" t="s">
        <v>147</v>
      </c>
      <c r="GT5" s="63" t="s">
        <v>148</v>
      </c>
      <c r="GU5" s="63" t="s">
        <v>149</v>
      </c>
      <c r="GV5" s="63" t="s">
        <v>150</v>
      </c>
      <c r="GW5" s="63" t="s">
        <v>151</v>
      </c>
      <c r="GX5" s="63" t="s">
        <v>152</v>
      </c>
      <c r="GY5" s="63" t="s">
        <v>153</v>
      </c>
      <c r="GZ5" s="63" t="s">
        <v>14</v>
      </c>
      <c r="HA5" s="63" t="s">
        <v>1612</v>
      </c>
      <c r="HB5" s="63" t="s">
        <v>1613</v>
      </c>
      <c r="HC5" s="63" t="s">
        <v>1614</v>
      </c>
      <c r="HD5" s="63" t="s">
        <v>1615</v>
      </c>
      <c r="HE5" s="63" t="s">
        <v>1616</v>
      </c>
      <c r="HF5" s="63" t="s">
        <v>1617</v>
      </c>
      <c r="HG5" s="63" t="s">
        <v>1618</v>
      </c>
      <c r="HH5" s="63" t="s">
        <v>1619</v>
      </c>
      <c r="HI5" s="63" t="s">
        <v>1620</v>
      </c>
      <c r="HJ5" s="63" t="s">
        <v>1621</v>
      </c>
      <c r="HK5" s="63" t="s">
        <v>1622</v>
      </c>
      <c r="HL5" s="63" t="s">
        <v>1623</v>
      </c>
      <c r="HM5" s="63" t="s">
        <v>1624</v>
      </c>
      <c r="HN5" s="63" t="s">
        <v>1625</v>
      </c>
      <c r="HO5" s="63" t="s">
        <v>1626</v>
      </c>
      <c r="HP5" s="63" t="s">
        <v>1627</v>
      </c>
      <c r="HQ5" s="63" t="s">
        <v>1628</v>
      </c>
      <c r="HR5" s="63" t="s">
        <v>1629</v>
      </c>
      <c r="HS5" s="63" t="s">
        <v>154</v>
      </c>
      <c r="HT5" s="63" t="s">
        <v>155</v>
      </c>
      <c r="HU5" s="63" t="s">
        <v>156</v>
      </c>
      <c r="HV5" s="63" t="s">
        <v>157</v>
      </c>
      <c r="HW5" s="63" t="s">
        <v>158</v>
      </c>
      <c r="HX5" s="63" t="s">
        <v>159</v>
      </c>
      <c r="HY5" s="63" t="s">
        <v>160</v>
      </c>
      <c r="HZ5" s="63" t="s">
        <v>161</v>
      </c>
      <c r="IA5" s="63" t="s">
        <v>162</v>
      </c>
      <c r="IB5" s="63" t="s">
        <v>163</v>
      </c>
      <c r="IC5" s="63" t="s">
        <v>164</v>
      </c>
      <c r="ID5" s="63" t="s">
        <v>165</v>
      </c>
      <c r="IE5" s="63" t="s">
        <v>15</v>
      </c>
      <c r="IF5" s="63" t="s">
        <v>1630</v>
      </c>
      <c r="IG5" s="63" t="s">
        <v>1631</v>
      </c>
      <c r="IH5" s="63" t="s">
        <v>1632</v>
      </c>
      <c r="II5" s="63" t="s">
        <v>1633</v>
      </c>
      <c r="IJ5" s="63" t="s">
        <v>1634</v>
      </c>
      <c r="IK5" s="63" t="s">
        <v>1635</v>
      </c>
      <c r="IL5" s="63" t="s">
        <v>1636</v>
      </c>
      <c r="IM5" s="63" t="s">
        <v>1637</v>
      </c>
      <c r="IN5" s="63" t="s">
        <v>1638</v>
      </c>
      <c r="IO5" s="63" t="s">
        <v>1639</v>
      </c>
      <c r="IP5" s="63" t="s">
        <v>1640</v>
      </c>
      <c r="IQ5" s="63" t="s">
        <v>1641</v>
      </c>
      <c r="IR5" s="63" t="s">
        <v>1642</v>
      </c>
      <c r="IS5" s="63" t="s">
        <v>1643</v>
      </c>
      <c r="IT5" s="63" t="s">
        <v>1644</v>
      </c>
      <c r="IU5" s="63" t="s">
        <v>1645</v>
      </c>
      <c r="IV5" s="63" t="s">
        <v>1646</v>
      </c>
      <c r="IW5" s="63" t="s">
        <v>1647</v>
      </c>
      <c r="IX5" s="63" t="s">
        <v>1648</v>
      </c>
      <c r="IY5" s="63" t="s">
        <v>1649</v>
      </c>
      <c r="IZ5" s="63" t="s">
        <v>1650</v>
      </c>
      <c r="JA5" s="63" t="s">
        <v>1651</v>
      </c>
      <c r="JB5" s="63" t="s">
        <v>166</v>
      </c>
      <c r="JC5" s="63" t="s">
        <v>167</v>
      </c>
      <c r="JD5" s="63" t="s">
        <v>168</v>
      </c>
      <c r="JE5" s="63" t="s">
        <v>169</v>
      </c>
      <c r="JF5" s="63" t="s">
        <v>170</v>
      </c>
      <c r="JG5" s="63" t="s">
        <v>171</v>
      </c>
      <c r="JH5" s="63" t="s">
        <v>172</v>
      </c>
      <c r="JI5" s="63" t="s">
        <v>173</v>
      </c>
      <c r="JJ5" s="63" t="s">
        <v>16</v>
      </c>
      <c r="JK5" s="63" t="s">
        <v>1652</v>
      </c>
      <c r="JL5" s="63" t="s">
        <v>1653</v>
      </c>
      <c r="JM5" s="63" t="s">
        <v>1654</v>
      </c>
      <c r="JN5" s="63" t="s">
        <v>1655</v>
      </c>
      <c r="JO5" s="63" t="s">
        <v>1656</v>
      </c>
      <c r="JP5" s="63" t="s">
        <v>1657</v>
      </c>
      <c r="JQ5" s="63" t="s">
        <v>1658</v>
      </c>
      <c r="JR5" s="63" t="s">
        <v>1659</v>
      </c>
      <c r="JS5" s="63" t="s">
        <v>1660</v>
      </c>
      <c r="JT5" s="63" t="s">
        <v>1661</v>
      </c>
      <c r="JU5" s="63" t="s">
        <v>1662</v>
      </c>
      <c r="JV5" s="63" t="s">
        <v>1663</v>
      </c>
      <c r="JW5" s="63" t="s">
        <v>1664</v>
      </c>
      <c r="JX5" s="63" t="s">
        <v>1665</v>
      </c>
      <c r="JY5" s="63" t="s">
        <v>1666</v>
      </c>
      <c r="JZ5" s="63" t="s">
        <v>1667</v>
      </c>
      <c r="KA5" s="63" t="s">
        <v>1668</v>
      </c>
      <c r="KB5" s="63" t="s">
        <v>1669</v>
      </c>
      <c r="KC5" s="63" t="s">
        <v>1670</v>
      </c>
      <c r="KD5" s="63" t="s">
        <v>1671</v>
      </c>
      <c r="KE5" s="63" t="s">
        <v>1672</v>
      </c>
      <c r="KF5" s="63" t="s">
        <v>1673</v>
      </c>
      <c r="KG5" s="63" t="s">
        <v>174</v>
      </c>
      <c r="KH5" s="63" t="s">
        <v>175</v>
      </c>
      <c r="KI5" s="63" t="s">
        <v>176</v>
      </c>
      <c r="KJ5" s="63" t="s">
        <v>177</v>
      </c>
      <c r="KK5" s="63" t="s">
        <v>178</v>
      </c>
      <c r="KL5" s="63" t="s">
        <v>179</v>
      </c>
      <c r="KM5" s="63" t="s">
        <v>180</v>
      </c>
      <c r="KN5" s="63" t="s">
        <v>181</v>
      </c>
      <c r="KO5" s="63" t="s">
        <v>17</v>
      </c>
      <c r="KP5" s="63" t="s">
        <v>1674</v>
      </c>
      <c r="KQ5" s="63" t="s">
        <v>1675</v>
      </c>
      <c r="KR5" s="63" t="s">
        <v>1676</v>
      </c>
      <c r="KS5" s="63" t="s">
        <v>1677</v>
      </c>
      <c r="KT5" s="63" t="s">
        <v>1678</v>
      </c>
      <c r="KU5" s="63" t="s">
        <v>1679</v>
      </c>
      <c r="KV5" s="63" t="s">
        <v>1680</v>
      </c>
      <c r="KW5" s="63" t="s">
        <v>1681</v>
      </c>
      <c r="KX5" s="63" t="s">
        <v>1682</v>
      </c>
      <c r="KY5" s="63" t="s">
        <v>1683</v>
      </c>
      <c r="KZ5" s="63" t="s">
        <v>1684</v>
      </c>
      <c r="LA5" s="63" t="s">
        <v>1685</v>
      </c>
      <c r="LB5" s="63" t="s">
        <v>1686</v>
      </c>
      <c r="LC5" s="63" t="s">
        <v>1687</v>
      </c>
      <c r="LD5" s="63" t="s">
        <v>1688</v>
      </c>
      <c r="LE5" s="63" t="s">
        <v>1689</v>
      </c>
      <c r="LF5" s="63" t="s">
        <v>1690</v>
      </c>
      <c r="LG5" s="63" t="s">
        <v>1691</v>
      </c>
      <c r="LH5" s="63" t="s">
        <v>1692</v>
      </c>
      <c r="LI5" s="63" t="s">
        <v>182</v>
      </c>
      <c r="LJ5" s="63" t="s">
        <v>183</v>
      </c>
      <c r="LK5" s="63" t="s">
        <v>184</v>
      </c>
      <c r="LL5" s="63" t="s">
        <v>185</v>
      </c>
      <c r="LM5" s="63" t="s">
        <v>186</v>
      </c>
      <c r="LN5" s="63" t="s">
        <v>187</v>
      </c>
      <c r="LO5" s="63" t="s">
        <v>188</v>
      </c>
      <c r="LP5" s="63" t="s">
        <v>189</v>
      </c>
      <c r="LQ5" s="63" t="s">
        <v>190</v>
      </c>
      <c r="LR5" s="63" t="s">
        <v>191</v>
      </c>
      <c r="LS5" s="63" t="s">
        <v>192</v>
      </c>
      <c r="LT5" s="63" t="s">
        <v>18</v>
      </c>
      <c r="LU5" s="63" t="s">
        <v>1693</v>
      </c>
      <c r="LV5" s="63" t="s">
        <v>1694</v>
      </c>
      <c r="LW5" s="63" t="s">
        <v>1695</v>
      </c>
      <c r="LX5" s="63" t="s">
        <v>1696</v>
      </c>
      <c r="LY5" s="63" t="s">
        <v>1697</v>
      </c>
      <c r="LZ5" s="63" t="s">
        <v>1698</v>
      </c>
      <c r="MA5" s="63" t="s">
        <v>1699</v>
      </c>
      <c r="MB5" s="63" t="s">
        <v>1700</v>
      </c>
      <c r="MC5" s="63" t="s">
        <v>1701</v>
      </c>
      <c r="MD5" s="63" t="s">
        <v>1702</v>
      </c>
      <c r="ME5" s="63" t="s">
        <v>1703</v>
      </c>
      <c r="MF5" s="63" t="s">
        <v>1704</v>
      </c>
      <c r="MG5" s="63" t="s">
        <v>1705</v>
      </c>
      <c r="MH5" s="63" t="s">
        <v>1706</v>
      </c>
      <c r="MI5" s="63" t="s">
        <v>1707</v>
      </c>
      <c r="MJ5" s="63" t="s">
        <v>1708</v>
      </c>
      <c r="MK5" s="63" t="s">
        <v>1709</v>
      </c>
      <c r="ML5" s="63" t="s">
        <v>193</v>
      </c>
      <c r="MM5" s="63" t="s">
        <v>194</v>
      </c>
      <c r="MN5" s="63" t="s">
        <v>195</v>
      </c>
      <c r="MO5" s="63" t="s">
        <v>196</v>
      </c>
      <c r="MP5" s="63" t="s">
        <v>197</v>
      </c>
      <c r="MQ5" s="63" t="s">
        <v>198</v>
      </c>
      <c r="MR5" s="63" t="s">
        <v>199</v>
      </c>
      <c r="MS5" s="63" t="s">
        <v>200</v>
      </c>
      <c r="MT5" s="63" t="s">
        <v>201</v>
      </c>
      <c r="MU5" s="63" t="s">
        <v>202</v>
      </c>
      <c r="MV5" s="63" t="s">
        <v>203</v>
      </c>
      <c r="MW5" s="63" t="s">
        <v>204</v>
      </c>
      <c r="MX5" s="63" t="s">
        <v>205</v>
      </c>
      <c r="MY5" s="63" t="s">
        <v>19</v>
      </c>
      <c r="MZ5" s="63" t="s">
        <v>1710</v>
      </c>
      <c r="NA5" s="63" t="s">
        <v>1711</v>
      </c>
      <c r="NB5" s="63" t="s">
        <v>1712</v>
      </c>
      <c r="NC5" s="63" t="s">
        <v>1713</v>
      </c>
      <c r="ND5" s="63" t="s">
        <v>1714</v>
      </c>
      <c r="NE5" s="63" t="s">
        <v>1715</v>
      </c>
      <c r="NF5" s="63" t="s">
        <v>1716</v>
      </c>
      <c r="NG5" s="63" t="s">
        <v>1717</v>
      </c>
      <c r="NH5" s="63" t="s">
        <v>1718</v>
      </c>
      <c r="NI5" s="63" t="s">
        <v>1719</v>
      </c>
      <c r="NJ5" s="63" t="s">
        <v>1720</v>
      </c>
      <c r="NK5" s="63" t="s">
        <v>1721</v>
      </c>
      <c r="NL5" s="63" t="s">
        <v>1722</v>
      </c>
      <c r="NM5" s="63" t="s">
        <v>1723</v>
      </c>
      <c r="NN5" s="63" t="s">
        <v>1724</v>
      </c>
      <c r="NO5" s="63" t="s">
        <v>1725</v>
      </c>
      <c r="NP5" s="63" t="s">
        <v>1726</v>
      </c>
      <c r="NQ5" s="63" t="s">
        <v>1727</v>
      </c>
      <c r="NR5" s="63" t="s">
        <v>1728</v>
      </c>
      <c r="NS5" s="63" t="s">
        <v>1729</v>
      </c>
      <c r="NT5" s="63" t="s">
        <v>1730</v>
      </c>
      <c r="NU5" s="63" t="s">
        <v>206</v>
      </c>
      <c r="NV5" s="63" t="s">
        <v>207</v>
      </c>
      <c r="NW5" s="63" t="s">
        <v>208</v>
      </c>
      <c r="NX5" s="63" t="s">
        <v>209</v>
      </c>
      <c r="NY5" s="63" t="s">
        <v>210</v>
      </c>
      <c r="NZ5" s="63" t="s">
        <v>211</v>
      </c>
      <c r="OA5" s="63" t="s">
        <v>212</v>
      </c>
      <c r="OB5" s="63" t="s">
        <v>213</v>
      </c>
      <c r="OC5" s="63" t="s">
        <v>214</v>
      </c>
      <c r="OD5" s="63" t="s">
        <v>20</v>
      </c>
      <c r="OE5" s="63" t="s">
        <v>1731</v>
      </c>
      <c r="OF5" s="63" t="s">
        <v>1732</v>
      </c>
      <c r="OG5" s="63" t="s">
        <v>1733</v>
      </c>
      <c r="OH5" s="63" t="s">
        <v>1734</v>
      </c>
      <c r="OI5" s="63" t="s">
        <v>1735</v>
      </c>
      <c r="OJ5" s="63" t="s">
        <v>1736</v>
      </c>
      <c r="OK5" s="63" t="s">
        <v>1737</v>
      </c>
      <c r="OL5" s="63" t="s">
        <v>1738</v>
      </c>
      <c r="OM5" s="63" t="s">
        <v>1739</v>
      </c>
      <c r="ON5" s="63" t="s">
        <v>1740</v>
      </c>
      <c r="OO5" s="63" t="s">
        <v>1741</v>
      </c>
      <c r="OP5" s="63" t="s">
        <v>1742</v>
      </c>
      <c r="OQ5" s="63" t="s">
        <v>1743</v>
      </c>
      <c r="OR5" s="63" t="s">
        <v>1744</v>
      </c>
      <c r="OS5" s="63" t="s">
        <v>1745</v>
      </c>
      <c r="OT5" s="63" t="s">
        <v>1746</v>
      </c>
      <c r="OU5" s="63" t="s">
        <v>1747</v>
      </c>
      <c r="OV5" s="63" t="s">
        <v>1748</v>
      </c>
      <c r="OW5" s="63" t="s">
        <v>215</v>
      </c>
      <c r="OX5" s="63" t="s">
        <v>216</v>
      </c>
      <c r="OY5" s="63" t="s">
        <v>217</v>
      </c>
      <c r="OZ5" s="63" t="s">
        <v>218</v>
      </c>
      <c r="PA5" s="63" t="s">
        <v>219</v>
      </c>
      <c r="PB5" s="63" t="s">
        <v>220</v>
      </c>
      <c r="PC5" s="63" t="s">
        <v>221</v>
      </c>
      <c r="PD5" s="63" t="s">
        <v>222</v>
      </c>
      <c r="PE5" s="63" t="s">
        <v>223</v>
      </c>
      <c r="PF5" s="63" t="s">
        <v>224</v>
      </c>
      <c r="PG5" s="63" t="s">
        <v>225</v>
      </c>
      <c r="PH5" s="63" t="s">
        <v>226</v>
      </c>
      <c r="PI5" s="63" t="s">
        <v>21</v>
      </c>
      <c r="PJ5" s="63" t="s">
        <v>1749</v>
      </c>
      <c r="PK5" s="63" t="s">
        <v>1750</v>
      </c>
      <c r="PL5" s="63" t="s">
        <v>1751</v>
      </c>
      <c r="PM5" s="63" t="s">
        <v>1752</v>
      </c>
      <c r="PN5" s="63" t="s">
        <v>1753</v>
      </c>
      <c r="PO5" s="63" t="s">
        <v>1754</v>
      </c>
      <c r="PP5" s="63" t="s">
        <v>1755</v>
      </c>
      <c r="PQ5" s="63" t="s">
        <v>1756</v>
      </c>
      <c r="PR5" s="63" t="s">
        <v>1757</v>
      </c>
      <c r="PS5" s="63" t="s">
        <v>1758</v>
      </c>
      <c r="PT5" s="63" t="s">
        <v>1759</v>
      </c>
      <c r="PU5" s="63" t="s">
        <v>1760</v>
      </c>
      <c r="PV5" s="63" t="s">
        <v>1761</v>
      </c>
      <c r="PW5" s="63" t="s">
        <v>1762</v>
      </c>
      <c r="PX5" s="63" t="s">
        <v>1763</v>
      </c>
      <c r="PY5" s="63" t="s">
        <v>1764</v>
      </c>
      <c r="PZ5" s="63" t="s">
        <v>1765</v>
      </c>
      <c r="QA5" s="63" t="s">
        <v>1766</v>
      </c>
      <c r="QB5" s="63" t="s">
        <v>1767</v>
      </c>
      <c r="QC5" s="63" t="s">
        <v>1768</v>
      </c>
      <c r="QD5" s="63" t="s">
        <v>1769</v>
      </c>
      <c r="QE5" s="63" t="s">
        <v>227</v>
      </c>
      <c r="QF5" s="63" t="s">
        <v>228</v>
      </c>
      <c r="QG5" s="63" t="s">
        <v>229</v>
      </c>
      <c r="QH5" s="63" t="s">
        <v>230</v>
      </c>
      <c r="QI5" s="63" t="s">
        <v>231</v>
      </c>
      <c r="QJ5" s="63" t="s">
        <v>232</v>
      </c>
      <c r="QK5" s="63" t="s">
        <v>233</v>
      </c>
      <c r="QL5" s="63" t="s">
        <v>234</v>
      </c>
      <c r="QM5" s="63" t="s">
        <v>235</v>
      </c>
      <c r="QN5" s="63" t="s">
        <v>22</v>
      </c>
      <c r="QO5" s="63" t="s">
        <v>1770</v>
      </c>
      <c r="QP5" s="63" t="s">
        <v>1771</v>
      </c>
      <c r="QQ5" s="63" t="s">
        <v>1772</v>
      </c>
      <c r="QR5" s="63" t="s">
        <v>1773</v>
      </c>
      <c r="QS5" s="63" t="s">
        <v>1774</v>
      </c>
      <c r="QT5" s="63" t="s">
        <v>1775</v>
      </c>
      <c r="QU5" s="63" t="s">
        <v>1776</v>
      </c>
      <c r="QV5" s="63" t="s">
        <v>1777</v>
      </c>
      <c r="QW5" s="63" t="s">
        <v>1778</v>
      </c>
      <c r="QX5" s="63" t="s">
        <v>1779</v>
      </c>
      <c r="QY5" s="63" t="s">
        <v>1780</v>
      </c>
      <c r="QZ5" s="63" t="s">
        <v>1781</v>
      </c>
      <c r="RA5" s="63" t="s">
        <v>1782</v>
      </c>
      <c r="RB5" s="63" t="s">
        <v>1783</v>
      </c>
      <c r="RC5" s="63" t="s">
        <v>1784</v>
      </c>
      <c r="RD5" s="63" t="s">
        <v>1785</v>
      </c>
      <c r="RE5" s="63" t="s">
        <v>1786</v>
      </c>
      <c r="RF5" s="63" t="s">
        <v>1787</v>
      </c>
      <c r="RG5" s="63" t="s">
        <v>1788</v>
      </c>
      <c r="RH5" s="63" t="s">
        <v>1789</v>
      </c>
      <c r="RI5" s="63" t="s">
        <v>1790</v>
      </c>
      <c r="RJ5" s="63" t="s">
        <v>1791</v>
      </c>
      <c r="RK5" s="63" t="s">
        <v>236</v>
      </c>
      <c r="RL5" s="63" t="s">
        <v>237</v>
      </c>
      <c r="RM5" s="63" t="s">
        <v>238</v>
      </c>
      <c r="RN5" s="63" t="s">
        <v>239</v>
      </c>
      <c r="RO5" s="63" t="s">
        <v>240</v>
      </c>
      <c r="RP5" s="63" t="s">
        <v>241</v>
      </c>
      <c r="RQ5" s="63" t="s">
        <v>242</v>
      </c>
      <c r="RR5" s="63" t="s">
        <v>243</v>
      </c>
      <c r="RS5" s="63" t="s">
        <v>23</v>
      </c>
      <c r="RT5" s="63" t="s">
        <v>1792</v>
      </c>
      <c r="RU5" s="63" t="s">
        <v>1793</v>
      </c>
      <c r="RV5" s="63" t="s">
        <v>1794</v>
      </c>
      <c r="RW5" s="63" t="s">
        <v>1795</v>
      </c>
      <c r="RX5" s="63" t="s">
        <v>1796</v>
      </c>
      <c r="RY5" s="63" t="s">
        <v>1797</v>
      </c>
      <c r="RZ5" s="63" t="s">
        <v>1798</v>
      </c>
      <c r="SA5" s="63" t="s">
        <v>1799</v>
      </c>
      <c r="SB5" s="63" t="s">
        <v>1800</v>
      </c>
      <c r="SC5" s="63" t="s">
        <v>1801</v>
      </c>
      <c r="SD5" s="63" t="s">
        <v>1802</v>
      </c>
      <c r="SE5" s="63" t="s">
        <v>1803</v>
      </c>
      <c r="SF5" s="63" t="s">
        <v>1804</v>
      </c>
      <c r="SG5" s="63" t="s">
        <v>1805</v>
      </c>
      <c r="SH5" s="63" t="s">
        <v>1806</v>
      </c>
      <c r="SI5" s="63" t="s">
        <v>1807</v>
      </c>
      <c r="SJ5" s="63" t="s">
        <v>1808</v>
      </c>
      <c r="SK5" s="63" t="s">
        <v>1809</v>
      </c>
      <c r="SL5" s="63" t="s">
        <v>1810</v>
      </c>
      <c r="SM5" s="63" t="s">
        <v>1811</v>
      </c>
      <c r="SN5" s="63" t="s">
        <v>1812</v>
      </c>
      <c r="SO5" s="63" t="s">
        <v>1813</v>
      </c>
      <c r="SP5" s="63" t="s">
        <v>1814</v>
      </c>
      <c r="SQ5" s="63" t="s">
        <v>1815</v>
      </c>
      <c r="SR5" s="63" t="s">
        <v>1816</v>
      </c>
      <c r="SS5" s="63" t="s">
        <v>244</v>
      </c>
      <c r="ST5" s="63" t="s">
        <v>245</v>
      </c>
      <c r="SU5" s="63" t="s">
        <v>246</v>
      </c>
      <c r="SV5" s="63" t="s">
        <v>247</v>
      </c>
      <c r="SW5" s="63" t="s">
        <v>248</v>
      </c>
      <c r="SX5" s="63" t="s">
        <v>24</v>
      </c>
      <c r="SY5" s="63" t="s">
        <v>1817</v>
      </c>
      <c r="SZ5" s="63" t="s">
        <v>1818</v>
      </c>
      <c r="TA5" s="63" t="s">
        <v>1819</v>
      </c>
      <c r="TB5" s="63" t="s">
        <v>1820</v>
      </c>
      <c r="TC5" s="63" t="s">
        <v>1821</v>
      </c>
      <c r="TD5" s="63" t="s">
        <v>1822</v>
      </c>
      <c r="TE5" s="63" t="s">
        <v>1823</v>
      </c>
      <c r="TF5" s="63" t="s">
        <v>1824</v>
      </c>
      <c r="TG5" s="63" t="s">
        <v>1825</v>
      </c>
      <c r="TH5" s="63" t="s">
        <v>1826</v>
      </c>
      <c r="TI5" s="63" t="s">
        <v>1827</v>
      </c>
      <c r="TJ5" s="63" t="s">
        <v>1828</v>
      </c>
      <c r="TK5" s="63" t="s">
        <v>1829</v>
      </c>
      <c r="TL5" s="63" t="s">
        <v>1830</v>
      </c>
      <c r="TM5" s="63" t="s">
        <v>1831</v>
      </c>
      <c r="TN5" s="63" t="s">
        <v>1832</v>
      </c>
      <c r="TO5" s="63" t="s">
        <v>249</v>
      </c>
      <c r="TP5" s="63" t="s">
        <v>250</v>
      </c>
      <c r="TQ5" s="63" t="s">
        <v>251</v>
      </c>
      <c r="TR5" s="63" t="s">
        <v>252</v>
      </c>
      <c r="TS5" s="63" t="s">
        <v>253</v>
      </c>
      <c r="TT5" s="63" t="s">
        <v>254</v>
      </c>
      <c r="TU5" s="63" t="s">
        <v>255</v>
      </c>
      <c r="TV5" s="63" t="s">
        <v>256</v>
      </c>
      <c r="TW5" s="63" t="s">
        <v>257</v>
      </c>
      <c r="TX5" s="63" t="s">
        <v>258</v>
      </c>
      <c r="TY5" s="63" t="s">
        <v>259</v>
      </c>
      <c r="TZ5" s="63" t="s">
        <v>260</v>
      </c>
      <c r="UA5" s="63" t="s">
        <v>261</v>
      </c>
      <c r="UB5" s="63" t="s">
        <v>262</v>
      </c>
      <c r="UC5" s="63" t="s">
        <v>25</v>
      </c>
      <c r="UD5" s="63" t="s">
        <v>1833</v>
      </c>
      <c r="UE5" s="63" t="s">
        <v>1834</v>
      </c>
      <c r="UF5" s="63" t="s">
        <v>1835</v>
      </c>
      <c r="UG5" s="63" t="s">
        <v>1836</v>
      </c>
      <c r="UH5" s="63" t="s">
        <v>1837</v>
      </c>
      <c r="UI5" s="63" t="s">
        <v>1838</v>
      </c>
      <c r="UJ5" s="63" t="s">
        <v>1839</v>
      </c>
      <c r="UK5" s="63" t="s">
        <v>1840</v>
      </c>
      <c r="UL5" s="63" t="s">
        <v>1841</v>
      </c>
      <c r="UM5" s="63" t="s">
        <v>1842</v>
      </c>
      <c r="UN5" s="63" t="s">
        <v>1843</v>
      </c>
      <c r="UO5" s="63" t="s">
        <v>1844</v>
      </c>
      <c r="UP5" s="63" t="s">
        <v>1845</v>
      </c>
      <c r="UQ5" s="63" t="s">
        <v>1846</v>
      </c>
      <c r="UR5" s="63" t="s">
        <v>1847</v>
      </c>
      <c r="US5" s="63" t="s">
        <v>1848</v>
      </c>
      <c r="UT5" s="63" t="s">
        <v>263</v>
      </c>
      <c r="UU5" s="63" t="s">
        <v>264</v>
      </c>
      <c r="UV5" s="63" t="s">
        <v>265</v>
      </c>
      <c r="UW5" s="63" t="s">
        <v>266</v>
      </c>
      <c r="UX5" s="63" t="s">
        <v>267</v>
      </c>
      <c r="UY5" s="63" t="s">
        <v>268</v>
      </c>
      <c r="UZ5" s="63" t="s">
        <v>269</v>
      </c>
      <c r="VA5" s="63" t="s">
        <v>270</v>
      </c>
      <c r="VB5" s="63" t="s">
        <v>271</v>
      </c>
      <c r="VC5" s="63" t="s">
        <v>272</v>
      </c>
      <c r="VD5" s="63" t="s">
        <v>273</v>
      </c>
      <c r="VE5" s="63" t="s">
        <v>274</v>
      </c>
      <c r="VF5" s="63" t="s">
        <v>275</v>
      </c>
      <c r="VG5" s="63" t="s">
        <v>276</v>
      </c>
      <c r="VH5" s="63" t="s">
        <v>26</v>
      </c>
      <c r="VI5" s="63" t="s">
        <v>1849</v>
      </c>
      <c r="VJ5" s="63" t="s">
        <v>1850</v>
      </c>
      <c r="VK5" s="63" t="s">
        <v>1851</v>
      </c>
      <c r="VL5" s="63" t="s">
        <v>1852</v>
      </c>
      <c r="VM5" s="63" t="s">
        <v>1853</v>
      </c>
      <c r="VN5" s="63" t="s">
        <v>1854</v>
      </c>
      <c r="VO5" s="63" t="s">
        <v>1855</v>
      </c>
      <c r="VP5" s="63" t="s">
        <v>1856</v>
      </c>
      <c r="VQ5" s="63" t="s">
        <v>1857</v>
      </c>
      <c r="VR5" s="63" t="s">
        <v>1858</v>
      </c>
      <c r="VS5" s="63" t="s">
        <v>1859</v>
      </c>
      <c r="VT5" s="63" t="s">
        <v>1860</v>
      </c>
      <c r="VU5" s="63" t="s">
        <v>1861</v>
      </c>
      <c r="VV5" s="63" t="s">
        <v>1862</v>
      </c>
      <c r="VW5" s="63" t="s">
        <v>1863</v>
      </c>
      <c r="VX5" s="63" t="s">
        <v>1864</v>
      </c>
      <c r="VY5" s="63" t="s">
        <v>1865</v>
      </c>
      <c r="VZ5" s="63" t="s">
        <v>277</v>
      </c>
      <c r="WA5" s="63" t="s">
        <v>278</v>
      </c>
      <c r="WB5" s="63" t="s">
        <v>279</v>
      </c>
      <c r="WC5" s="63" t="s">
        <v>280</v>
      </c>
      <c r="WD5" s="63" t="s">
        <v>281</v>
      </c>
      <c r="WE5" s="63" t="s">
        <v>282</v>
      </c>
      <c r="WF5" s="63" t="s">
        <v>283</v>
      </c>
      <c r="WG5" s="63" t="s">
        <v>284</v>
      </c>
      <c r="WH5" s="63" t="s">
        <v>285</v>
      </c>
      <c r="WI5" s="63" t="s">
        <v>286</v>
      </c>
      <c r="WJ5" s="63" t="s">
        <v>287</v>
      </c>
      <c r="WK5" s="63" t="s">
        <v>288</v>
      </c>
      <c r="WL5" s="63" t="s">
        <v>289</v>
      </c>
      <c r="WM5" s="63" t="s">
        <v>27</v>
      </c>
      <c r="WN5" s="63" t="s">
        <v>1866</v>
      </c>
      <c r="WO5" s="63" t="s">
        <v>1867</v>
      </c>
      <c r="WP5" s="63" t="s">
        <v>1868</v>
      </c>
      <c r="WQ5" s="63" t="s">
        <v>1869</v>
      </c>
      <c r="WR5" s="63" t="s">
        <v>1870</v>
      </c>
      <c r="WS5" s="63" t="s">
        <v>1871</v>
      </c>
      <c r="WT5" s="63" t="s">
        <v>1872</v>
      </c>
      <c r="WU5" s="63" t="s">
        <v>1873</v>
      </c>
      <c r="WV5" s="63" t="s">
        <v>1874</v>
      </c>
      <c r="WW5" s="63" t="s">
        <v>1875</v>
      </c>
      <c r="WX5" s="63" t="s">
        <v>1876</v>
      </c>
      <c r="WY5" s="63" t="s">
        <v>1877</v>
      </c>
      <c r="WZ5" s="63" t="s">
        <v>1878</v>
      </c>
      <c r="XA5" s="63" t="s">
        <v>1879</v>
      </c>
      <c r="XB5" s="63" t="s">
        <v>1880</v>
      </c>
      <c r="XC5" s="63" t="s">
        <v>1881</v>
      </c>
      <c r="XD5" s="63" t="s">
        <v>1882</v>
      </c>
      <c r="XE5" s="63" t="s">
        <v>1883</v>
      </c>
      <c r="XF5" s="63" t="s">
        <v>1884</v>
      </c>
      <c r="XG5" s="63" t="s">
        <v>290</v>
      </c>
      <c r="XH5" s="63" t="s">
        <v>291</v>
      </c>
      <c r="XI5" s="63" t="s">
        <v>292</v>
      </c>
      <c r="XJ5" s="63" t="s">
        <v>293</v>
      </c>
      <c r="XK5" s="63" t="s">
        <v>294</v>
      </c>
      <c r="XL5" s="63" t="s">
        <v>295</v>
      </c>
      <c r="XM5" s="63" t="s">
        <v>296</v>
      </c>
      <c r="XN5" s="63" t="s">
        <v>297</v>
      </c>
      <c r="XO5" s="63" t="s">
        <v>298</v>
      </c>
      <c r="XP5" s="63" t="s">
        <v>299</v>
      </c>
      <c r="XQ5" s="63" t="s">
        <v>300</v>
      </c>
      <c r="XR5" s="63" t="s">
        <v>28</v>
      </c>
      <c r="XS5" s="63" t="s">
        <v>1885</v>
      </c>
      <c r="XT5" s="63" t="s">
        <v>1886</v>
      </c>
      <c r="XU5" s="63" t="s">
        <v>1887</v>
      </c>
      <c r="XV5" s="63" t="s">
        <v>1888</v>
      </c>
      <c r="XW5" s="63" t="s">
        <v>1889</v>
      </c>
      <c r="XX5" s="63" t="s">
        <v>1890</v>
      </c>
      <c r="XY5" s="63" t="s">
        <v>1891</v>
      </c>
      <c r="XZ5" s="63" t="s">
        <v>1892</v>
      </c>
      <c r="YA5" s="63" t="s">
        <v>1893</v>
      </c>
      <c r="YB5" s="63" t="s">
        <v>1894</v>
      </c>
      <c r="YC5" s="63" t="s">
        <v>1895</v>
      </c>
      <c r="YD5" s="63" t="s">
        <v>1896</v>
      </c>
      <c r="YE5" s="63" t="s">
        <v>1897</v>
      </c>
      <c r="YF5" s="63" t="s">
        <v>1898</v>
      </c>
      <c r="YG5" s="63" t="s">
        <v>1899</v>
      </c>
      <c r="YH5" s="63" t="s">
        <v>1900</v>
      </c>
      <c r="YI5" s="63" t="s">
        <v>1901</v>
      </c>
      <c r="YJ5" s="63" t="s">
        <v>301</v>
      </c>
      <c r="YK5" s="63" t="s">
        <v>302</v>
      </c>
      <c r="YL5" s="63" t="s">
        <v>303</v>
      </c>
      <c r="YM5" s="63" t="s">
        <v>304</v>
      </c>
      <c r="YN5" s="63" t="s">
        <v>305</v>
      </c>
      <c r="YO5" s="63" t="s">
        <v>306</v>
      </c>
      <c r="YP5" s="63" t="s">
        <v>307</v>
      </c>
      <c r="YQ5" s="63" t="s">
        <v>308</v>
      </c>
      <c r="YR5" s="63" t="s">
        <v>309</v>
      </c>
      <c r="YS5" s="63" t="s">
        <v>310</v>
      </c>
      <c r="YT5" s="63" t="s">
        <v>311</v>
      </c>
      <c r="YU5" s="63" t="s">
        <v>312</v>
      </c>
      <c r="YV5" s="63" t="s">
        <v>313</v>
      </c>
      <c r="YW5" s="63" t="s">
        <v>29</v>
      </c>
      <c r="YX5" s="63" t="s">
        <v>1902</v>
      </c>
      <c r="YY5" s="63" t="s">
        <v>1903</v>
      </c>
      <c r="YZ5" s="63" t="s">
        <v>1904</v>
      </c>
      <c r="ZA5" s="63" t="s">
        <v>1905</v>
      </c>
      <c r="ZB5" s="63" t="s">
        <v>1906</v>
      </c>
      <c r="ZC5" s="63" t="s">
        <v>1907</v>
      </c>
      <c r="ZD5" s="63" t="s">
        <v>1908</v>
      </c>
      <c r="ZE5" s="63" t="s">
        <v>1909</v>
      </c>
      <c r="ZF5" s="63" t="s">
        <v>1910</v>
      </c>
      <c r="ZG5" s="63" t="s">
        <v>1911</v>
      </c>
      <c r="ZH5" s="63" t="s">
        <v>1912</v>
      </c>
      <c r="ZI5" s="63" t="s">
        <v>1913</v>
      </c>
      <c r="ZJ5" s="63" t="s">
        <v>1914</v>
      </c>
      <c r="ZK5" s="63" t="s">
        <v>1915</v>
      </c>
      <c r="ZL5" s="63" t="s">
        <v>1916</v>
      </c>
      <c r="ZM5" s="63" t="s">
        <v>1917</v>
      </c>
      <c r="ZN5" s="63" t="s">
        <v>314</v>
      </c>
      <c r="ZO5" s="63" t="s">
        <v>315</v>
      </c>
      <c r="ZP5" s="63" t="s">
        <v>316</v>
      </c>
      <c r="ZQ5" s="63" t="s">
        <v>317</v>
      </c>
      <c r="ZR5" s="63" t="s">
        <v>318</v>
      </c>
      <c r="ZS5" s="63" t="s">
        <v>319</v>
      </c>
      <c r="ZT5" s="63" t="s">
        <v>320</v>
      </c>
      <c r="ZU5" s="63" t="s">
        <v>321</v>
      </c>
      <c r="ZV5" s="63" t="s">
        <v>322</v>
      </c>
      <c r="ZW5" s="63" t="s">
        <v>323</v>
      </c>
      <c r="ZX5" s="63" t="s">
        <v>324</v>
      </c>
      <c r="ZY5" s="63" t="s">
        <v>325</v>
      </c>
      <c r="ZZ5" s="63" t="s">
        <v>326</v>
      </c>
      <c r="AAA5" s="63" t="s">
        <v>327</v>
      </c>
      <c r="AAB5" s="63" t="s">
        <v>30</v>
      </c>
      <c r="AAC5" s="63" t="s">
        <v>1918</v>
      </c>
      <c r="AAD5" s="63" t="s">
        <v>1919</v>
      </c>
      <c r="AAE5" s="63" t="s">
        <v>1920</v>
      </c>
      <c r="AAF5" s="63" t="s">
        <v>1921</v>
      </c>
      <c r="AAG5" s="63" t="s">
        <v>1922</v>
      </c>
      <c r="AAH5" s="63" t="s">
        <v>1923</v>
      </c>
      <c r="AAI5" s="63" t="s">
        <v>1924</v>
      </c>
      <c r="AAJ5" s="63" t="s">
        <v>1925</v>
      </c>
      <c r="AAK5" s="63" t="s">
        <v>1926</v>
      </c>
      <c r="AAL5" s="63" t="s">
        <v>1927</v>
      </c>
      <c r="AAM5" s="63" t="s">
        <v>1928</v>
      </c>
      <c r="AAN5" s="63" t="s">
        <v>1929</v>
      </c>
      <c r="AAO5" s="63" t="s">
        <v>1930</v>
      </c>
      <c r="AAP5" s="63" t="s">
        <v>1931</v>
      </c>
      <c r="AAQ5" s="63" t="s">
        <v>1932</v>
      </c>
      <c r="AAR5" s="63" t="s">
        <v>328</v>
      </c>
      <c r="AAS5" s="63" t="s">
        <v>329</v>
      </c>
      <c r="AAT5" s="63" t="s">
        <v>330</v>
      </c>
      <c r="AAU5" s="63" t="s">
        <v>331</v>
      </c>
      <c r="AAV5" s="63" t="s">
        <v>332</v>
      </c>
      <c r="AAW5" s="63" t="s">
        <v>333</v>
      </c>
      <c r="AAX5" s="63" t="s">
        <v>334</v>
      </c>
      <c r="AAY5" s="63" t="s">
        <v>335</v>
      </c>
      <c r="AAZ5" s="63" t="s">
        <v>336</v>
      </c>
      <c r="ABA5" s="63" t="s">
        <v>337</v>
      </c>
      <c r="ABB5" s="63" t="s">
        <v>338</v>
      </c>
      <c r="ABC5" s="63" t="s">
        <v>339</v>
      </c>
      <c r="ABD5" s="63" t="s">
        <v>340</v>
      </c>
      <c r="ABE5" s="63" t="s">
        <v>341</v>
      </c>
      <c r="ABF5" s="63" t="s">
        <v>342</v>
      </c>
      <c r="ABG5" s="63" t="s">
        <v>31</v>
      </c>
      <c r="ABH5" s="63" t="s">
        <v>1933</v>
      </c>
      <c r="ABI5" s="63" t="s">
        <v>1934</v>
      </c>
      <c r="ABJ5" s="63" t="s">
        <v>1935</v>
      </c>
      <c r="ABK5" s="63" t="s">
        <v>1936</v>
      </c>
      <c r="ABL5" s="63" t="s">
        <v>1937</v>
      </c>
      <c r="ABM5" s="63" t="s">
        <v>1938</v>
      </c>
      <c r="ABN5" s="63" t="s">
        <v>1939</v>
      </c>
      <c r="ABO5" s="63" t="s">
        <v>1940</v>
      </c>
      <c r="ABP5" s="63" t="s">
        <v>1941</v>
      </c>
      <c r="ABQ5" s="63" t="s">
        <v>1942</v>
      </c>
      <c r="ABR5" s="63" t="s">
        <v>1943</v>
      </c>
      <c r="ABS5" s="63" t="s">
        <v>1944</v>
      </c>
      <c r="ABT5" s="63" t="s">
        <v>1945</v>
      </c>
      <c r="ABU5" s="63" t="s">
        <v>1946</v>
      </c>
      <c r="ABV5" s="63" t="s">
        <v>1947</v>
      </c>
      <c r="ABW5" s="63" t="s">
        <v>343</v>
      </c>
      <c r="ABX5" s="63" t="s">
        <v>344</v>
      </c>
      <c r="ABY5" s="63" t="s">
        <v>345</v>
      </c>
      <c r="ABZ5" s="63" t="s">
        <v>346</v>
      </c>
      <c r="ACA5" s="63" t="s">
        <v>347</v>
      </c>
      <c r="ACB5" s="63" t="s">
        <v>348</v>
      </c>
      <c r="ACC5" s="63" t="s">
        <v>349</v>
      </c>
      <c r="ACD5" s="63" t="s">
        <v>350</v>
      </c>
      <c r="ACE5" s="63" t="s">
        <v>351</v>
      </c>
      <c r="ACF5" s="63" t="s">
        <v>352</v>
      </c>
      <c r="ACG5" s="63" t="s">
        <v>353</v>
      </c>
      <c r="ACH5" s="63" t="s">
        <v>354</v>
      </c>
      <c r="ACI5" s="63" t="s">
        <v>355</v>
      </c>
      <c r="ACJ5" s="63" t="s">
        <v>356</v>
      </c>
      <c r="ACK5" s="63" t="s">
        <v>357</v>
      </c>
      <c r="ACL5" s="63" t="s">
        <v>32</v>
      </c>
      <c r="ACM5" s="63" t="s">
        <v>1948</v>
      </c>
      <c r="ACN5" s="63" t="s">
        <v>1949</v>
      </c>
      <c r="ACO5" s="63" t="s">
        <v>1950</v>
      </c>
      <c r="ACP5" s="63" t="s">
        <v>1951</v>
      </c>
      <c r="ACQ5" s="63" t="s">
        <v>1952</v>
      </c>
      <c r="ACR5" s="63" t="s">
        <v>1953</v>
      </c>
      <c r="ACS5" s="63" t="s">
        <v>1954</v>
      </c>
      <c r="ACT5" s="63" t="s">
        <v>1955</v>
      </c>
      <c r="ACU5" s="63" t="s">
        <v>1956</v>
      </c>
      <c r="ACV5" s="63" t="s">
        <v>1957</v>
      </c>
      <c r="ACW5" s="63" t="s">
        <v>1958</v>
      </c>
      <c r="ACX5" s="63" t="s">
        <v>1959</v>
      </c>
      <c r="ACY5" s="63" t="s">
        <v>1960</v>
      </c>
      <c r="ACZ5" s="63" t="s">
        <v>1961</v>
      </c>
      <c r="ADA5" s="63" t="s">
        <v>1962</v>
      </c>
      <c r="ADB5" s="63" t="s">
        <v>1963</v>
      </c>
      <c r="ADC5" s="63" t="s">
        <v>1964</v>
      </c>
      <c r="ADD5" s="63" t="s">
        <v>1965</v>
      </c>
      <c r="ADE5" s="63" t="s">
        <v>358</v>
      </c>
      <c r="ADF5" s="63" t="s">
        <v>359</v>
      </c>
      <c r="ADG5" s="63" t="s">
        <v>360</v>
      </c>
      <c r="ADH5" s="63" t="s">
        <v>361</v>
      </c>
      <c r="ADI5" s="63" t="s">
        <v>362</v>
      </c>
      <c r="ADJ5" s="63" t="s">
        <v>363</v>
      </c>
      <c r="ADK5" s="63" t="s">
        <v>364</v>
      </c>
      <c r="ADL5" s="63" t="s">
        <v>365</v>
      </c>
      <c r="ADM5" s="63" t="s">
        <v>366</v>
      </c>
      <c r="ADN5" s="63" t="s">
        <v>367</v>
      </c>
      <c r="ADO5" s="63" t="s">
        <v>368</v>
      </c>
      <c r="ADP5" s="63" t="s">
        <v>369</v>
      </c>
      <c r="ADQ5" s="63" t="s">
        <v>33</v>
      </c>
      <c r="ADR5" s="63" t="s">
        <v>1966</v>
      </c>
      <c r="ADS5" s="63" t="s">
        <v>1967</v>
      </c>
      <c r="ADT5" s="63" t="s">
        <v>1968</v>
      </c>
      <c r="ADU5" s="63" t="s">
        <v>1969</v>
      </c>
      <c r="ADV5" s="63" t="s">
        <v>1970</v>
      </c>
      <c r="ADW5" s="63" t="s">
        <v>1971</v>
      </c>
      <c r="ADX5" s="63" t="s">
        <v>1972</v>
      </c>
      <c r="ADY5" s="63" t="s">
        <v>1973</v>
      </c>
      <c r="ADZ5" s="63" t="s">
        <v>1974</v>
      </c>
      <c r="AEA5" s="63" t="s">
        <v>1975</v>
      </c>
      <c r="AEB5" s="63" t="s">
        <v>1976</v>
      </c>
      <c r="AEC5" s="63" t="s">
        <v>1977</v>
      </c>
      <c r="AED5" s="63" t="s">
        <v>1978</v>
      </c>
      <c r="AEE5" s="63" t="s">
        <v>370</v>
      </c>
      <c r="AEF5" s="63" t="s">
        <v>371</v>
      </c>
      <c r="AEG5" s="63" t="s">
        <v>372</v>
      </c>
      <c r="AEH5" s="63" t="s">
        <v>373</v>
      </c>
      <c r="AEI5" s="63" t="s">
        <v>374</v>
      </c>
      <c r="AEJ5" s="63" t="s">
        <v>375</v>
      </c>
      <c r="AEK5" s="63" t="s">
        <v>376</v>
      </c>
      <c r="AEL5" s="63" t="s">
        <v>377</v>
      </c>
      <c r="AEM5" s="63" t="s">
        <v>378</v>
      </c>
      <c r="AEN5" s="63" t="s">
        <v>379</v>
      </c>
      <c r="AEO5" s="63" t="s">
        <v>380</v>
      </c>
      <c r="AEP5" s="63" t="s">
        <v>381</v>
      </c>
      <c r="AEQ5" s="63" t="s">
        <v>382</v>
      </c>
      <c r="AER5" s="63" t="s">
        <v>383</v>
      </c>
      <c r="AES5" s="63" t="s">
        <v>384</v>
      </c>
      <c r="AET5" s="63" t="s">
        <v>385</v>
      </c>
      <c r="AEU5" s="63" t="s">
        <v>386</v>
      </c>
      <c r="AEV5" s="63" t="s">
        <v>34</v>
      </c>
      <c r="AEW5" s="63" t="s">
        <v>1979</v>
      </c>
      <c r="AEX5" s="63" t="s">
        <v>1980</v>
      </c>
      <c r="AEY5" s="63" t="s">
        <v>1981</v>
      </c>
      <c r="AEZ5" s="63" t="s">
        <v>1982</v>
      </c>
      <c r="AFA5" s="63" t="s">
        <v>1983</v>
      </c>
      <c r="AFB5" s="63" t="s">
        <v>1984</v>
      </c>
      <c r="AFC5" s="63" t="s">
        <v>1985</v>
      </c>
      <c r="AFD5" s="63" t="s">
        <v>1986</v>
      </c>
      <c r="AFE5" s="63" t="s">
        <v>1987</v>
      </c>
      <c r="AFF5" s="63" t="s">
        <v>1988</v>
      </c>
      <c r="AFG5" s="63" t="s">
        <v>1989</v>
      </c>
      <c r="AFH5" s="63" t="s">
        <v>1990</v>
      </c>
      <c r="AFI5" s="63" t="s">
        <v>1991</v>
      </c>
      <c r="AFJ5" s="63" t="s">
        <v>1992</v>
      </c>
      <c r="AFK5" s="63" t="s">
        <v>387</v>
      </c>
      <c r="AFL5" s="63" t="s">
        <v>388</v>
      </c>
      <c r="AFM5" s="63" t="s">
        <v>389</v>
      </c>
      <c r="AFN5" s="63" t="s">
        <v>390</v>
      </c>
      <c r="AFO5" s="63" t="s">
        <v>391</v>
      </c>
      <c r="AFP5" s="63" t="s">
        <v>392</v>
      </c>
      <c r="AFQ5" s="63" t="s">
        <v>393</v>
      </c>
      <c r="AFR5" s="63" t="s">
        <v>394</v>
      </c>
      <c r="AFS5" s="63" t="s">
        <v>395</v>
      </c>
      <c r="AFT5" s="63" t="s">
        <v>396</v>
      </c>
      <c r="AFU5" s="63" t="s">
        <v>397</v>
      </c>
      <c r="AFV5" s="63" t="s">
        <v>398</v>
      </c>
      <c r="AFW5" s="63" t="s">
        <v>399</v>
      </c>
      <c r="AFX5" s="63" t="s">
        <v>400</v>
      </c>
      <c r="AFY5" s="63" t="s">
        <v>401</v>
      </c>
      <c r="AFZ5" s="63" t="s">
        <v>402</v>
      </c>
      <c r="AGA5" s="63" t="s">
        <v>35</v>
      </c>
      <c r="AGB5" s="63" t="s">
        <v>1993</v>
      </c>
      <c r="AGC5" s="63" t="s">
        <v>1994</v>
      </c>
      <c r="AGD5" s="63" t="s">
        <v>1995</v>
      </c>
      <c r="AGE5" s="63" t="s">
        <v>1996</v>
      </c>
      <c r="AGF5" s="63" t="s">
        <v>1997</v>
      </c>
      <c r="AGG5" s="63" t="s">
        <v>1998</v>
      </c>
      <c r="AGH5" s="63" t="s">
        <v>1999</v>
      </c>
      <c r="AGI5" s="63" t="s">
        <v>2000</v>
      </c>
      <c r="AGJ5" s="63" t="s">
        <v>2001</v>
      </c>
      <c r="AGK5" s="63" t="s">
        <v>2002</v>
      </c>
      <c r="AGL5" s="63" t="s">
        <v>2003</v>
      </c>
      <c r="AGM5" s="63" t="s">
        <v>2004</v>
      </c>
      <c r="AGN5" s="63" t="s">
        <v>403</v>
      </c>
      <c r="AGO5" s="63" t="s">
        <v>404</v>
      </c>
      <c r="AGP5" s="63" t="s">
        <v>405</v>
      </c>
      <c r="AGQ5" s="63" t="s">
        <v>406</v>
      </c>
      <c r="AGR5" s="63" t="s">
        <v>407</v>
      </c>
      <c r="AGS5" s="63" t="s">
        <v>408</v>
      </c>
      <c r="AGT5" s="63" t="s">
        <v>409</v>
      </c>
      <c r="AGU5" s="63" t="s">
        <v>410</v>
      </c>
      <c r="AGV5" s="63" t="s">
        <v>411</v>
      </c>
      <c r="AGW5" s="63" t="s">
        <v>412</v>
      </c>
      <c r="AGX5" s="63" t="s">
        <v>413</v>
      </c>
      <c r="AGY5" s="63" t="s">
        <v>414</v>
      </c>
      <c r="AGZ5" s="63" t="s">
        <v>415</v>
      </c>
      <c r="AHA5" s="63" t="s">
        <v>416</v>
      </c>
      <c r="AHB5" s="63" t="s">
        <v>417</v>
      </c>
      <c r="AHC5" s="63" t="s">
        <v>418</v>
      </c>
      <c r="AHD5" s="63" t="s">
        <v>419</v>
      </c>
      <c r="AHE5" s="63" t="s">
        <v>420</v>
      </c>
      <c r="AHF5" s="63" t="s">
        <v>36</v>
      </c>
      <c r="AHG5" s="63" t="s">
        <v>2005</v>
      </c>
      <c r="AHH5" s="63" t="s">
        <v>2006</v>
      </c>
      <c r="AHI5" s="63" t="s">
        <v>2007</v>
      </c>
      <c r="AHJ5" s="63" t="s">
        <v>2008</v>
      </c>
      <c r="AHK5" s="63" t="s">
        <v>2009</v>
      </c>
      <c r="AHL5" s="63" t="s">
        <v>2010</v>
      </c>
      <c r="AHM5" s="63" t="s">
        <v>2011</v>
      </c>
      <c r="AHN5" s="63" t="s">
        <v>2012</v>
      </c>
      <c r="AHO5" s="63" t="s">
        <v>2013</v>
      </c>
      <c r="AHP5" s="63" t="s">
        <v>2014</v>
      </c>
      <c r="AHQ5" s="63" t="s">
        <v>2015</v>
      </c>
      <c r="AHR5" s="63" t="s">
        <v>2016</v>
      </c>
      <c r="AHS5" s="63" t="s">
        <v>2017</v>
      </c>
      <c r="AHT5" s="63" t="s">
        <v>2018</v>
      </c>
      <c r="AHU5" s="63" t="s">
        <v>421</v>
      </c>
      <c r="AHV5" s="63" t="s">
        <v>422</v>
      </c>
      <c r="AHW5" s="63" t="s">
        <v>423</v>
      </c>
      <c r="AHX5" s="63" t="s">
        <v>424</v>
      </c>
      <c r="AHY5" s="63" t="s">
        <v>425</v>
      </c>
      <c r="AHZ5" s="63" t="s">
        <v>426</v>
      </c>
      <c r="AIA5" s="63" t="s">
        <v>427</v>
      </c>
      <c r="AIB5" s="63" t="s">
        <v>428</v>
      </c>
      <c r="AIC5" s="63" t="s">
        <v>429</v>
      </c>
      <c r="AID5" s="63" t="s">
        <v>430</v>
      </c>
      <c r="AIE5" s="63" t="s">
        <v>431</v>
      </c>
      <c r="AIF5" s="63" t="s">
        <v>432</v>
      </c>
      <c r="AIG5" s="63" t="s">
        <v>433</v>
      </c>
      <c r="AIH5" s="63" t="s">
        <v>434</v>
      </c>
      <c r="AII5" s="63" t="s">
        <v>435</v>
      </c>
      <c r="AIJ5" s="63" t="s">
        <v>436</v>
      </c>
      <c r="AIK5" s="63" t="s">
        <v>37</v>
      </c>
      <c r="AIL5" s="63" t="s">
        <v>2019</v>
      </c>
      <c r="AIM5" s="63" t="s">
        <v>2020</v>
      </c>
      <c r="AIN5" s="63" t="s">
        <v>2021</v>
      </c>
      <c r="AIO5" s="63" t="s">
        <v>2022</v>
      </c>
      <c r="AIP5" s="63" t="s">
        <v>2023</v>
      </c>
      <c r="AIQ5" s="63" t="s">
        <v>2024</v>
      </c>
      <c r="AIR5" s="63" t="s">
        <v>2025</v>
      </c>
      <c r="AIS5" s="63" t="s">
        <v>2026</v>
      </c>
      <c r="AIT5" s="63" t="s">
        <v>2027</v>
      </c>
      <c r="AIU5" s="63" t="s">
        <v>2028</v>
      </c>
      <c r="AIV5" s="63" t="s">
        <v>2029</v>
      </c>
      <c r="AIW5" s="63" t="s">
        <v>2030</v>
      </c>
      <c r="AIX5" s="63" t="s">
        <v>2031</v>
      </c>
      <c r="AIY5" s="63" t="s">
        <v>437</v>
      </c>
      <c r="AIZ5" s="63" t="s">
        <v>438</v>
      </c>
      <c r="AJA5" s="63" t="s">
        <v>439</v>
      </c>
      <c r="AJB5" s="63" t="s">
        <v>440</v>
      </c>
      <c r="AJC5" s="63" t="s">
        <v>441</v>
      </c>
      <c r="AJD5" s="63" t="s">
        <v>442</v>
      </c>
      <c r="AJE5" s="63" t="s">
        <v>443</v>
      </c>
      <c r="AJF5" s="63" t="s">
        <v>444</v>
      </c>
      <c r="AJG5" s="63" t="s">
        <v>445</v>
      </c>
      <c r="AJH5" s="63" t="s">
        <v>446</v>
      </c>
      <c r="AJI5" s="63" t="s">
        <v>447</v>
      </c>
      <c r="AJJ5" s="63" t="s">
        <v>448</v>
      </c>
      <c r="AJK5" s="63" t="s">
        <v>449</v>
      </c>
      <c r="AJL5" s="63" t="s">
        <v>450</v>
      </c>
      <c r="AJM5" s="63" t="s">
        <v>451</v>
      </c>
      <c r="AJN5" s="63" t="s">
        <v>452</v>
      </c>
      <c r="AJO5" s="63" t="s">
        <v>453</v>
      </c>
      <c r="AJP5" s="63" t="s">
        <v>38</v>
      </c>
      <c r="AJQ5" s="63" t="s">
        <v>2032</v>
      </c>
      <c r="AJR5" s="63" t="s">
        <v>2033</v>
      </c>
      <c r="AJS5" s="63" t="s">
        <v>2034</v>
      </c>
      <c r="AJT5" s="63" t="s">
        <v>2035</v>
      </c>
      <c r="AJU5" s="63" t="s">
        <v>2036</v>
      </c>
      <c r="AJV5" s="63" t="s">
        <v>2037</v>
      </c>
      <c r="AJW5" s="63" t="s">
        <v>2038</v>
      </c>
      <c r="AJX5" s="63" t="s">
        <v>2039</v>
      </c>
      <c r="AJY5" s="63" t="s">
        <v>2040</v>
      </c>
      <c r="AJZ5" s="63" t="s">
        <v>2041</v>
      </c>
      <c r="AKA5" s="63" t="s">
        <v>2042</v>
      </c>
      <c r="AKB5" s="63" t="s">
        <v>2043</v>
      </c>
      <c r="AKC5" s="63" t="s">
        <v>2044</v>
      </c>
      <c r="AKD5" s="63" t="s">
        <v>2045</v>
      </c>
      <c r="AKE5" s="63" t="s">
        <v>2046</v>
      </c>
      <c r="AKF5" s="63" t="s">
        <v>454</v>
      </c>
      <c r="AKG5" s="63" t="s">
        <v>455</v>
      </c>
      <c r="AKH5" s="63" t="s">
        <v>456</v>
      </c>
      <c r="AKI5" s="63" t="s">
        <v>457</v>
      </c>
      <c r="AKJ5" s="63" t="s">
        <v>458</v>
      </c>
      <c r="AKK5" s="63" t="s">
        <v>459</v>
      </c>
      <c r="AKL5" s="63" t="s">
        <v>460</v>
      </c>
      <c r="AKM5" s="63" t="s">
        <v>461</v>
      </c>
      <c r="AKN5" s="63" t="s">
        <v>462</v>
      </c>
      <c r="AKO5" s="63" t="s">
        <v>463</v>
      </c>
      <c r="AKP5" s="63" t="s">
        <v>464</v>
      </c>
      <c r="AKQ5" s="63" t="s">
        <v>465</v>
      </c>
      <c r="AKR5" s="63" t="s">
        <v>466</v>
      </c>
      <c r="AKS5" s="63" t="s">
        <v>467</v>
      </c>
      <c r="AKT5" s="63" t="s">
        <v>468</v>
      </c>
      <c r="AKU5" s="63" t="s">
        <v>39</v>
      </c>
      <c r="AKV5" s="63" t="s">
        <v>2047</v>
      </c>
      <c r="AKW5" s="63" t="s">
        <v>2048</v>
      </c>
      <c r="AKX5" s="63" t="s">
        <v>2049</v>
      </c>
      <c r="AKY5" s="63" t="s">
        <v>2050</v>
      </c>
      <c r="AKZ5" s="63" t="s">
        <v>2051</v>
      </c>
      <c r="ALA5" s="63" t="s">
        <v>2052</v>
      </c>
      <c r="ALB5" s="63" t="s">
        <v>2053</v>
      </c>
      <c r="ALC5" s="63" t="s">
        <v>2054</v>
      </c>
      <c r="ALD5" s="63" t="s">
        <v>2055</v>
      </c>
      <c r="ALE5" s="63" t="s">
        <v>2056</v>
      </c>
      <c r="ALF5" s="63" t="s">
        <v>2057</v>
      </c>
      <c r="ALG5" s="63" t="s">
        <v>2058</v>
      </c>
      <c r="ALH5" s="63" t="s">
        <v>2059</v>
      </c>
      <c r="ALI5" s="63" t="s">
        <v>469</v>
      </c>
      <c r="ALJ5" s="63" t="s">
        <v>470</v>
      </c>
      <c r="ALK5" s="63" t="s">
        <v>471</v>
      </c>
      <c r="ALL5" s="63" t="s">
        <v>472</v>
      </c>
      <c r="ALM5" s="63" t="s">
        <v>473</v>
      </c>
      <c r="ALN5" s="63" t="s">
        <v>474</v>
      </c>
      <c r="ALO5" s="63" t="s">
        <v>475</v>
      </c>
      <c r="ALP5" s="63" t="s">
        <v>476</v>
      </c>
      <c r="ALQ5" s="63" t="s">
        <v>477</v>
      </c>
      <c r="ALR5" s="63" t="s">
        <v>478</v>
      </c>
      <c r="ALS5" s="63" t="s">
        <v>479</v>
      </c>
      <c r="ALT5" s="63" t="s">
        <v>480</v>
      </c>
      <c r="ALU5" s="63" t="s">
        <v>481</v>
      </c>
      <c r="ALV5" s="63" t="s">
        <v>482</v>
      </c>
      <c r="ALW5" s="63" t="s">
        <v>483</v>
      </c>
      <c r="ALX5" s="63" t="s">
        <v>484</v>
      </c>
      <c r="ALY5" s="63" t="s">
        <v>485</v>
      </c>
      <c r="ALZ5" s="63" t="s">
        <v>40</v>
      </c>
      <c r="AMA5" s="63" t="s">
        <v>2060</v>
      </c>
      <c r="AMB5" s="63" t="s">
        <v>2061</v>
      </c>
      <c r="AMC5" s="63" t="s">
        <v>2062</v>
      </c>
      <c r="AMD5" s="63" t="s">
        <v>2063</v>
      </c>
      <c r="AME5" s="63" t="s">
        <v>2064</v>
      </c>
      <c r="AMF5" s="63" t="s">
        <v>2065</v>
      </c>
      <c r="AMG5" s="63" t="s">
        <v>2066</v>
      </c>
      <c r="AMH5" s="63" t="s">
        <v>2067</v>
      </c>
      <c r="AMI5" s="63" t="s">
        <v>2068</v>
      </c>
      <c r="AMJ5" s="63" t="s">
        <v>2069</v>
      </c>
      <c r="AMK5" s="63" t="s">
        <v>2070</v>
      </c>
      <c r="AML5" s="63" t="s">
        <v>2071</v>
      </c>
      <c r="AMM5" s="63" t="s">
        <v>2072</v>
      </c>
      <c r="AMN5" s="63" t="s">
        <v>486</v>
      </c>
      <c r="AMO5" s="63" t="s">
        <v>487</v>
      </c>
      <c r="AMP5" s="63" t="s">
        <v>488</v>
      </c>
      <c r="AMQ5" s="63" t="s">
        <v>489</v>
      </c>
      <c r="AMR5" s="63" t="s">
        <v>490</v>
      </c>
      <c r="AMS5" s="63" t="s">
        <v>491</v>
      </c>
      <c r="AMT5" s="63" t="s">
        <v>492</v>
      </c>
      <c r="AMU5" s="63" t="s">
        <v>493</v>
      </c>
      <c r="AMV5" s="63" t="s">
        <v>494</v>
      </c>
      <c r="AMW5" s="63" t="s">
        <v>495</v>
      </c>
      <c r="AMX5" s="63" t="s">
        <v>496</v>
      </c>
      <c r="AMY5" s="63" t="s">
        <v>497</v>
      </c>
      <c r="AMZ5" s="63" t="s">
        <v>498</v>
      </c>
      <c r="ANA5" s="63" t="s">
        <v>499</v>
      </c>
      <c r="ANB5" s="63" t="s">
        <v>500</v>
      </c>
      <c r="ANC5" s="63" t="s">
        <v>501</v>
      </c>
      <c r="AND5" s="63" t="s">
        <v>502</v>
      </c>
      <c r="ANE5" s="63" t="s">
        <v>41</v>
      </c>
      <c r="ANF5" s="63" t="s">
        <v>2073</v>
      </c>
      <c r="ANG5" s="63" t="s">
        <v>2074</v>
      </c>
      <c r="ANH5" s="63" t="s">
        <v>2075</v>
      </c>
      <c r="ANI5" s="63" t="s">
        <v>2076</v>
      </c>
      <c r="ANJ5" s="63" t="s">
        <v>2077</v>
      </c>
      <c r="ANK5" s="63" t="s">
        <v>2078</v>
      </c>
      <c r="ANL5" s="63" t="s">
        <v>2079</v>
      </c>
      <c r="ANM5" s="63" t="s">
        <v>2080</v>
      </c>
      <c r="ANN5" s="63" t="s">
        <v>2081</v>
      </c>
      <c r="ANO5" s="63" t="s">
        <v>2082</v>
      </c>
      <c r="ANP5" s="63" t="s">
        <v>2083</v>
      </c>
      <c r="ANQ5" s="63" t="s">
        <v>2084</v>
      </c>
      <c r="ANR5" s="63" t="s">
        <v>503</v>
      </c>
      <c r="ANS5" s="63" t="s">
        <v>504</v>
      </c>
      <c r="ANT5" s="63" t="s">
        <v>505</v>
      </c>
      <c r="ANU5" s="63" t="s">
        <v>506</v>
      </c>
      <c r="ANV5" s="63" t="s">
        <v>507</v>
      </c>
      <c r="ANW5" s="63" t="s">
        <v>508</v>
      </c>
      <c r="ANX5" s="63" t="s">
        <v>509</v>
      </c>
      <c r="ANY5" s="63" t="s">
        <v>510</v>
      </c>
      <c r="ANZ5" s="63" t="s">
        <v>511</v>
      </c>
      <c r="AOA5" s="63" t="s">
        <v>512</v>
      </c>
      <c r="AOB5" s="63" t="s">
        <v>513</v>
      </c>
      <c r="AOC5" s="63" t="s">
        <v>514</v>
      </c>
      <c r="AOD5" s="63" t="s">
        <v>515</v>
      </c>
      <c r="AOE5" s="63" t="s">
        <v>516</v>
      </c>
      <c r="AOF5" s="63" t="s">
        <v>517</v>
      </c>
      <c r="AOG5" s="63" t="s">
        <v>518</v>
      </c>
      <c r="AOH5" s="63" t="s">
        <v>519</v>
      </c>
      <c r="AOI5" s="63" t="s">
        <v>520</v>
      </c>
      <c r="AOJ5" s="63" t="s">
        <v>42</v>
      </c>
      <c r="AOK5" s="63" t="s">
        <v>2085</v>
      </c>
      <c r="AOL5" s="63" t="s">
        <v>2086</v>
      </c>
      <c r="AOM5" s="63" t="s">
        <v>2087</v>
      </c>
      <c r="AON5" s="63" t="s">
        <v>2088</v>
      </c>
      <c r="AOO5" s="63" t="s">
        <v>2089</v>
      </c>
      <c r="AOP5" s="63" t="s">
        <v>2090</v>
      </c>
      <c r="AOQ5" s="63" t="s">
        <v>2091</v>
      </c>
      <c r="AOR5" s="63" t="s">
        <v>2092</v>
      </c>
      <c r="AOS5" s="63" t="s">
        <v>2093</v>
      </c>
      <c r="AOT5" s="63" t="s">
        <v>2094</v>
      </c>
      <c r="AOU5" s="63" t="s">
        <v>2095</v>
      </c>
      <c r="AOV5" s="63" t="s">
        <v>2096</v>
      </c>
      <c r="AOW5" s="63" t="s">
        <v>2097</v>
      </c>
      <c r="AOX5" s="63" t="s">
        <v>521</v>
      </c>
      <c r="AOY5" s="63" t="s">
        <v>522</v>
      </c>
      <c r="AOZ5" s="63" t="s">
        <v>523</v>
      </c>
      <c r="APA5" s="63" t="s">
        <v>524</v>
      </c>
      <c r="APB5" s="63" t="s">
        <v>525</v>
      </c>
      <c r="APC5" s="63" t="s">
        <v>526</v>
      </c>
      <c r="APD5" s="63" t="s">
        <v>527</v>
      </c>
      <c r="APE5" s="63" t="s">
        <v>528</v>
      </c>
      <c r="APF5" s="63" t="s">
        <v>529</v>
      </c>
      <c r="APG5" s="63" t="s">
        <v>530</v>
      </c>
      <c r="APH5" s="63" t="s">
        <v>531</v>
      </c>
      <c r="API5" s="63" t="s">
        <v>532</v>
      </c>
      <c r="APJ5" s="63" t="s">
        <v>533</v>
      </c>
      <c r="APK5" s="63" t="s">
        <v>534</v>
      </c>
      <c r="APL5" s="63" t="s">
        <v>535</v>
      </c>
      <c r="APM5" s="63" t="s">
        <v>536</v>
      </c>
      <c r="APN5" s="63" t="s">
        <v>537</v>
      </c>
      <c r="APO5" s="63" t="s">
        <v>43</v>
      </c>
      <c r="APP5" s="63" t="s">
        <v>2098</v>
      </c>
      <c r="APQ5" s="63" t="s">
        <v>2099</v>
      </c>
      <c r="APR5" s="63" t="s">
        <v>2100</v>
      </c>
      <c r="APS5" s="63" t="s">
        <v>2101</v>
      </c>
      <c r="APT5" s="63" t="s">
        <v>2102</v>
      </c>
      <c r="APU5" s="63" t="s">
        <v>2103</v>
      </c>
      <c r="APV5" s="63" t="s">
        <v>2104</v>
      </c>
      <c r="APW5" s="63" t="s">
        <v>2105</v>
      </c>
      <c r="APX5" s="63" t="s">
        <v>2106</v>
      </c>
      <c r="APY5" s="63" t="s">
        <v>2107</v>
      </c>
      <c r="APZ5" s="63" t="s">
        <v>2108</v>
      </c>
      <c r="AQA5" s="63" t="s">
        <v>2109</v>
      </c>
      <c r="AQB5" s="63" t="s">
        <v>2110</v>
      </c>
      <c r="AQC5" s="63" t="s">
        <v>2111</v>
      </c>
      <c r="AQD5" s="63" t="s">
        <v>538</v>
      </c>
      <c r="AQE5" s="63" t="s">
        <v>539</v>
      </c>
      <c r="AQF5" s="63" t="s">
        <v>540</v>
      </c>
      <c r="AQG5" s="63" t="s">
        <v>541</v>
      </c>
      <c r="AQH5" s="63" t="s">
        <v>542</v>
      </c>
      <c r="AQI5" s="63" t="s">
        <v>543</v>
      </c>
      <c r="AQJ5" s="63" t="s">
        <v>544</v>
      </c>
      <c r="AQK5" s="63" t="s">
        <v>545</v>
      </c>
      <c r="AQL5" s="63" t="s">
        <v>546</v>
      </c>
      <c r="AQM5" s="63" t="s">
        <v>547</v>
      </c>
      <c r="AQN5" s="63" t="s">
        <v>548</v>
      </c>
      <c r="AQO5" s="63" t="s">
        <v>549</v>
      </c>
      <c r="AQP5" s="63" t="s">
        <v>550</v>
      </c>
      <c r="AQQ5" s="63" t="s">
        <v>551</v>
      </c>
      <c r="AQR5" s="63" t="s">
        <v>552</v>
      </c>
      <c r="AQS5" s="63" t="s">
        <v>553</v>
      </c>
      <c r="AQT5" s="63" t="s">
        <v>44</v>
      </c>
      <c r="AQU5" s="63" t="s">
        <v>2112</v>
      </c>
      <c r="AQV5" s="63" t="s">
        <v>2113</v>
      </c>
      <c r="AQW5" s="63" t="s">
        <v>2114</v>
      </c>
      <c r="AQX5" s="63" t="s">
        <v>2115</v>
      </c>
      <c r="AQY5" s="63" t="s">
        <v>2116</v>
      </c>
      <c r="AQZ5" s="63" t="s">
        <v>2117</v>
      </c>
      <c r="ARA5" s="63" t="s">
        <v>2118</v>
      </c>
      <c r="ARB5" s="63" t="s">
        <v>2119</v>
      </c>
      <c r="ARC5" s="63" t="s">
        <v>2120</v>
      </c>
      <c r="ARD5" s="63" t="s">
        <v>2121</v>
      </c>
      <c r="ARE5" s="63" t="s">
        <v>2122</v>
      </c>
      <c r="ARF5" s="63" t="s">
        <v>2123</v>
      </c>
      <c r="ARG5" s="63" t="s">
        <v>2124</v>
      </c>
      <c r="ARH5" s="63" t="s">
        <v>2125</v>
      </c>
      <c r="ARI5" s="63" t="s">
        <v>2126</v>
      </c>
      <c r="ARJ5" s="63" t="s">
        <v>554</v>
      </c>
      <c r="ARK5" s="63" t="s">
        <v>555</v>
      </c>
      <c r="ARL5" s="63" t="s">
        <v>556</v>
      </c>
      <c r="ARM5" s="63" t="s">
        <v>557</v>
      </c>
      <c r="ARN5" s="63" t="s">
        <v>558</v>
      </c>
      <c r="ARO5" s="63" t="s">
        <v>559</v>
      </c>
      <c r="ARP5" s="63" t="s">
        <v>560</v>
      </c>
      <c r="ARQ5" s="63" t="s">
        <v>561</v>
      </c>
      <c r="ARR5" s="63" t="s">
        <v>562</v>
      </c>
      <c r="ARS5" s="63" t="s">
        <v>563</v>
      </c>
      <c r="ART5" s="63" t="s">
        <v>564</v>
      </c>
      <c r="ARU5" s="63" t="s">
        <v>565</v>
      </c>
      <c r="ARV5" s="63" t="s">
        <v>566</v>
      </c>
      <c r="ARW5" s="63" t="s">
        <v>567</v>
      </c>
      <c r="ARX5" s="63" t="s">
        <v>568</v>
      </c>
      <c r="ARY5" s="63" t="s">
        <v>45</v>
      </c>
      <c r="ARZ5" s="63" t="s">
        <v>2127</v>
      </c>
      <c r="ASA5" s="63" t="s">
        <v>2128</v>
      </c>
      <c r="ASB5" s="63" t="s">
        <v>2129</v>
      </c>
      <c r="ASC5" s="63" t="s">
        <v>2130</v>
      </c>
      <c r="ASD5" s="63" t="s">
        <v>2131</v>
      </c>
      <c r="ASE5" s="63" t="s">
        <v>2132</v>
      </c>
      <c r="ASF5" s="63" t="s">
        <v>2133</v>
      </c>
      <c r="ASG5" s="63" t="s">
        <v>2134</v>
      </c>
      <c r="ASH5" s="63" t="s">
        <v>2135</v>
      </c>
      <c r="ASI5" s="63" t="s">
        <v>2136</v>
      </c>
      <c r="ASJ5" s="63" t="s">
        <v>2137</v>
      </c>
      <c r="ASK5" s="63" t="s">
        <v>2138</v>
      </c>
      <c r="ASL5" s="63" t="s">
        <v>2139</v>
      </c>
      <c r="ASM5" s="63" t="s">
        <v>569</v>
      </c>
      <c r="ASN5" s="63" t="s">
        <v>570</v>
      </c>
      <c r="ASO5" s="63" t="s">
        <v>571</v>
      </c>
      <c r="ASP5" s="63" t="s">
        <v>572</v>
      </c>
      <c r="ASQ5" s="63" t="s">
        <v>573</v>
      </c>
      <c r="ASR5" s="63" t="s">
        <v>574</v>
      </c>
      <c r="ASS5" s="63" t="s">
        <v>575</v>
      </c>
      <c r="AST5" s="63" t="s">
        <v>576</v>
      </c>
      <c r="ASU5" s="63" t="s">
        <v>577</v>
      </c>
      <c r="ASV5" s="63" t="s">
        <v>578</v>
      </c>
      <c r="ASW5" s="63" t="s">
        <v>579</v>
      </c>
      <c r="ASX5" s="63" t="s">
        <v>580</v>
      </c>
      <c r="ASY5" s="63" t="s">
        <v>581</v>
      </c>
      <c r="ASZ5" s="63" t="s">
        <v>582</v>
      </c>
      <c r="ATA5" s="63" t="s">
        <v>583</v>
      </c>
      <c r="ATB5" s="63" t="s">
        <v>584</v>
      </c>
      <c r="ATC5" s="63" t="s">
        <v>585</v>
      </c>
      <c r="ATD5" s="63" t="s">
        <v>46</v>
      </c>
      <c r="ATE5" s="63" t="s">
        <v>2140</v>
      </c>
      <c r="ATF5" s="63" t="s">
        <v>2141</v>
      </c>
      <c r="ATG5" s="63" t="s">
        <v>2142</v>
      </c>
      <c r="ATH5" s="63" t="s">
        <v>2143</v>
      </c>
      <c r="ATI5" s="63" t="s">
        <v>2144</v>
      </c>
      <c r="ATJ5" s="63" t="s">
        <v>2145</v>
      </c>
      <c r="ATK5" s="63" t="s">
        <v>2146</v>
      </c>
      <c r="ATL5" s="63" t="s">
        <v>2147</v>
      </c>
      <c r="ATM5" s="63" t="s">
        <v>2148</v>
      </c>
      <c r="ATN5" s="63" t="s">
        <v>2149</v>
      </c>
      <c r="ATO5" s="63" t="s">
        <v>2150</v>
      </c>
      <c r="ATP5" s="63" t="s">
        <v>2151</v>
      </c>
      <c r="ATQ5" s="63" t="s">
        <v>2152</v>
      </c>
      <c r="ATR5" s="63" t="s">
        <v>2153</v>
      </c>
      <c r="ATS5" s="63" t="s">
        <v>2154</v>
      </c>
      <c r="ATT5" s="63" t="s">
        <v>2155</v>
      </c>
      <c r="ATU5" s="63" t="s">
        <v>586</v>
      </c>
      <c r="ATV5" s="63" t="s">
        <v>587</v>
      </c>
      <c r="ATW5" s="63" t="s">
        <v>588</v>
      </c>
      <c r="ATX5" s="63" t="s">
        <v>589</v>
      </c>
      <c r="ATY5" s="63" t="s">
        <v>590</v>
      </c>
      <c r="ATZ5" s="63" t="s">
        <v>591</v>
      </c>
      <c r="AUA5" s="63" t="s">
        <v>592</v>
      </c>
      <c r="AUB5" s="63" t="s">
        <v>593</v>
      </c>
      <c r="AUC5" s="63" t="s">
        <v>594</v>
      </c>
      <c r="AUD5" s="63" t="s">
        <v>595</v>
      </c>
      <c r="AUE5" s="63" t="s">
        <v>596</v>
      </c>
      <c r="AUF5" s="63" t="s">
        <v>597</v>
      </c>
      <c r="AUG5" s="63" t="s">
        <v>598</v>
      </c>
      <c r="AUH5" s="63" t="s">
        <v>599</v>
      </c>
      <c r="AUI5" s="63" t="s">
        <v>47</v>
      </c>
      <c r="AUJ5" s="63" t="s">
        <v>2156</v>
      </c>
      <c r="AUK5" s="63" t="s">
        <v>2157</v>
      </c>
      <c r="AUL5" s="63" t="s">
        <v>2158</v>
      </c>
      <c r="AUM5" s="63" t="s">
        <v>2159</v>
      </c>
      <c r="AUN5" s="63" t="s">
        <v>2160</v>
      </c>
      <c r="AUO5" s="63" t="s">
        <v>2161</v>
      </c>
      <c r="AUP5" s="63" t="s">
        <v>2162</v>
      </c>
      <c r="AUQ5" s="63" t="s">
        <v>2163</v>
      </c>
      <c r="AUR5" s="63" t="s">
        <v>2164</v>
      </c>
      <c r="AUS5" s="63" t="s">
        <v>2165</v>
      </c>
      <c r="AUT5" s="63" t="s">
        <v>2166</v>
      </c>
      <c r="AUU5" s="63" t="s">
        <v>2167</v>
      </c>
      <c r="AUV5" s="63" t="s">
        <v>2168</v>
      </c>
      <c r="AUW5" s="63" t="s">
        <v>2169</v>
      </c>
      <c r="AUX5" s="63" t="s">
        <v>600</v>
      </c>
      <c r="AUY5" s="63" t="s">
        <v>601</v>
      </c>
      <c r="AUZ5" s="63" t="s">
        <v>602</v>
      </c>
      <c r="AVA5" s="63" t="s">
        <v>603</v>
      </c>
      <c r="AVB5" s="63" t="s">
        <v>604</v>
      </c>
      <c r="AVC5" s="63" t="s">
        <v>605</v>
      </c>
      <c r="AVD5" s="63" t="s">
        <v>606</v>
      </c>
      <c r="AVE5" s="63" t="s">
        <v>607</v>
      </c>
      <c r="AVF5" s="63" t="s">
        <v>608</v>
      </c>
      <c r="AVG5" s="63" t="s">
        <v>609</v>
      </c>
      <c r="AVH5" s="63" t="s">
        <v>610</v>
      </c>
      <c r="AVI5" s="63" t="s">
        <v>611</v>
      </c>
      <c r="AVJ5" s="63" t="s">
        <v>612</v>
      </c>
      <c r="AVK5" s="63" t="s">
        <v>613</v>
      </c>
      <c r="AVL5" s="63" t="s">
        <v>614</v>
      </c>
      <c r="AVM5" s="63" t="s">
        <v>615</v>
      </c>
      <c r="AVN5" s="63" t="s">
        <v>48</v>
      </c>
      <c r="AVO5" s="63" t="s">
        <v>2170</v>
      </c>
      <c r="AVP5" s="63" t="s">
        <v>2171</v>
      </c>
      <c r="AVQ5" s="63" t="s">
        <v>2172</v>
      </c>
      <c r="AVR5" s="63" t="s">
        <v>2173</v>
      </c>
      <c r="AVS5" s="63" t="s">
        <v>2174</v>
      </c>
      <c r="AVT5" s="63" t="s">
        <v>2175</v>
      </c>
      <c r="AVU5" s="63" t="s">
        <v>2176</v>
      </c>
      <c r="AVV5" s="63" t="s">
        <v>2177</v>
      </c>
      <c r="AVW5" s="63" t="s">
        <v>2178</v>
      </c>
      <c r="AVX5" s="63" t="s">
        <v>2179</v>
      </c>
      <c r="AVY5" s="63" t="s">
        <v>2180</v>
      </c>
      <c r="AVZ5" s="63" t="s">
        <v>2181</v>
      </c>
      <c r="AWA5" s="63" t="s">
        <v>2182</v>
      </c>
      <c r="AWB5" s="63" t="s">
        <v>2183</v>
      </c>
      <c r="AWC5" s="63" t="s">
        <v>2184</v>
      </c>
      <c r="AWD5" s="63" t="s">
        <v>616</v>
      </c>
      <c r="AWE5" s="63" t="s">
        <v>617</v>
      </c>
      <c r="AWF5" s="63" t="s">
        <v>618</v>
      </c>
      <c r="AWG5" s="63" t="s">
        <v>619</v>
      </c>
      <c r="AWH5" s="63" t="s">
        <v>620</v>
      </c>
      <c r="AWI5" s="63" t="s">
        <v>621</v>
      </c>
      <c r="AWJ5" s="63" t="s">
        <v>622</v>
      </c>
      <c r="AWK5" s="63" t="s">
        <v>623</v>
      </c>
      <c r="AWL5" s="63" t="s">
        <v>624</v>
      </c>
      <c r="AWM5" s="63" t="s">
        <v>625</v>
      </c>
      <c r="AWN5" s="63" t="s">
        <v>626</v>
      </c>
      <c r="AWO5" s="63" t="s">
        <v>627</v>
      </c>
      <c r="AWP5" s="63" t="s">
        <v>628</v>
      </c>
      <c r="AWQ5" s="63" t="s">
        <v>629</v>
      </c>
      <c r="AWR5" s="63" t="s">
        <v>630</v>
      </c>
      <c r="AWS5" s="63" t="s">
        <v>49</v>
      </c>
      <c r="AWT5" s="63" t="s">
        <v>2185</v>
      </c>
      <c r="AWU5" s="63" t="s">
        <v>2186</v>
      </c>
      <c r="AWV5" s="63" t="s">
        <v>2187</v>
      </c>
      <c r="AWW5" s="63" t="s">
        <v>2188</v>
      </c>
      <c r="AWX5" s="63" t="s">
        <v>2189</v>
      </c>
      <c r="AWY5" s="63" t="s">
        <v>2190</v>
      </c>
      <c r="AWZ5" s="63" t="s">
        <v>2191</v>
      </c>
      <c r="AXA5" s="63" t="s">
        <v>2192</v>
      </c>
      <c r="AXB5" s="63" t="s">
        <v>2193</v>
      </c>
      <c r="AXC5" s="63" t="s">
        <v>2194</v>
      </c>
      <c r="AXD5" s="63" t="s">
        <v>2195</v>
      </c>
      <c r="AXE5" s="63" t="s">
        <v>2196</v>
      </c>
      <c r="AXF5" s="63" t="s">
        <v>631</v>
      </c>
      <c r="AXG5" s="63" t="s">
        <v>632</v>
      </c>
      <c r="AXH5" s="63" t="s">
        <v>633</v>
      </c>
      <c r="AXI5" s="63" t="s">
        <v>634</v>
      </c>
      <c r="AXJ5" s="63" t="s">
        <v>635</v>
      </c>
      <c r="AXK5" s="63" t="s">
        <v>636</v>
      </c>
      <c r="AXL5" s="63" t="s">
        <v>637</v>
      </c>
      <c r="AXM5" s="63" t="s">
        <v>638</v>
      </c>
      <c r="AXN5" s="63" t="s">
        <v>639</v>
      </c>
      <c r="AXO5" s="63" t="s">
        <v>640</v>
      </c>
      <c r="AXP5" s="63" t="s">
        <v>641</v>
      </c>
      <c r="AXQ5" s="63" t="s">
        <v>642</v>
      </c>
      <c r="AXR5" s="63" t="s">
        <v>643</v>
      </c>
      <c r="AXS5" s="63" t="s">
        <v>644</v>
      </c>
      <c r="AXT5" s="63" t="s">
        <v>645</v>
      </c>
      <c r="AXU5" s="63" t="s">
        <v>646</v>
      </c>
      <c r="AXV5" s="63" t="s">
        <v>647</v>
      </c>
      <c r="AXW5" s="63" t="s">
        <v>648</v>
      </c>
      <c r="AXX5" s="63" t="s">
        <v>50</v>
      </c>
      <c r="AXY5" s="63" t="s">
        <v>2197</v>
      </c>
      <c r="AXZ5" s="63" t="s">
        <v>2198</v>
      </c>
      <c r="AYA5" s="63" t="s">
        <v>2199</v>
      </c>
      <c r="AYB5" s="63" t="s">
        <v>2200</v>
      </c>
      <c r="AYC5" s="63" t="s">
        <v>2201</v>
      </c>
      <c r="AYD5" s="63" t="s">
        <v>2202</v>
      </c>
      <c r="AYE5" s="63" t="s">
        <v>2203</v>
      </c>
      <c r="AYF5" s="63" t="s">
        <v>2204</v>
      </c>
      <c r="AYG5" s="63" t="s">
        <v>2205</v>
      </c>
      <c r="AYH5" s="63" t="s">
        <v>2206</v>
      </c>
      <c r="AYI5" s="63" t="s">
        <v>2207</v>
      </c>
      <c r="AYJ5" s="63" t="s">
        <v>2208</v>
      </c>
      <c r="AYK5" s="63" t="s">
        <v>2209</v>
      </c>
      <c r="AYL5" s="63" t="s">
        <v>2210</v>
      </c>
      <c r="AYM5" s="63" t="s">
        <v>2211</v>
      </c>
      <c r="AYN5" s="63" t="s">
        <v>2212</v>
      </c>
      <c r="AYO5" s="63" t="s">
        <v>649</v>
      </c>
      <c r="AYP5" s="63" t="s">
        <v>650</v>
      </c>
      <c r="AYQ5" s="63" t="s">
        <v>651</v>
      </c>
      <c r="AYR5" s="63" t="s">
        <v>652</v>
      </c>
      <c r="AYS5" s="63" t="s">
        <v>653</v>
      </c>
      <c r="AYT5" s="63" t="s">
        <v>654</v>
      </c>
      <c r="AYU5" s="63" t="s">
        <v>655</v>
      </c>
      <c r="AYV5" s="63" t="s">
        <v>656</v>
      </c>
      <c r="AYW5" s="63" t="s">
        <v>657</v>
      </c>
      <c r="AYX5" s="63" t="s">
        <v>658</v>
      </c>
      <c r="AYY5" s="63" t="s">
        <v>659</v>
      </c>
      <c r="AYZ5" s="63" t="s">
        <v>660</v>
      </c>
      <c r="AZA5" s="63" t="s">
        <v>661</v>
      </c>
      <c r="AZB5" s="63" t="s">
        <v>662</v>
      </c>
      <c r="AZC5" s="63" t="s">
        <v>51</v>
      </c>
      <c r="AZD5" s="63" t="s">
        <v>2213</v>
      </c>
      <c r="AZE5" s="63" t="s">
        <v>2214</v>
      </c>
      <c r="AZF5" s="63" t="s">
        <v>2215</v>
      </c>
      <c r="AZG5" s="63" t="s">
        <v>2216</v>
      </c>
      <c r="AZH5" s="63" t="s">
        <v>2217</v>
      </c>
      <c r="AZI5" s="63" t="s">
        <v>2218</v>
      </c>
      <c r="AZJ5" s="63" t="s">
        <v>2219</v>
      </c>
      <c r="AZK5" s="63" t="s">
        <v>2220</v>
      </c>
      <c r="AZL5" s="63" t="s">
        <v>2221</v>
      </c>
      <c r="AZM5" s="63" t="s">
        <v>2222</v>
      </c>
      <c r="AZN5" s="63" t="s">
        <v>2223</v>
      </c>
      <c r="AZO5" s="63" t="s">
        <v>2224</v>
      </c>
      <c r="AZP5" s="63" t="s">
        <v>663</v>
      </c>
      <c r="AZQ5" s="63" t="s">
        <v>664</v>
      </c>
      <c r="AZR5" s="63" t="s">
        <v>665</v>
      </c>
      <c r="AZS5" s="63" t="s">
        <v>666</v>
      </c>
      <c r="AZT5" s="63" t="s">
        <v>667</v>
      </c>
      <c r="AZU5" s="63" t="s">
        <v>668</v>
      </c>
      <c r="AZV5" s="63" t="s">
        <v>669</v>
      </c>
      <c r="AZW5" s="63" t="s">
        <v>670</v>
      </c>
      <c r="AZX5" s="63" t="s">
        <v>671</v>
      </c>
      <c r="AZY5" s="63" t="s">
        <v>672</v>
      </c>
      <c r="AZZ5" s="63" t="s">
        <v>673</v>
      </c>
      <c r="BAA5" s="63" t="s">
        <v>674</v>
      </c>
      <c r="BAB5" s="63" t="s">
        <v>675</v>
      </c>
      <c r="BAC5" s="63" t="s">
        <v>676</v>
      </c>
      <c r="BAD5" s="63" t="s">
        <v>677</v>
      </c>
      <c r="BAE5" s="63" t="s">
        <v>678</v>
      </c>
      <c r="BAF5" s="63" t="s">
        <v>679</v>
      </c>
      <c r="BAG5" s="63" t="s">
        <v>680</v>
      </c>
      <c r="BAH5" s="63" t="s">
        <v>52</v>
      </c>
      <c r="BAI5" s="63" t="s">
        <v>2225</v>
      </c>
      <c r="BAJ5" s="63" t="s">
        <v>2226</v>
      </c>
      <c r="BAK5" s="63" t="s">
        <v>2227</v>
      </c>
      <c r="BAL5" s="63" t="s">
        <v>2228</v>
      </c>
      <c r="BAM5" s="63" t="s">
        <v>2229</v>
      </c>
      <c r="BAN5" s="63" t="s">
        <v>2230</v>
      </c>
      <c r="BAO5" s="63" t="s">
        <v>2231</v>
      </c>
      <c r="BAP5" s="63" t="s">
        <v>2232</v>
      </c>
      <c r="BAQ5" s="63" t="s">
        <v>2233</v>
      </c>
      <c r="BAR5" s="63" t="s">
        <v>2234</v>
      </c>
      <c r="BAS5" s="63" t="s">
        <v>2235</v>
      </c>
      <c r="BAT5" s="63" t="s">
        <v>2236</v>
      </c>
      <c r="BAU5" s="63" t="s">
        <v>2237</v>
      </c>
      <c r="BAV5" s="63" t="s">
        <v>2238</v>
      </c>
      <c r="BAW5" s="63" t="s">
        <v>681</v>
      </c>
      <c r="BAX5" s="63" t="s">
        <v>682</v>
      </c>
      <c r="BAY5" s="63" t="s">
        <v>683</v>
      </c>
      <c r="BAZ5" s="63" t="s">
        <v>684</v>
      </c>
      <c r="BBA5" s="63" t="s">
        <v>685</v>
      </c>
      <c r="BBB5" s="63" t="s">
        <v>686</v>
      </c>
      <c r="BBC5" s="63" t="s">
        <v>687</v>
      </c>
      <c r="BBD5" s="63" t="s">
        <v>688</v>
      </c>
      <c r="BBE5" s="63" t="s">
        <v>689</v>
      </c>
      <c r="BBF5" s="63" t="s">
        <v>690</v>
      </c>
      <c r="BBG5" s="63" t="s">
        <v>691</v>
      </c>
      <c r="BBH5" s="63" t="s">
        <v>692</v>
      </c>
      <c r="BBI5" s="63" t="s">
        <v>693</v>
      </c>
      <c r="BBJ5" s="63" t="s">
        <v>694</v>
      </c>
      <c r="BBK5" s="63" t="s">
        <v>695</v>
      </c>
      <c r="BBL5" s="63" t="s">
        <v>696</v>
      </c>
      <c r="BBM5" s="63" t="s">
        <v>53</v>
      </c>
      <c r="BBN5" s="63" t="s">
        <v>2239</v>
      </c>
      <c r="BBO5" s="63" t="s">
        <v>2240</v>
      </c>
      <c r="BBP5" s="63" t="s">
        <v>2241</v>
      </c>
      <c r="BBQ5" s="63" t="s">
        <v>2242</v>
      </c>
      <c r="BBR5" s="63" t="s">
        <v>2243</v>
      </c>
      <c r="BBS5" s="63" t="s">
        <v>2244</v>
      </c>
      <c r="BBT5" s="63" t="s">
        <v>2245</v>
      </c>
      <c r="BBU5" s="63" t="s">
        <v>2246</v>
      </c>
      <c r="BBV5" s="63" t="s">
        <v>2247</v>
      </c>
      <c r="BBW5" s="63" t="s">
        <v>2248</v>
      </c>
      <c r="BBX5" s="63" t="s">
        <v>2249</v>
      </c>
      <c r="BBY5" s="63" t="s">
        <v>2250</v>
      </c>
      <c r="BBZ5" s="63" t="s">
        <v>2251</v>
      </c>
      <c r="BCA5" s="63" t="s">
        <v>2252</v>
      </c>
      <c r="BCB5" s="63" t="s">
        <v>2253</v>
      </c>
      <c r="BCC5" s="63" t="s">
        <v>2254</v>
      </c>
      <c r="BCD5" s="63" t="s">
        <v>697</v>
      </c>
      <c r="BCE5" s="63" t="s">
        <v>698</v>
      </c>
      <c r="BCF5" s="63" t="s">
        <v>699</v>
      </c>
      <c r="BCG5" s="63" t="s">
        <v>700</v>
      </c>
      <c r="BCH5" s="63" t="s">
        <v>701</v>
      </c>
      <c r="BCI5" s="63" t="s">
        <v>702</v>
      </c>
      <c r="BCJ5" s="63" t="s">
        <v>703</v>
      </c>
      <c r="BCK5" s="63" t="s">
        <v>704</v>
      </c>
      <c r="BCL5" s="63" t="s">
        <v>705</v>
      </c>
      <c r="BCM5" s="63" t="s">
        <v>706</v>
      </c>
      <c r="BCN5" s="63" t="s">
        <v>707</v>
      </c>
      <c r="BCO5" s="63" t="s">
        <v>708</v>
      </c>
      <c r="BCP5" s="63" t="s">
        <v>709</v>
      </c>
      <c r="BCQ5" s="63" t="s">
        <v>710</v>
      </c>
      <c r="BCR5" s="63" t="s">
        <v>54</v>
      </c>
      <c r="BCS5" s="63" t="s">
        <v>2255</v>
      </c>
      <c r="BCT5" s="63" t="s">
        <v>2256</v>
      </c>
      <c r="BCU5" s="63" t="s">
        <v>2257</v>
      </c>
      <c r="BCV5" s="63" t="s">
        <v>2258</v>
      </c>
      <c r="BCW5" s="63" t="s">
        <v>2259</v>
      </c>
      <c r="BCX5" s="63" t="s">
        <v>2260</v>
      </c>
      <c r="BCY5" s="63" t="s">
        <v>2261</v>
      </c>
      <c r="BCZ5" s="63" t="s">
        <v>2262</v>
      </c>
      <c r="BDA5" s="63" t="s">
        <v>2263</v>
      </c>
      <c r="BDB5" s="63" t="s">
        <v>2264</v>
      </c>
      <c r="BDC5" s="63" t="s">
        <v>2265</v>
      </c>
      <c r="BDD5" s="63" t="s">
        <v>2266</v>
      </c>
      <c r="BDE5" s="63" t="s">
        <v>2267</v>
      </c>
      <c r="BDF5" s="63" t="s">
        <v>2268</v>
      </c>
      <c r="BDG5" s="63" t="s">
        <v>2269</v>
      </c>
      <c r="BDH5" s="63" t="s">
        <v>2270</v>
      </c>
      <c r="BDI5" s="63" t="s">
        <v>2271</v>
      </c>
      <c r="BDJ5" s="63" t="s">
        <v>2272</v>
      </c>
      <c r="BDK5" s="63" t="s">
        <v>2273</v>
      </c>
      <c r="BDL5" s="63" t="s">
        <v>711</v>
      </c>
      <c r="BDM5" s="63" t="s">
        <v>712</v>
      </c>
      <c r="BDN5" s="63" t="s">
        <v>713</v>
      </c>
      <c r="BDO5" s="63" t="s">
        <v>714</v>
      </c>
      <c r="BDP5" s="63" t="s">
        <v>715</v>
      </c>
      <c r="BDQ5" s="63" t="s">
        <v>716</v>
      </c>
      <c r="BDR5" s="63" t="s">
        <v>717</v>
      </c>
      <c r="BDS5" s="63" t="s">
        <v>718</v>
      </c>
      <c r="BDT5" s="63" t="s">
        <v>719</v>
      </c>
      <c r="BDU5" s="63" t="s">
        <v>720</v>
      </c>
      <c r="BDV5" s="63" t="s">
        <v>721</v>
      </c>
      <c r="BDW5" s="63" t="s">
        <v>55</v>
      </c>
      <c r="BDX5" s="63" t="s">
        <v>2274</v>
      </c>
      <c r="BDY5" s="63" t="s">
        <v>2275</v>
      </c>
      <c r="BDZ5" s="63" t="s">
        <v>2276</v>
      </c>
      <c r="BEA5" s="63" t="s">
        <v>2277</v>
      </c>
      <c r="BEB5" s="63" t="s">
        <v>2278</v>
      </c>
      <c r="BEC5" s="63" t="s">
        <v>2279</v>
      </c>
      <c r="BED5" s="63" t="s">
        <v>2280</v>
      </c>
      <c r="BEE5" s="63" t="s">
        <v>2281</v>
      </c>
      <c r="BEF5" s="63" t="s">
        <v>2282</v>
      </c>
      <c r="BEG5" s="63" t="s">
        <v>2283</v>
      </c>
      <c r="BEH5" s="63" t="s">
        <v>2284</v>
      </c>
      <c r="BEI5" s="63" t="s">
        <v>2285</v>
      </c>
      <c r="BEJ5" s="63" t="s">
        <v>2286</v>
      </c>
      <c r="BEK5" s="63" t="s">
        <v>2287</v>
      </c>
      <c r="BEL5" s="63" t="s">
        <v>2288</v>
      </c>
      <c r="BEM5" s="63" t="s">
        <v>2289</v>
      </c>
      <c r="BEN5" s="63" t="s">
        <v>2290</v>
      </c>
      <c r="BEO5" s="63" t="s">
        <v>2291</v>
      </c>
      <c r="BEP5" s="63" t="s">
        <v>2292</v>
      </c>
      <c r="BEQ5" s="63" t="s">
        <v>2293</v>
      </c>
      <c r="BER5" s="63" t="s">
        <v>722</v>
      </c>
      <c r="BES5" s="63" t="s">
        <v>723</v>
      </c>
      <c r="BET5" s="63" t="s">
        <v>724</v>
      </c>
      <c r="BEU5" s="63" t="s">
        <v>725</v>
      </c>
      <c r="BEV5" s="63" t="s">
        <v>726</v>
      </c>
      <c r="BEW5" s="63" t="s">
        <v>727</v>
      </c>
      <c r="BEX5" s="63" t="s">
        <v>728</v>
      </c>
      <c r="BEY5" s="63" t="s">
        <v>729</v>
      </c>
      <c r="BEZ5" s="63" t="s">
        <v>730</v>
      </c>
      <c r="BFA5" s="63" t="s">
        <v>731</v>
      </c>
      <c r="BFB5" s="63" t="s">
        <v>56</v>
      </c>
      <c r="BFC5" s="63" t="s">
        <v>2294</v>
      </c>
      <c r="BFD5" s="63" t="s">
        <v>2295</v>
      </c>
      <c r="BFE5" s="63" t="s">
        <v>2296</v>
      </c>
      <c r="BFF5" s="63" t="s">
        <v>2297</v>
      </c>
      <c r="BFG5" s="63" t="s">
        <v>2298</v>
      </c>
      <c r="BFH5" s="63" t="s">
        <v>2299</v>
      </c>
      <c r="BFI5" s="63" t="s">
        <v>2300</v>
      </c>
      <c r="BFJ5" s="63" t="s">
        <v>2301</v>
      </c>
      <c r="BFK5" s="63" t="s">
        <v>2302</v>
      </c>
      <c r="BFL5" s="63" t="s">
        <v>2303</v>
      </c>
      <c r="BFM5" s="63" t="s">
        <v>2304</v>
      </c>
      <c r="BFN5" s="63" t="s">
        <v>2305</v>
      </c>
      <c r="BFO5" s="63" t="s">
        <v>2306</v>
      </c>
      <c r="BFP5" s="63" t="s">
        <v>2307</v>
      </c>
      <c r="BFQ5" s="63" t="s">
        <v>2308</v>
      </c>
      <c r="BFR5" s="63" t="s">
        <v>2309</v>
      </c>
      <c r="BFS5" s="63" t="s">
        <v>2310</v>
      </c>
      <c r="BFT5" s="63" t="s">
        <v>2311</v>
      </c>
      <c r="BFU5" s="63" t="s">
        <v>2312</v>
      </c>
      <c r="BFV5" s="63" t="s">
        <v>2313</v>
      </c>
      <c r="BFW5" s="63" t="s">
        <v>2314</v>
      </c>
      <c r="BFX5" s="63" t="s">
        <v>2315</v>
      </c>
      <c r="BFY5" s="63" t="s">
        <v>2316</v>
      </c>
      <c r="BFZ5" s="63" t="s">
        <v>732</v>
      </c>
      <c r="BGA5" s="63" t="s">
        <v>733</v>
      </c>
      <c r="BGB5" s="63" t="s">
        <v>734</v>
      </c>
      <c r="BGC5" s="63" t="s">
        <v>735</v>
      </c>
      <c r="BGD5" s="63" t="s">
        <v>736</v>
      </c>
      <c r="BGE5" s="63" t="s">
        <v>737</v>
      </c>
      <c r="BGF5" s="63" t="s">
        <v>738</v>
      </c>
      <c r="BGG5" s="63" t="s">
        <v>57</v>
      </c>
      <c r="BGH5" s="63" t="s">
        <v>2317</v>
      </c>
      <c r="BGI5" s="63" t="s">
        <v>2318</v>
      </c>
      <c r="BGJ5" s="63" t="s">
        <v>2319</v>
      </c>
      <c r="BGK5" s="63" t="s">
        <v>2320</v>
      </c>
      <c r="BGL5" s="63" t="s">
        <v>2321</v>
      </c>
      <c r="BGM5" s="63" t="s">
        <v>2322</v>
      </c>
      <c r="BGN5" s="63" t="s">
        <v>2323</v>
      </c>
      <c r="BGO5" s="63" t="s">
        <v>2324</v>
      </c>
      <c r="BGP5" s="63" t="s">
        <v>2325</v>
      </c>
      <c r="BGQ5" s="63" t="s">
        <v>2326</v>
      </c>
      <c r="BGR5" s="63" t="s">
        <v>2327</v>
      </c>
      <c r="BGS5" s="63" t="s">
        <v>2328</v>
      </c>
      <c r="BGT5" s="63" t="s">
        <v>2329</v>
      </c>
      <c r="BGU5" s="63" t="s">
        <v>2330</v>
      </c>
      <c r="BGV5" s="63" t="s">
        <v>2331</v>
      </c>
      <c r="BGW5" s="63" t="s">
        <v>2332</v>
      </c>
      <c r="BGX5" s="63" t="s">
        <v>2333</v>
      </c>
      <c r="BGY5" s="63" t="s">
        <v>2334</v>
      </c>
      <c r="BGZ5" s="63" t="s">
        <v>739</v>
      </c>
      <c r="BHA5" s="63" t="s">
        <v>740</v>
      </c>
      <c r="BHB5" s="63" t="s">
        <v>741</v>
      </c>
      <c r="BHC5" s="63" t="s">
        <v>742</v>
      </c>
      <c r="BHD5" s="63" t="s">
        <v>743</v>
      </c>
      <c r="BHE5" s="63" t="s">
        <v>744</v>
      </c>
      <c r="BHF5" s="63" t="s">
        <v>745</v>
      </c>
      <c r="BHG5" s="63" t="s">
        <v>746</v>
      </c>
      <c r="BHH5" s="63" t="s">
        <v>747</v>
      </c>
      <c r="BHI5" s="63" t="s">
        <v>748</v>
      </c>
      <c r="BHJ5" s="63" t="s">
        <v>749</v>
      </c>
      <c r="BHK5" s="63" t="s">
        <v>750</v>
      </c>
      <c r="BHL5" s="63" t="s">
        <v>58</v>
      </c>
      <c r="BHM5" s="63" t="s">
        <v>2335</v>
      </c>
      <c r="BHN5" s="63" t="s">
        <v>2336</v>
      </c>
      <c r="BHO5" s="63" t="s">
        <v>2337</v>
      </c>
      <c r="BHP5" s="63" t="s">
        <v>2338</v>
      </c>
      <c r="BHQ5" s="63" t="s">
        <v>2339</v>
      </c>
      <c r="BHR5" s="63" t="s">
        <v>2340</v>
      </c>
      <c r="BHS5" s="63" t="s">
        <v>2341</v>
      </c>
      <c r="BHT5" s="63" t="s">
        <v>2342</v>
      </c>
      <c r="BHU5" s="63" t="s">
        <v>2343</v>
      </c>
      <c r="BHV5" s="63" t="s">
        <v>2344</v>
      </c>
      <c r="BHW5" s="63" t="s">
        <v>2345</v>
      </c>
      <c r="BHX5" s="63" t="s">
        <v>2346</v>
      </c>
      <c r="BHY5" s="63" t="s">
        <v>2347</v>
      </c>
      <c r="BHZ5" s="63" t="s">
        <v>2348</v>
      </c>
      <c r="BIA5" s="63" t="s">
        <v>2349</v>
      </c>
      <c r="BIB5" s="63" t="s">
        <v>2350</v>
      </c>
      <c r="BIC5" s="63" t="s">
        <v>2351</v>
      </c>
      <c r="BID5" s="63" t="s">
        <v>751</v>
      </c>
      <c r="BIE5" s="63" t="s">
        <v>752</v>
      </c>
      <c r="BIF5" s="63" t="s">
        <v>753</v>
      </c>
      <c r="BIG5" s="63" t="s">
        <v>754</v>
      </c>
      <c r="BIH5" s="63" t="s">
        <v>755</v>
      </c>
      <c r="BII5" s="63" t="s">
        <v>756</v>
      </c>
      <c r="BIJ5" s="63" t="s">
        <v>757</v>
      </c>
      <c r="BIK5" s="63" t="s">
        <v>758</v>
      </c>
      <c r="BIL5" s="63" t="s">
        <v>759</v>
      </c>
      <c r="BIM5" s="63" t="s">
        <v>760</v>
      </c>
      <c r="BIN5" s="63" t="s">
        <v>761</v>
      </c>
      <c r="BIO5" s="63" t="s">
        <v>762</v>
      </c>
      <c r="BIP5" s="63" t="s">
        <v>763</v>
      </c>
      <c r="BIQ5" s="63" t="s">
        <v>59</v>
      </c>
      <c r="BIR5" s="63" t="s">
        <v>2352</v>
      </c>
      <c r="BIS5" s="63" t="s">
        <v>2353</v>
      </c>
      <c r="BIT5" s="63" t="s">
        <v>2354</v>
      </c>
      <c r="BIU5" s="63" t="s">
        <v>2355</v>
      </c>
      <c r="BIV5" s="63" t="s">
        <v>2356</v>
      </c>
      <c r="BIW5" s="63" t="s">
        <v>2357</v>
      </c>
      <c r="BIX5" s="63" t="s">
        <v>2358</v>
      </c>
      <c r="BIY5" s="63" t="s">
        <v>2359</v>
      </c>
      <c r="BIZ5" s="63" t="s">
        <v>2360</v>
      </c>
      <c r="BJA5" s="63" t="s">
        <v>2361</v>
      </c>
      <c r="BJB5" s="63" t="s">
        <v>2362</v>
      </c>
      <c r="BJC5" s="63" t="s">
        <v>2363</v>
      </c>
      <c r="BJD5" s="63" t="s">
        <v>2364</v>
      </c>
      <c r="BJE5" s="63" t="s">
        <v>2365</v>
      </c>
      <c r="BJF5" s="63" t="s">
        <v>2366</v>
      </c>
      <c r="BJG5" s="63" t="s">
        <v>2367</v>
      </c>
      <c r="BJH5" s="63" t="s">
        <v>2368</v>
      </c>
      <c r="BJI5" s="63" t="s">
        <v>2369</v>
      </c>
      <c r="BJJ5" s="63" t="s">
        <v>2370</v>
      </c>
      <c r="BJK5" s="63" t="s">
        <v>2371</v>
      </c>
      <c r="BJL5" s="63" t="s">
        <v>2372</v>
      </c>
      <c r="BJM5" s="63" t="s">
        <v>2373</v>
      </c>
      <c r="BJN5" s="63" t="s">
        <v>2374</v>
      </c>
      <c r="BJO5" s="63" t="s">
        <v>2375</v>
      </c>
      <c r="BJP5" s="63" t="s">
        <v>2376</v>
      </c>
      <c r="BJQ5" s="63" t="s">
        <v>2377</v>
      </c>
      <c r="BJR5" s="63" t="s">
        <v>764</v>
      </c>
      <c r="BJS5" s="63" t="s">
        <v>765</v>
      </c>
      <c r="BJT5" s="63" t="s">
        <v>766</v>
      </c>
      <c r="BJU5" s="63" t="s">
        <v>767</v>
      </c>
      <c r="BJV5" s="63" t="s">
        <v>60</v>
      </c>
      <c r="BJW5" s="63" t="s">
        <v>2378</v>
      </c>
      <c r="BJX5" s="63" t="s">
        <v>2379</v>
      </c>
      <c r="BJY5" s="63" t="s">
        <v>2380</v>
      </c>
      <c r="BJZ5" s="63" t="s">
        <v>2381</v>
      </c>
      <c r="BKA5" s="63" t="s">
        <v>2382</v>
      </c>
      <c r="BKB5" s="63" t="s">
        <v>2383</v>
      </c>
      <c r="BKC5" s="63" t="s">
        <v>2384</v>
      </c>
      <c r="BKD5" s="63" t="s">
        <v>2385</v>
      </c>
      <c r="BKE5" s="63" t="s">
        <v>2386</v>
      </c>
      <c r="BKF5" s="63" t="s">
        <v>2387</v>
      </c>
      <c r="BKG5" s="63" t="s">
        <v>2388</v>
      </c>
      <c r="BKH5" s="63" t="s">
        <v>2389</v>
      </c>
      <c r="BKI5" s="63" t="s">
        <v>2390</v>
      </c>
      <c r="BKJ5" s="63" t="s">
        <v>2391</v>
      </c>
      <c r="BKK5" s="63" t="s">
        <v>2392</v>
      </c>
      <c r="BKL5" s="63" t="s">
        <v>2393</v>
      </c>
      <c r="BKM5" s="63" t="s">
        <v>2394</v>
      </c>
      <c r="BKN5" s="63" t="s">
        <v>2395</v>
      </c>
      <c r="BKO5" s="63" t="s">
        <v>2396</v>
      </c>
      <c r="BKP5" s="63" t="s">
        <v>2397</v>
      </c>
      <c r="BKQ5" s="63" t="s">
        <v>2398</v>
      </c>
      <c r="BKR5" s="63" t="s">
        <v>2399</v>
      </c>
      <c r="BKS5" s="63" t="s">
        <v>768</v>
      </c>
      <c r="BKT5" s="63" t="s">
        <v>769</v>
      </c>
      <c r="BKU5" s="63" t="s">
        <v>770</v>
      </c>
      <c r="BKV5" s="63" t="s">
        <v>771</v>
      </c>
      <c r="BKW5" s="63" t="s">
        <v>772</v>
      </c>
      <c r="BKX5" s="63" t="s">
        <v>773</v>
      </c>
      <c r="BKY5" s="63" t="s">
        <v>774</v>
      </c>
      <c r="BKZ5" s="63" t="s">
        <v>775</v>
      </c>
      <c r="BLA5" s="63" t="s">
        <v>61</v>
      </c>
      <c r="BLB5" s="63" t="s">
        <v>2400</v>
      </c>
      <c r="BLC5" s="63" t="s">
        <v>2401</v>
      </c>
      <c r="BLD5" s="63" t="s">
        <v>2402</v>
      </c>
      <c r="BLE5" s="63" t="s">
        <v>2403</v>
      </c>
      <c r="BLF5" s="63" t="s">
        <v>2404</v>
      </c>
      <c r="BLG5" s="63" t="s">
        <v>2405</v>
      </c>
      <c r="BLH5" s="63" t="s">
        <v>2406</v>
      </c>
      <c r="BLI5" s="63" t="s">
        <v>2407</v>
      </c>
      <c r="BLJ5" s="63" t="s">
        <v>2408</v>
      </c>
      <c r="BLK5" s="63" t="s">
        <v>2409</v>
      </c>
      <c r="BLL5" s="63" t="s">
        <v>2410</v>
      </c>
      <c r="BLM5" s="63" t="s">
        <v>2411</v>
      </c>
      <c r="BLN5" s="63" t="s">
        <v>2412</v>
      </c>
      <c r="BLO5" s="63" t="s">
        <v>2413</v>
      </c>
      <c r="BLP5" s="63" t="s">
        <v>2414</v>
      </c>
      <c r="BLQ5" s="63" t="s">
        <v>2415</v>
      </c>
      <c r="BLR5" s="63" t="s">
        <v>2416</v>
      </c>
      <c r="BLS5" s="63" t="s">
        <v>2417</v>
      </c>
      <c r="BLT5" s="63" t="s">
        <v>2418</v>
      </c>
      <c r="BLU5" s="63" t="s">
        <v>2419</v>
      </c>
      <c r="BLV5" s="63" t="s">
        <v>2420</v>
      </c>
      <c r="BLW5" s="63" t="s">
        <v>2421</v>
      </c>
      <c r="BLX5" s="63" t="s">
        <v>2422</v>
      </c>
      <c r="BLY5" s="63" t="s">
        <v>2423</v>
      </c>
      <c r="BLZ5" s="63" t="s">
        <v>2424</v>
      </c>
      <c r="BMA5" s="63" t="s">
        <v>776</v>
      </c>
      <c r="BMB5" s="63" t="s">
        <v>777</v>
      </c>
      <c r="BMC5" s="63" t="s">
        <v>778</v>
      </c>
      <c r="BMD5" s="63" t="s">
        <v>779</v>
      </c>
      <c r="BME5" s="63" t="s">
        <v>780</v>
      </c>
      <c r="BMF5" s="63" t="s">
        <v>62</v>
      </c>
      <c r="BMG5" s="63" t="s">
        <v>2425</v>
      </c>
      <c r="BMH5" s="63" t="s">
        <v>2426</v>
      </c>
      <c r="BMI5" s="63" t="s">
        <v>2427</v>
      </c>
      <c r="BMJ5" s="63" t="s">
        <v>2428</v>
      </c>
      <c r="BMK5" s="63" t="s">
        <v>2429</v>
      </c>
      <c r="BML5" s="63" t="s">
        <v>2430</v>
      </c>
      <c r="BMM5" s="63" t="s">
        <v>2431</v>
      </c>
      <c r="BMN5" s="63" t="s">
        <v>2432</v>
      </c>
      <c r="BMO5" s="63" t="s">
        <v>2433</v>
      </c>
      <c r="BMP5" s="63" t="s">
        <v>2434</v>
      </c>
      <c r="BMQ5" s="63" t="s">
        <v>2435</v>
      </c>
      <c r="BMR5" s="63" t="s">
        <v>2436</v>
      </c>
      <c r="BMS5" s="63" t="s">
        <v>2437</v>
      </c>
      <c r="BMT5" s="63" t="s">
        <v>2438</v>
      </c>
      <c r="BMU5" s="63" t="s">
        <v>2439</v>
      </c>
      <c r="BMV5" s="63" t="s">
        <v>2440</v>
      </c>
      <c r="BMW5" s="63" t="s">
        <v>2441</v>
      </c>
      <c r="BMX5" s="63" t="s">
        <v>2442</v>
      </c>
      <c r="BMY5" s="63" t="s">
        <v>781</v>
      </c>
      <c r="BMZ5" s="63" t="s">
        <v>782</v>
      </c>
      <c r="BNA5" s="63" t="s">
        <v>783</v>
      </c>
      <c r="BNB5" s="63" t="s">
        <v>784</v>
      </c>
      <c r="BNC5" s="63" t="s">
        <v>785</v>
      </c>
      <c r="BND5" s="63" t="s">
        <v>786</v>
      </c>
      <c r="BNE5" s="63" t="s">
        <v>787</v>
      </c>
      <c r="BNF5" s="63" t="s">
        <v>788</v>
      </c>
      <c r="BNG5" s="63" t="s">
        <v>789</v>
      </c>
      <c r="BNH5" s="63" t="s">
        <v>790</v>
      </c>
      <c r="BNI5" s="63" t="s">
        <v>791</v>
      </c>
      <c r="BNJ5" s="63" t="s">
        <v>792</v>
      </c>
      <c r="BNK5" s="63" t="s">
        <v>63</v>
      </c>
      <c r="BNL5" s="63" t="s">
        <v>2443</v>
      </c>
      <c r="BNM5" s="63" t="s">
        <v>2444</v>
      </c>
      <c r="BNN5" s="63" t="s">
        <v>2445</v>
      </c>
      <c r="BNO5" s="63" t="s">
        <v>2446</v>
      </c>
      <c r="BNP5" s="63" t="s">
        <v>2447</v>
      </c>
      <c r="BNQ5" s="63" t="s">
        <v>2448</v>
      </c>
      <c r="BNR5" s="63" t="s">
        <v>2449</v>
      </c>
      <c r="BNS5" s="63" t="s">
        <v>2450</v>
      </c>
      <c r="BNT5" s="63" t="s">
        <v>2451</v>
      </c>
      <c r="BNU5" s="63" t="s">
        <v>2452</v>
      </c>
      <c r="BNV5" s="63" t="s">
        <v>2453</v>
      </c>
      <c r="BNW5" s="63" t="s">
        <v>2454</v>
      </c>
      <c r="BNX5" s="63" t="s">
        <v>2455</v>
      </c>
      <c r="BNY5" s="63" t="s">
        <v>2456</v>
      </c>
      <c r="BNZ5" s="63" t="s">
        <v>793</v>
      </c>
      <c r="BOA5" s="63" t="s">
        <v>794</v>
      </c>
      <c r="BOB5" s="63" t="s">
        <v>795</v>
      </c>
      <c r="BOC5" s="63" t="s">
        <v>796</v>
      </c>
      <c r="BOD5" s="63" t="s">
        <v>797</v>
      </c>
      <c r="BOE5" s="63" t="s">
        <v>798</v>
      </c>
      <c r="BOF5" s="63" t="s">
        <v>799</v>
      </c>
      <c r="BOG5" s="63" t="s">
        <v>800</v>
      </c>
      <c r="BOH5" s="63" t="s">
        <v>801</v>
      </c>
      <c r="BOI5" s="63" t="s">
        <v>802</v>
      </c>
      <c r="BOJ5" s="63" t="s">
        <v>803</v>
      </c>
      <c r="BOK5" s="63" t="s">
        <v>804</v>
      </c>
      <c r="BOL5" s="63" t="s">
        <v>805</v>
      </c>
      <c r="BOM5" s="63" t="s">
        <v>806</v>
      </c>
      <c r="BON5" s="63" t="s">
        <v>807</v>
      </c>
      <c r="BOO5" s="63" t="s">
        <v>808</v>
      </c>
      <c r="BOP5" s="63" t="s">
        <v>64</v>
      </c>
      <c r="BOQ5" s="63" t="s">
        <v>2457</v>
      </c>
      <c r="BOR5" s="63" t="s">
        <v>2458</v>
      </c>
      <c r="BOS5" s="63" t="s">
        <v>2459</v>
      </c>
      <c r="BOT5" s="63" t="s">
        <v>2460</v>
      </c>
      <c r="BOU5" s="63" t="s">
        <v>2461</v>
      </c>
      <c r="BOV5" s="63" t="s">
        <v>2462</v>
      </c>
      <c r="BOW5" s="63" t="s">
        <v>2463</v>
      </c>
      <c r="BOX5" s="63" t="s">
        <v>2464</v>
      </c>
      <c r="BOY5" s="63" t="s">
        <v>2465</v>
      </c>
      <c r="BOZ5" s="63" t="s">
        <v>2466</v>
      </c>
      <c r="BPA5" s="63" t="s">
        <v>2467</v>
      </c>
      <c r="BPB5" s="63" t="s">
        <v>2468</v>
      </c>
      <c r="BPC5" s="63" t="s">
        <v>2469</v>
      </c>
      <c r="BPD5" s="63" t="s">
        <v>2470</v>
      </c>
      <c r="BPE5" s="63" t="s">
        <v>2471</v>
      </c>
      <c r="BPF5" s="63" t="s">
        <v>2472</v>
      </c>
      <c r="BPG5" s="63" t="s">
        <v>2473</v>
      </c>
      <c r="BPH5" s="63" t="s">
        <v>809</v>
      </c>
      <c r="BPI5" s="63" t="s">
        <v>810</v>
      </c>
      <c r="BPJ5" s="63" t="s">
        <v>811</v>
      </c>
      <c r="BPK5" s="63" t="s">
        <v>812</v>
      </c>
      <c r="BPL5" s="63" t="s">
        <v>813</v>
      </c>
      <c r="BPM5" s="63" t="s">
        <v>814</v>
      </c>
      <c r="BPN5" s="63" t="s">
        <v>815</v>
      </c>
      <c r="BPO5" s="63" t="s">
        <v>816</v>
      </c>
      <c r="BPP5" s="63" t="s">
        <v>817</v>
      </c>
      <c r="BPQ5" s="63" t="s">
        <v>818</v>
      </c>
      <c r="BPR5" s="63" t="s">
        <v>819</v>
      </c>
      <c r="BPS5" s="63" t="s">
        <v>820</v>
      </c>
      <c r="BPT5" s="63" t="s">
        <v>821</v>
      </c>
      <c r="BPU5" s="63" t="s">
        <v>65</v>
      </c>
      <c r="BPV5" s="63" t="s">
        <v>822</v>
      </c>
      <c r="BPW5" s="63" t="s">
        <v>823</v>
      </c>
      <c r="BPX5" s="63" t="s">
        <v>824</v>
      </c>
      <c r="BPY5" s="63" t="s">
        <v>825</v>
      </c>
      <c r="BPZ5" s="63" t="s">
        <v>826</v>
      </c>
      <c r="BQA5" s="63" t="s">
        <v>827</v>
      </c>
      <c r="BQB5" s="63" t="s">
        <v>828</v>
      </c>
      <c r="BQC5" s="63" t="s">
        <v>829</v>
      </c>
      <c r="BQD5" s="63" t="s">
        <v>830</v>
      </c>
      <c r="BQE5" s="63" t="s">
        <v>831</v>
      </c>
      <c r="BQF5" s="63" t="s">
        <v>832</v>
      </c>
      <c r="BQG5" s="63" t="s">
        <v>833</v>
      </c>
      <c r="BQH5" s="63" t="s">
        <v>834</v>
      </c>
      <c r="BQI5" s="63" t="s">
        <v>835</v>
      </c>
      <c r="BQJ5" s="63" t="s">
        <v>836</v>
      </c>
      <c r="BQK5" s="63" t="s">
        <v>837</v>
      </c>
      <c r="BQL5" s="63" t="s">
        <v>838</v>
      </c>
      <c r="BQM5" s="63" t="s">
        <v>839</v>
      </c>
      <c r="BQN5" s="63" t="s">
        <v>840</v>
      </c>
      <c r="BQO5" s="63" t="s">
        <v>841</v>
      </c>
      <c r="BQP5" s="63" t="s">
        <v>842</v>
      </c>
      <c r="BQQ5" s="63" t="s">
        <v>843</v>
      </c>
      <c r="BQR5" s="63" t="s">
        <v>844</v>
      </c>
      <c r="BQS5" s="63" t="s">
        <v>845</v>
      </c>
      <c r="BQT5" s="63" t="s">
        <v>846</v>
      </c>
      <c r="BQU5" s="63" t="s">
        <v>847</v>
      </c>
      <c r="BQV5" s="63" t="s">
        <v>848</v>
      </c>
      <c r="BQW5" s="63" t="s">
        <v>849</v>
      </c>
      <c r="BQX5" s="63" t="s">
        <v>850</v>
      </c>
      <c r="BQY5" s="63" t="s">
        <v>851</v>
      </c>
      <c r="BQZ5" s="63" t="s">
        <v>66</v>
      </c>
      <c r="BRA5" s="63" t="s">
        <v>852</v>
      </c>
      <c r="BRB5" s="63" t="s">
        <v>853</v>
      </c>
      <c r="BRC5" s="63" t="s">
        <v>854</v>
      </c>
      <c r="BRD5" s="63" t="s">
        <v>855</v>
      </c>
      <c r="BRE5" s="63" t="s">
        <v>856</v>
      </c>
      <c r="BRF5" s="63" t="s">
        <v>857</v>
      </c>
      <c r="BRG5" s="63" t="s">
        <v>858</v>
      </c>
      <c r="BRH5" s="63" t="s">
        <v>859</v>
      </c>
      <c r="BRI5" s="63" t="s">
        <v>860</v>
      </c>
      <c r="BRJ5" s="63" t="s">
        <v>861</v>
      </c>
      <c r="BRK5" s="63" t="s">
        <v>862</v>
      </c>
      <c r="BRL5" s="63" t="s">
        <v>863</v>
      </c>
      <c r="BRM5" s="63" t="s">
        <v>864</v>
      </c>
      <c r="BRN5" s="63" t="s">
        <v>865</v>
      </c>
      <c r="BRO5" s="63" t="s">
        <v>866</v>
      </c>
      <c r="BRP5" s="63" t="s">
        <v>867</v>
      </c>
      <c r="BRQ5" s="63" t="s">
        <v>868</v>
      </c>
      <c r="BRR5" s="63" t="s">
        <v>869</v>
      </c>
      <c r="BRS5" s="63" t="s">
        <v>870</v>
      </c>
      <c r="BRT5" s="63" t="s">
        <v>871</v>
      </c>
      <c r="BRU5" s="63" t="s">
        <v>872</v>
      </c>
      <c r="BRV5" s="63" t="s">
        <v>873</v>
      </c>
      <c r="BRW5" s="63" t="s">
        <v>874</v>
      </c>
      <c r="BRX5" s="63" t="s">
        <v>875</v>
      </c>
      <c r="BRY5" s="63" t="s">
        <v>876</v>
      </c>
      <c r="BRZ5" s="63" t="s">
        <v>877</v>
      </c>
      <c r="BSA5" s="63" t="s">
        <v>878</v>
      </c>
      <c r="BSB5" s="63" t="s">
        <v>879</v>
      </c>
      <c r="BSC5" s="63" t="s">
        <v>880</v>
      </c>
      <c r="BSD5" s="63" t="s">
        <v>881</v>
      </c>
      <c r="BSE5" s="63" t="s">
        <v>67</v>
      </c>
      <c r="BSF5" s="63" t="s">
        <v>2474</v>
      </c>
      <c r="BSG5" s="63" t="s">
        <v>2475</v>
      </c>
      <c r="BSH5" s="63" t="s">
        <v>2476</v>
      </c>
      <c r="BSI5" s="63" t="s">
        <v>2477</v>
      </c>
      <c r="BSJ5" s="63" t="s">
        <v>2478</v>
      </c>
      <c r="BSK5" s="63" t="s">
        <v>2479</v>
      </c>
      <c r="BSL5" s="63" t="s">
        <v>2480</v>
      </c>
      <c r="BSM5" s="63" t="s">
        <v>2481</v>
      </c>
      <c r="BSN5" s="63" t="s">
        <v>2482</v>
      </c>
      <c r="BSO5" s="63" t="s">
        <v>2483</v>
      </c>
      <c r="BSP5" s="63" t="s">
        <v>2484</v>
      </c>
      <c r="BSQ5" s="63" t="s">
        <v>2485</v>
      </c>
      <c r="BSR5" s="63" t="s">
        <v>2486</v>
      </c>
      <c r="BSS5" s="63" t="s">
        <v>2487</v>
      </c>
      <c r="BST5" s="63" t="s">
        <v>2488</v>
      </c>
      <c r="BSU5" s="63" t="s">
        <v>882</v>
      </c>
      <c r="BSV5" s="63" t="s">
        <v>883</v>
      </c>
      <c r="BSW5" s="63" t="s">
        <v>884</v>
      </c>
      <c r="BSX5" s="63" t="s">
        <v>885</v>
      </c>
      <c r="BSY5" s="63" t="s">
        <v>886</v>
      </c>
      <c r="BSZ5" s="63" t="s">
        <v>887</v>
      </c>
      <c r="BTA5" s="63" t="s">
        <v>888</v>
      </c>
      <c r="BTB5" s="63" t="s">
        <v>889</v>
      </c>
      <c r="BTC5" s="63" t="s">
        <v>890</v>
      </c>
      <c r="BTD5" s="63" t="s">
        <v>891</v>
      </c>
      <c r="BTE5" s="63" t="s">
        <v>892</v>
      </c>
      <c r="BTF5" s="63" t="s">
        <v>893</v>
      </c>
      <c r="BTG5" s="63" t="s">
        <v>894</v>
      </c>
      <c r="BTH5" s="63" t="s">
        <v>895</v>
      </c>
      <c r="BTI5" s="63" t="s">
        <v>896</v>
      </c>
      <c r="BTJ5" s="63" t="s">
        <v>68</v>
      </c>
      <c r="BTK5" s="63" t="s">
        <v>2489</v>
      </c>
      <c r="BTL5" s="63" t="s">
        <v>2490</v>
      </c>
      <c r="BTM5" s="63" t="s">
        <v>2491</v>
      </c>
      <c r="BTN5" s="63" t="s">
        <v>2492</v>
      </c>
      <c r="BTO5" s="63" t="s">
        <v>2493</v>
      </c>
      <c r="BTP5" s="63" t="s">
        <v>2494</v>
      </c>
      <c r="BTQ5" s="63" t="s">
        <v>2495</v>
      </c>
      <c r="BTR5" s="63" t="s">
        <v>2496</v>
      </c>
      <c r="BTS5" s="63" t="s">
        <v>2497</v>
      </c>
      <c r="BTT5" s="63" t="s">
        <v>2498</v>
      </c>
      <c r="BTU5" s="63" t="s">
        <v>2499</v>
      </c>
      <c r="BTV5" s="63" t="s">
        <v>2500</v>
      </c>
      <c r="BTW5" s="63" t="s">
        <v>2501</v>
      </c>
      <c r="BTX5" s="63" t="s">
        <v>2502</v>
      </c>
      <c r="BTY5" s="63" t="s">
        <v>2503</v>
      </c>
      <c r="BTZ5" s="63" t="s">
        <v>2504</v>
      </c>
      <c r="BUA5" s="63" t="s">
        <v>2505</v>
      </c>
      <c r="BUB5" s="63" t="s">
        <v>2506</v>
      </c>
      <c r="BUC5" s="63" t="s">
        <v>897</v>
      </c>
      <c r="BUD5" s="63" t="s">
        <v>898</v>
      </c>
      <c r="BUE5" s="63" t="s">
        <v>899</v>
      </c>
      <c r="BUF5" s="63" t="s">
        <v>900</v>
      </c>
      <c r="BUG5" s="63" t="s">
        <v>901</v>
      </c>
      <c r="BUH5" s="63" t="s">
        <v>902</v>
      </c>
      <c r="BUI5" s="63" t="s">
        <v>903</v>
      </c>
      <c r="BUJ5" s="63" t="s">
        <v>904</v>
      </c>
      <c r="BUK5" s="63" t="s">
        <v>905</v>
      </c>
      <c r="BUL5" s="63" t="s">
        <v>906</v>
      </c>
      <c r="BUM5" s="63" t="s">
        <v>907</v>
      </c>
      <c r="BUN5" s="63" t="s">
        <v>908</v>
      </c>
      <c r="BUO5" s="63" t="s">
        <v>69</v>
      </c>
      <c r="BUP5" s="63" t="s">
        <v>2507</v>
      </c>
      <c r="BUQ5" s="63" t="s">
        <v>2508</v>
      </c>
      <c r="BUR5" s="63" t="s">
        <v>2509</v>
      </c>
      <c r="BUS5" s="63" t="s">
        <v>2510</v>
      </c>
      <c r="BUT5" s="63" t="s">
        <v>2511</v>
      </c>
      <c r="BUU5" s="63" t="s">
        <v>2512</v>
      </c>
      <c r="BUV5" s="63" t="s">
        <v>2513</v>
      </c>
      <c r="BUW5" s="63" t="s">
        <v>2514</v>
      </c>
      <c r="BUX5" s="63" t="s">
        <v>2515</v>
      </c>
      <c r="BUY5" s="63" t="s">
        <v>2516</v>
      </c>
      <c r="BUZ5" s="63" t="s">
        <v>2517</v>
      </c>
      <c r="BVA5" s="63" t="s">
        <v>2518</v>
      </c>
      <c r="BVB5" s="63" t="s">
        <v>2519</v>
      </c>
      <c r="BVC5" s="63" t="s">
        <v>2520</v>
      </c>
      <c r="BVD5" s="63" t="s">
        <v>909</v>
      </c>
      <c r="BVE5" s="63" t="s">
        <v>910</v>
      </c>
      <c r="BVF5" s="63" t="s">
        <v>911</v>
      </c>
      <c r="BVG5" s="63" t="s">
        <v>912</v>
      </c>
      <c r="BVH5" s="63" t="s">
        <v>913</v>
      </c>
      <c r="BVI5" s="63" t="s">
        <v>914</v>
      </c>
      <c r="BVJ5" s="63" t="s">
        <v>915</v>
      </c>
      <c r="BVK5" s="63" t="s">
        <v>916</v>
      </c>
      <c r="BVL5" s="63" t="s">
        <v>917</v>
      </c>
      <c r="BVM5" s="63" t="s">
        <v>918</v>
      </c>
      <c r="BVN5" s="63" t="s">
        <v>919</v>
      </c>
      <c r="BVO5" s="63" t="s">
        <v>920</v>
      </c>
      <c r="BVP5" s="63" t="s">
        <v>921</v>
      </c>
      <c r="BVQ5" s="63" t="s">
        <v>922</v>
      </c>
      <c r="BVR5" s="63" t="s">
        <v>923</v>
      </c>
      <c r="BVS5" s="63" t="s">
        <v>924</v>
      </c>
      <c r="BVT5" s="63" t="s">
        <v>70</v>
      </c>
      <c r="BVU5" s="63" t="s">
        <v>2521</v>
      </c>
      <c r="BVV5" s="63" t="s">
        <v>2522</v>
      </c>
      <c r="BVW5" s="63" t="s">
        <v>2523</v>
      </c>
      <c r="BVX5" s="63" t="s">
        <v>2524</v>
      </c>
      <c r="BVY5" s="63" t="s">
        <v>2525</v>
      </c>
      <c r="BVZ5" s="63" t="s">
        <v>2526</v>
      </c>
      <c r="BWA5" s="63" t="s">
        <v>2527</v>
      </c>
      <c r="BWB5" s="63" t="s">
        <v>2528</v>
      </c>
      <c r="BWC5" s="63" t="s">
        <v>2529</v>
      </c>
      <c r="BWD5" s="63" t="s">
        <v>2530</v>
      </c>
      <c r="BWE5" s="63" t="s">
        <v>2531</v>
      </c>
      <c r="BWF5" s="63" t="s">
        <v>2532</v>
      </c>
      <c r="BWG5" s="63" t="s">
        <v>2533</v>
      </c>
      <c r="BWH5" s="63" t="s">
        <v>2534</v>
      </c>
      <c r="BWI5" s="63" t="s">
        <v>2535</v>
      </c>
      <c r="BWJ5" s="63" t="s">
        <v>2536</v>
      </c>
      <c r="BWK5" s="63" t="s">
        <v>925</v>
      </c>
      <c r="BWL5" s="63" t="s">
        <v>926</v>
      </c>
      <c r="BWM5" s="63" t="s">
        <v>927</v>
      </c>
      <c r="BWN5" s="63" t="s">
        <v>928</v>
      </c>
      <c r="BWO5" s="63" t="s">
        <v>929</v>
      </c>
      <c r="BWP5" s="63" t="s">
        <v>930</v>
      </c>
      <c r="BWQ5" s="63" t="s">
        <v>931</v>
      </c>
      <c r="BWR5" s="63" t="s">
        <v>932</v>
      </c>
      <c r="BWS5" s="63" t="s">
        <v>933</v>
      </c>
      <c r="BWT5" s="63" t="s">
        <v>934</v>
      </c>
      <c r="BWU5" s="63" t="s">
        <v>935</v>
      </c>
      <c r="BWV5" s="63" t="s">
        <v>936</v>
      </c>
      <c r="BWW5" s="63" t="s">
        <v>937</v>
      </c>
      <c r="BWX5" s="63" t="s">
        <v>938</v>
      </c>
      <c r="BWY5" s="63" t="s">
        <v>71</v>
      </c>
      <c r="BWZ5" s="63" t="s">
        <v>2537</v>
      </c>
      <c r="BXA5" s="63" t="s">
        <v>2538</v>
      </c>
      <c r="BXB5" s="63" t="s">
        <v>2539</v>
      </c>
      <c r="BXC5" s="63" t="s">
        <v>2540</v>
      </c>
      <c r="BXD5" s="63" t="s">
        <v>2541</v>
      </c>
      <c r="BXE5" s="63" t="s">
        <v>2542</v>
      </c>
      <c r="BXF5" s="63" t="s">
        <v>2543</v>
      </c>
      <c r="BXG5" s="63" t="s">
        <v>2544</v>
      </c>
      <c r="BXH5" s="63" t="s">
        <v>2545</v>
      </c>
      <c r="BXI5" s="63" t="s">
        <v>2546</v>
      </c>
      <c r="BXJ5" s="63" t="s">
        <v>2547</v>
      </c>
      <c r="BXK5" s="63" t="s">
        <v>2548</v>
      </c>
      <c r="BXL5" s="63" t="s">
        <v>939</v>
      </c>
      <c r="BXM5" s="63" t="s">
        <v>940</v>
      </c>
      <c r="BXN5" s="63" t="s">
        <v>941</v>
      </c>
      <c r="BXO5" s="63" t="s">
        <v>942</v>
      </c>
      <c r="BXP5" s="63" t="s">
        <v>943</v>
      </c>
      <c r="BXQ5" s="63" t="s">
        <v>944</v>
      </c>
      <c r="BXR5" s="63" t="s">
        <v>945</v>
      </c>
      <c r="BXS5" s="63" t="s">
        <v>946</v>
      </c>
      <c r="BXT5" s="63" t="s">
        <v>947</v>
      </c>
      <c r="BXU5" s="63" t="s">
        <v>948</v>
      </c>
      <c r="BXV5" s="63" t="s">
        <v>949</v>
      </c>
      <c r="BXW5" s="63" t="s">
        <v>950</v>
      </c>
      <c r="BXX5" s="63" t="s">
        <v>951</v>
      </c>
      <c r="BXY5" s="63" t="s">
        <v>952</v>
      </c>
      <c r="BXZ5" s="63" t="s">
        <v>953</v>
      </c>
      <c r="BYA5" s="63" t="s">
        <v>954</v>
      </c>
      <c r="BYB5" s="63" t="s">
        <v>955</v>
      </c>
      <c r="BYC5" s="63" t="s">
        <v>956</v>
      </c>
      <c r="BYD5" s="63" t="s">
        <v>72</v>
      </c>
      <c r="BYE5" s="63" t="s">
        <v>2549</v>
      </c>
      <c r="BYF5" s="63" t="s">
        <v>2550</v>
      </c>
      <c r="BYG5" s="63" t="s">
        <v>2551</v>
      </c>
      <c r="BYH5" s="63" t="s">
        <v>2552</v>
      </c>
      <c r="BYI5" s="63" t="s">
        <v>2553</v>
      </c>
      <c r="BYJ5" s="63" t="s">
        <v>2554</v>
      </c>
      <c r="BYK5" s="63" t="s">
        <v>2555</v>
      </c>
      <c r="BYL5" s="63" t="s">
        <v>2556</v>
      </c>
      <c r="BYM5" s="63" t="s">
        <v>2557</v>
      </c>
      <c r="BYN5" s="63" t="s">
        <v>2558</v>
      </c>
      <c r="BYO5" s="63" t="s">
        <v>2559</v>
      </c>
      <c r="BYP5" s="63" t="s">
        <v>2560</v>
      </c>
      <c r="BYQ5" s="63" t="s">
        <v>2561</v>
      </c>
      <c r="BYR5" s="63" t="s">
        <v>2562</v>
      </c>
      <c r="BYS5" s="63" t="s">
        <v>2563</v>
      </c>
      <c r="BYT5" s="63" t="s">
        <v>957</v>
      </c>
      <c r="BYU5" s="63" t="s">
        <v>958</v>
      </c>
      <c r="BYV5" s="63" t="s">
        <v>959</v>
      </c>
      <c r="BYW5" s="63" t="s">
        <v>960</v>
      </c>
      <c r="BYX5" s="63" t="s">
        <v>961</v>
      </c>
      <c r="BYY5" s="63" t="s">
        <v>962</v>
      </c>
      <c r="BYZ5" s="63" t="s">
        <v>963</v>
      </c>
      <c r="BZA5" s="63" t="s">
        <v>964</v>
      </c>
      <c r="BZB5" s="63" t="s">
        <v>965</v>
      </c>
      <c r="BZC5" s="63" t="s">
        <v>966</v>
      </c>
      <c r="BZD5" s="63" t="s">
        <v>967</v>
      </c>
      <c r="BZE5" s="63" t="s">
        <v>968</v>
      </c>
      <c r="BZF5" s="63" t="s">
        <v>969</v>
      </c>
      <c r="BZG5" s="63" t="s">
        <v>970</v>
      </c>
      <c r="BZH5" s="63" t="s">
        <v>971</v>
      </c>
      <c r="BZI5" s="63" t="s">
        <v>73</v>
      </c>
      <c r="BZJ5" s="63" t="s">
        <v>2564</v>
      </c>
      <c r="BZK5" s="63" t="s">
        <v>2565</v>
      </c>
      <c r="BZL5" s="63" t="s">
        <v>2566</v>
      </c>
      <c r="BZM5" s="63" t="s">
        <v>2567</v>
      </c>
      <c r="BZN5" s="63" t="s">
        <v>2568</v>
      </c>
      <c r="BZO5" s="63" t="s">
        <v>2569</v>
      </c>
      <c r="BZP5" s="63" t="s">
        <v>2570</v>
      </c>
      <c r="BZQ5" s="63" t="s">
        <v>2571</v>
      </c>
      <c r="BZR5" s="63" t="s">
        <v>2572</v>
      </c>
      <c r="BZS5" s="63" t="s">
        <v>2573</v>
      </c>
      <c r="BZT5" s="63" t="s">
        <v>2574</v>
      </c>
      <c r="BZU5" s="63" t="s">
        <v>972</v>
      </c>
      <c r="BZV5" s="63" t="s">
        <v>973</v>
      </c>
      <c r="BZW5" s="63" t="s">
        <v>974</v>
      </c>
      <c r="BZX5" s="63" t="s">
        <v>975</v>
      </c>
      <c r="BZY5" s="63" t="s">
        <v>976</v>
      </c>
      <c r="BZZ5" s="63" t="s">
        <v>977</v>
      </c>
      <c r="CAA5" s="63" t="s">
        <v>978</v>
      </c>
      <c r="CAB5" s="63" t="s">
        <v>979</v>
      </c>
      <c r="CAC5" s="63" t="s">
        <v>980</v>
      </c>
      <c r="CAD5" s="63" t="s">
        <v>981</v>
      </c>
      <c r="CAE5" s="63" t="s">
        <v>982</v>
      </c>
      <c r="CAF5" s="63" t="s">
        <v>983</v>
      </c>
      <c r="CAG5" s="63" t="s">
        <v>984</v>
      </c>
      <c r="CAH5" s="63" t="s">
        <v>985</v>
      </c>
      <c r="CAI5" s="63" t="s">
        <v>986</v>
      </c>
      <c r="CAJ5" s="63" t="s">
        <v>987</v>
      </c>
      <c r="CAK5" s="63" t="s">
        <v>988</v>
      </c>
      <c r="CAL5" s="63" t="s">
        <v>989</v>
      </c>
      <c r="CAM5" s="63" t="s">
        <v>990</v>
      </c>
      <c r="CAN5" s="63" t="s">
        <v>74</v>
      </c>
      <c r="CAO5" s="63" t="s">
        <v>2575</v>
      </c>
      <c r="CAP5" s="63" t="s">
        <v>2576</v>
      </c>
      <c r="CAQ5" s="63" t="s">
        <v>2577</v>
      </c>
      <c r="CAR5" s="63" t="s">
        <v>2578</v>
      </c>
      <c r="CAS5" s="63" t="s">
        <v>2579</v>
      </c>
      <c r="CAT5" s="63" t="s">
        <v>2580</v>
      </c>
      <c r="CAU5" s="63" t="s">
        <v>2581</v>
      </c>
      <c r="CAV5" s="63" t="s">
        <v>2582</v>
      </c>
      <c r="CAW5" s="63" t="s">
        <v>2583</v>
      </c>
      <c r="CAX5" s="63" t="s">
        <v>2584</v>
      </c>
      <c r="CAY5" s="63" t="s">
        <v>2585</v>
      </c>
      <c r="CAZ5" s="63" t="s">
        <v>2586</v>
      </c>
      <c r="CBA5" s="63" t="s">
        <v>2587</v>
      </c>
      <c r="CBB5" s="63" t="s">
        <v>2588</v>
      </c>
      <c r="CBC5" s="63" t="s">
        <v>2589</v>
      </c>
      <c r="CBD5" s="63" t="s">
        <v>2590</v>
      </c>
      <c r="CBE5" s="63" t="s">
        <v>991</v>
      </c>
      <c r="CBF5" s="63" t="s">
        <v>992</v>
      </c>
      <c r="CBG5" s="63" t="s">
        <v>993</v>
      </c>
      <c r="CBH5" s="63" t="s">
        <v>994</v>
      </c>
      <c r="CBI5" s="63" t="s">
        <v>995</v>
      </c>
      <c r="CBJ5" s="63" t="s">
        <v>996</v>
      </c>
      <c r="CBK5" s="63" t="s">
        <v>997</v>
      </c>
      <c r="CBL5" s="63" t="s">
        <v>998</v>
      </c>
      <c r="CBM5" s="63" t="s">
        <v>999</v>
      </c>
      <c r="CBN5" s="63" t="s">
        <v>1000</v>
      </c>
      <c r="CBO5" s="63" t="s">
        <v>1001</v>
      </c>
      <c r="CBP5" s="63" t="s">
        <v>1002</v>
      </c>
      <c r="CBQ5" s="63" t="s">
        <v>1003</v>
      </c>
      <c r="CBR5" s="63" t="s">
        <v>1004</v>
      </c>
      <c r="CBS5" s="63" t="s">
        <v>75</v>
      </c>
      <c r="CBT5" s="63" t="s">
        <v>2591</v>
      </c>
      <c r="CBU5" s="63" t="s">
        <v>2592</v>
      </c>
      <c r="CBV5" s="63" t="s">
        <v>2593</v>
      </c>
      <c r="CBW5" s="63" t="s">
        <v>2594</v>
      </c>
      <c r="CBX5" s="63" t="s">
        <v>2595</v>
      </c>
      <c r="CBY5" s="63" t="s">
        <v>2596</v>
      </c>
      <c r="CBZ5" s="63" t="s">
        <v>2597</v>
      </c>
      <c r="CCA5" s="63" t="s">
        <v>2598</v>
      </c>
      <c r="CCB5" s="63" t="s">
        <v>2599</v>
      </c>
      <c r="CCC5" s="63" t="s">
        <v>2600</v>
      </c>
      <c r="CCD5" s="63" t="s">
        <v>2601</v>
      </c>
      <c r="CCE5" s="63" t="s">
        <v>2602</v>
      </c>
      <c r="CCF5" s="63" t="s">
        <v>2603</v>
      </c>
      <c r="CCG5" s="63" t="s">
        <v>2604</v>
      </c>
      <c r="CCH5" s="63" t="s">
        <v>1005</v>
      </c>
      <c r="CCI5" s="63" t="s">
        <v>1006</v>
      </c>
      <c r="CCJ5" s="63" t="s">
        <v>1007</v>
      </c>
      <c r="CCK5" s="63" t="s">
        <v>1008</v>
      </c>
      <c r="CCL5" s="63" t="s">
        <v>1009</v>
      </c>
      <c r="CCM5" s="63" t="s">
        <v>1010</v>
      </c>
      <c r="CCN5" s="63" t="s">
        <v>1011</v>
      </c>
      <c r="CCO5" s="63" t="s">
        <v>1012</v>
      </c>
      <c r="CCP5" s="63" t="s">
        <v>1013</v>
      </c>
      <c r="CCQ5" s="63" t="s">
        <v>1014</v>
      </c>
      <c r="CCR5" s="63" t="s">
        <v>1015</v>
      </c>
      <c r="CCS5" s="63" t="s">
        <v>1016</v>
      </c>
      <c r="CCT5" s="63" t="s">
        <v>1017</v>
      </c>
      <c r="CCU5" s="63" t="s">
        <v>1018</v>
      </c>
      <c r="CCV5" s="63" t="s">
        <v>1019</v>
      </c>
      <c r="CCW5" s="63" t="s">
        <v>1020</v>
      </c>
      <c r="CCX5" s="63" t="s">
        <v>76</v>
      </c>
      <c r="CCY5" s="63" t="s">
        <v>2605</v>
      </c>
      <c r="CCZ5" s="63" t="s">
        <v>2606</v>
      </c>
      <c r="CDA5" s="63" t="s">
        <v>2607</v>
      </c>
      <c r="CDB5" s="63" t="s">
        <v>2608</v>
      </c>
      <c r="CDC5" s="63" t="s">
        <v>2609</v>
      </c>
      <c r="CDD5" s="63" t="s">
        <v>2610</v>
      </c>
      <c r="CDE5" s="63" t="s">
        <v>2611</v>
      </c>
      <c r="CDF5" s="63" t="s">
        <v>2612</v>
      </c>
      <c r="CDG5" s="63" t="s">
        <v>2613</v>
      </c>
      <c r="CDH5" s="63" t="s">
        <v>2614</v>
      </c>
      <c r="CDI5" s="63" t="s">
        <v>2615</v>
      </c>
      <c r="CDJ5" s="63" t="s">
        <v>2616</v>
      </c>
      <c r="CDK5" s="63" t="s">
        <v>2617</v>
      </c>
      <c r="CDL5" s="63" t="s">
        <v>2618</v>
      </c>
      <c r="CDM5" s="63" t="s">
        <v>2619</v>
      </c>
      <c r="CDN5" s="63" t="s">
        <v>2620</v>
      </c>
      <c r="CDO5" s="63" t="s">
        <v>2621</v>
      </c>
      <c r="CDP5" s="63" t="s">
        <v>2622</v>
      </c>
      <c r="CDQ5" s="63" t="s">
        <v>1021</v>
      </c>
      <c r="CDR5" s="63" t="s">
        <v>1022</v>
      </c>
      <c r="CDS5" s="63" t="s">
        <v>1023</v>
      </c>
      <c r="CDT5" s="63" t="s">
        <v>1024</v>
      </c>
      <c r="CDU5" s="63" t="s">
        <v>1025</v>
      </c>
      <c r="CDV5" s="63" t="s">
        <v>1026</v>
      </c>
      <c r="CDW5" s="63" t="s">
        <v>1027</v>
      </c>
      <c r="CDX5" s="63" t="s">
        <v>1028</v>
      </c>
      <c r="CDY5" s="63" t="s">
        <v>1029</v>
      </c>
      <c r="CDZ5" s="63" t="s">
        <v>1030</v>
      </c>
      <c r="CEA5" s="63" t="s">
        <v>1031</v>
      </c>
      <c r="CEB5" s="63" t="s">
        <v>1032</v>
      </c>
      <c r="CEC5" s="63" t="s">
        <v>77</v>
      </c>
      <c r="CED5" s="63" t="s">
        <v>2623</v>
      </c>
      <c r="CEE5" s="63" t="s">
        <v>2624</v>
      </c>
      <c r="CEF5" s="63" t="s">
        <v>2625</v>
      </c>
      <c r="CEG5" s="63" t="s">
        <v>2626</v>
      </c>
      <c r="CEH5" s="63" t="s">
        <v>2627</v>
      </c>
      <c r="CEI5" s="63" t="s">
        <v>2628</v>
      </c>
      <c r="CEJ5" s="63" t="s">
        <v>2629</v>
      </c>
      <c r="CEK5" s="63" t="s">
        <v>2630</v>
      </c>
      <c r="CEL5" s="63" t="s">
        <v>2631</v>
      </c>
      <c r="CEM5" s="63" t="s">
        <v>2632</v>
      </c>
      <c r="CEN5" s="63" t="s">
        <v>2633</v>
      </c>
      <c r="CEO5" s="63" t="s">
        <v>2634</v>
      </c>
      <c r="CEP5" s="63" t="s">
        <v>2635</v>
      </c>
      <c r="CEQ5" s="63" t="s">
        <v>2636</v>
      </c>
      <c r="CER5" s="63" t="s">
        <v>2637</v>
      </c>
      <c r="CES5" s="63" t="s">
        <v>1033</v>
      </c>
      <c r="CET5" s="63" t="s">
        <v>1034</v>
      </c>
      <c r="CEU5" s="63" t="s">
        <v>1035</v>
      </c>
      <c r="CEV5" s="63" t="s">
        <v>1036</v>
      </c>
      <c r="CEW5" s="63" t="s">
        <v>1037</v>
      </c>
      <c r="CEX5" s="63" t="s">
        <v>1038</v>
      </c>
      <c r="CEY5" s="63" t="s">
        <v>1039</v>
      </c>
      <c r="CEZ5" s="63" t="s">
        <v>1040</v>
      </c>
      <c r="CFA5" s="63" t="s">
        <v>1041</v>
      </c>
      <c r="CFB5" s="63" t="s">
        <v>1042</v>
      </c>
      <c r="CFC5" s="63" t="s">
        <v>1043</v>
      </c>
      <c r="CFD5" s="63" t="s">
        <v>1044</v>
      </c>
      <c r="CFE5" s="63" t="s">
        <v>1045</v>
      </c>
      <c r="CFF5" s="63" t="s">
        <v>1046</v>
      </c>
      <c r="CFG5" s="63" t="s">
        <v>1047</v>
      </c>
      <c r="CFH5" s="63" t="s">
        <v>78</v>
      </c>
      <c r="CFI5" s="63" t="s">
        <v>2638</v>
      </c>
      <c r="CFJ5" s="63" t="s">
        <v>2639</v>
      </c>
      <c r="CFK5" s="63" t="s">
        <v>2640</v>
      </c>
      <c r="CFL5" s="63" t="s">
        <v>2641</v>
      </c>
      <c r="CFM5" s="63" t="s">
        <v>2642</v>
      </c>
      <c r="CFN5" s="63" t="s">
        <v>2643</v>
      </c>
      <c r="CFO5" s="63" t="s">
        <v>2644</v>
      </c>
      <c r="CFP5" s="63" t="s">
        <v>2645</v>
      </c>
      <c r="CFQ5" s="63" t="s">
        <v>2646</v>
      </c>
      <c r="CFR5" s="63" t="s">
        <v>2647</v>
      </c>
      <c r="CFS5" s="63" t="s">
        <v>2648</v>
      </c>
      <c r="CFT5" s="63" t="s">
        <v>2649</v>
      </c>
      <c r="CFU5" s="63" t="s">
        <v>1048</v>
      </c>
      <c r="CFV5" s="63" t="s">
        <v>1049</v>
      </c>
      <c r="CFW5" s="63" t="s">
        <v>1050</v>
      </c>
      <c r="CFX5" s="63" t="s">
        <v>1051</v>
      </c>
      <c r="CFY5" s="63" t="s">
        <v>1052</v>
      </c>
      <c r="CFZ5" s="63" t="s">
        <v>1053</v>
      </c>
      <c r="CGA5" s="63" t="s">
        <v>1054</v>
      </c>
      <c r="CGB5" s="63" t="s">
        <v>1055</v>
      </c>
      <c r="CGC5" s="63" t="s">
        <v>1056</v>
      </c>
      <c r="CGD5" s="63" t="s">
        <v>1057</v>
      </c>
      <c r="CGE5" s="63" t="s">
        <v>1058</v>
      </c>
      <c r="CGF5" s="63" t="s">
        <v>1059</v>
      </c>
      <c r="CGG5" s="63" t="s">
        <v>1060</v>
      </c>
      <c r="CGH5" s="63" t="s">
        <v>1061</v>
      </c>
      <c r="CGI5" s="63" t="s">
        <v>1062</v>
      </c>
      <c r="CGJ5" s="63" t="s">
        <v>1063</v>
      </c>
      <c r="CGK5" s="63" t="s">
        <v>1064</v>
      </c>
      <c r="CGL5" s="63" t="s">
        <v>1065</v>
      </c>
      <c r="CGM5" s="63" t="s">
        <v>79</v>
      </c>
      <c r="CGN5" s="63" t="s">
        <v>1066</v>
      </c>
      <c r="CGO5" s="63" t="s">
        <v>1067</v>
      </c>
      <c r="CGP5" s="63" t="s">
        <v>1068</v>
      </c>
      <c r="CGQ5" s="63" t="s">
        <v>1069</v>
      </c>
      <c r="CGR5" s="63" t="s">
        <v>1070</v>
      </c>
      <c r="CGS5" s="63" t="s">
        <v>1071</v>
      </c>
      <c r="CGT5" s="63" t="s">
        <v>1072</v>
      </c>
      <c r="CGU5" s="63" t="s">
        <v>1073</v>
      </c>
      <c r="CGV5" s="63" t="s">
        <v>1074</v>
      </c>
      <c r="CGW5" s="63" t="s">
        <v>1075</v>
      </c>
      <c r="CGX5" s="63" t="s">
        <v>1076</v>
      </c>
      <c r="CGY5" s="63" t="s">
        <v>1077</v>
      </c>
      <c r="CGZ5" s="63" t="s">
        <v>1078</v>
      </c>
      <c r="CHA5" s="63" t="s">
        <v>1079</v>
      </c>
      <c r="CHB5" s="63" t="s">
        <v>1080</v>
      </c>
      <c r="CHC5" s="63" t="s">
        <v>1081</v>
      </c>
      <c r="CHD5" s="63" t="s">
        <v>1082</v>
      </c>
      <c r="CHE5" s="63" t="s">
        <v>1083</v>
      </c>
      <c r="CHF5" s="63" t="s">
        <v>1084</v>
      </c>
      <c r="CHG5" s="63" t="s">
        <v>1085</v>
      </c>
      <c r="CHH5" s="63" t="s">
        <v>1086</v>
      </c>
      <c r="CHI5" s="63" t="s">
        <v>1087</v>
      </c>
      <c r="CHJ5" s="63" t="s">
        <v>1088</v>
      </c>
      <c r="CHK5" s="63" t="s">
        <v>1089</v>
      </c>
      <c r="CHL5" s="63" t="s">
        <v>1090</v>
      </c>
      <c r="CHM5" s="63" t="s">
        <v>1091</v>
      </c>
      <c r="CHN5" s="63" t="s">
        <v>1092</v>
      </c>
      <c r="CHO5" s="63" t="s">
        <v>1093</v>
      </c>
      <c r="CHP5" s="63" t="s">
        <v>1094</v>
      </c>
      <c r="CHQ5" s="63" t="s">
        <v>1095</v>
      </c>
      <c r="CHR5" s="63" t="s">
        <v>80</v>
      </c>
      <c r="CHS5" s="63" t="s">
        <v>1096</v>
      </c>
      <c r="CHT5" s="63" t="s">
        <v>1097</v>
      </c>
      <c r="CHU5" s="63" t="s">
        <v>1098</v>
      </c>
      <c r="CHV5" s="63" t="s">
        <v>1099</v>
      </c>
      <c r="CHW5" s="63" t="s">
        <v>1100</v>
      </c>
      <c r="CHX5" s="63" t="s">
        <v>1101</v>
      </c>
      <c r="CHY5" s="63" t="s">
        <v>1102</v>
      </c>
      <c r="CHZ5" s="63" t="s">
        <v>1103</v>
      </c>
      <c r="CIA5" s="63" t="s">
        <v>1104</v>
      </c>
      <c r="CIB5" s="63" t="s">
        <v>1105</v>
      </c>
      <c r="CIC5" s="63" t="s">
        <v>1106</v>
      </c>
      <c r="CID5" s="63" t="s">
        <v>1107</v>
      </c>
      <c r="CIE5" s="63" t="s">
        <v>1108</v>
      </c>
      <c r="CIF5" s="63" t="s">
        <v>1109</v>
      </c>
      <c r="CIG5" s="63" t="s">
        <v>1110</v>
      </c>
      <c r="CIH5" s="63" t="s">
        <v>1111</v>
      </c>
      <c r="CII5" s="63" t="s">
        <v>1112</v>
      </c>
      <c r="CIJ5" s="63" t="s">
        <v>1113</v>
      </c>
      <c r="CIK5" s="63" t="s">
        <v>1114</v>
      </c>
      <c r="CIL5" s="63" t="s">
        <v>1115</v>
      </c>
      <c r="CIM5" s="63" t="s">
        <v>1116</v>
      </c>
      <c r="CIN5" s="63" t="s">
        <v>1117</v>
      </c>
      <c r="CIO5" s="63" t="s">
        <v>1118</v>
      </c>
      <c r="CIP5" s="63" t="s">
        <v>1119</v>
      </c>
      <c r="CIQ5" s="63" t="s">
        <v>1120</v>
      </c>
      <c r="CIR5" s="63" t="s">
        <v>1121</v>
      </c>
      <c r="CIS5" s="63" t="s">
        <v>1122</v>
      </c>
      <c r="CIT5" s="63" t="s">
        <v>1123</v>
      </c>
      <c r="CIU5" s="63" t="s">
        <v>1124</v>
      </c>
      <c r="CIV5" s="63" t="s">
        <v>1125</v>
      </c>
      <c r="CIW5" s="63" t="s">
        <v>81</v>
      </c>
      <c r="CIX5" s="63" t="s">
        <v>1126</v>
      </c>
      <c r="CIY5" s="63" t="s">
        <v>1127</v>
      </c>
      <c r="CIZ5" s="63" t="s">
        <v>1128</v>
      </c>
      <c r="CJA5" s="63" t="s">
        <v>1129</v>
      </c>
      <c r="CJB5" s="63" t="s">
        <v>1130</v>
      </c>
      <c r="CJC5" s="63" t="s">
        <v>1131</v>
      </c>
      <c r="CJD5" s="63" t="s">
        <v>1132</v>
      </c>
      <c r="CJE5" s="63" t="s">
        <v>1133</v>
      </c>
      <c r="CJF5" s="63" t="s">
        <v>1134</v>
      </c>
      <c r="CJG5" s="63" t="s">
        <v>1135</v>
      </c>
      <c r="CJH5" s="63" t="s">
        <v>1136</v>
      </c>
      <c r="CJI5" s="63" t="s">
        <v>1137</v>
      </c>
      <c r="CJJ5" s="63" t="s">
        <v>1138</v>
      </c>
      <c r="CJK5" s="63" t="s">
        <v>1139</v>
      </c>
      <c r="CJL5" s="63" t="s">
        <v>1140</v>
      </c>
      <c r="CJM5" s="63" t="s">
        <v>1141</v>
      </c>
      <c r="CJN5" s="63" t="s">
        <v>1142</v>
      </c>
      <c r="CJO5" s="63" t="s">
        <v>1143</v>
      </c>
      <c r="CJP5" s="63" t="s">
        <v>1144</v>
      </c>
      <c r="CJQ5" s="63" t="s">
        <v>1145</v>
      </c>
      <c r="CJR5" s="63" t="s">
        <v>1146</v>
      </c>
      <c r="CJS5" s="63" t="s">
        <v>1147</v>
      </c>
      <c r="CJT5" s="63" t="s">
        <v>1148</v>
      </c>
      <c r="CJU5" s="63" t="s">
        <v>1149</v>
      </c>
      <c r="CJV5" s="63" t="s">
        <v>1150</v>
      </c>
      <c r="CJW5" s="63" t="s">
        <v>1151</v>
      </c>
      <c r="CJX5" s="63" t="s">
        <v>1152</v>
      </c>
      <c r="CJY5" s="63" t="s">
        <v>1153</v>
      </c>
      <c r="CJZ5" s="63" t="s">
        <v>1154</v>
      </c>
      <c r="CKA5" s="63" t="s">
        <v>1155</v>
      </c>
      <c r="CKB5" s="63" t="s">
        <v>82</v>
      </c>
      <c r="CKC5" s="63" t="s">
        <v>1156</v>
      </c>
      <c r="CKD5" s="63" t="s">
        <v>1157</v>
      </c>
      <c r="CKE5" s="63" t="s">
        <v>1158</v>
      </c>
      <c r="CKF5" s="63" t="s">
        <v>1159</v>
      </c>
      <c r="CKG5" s="63" t="s">
        <v>1160</v>
      </c>
      <c r="CKH5" s="63" t="s">
        <v>1161</v>
      </c>
      <c r="CKI5" s="63" t="s">
        <v>1162</v>
      </c>
      <c r="CKJ5" s="63" t="s">
        <v>1163</v>
      </c>
      <c r="CKK5" s="63" t="s">
        <v>1164</v>
      </c>
      <c r="CKL5" s="63" t="s">
        <v>1165</v>
      </c>
      <c r="CKM5" s="63" t="s">
        <v>1166</v>
      </c>
      <c r="CKN5" s="63" t="s">
        <v>1167</v>
      </c>
      <c r="CKO5" s="63" t="s">
        <v>1168</v>
      </c>
      <c r="CKP5" s="63" t="s">
        <v>1169</v>
      </c>
      <c r="CKQ5" s="63" t="s">
        <v>1170</v>
      </c>
      <c r="CKR5" s="63" t="s">
        <v>1171</v>
      </c>
      <c r="CKS5" s="63" t="s">
        <v>1172</v>
      </c>
      <c r="CKT5" s="63" t="s">
        <v>1173</v>
      </c>
      <c r="CKU5" s="63" t="s">
        <v>1174</v>
      </c>
      <c r="CKV5" s="63" t="s">
        <v>1175</v>
      </c>
      <c r="CKW5" s="63" t="s">
        <v>1176</v>
      </c>
      <c r="CKX5" s="63" t="s">
        <v>1177</v>
      </c>
      <c r="CKY5" s="63" t="s">
        <v>1178</v>
      </c>
      <c r="CKZ5" s="63" t="s">
        <v>1179</v>
      </c>
      <c r="CLA5" s="63" t="s">
        <v>1180</v>
      </c>
      <c r="CLB5" s="63" t="s">
        <v>1181</v>
      </c>
      <c r="CLC5" s="63" t="s">
        <v>1182</v>
      </c>
      <c r="CLD5" s="63" t="s">
        <v>1183</v>
      </c>
      <c r="CLE5" s="63" t="s">
        <v>1184</v>
      </c>
      <c r="CLF5" s="63" t="s">
        <v>1185</v>
      </c>
      <c r="CLG5" s="63" t="s">
        <v>83</v>
      </c>
      <c r="CLH5" s="63" t="s">
        <v>1186</v>
      </c>
      <c r="CLI5" s="63" t="s">
        <v>1187</v>
      </c>
      <c r="CLJ5" s="63" t="s">
        <v>1188</v>
      </c>
      <c r="CLK5" s="63" t="s">
        <v>1189</v>
      </c>
      <c r="CLL5" s="63" t="s">
        <v>1190</v>
      </c>
      <c r="CLM5" s="63" t="s">
        <v>1191</v>
      </c>
      <c r="CLN5" s="63" t="s">
        <v>1192</v>
      </c>
      <c r="CLO5" s="63" t="s">
        <v>1193</v>
      </c>
      <c r="CLP5" s="63" t="s">
        <v>1194</v>
      </c>
      <c r="CLQ5" s="63" t="s">
        <v>1195</v>
      </c>
      <c r="CLR5" s="63" t="s">
        <v>1196</v>
      </c>
      <c r="CLS5" s="63" t="s">
        <v>1197</v>
      </c>
      <c r="CLT5" s="63" t="s">
        <v>1198</v>
      </c>
      <c r="CLU5" s="63" t="s">
        <v>1199</v>
      </c>
      <c r="CLV5" s="63" t="s">
        <v>1200</v>
      </c>
      <c r="CLW5" s="63" t="s">
        <v>1201</v>
      </c>
      <c r="CLX5" s="63" t="s">
        <v>1202</v>
      </c>
      <c r="CLY5" s="63" t="s">
        <v>1203</v>
      </c>
      <c r="CLZ5" s="63" t="s">
        <v>1204</v>
      </c>
      <c r="CMA5" s="63" t="s">
        <v>1205</v>
      </c>
      <c r="CMB5" s="63" t="s">
        <v>1206</v>
      </c>
      <c r="CMC5" s="63" t="s">
        <v>1207</v>
      </c>
      <c r="CMD5" s="63" t="s">
        <v>1208</v>
      </c>
      <c r="CME5" s="63" t="s">
        <v>1209</v>
      </c>
      <c r="CMF5" s="63" t="s">
        <v>1210</v>
      </c>
      <c r="CMG5" s="63" t="s">
        <v>1211</v>
      </c>
      <c r="CMH5" s="63" t="s">
        <v>1212</v>
      </c>
      <c r="CMI5" s="63" t="s">
        <v>1213</v>
      </c>
      <c r="CMJ5" s="63" t="s">
        <v>1214</v>
      </c>
      <c r="CMK5" s="63" t="s">
        <v>1215</v>
      </c>
      <c r="CML5" s="63" t="s">
        <v>84</v>
      </c>
      <c r="CMM5" s="63" t="s">
        <v>1216</v>
      </c>
      <c r="CMN5" s="63" t="s">
        <v>1217</v>
      </c>
      <c r="CMO5" s="63" t="s">
        <v>1218</v>
      </c>
      <c r="CMP5" s="63" t="s">
        <v>1219</v>
      </c>
      <c r="CMQ5" s="63" t="s">
        <v>1220</v>
      </c>
      <c r="CMR5" s="63" t="s">
        <v>1221</v>
      </c>
      <c r="CMS5" s="63" t="s">
        <v>1222</v>
      </c>
      <c r="CMT5" s="63" t="s">
        <v>1223</v>
      </c>
      <c r="CMU5" s="63" t="s">
        <v>1224</v>
      </c>
      <c r="CMV5" s="63" t="s">
        <v>1225</v>
      </c>
      <c r="CMW5" s="63" t="s">
        <v>1226</v>
      </c>
      <c r="CMX5" s="63" t="s">
        <v>1227</v>
      </c>
      <c r="CMY5" s="63" t="s">
        <v>1228</v>
      </c>
      <c r="CMZ5" s="63" t="s">
        <v>1229</v>
      </c>
      <c r="CNA5" s="63" t="s">
        <v>1230</v>
      </c>
      <c r="CNB5" s="63" t="s">
        <v>1231</v>
      </c>
      <c r="CNC5" s="63" t="s">
        <v>1232</v>
      </c>
      <c r="CND5" s="63" t="s">
        <v>1233</v>
      </c>
      <c r="CNE5" s="63" t="s">
        <v>1234</v>
      </c>
      <c r="CNF5" s="63" t="s">
        <v>1235</v>
      </c>
      <c r="CNG5" s="63" t="s">
        <v>1236</v>
      </c>
      <c r="CNH5" s="63" t="s">
        <v>1237</v>
      </c>
      <c r="CNI5" s="63" t="s">
        <v>1238</v>
      </c>
      <c r="CNJ5" s="63" t="s">
        <v>1239</v>
      </c>
      <c r="CNK5" s="63" t="s">
        <v>1240</v>
      </c>
      <c r="CNL5" s="63" t="s">
        <v>1241</v>
      </c>
      <c r="CNM5" s="63" t="s">
        <v>1242</v>
      </c>
      <c r="CNN5" s="63" t="s">
        <v>1243</v>
      </c>
      <c r="CNO5" s="63" t="s">
        <v>1244</v>
      </c>
      <c r="CNP5" s="63" t="s">
        <v>1245</v>
      </c>
      <c r="CNQ5" s="63" t="s">
        <v>85</v>
      </c>
      <c r="CNR5" s="63" t="s">
        <v>1246</v>
      </c>
      <c r="CNS5" s="63" t="s">
        <v>1247</v>
      </c>
      <c r="CNT5" s="63" t="s">
        <v>1248</v>
      </c>
      <c r="CNU5" s="63" t="s">
        <v>1249</v>
      </c>
      <c r="CNV5" s="63" t="s">
        <v>1250</v>
      </c>
      <c r="CNW5" s="63" t="s">
        <v>1251</v>
      </c>
      <c r="CNX5" s="63" t="s">
        <v>1252</v>
      </c>
      <c r="CNY5" s="63" t="s">
        <v>1253</v>
      </c>
      <c r="CNZ5" s="63" t="s">
        <v>1254</v>
      </c>
      <c r="COA5" s="63" t="s">
        <v>1255</v>
      </c>
      <c r="COB5" s="63" t="s">
        <v>1256</v>
      </c>
      <c r="COC5" s="63" t="s">
        <v>1257</v>
      </c>
      <c r="COD5" s="63" t="s">
        <v>1258</v>
      </c>
      <c r="COE5" s="63" t="s">
        <v>1259</v>
      </c>
      <c r="COF5" s="63" t="s">
        <v>1260</v>
      </c>
      <c r="COG5" s="63" t="s">
        <v>1261</v>
      </c>
      <c r="COH5" s="63" t="s">
        <v>1262</v>
      </c>
      <c r="COI5" s="63" t="s">
        <v>1263</v>
      </c>
      <c r="COJ5" s="63" t="s">
        <v>1264</v>
      </c>
      <c r="COK5" s="63" t="s">
        <v>1265</v>
      </c>
      <c r="COL5" s="63" t="s">
        <v>1266</v>
      </c>
      <c r="COM5" s="63" t="s">
        <v>1267</v>
      </c>
      <c r="CON5" s="63" t="s">
        <v>1268</v>
      </c>
      <c r="COO5" s="63" t="s">
        <v>1269</v>
      </c>
      <c r="COP5" s="63" t="s">
        <v>1270</v>
      </c>
      <c r="COQ5" s="63" t="s">
        <v>1271</v>
      </c>
      <c r="COR5" s="63" t="s">
        <v>1272</v>
      </c>
      <c r="COS5" s="63" t="s">
        <v>1273</v>
      </c>
      <c r="COT5" s="63" t="s">
        <v>1274</v>
      </c>
      <c r="COU5" s="63" t="s">
        <v>1275</v>
      </c>
      <c r="COV5" s="63" t="s">
        <v>86</v>
      </c>
      <c r="COW5" s="63" t="s">
        <v>1276</v>
      </c>
      <c r="COX5" s="63" t="s">
        <v>1277</v>
      </c>
      <c r="COY5" s="63" t="s">
        <v>1278</v>
      </c>
      <c r="COZ5" s="63" t="s">
        <v>1279</v>
      </c>
      <c r="CPA5" s="63" t="s">
        <v>1280</v>
      </c>
      <c r="CPB5" s="63" t="s">
        <v>1281</v>
      </c>
      <c r="CPC5" s="63" t="s">
        <v>1282</v>
      </c>
      <c r="CPD5" s="63" t="s">
        <v>1283</v>
      </c>
      <c r="CPE5" s="63" t="s">
        <v>1284</v>
      </c>
      <c r="CPF5" s="63" t="s">
        <v>1285</v>
      </c>
      <c r="CPG5" s="63" t="s">
        <v>1286</v>
      </c>
      <c r="CPH5" s="63" t="s">
        <v>1287</v>
      </c>
      <c r="CPI5" s="63" t="s">
        <v>1288</v>
      </c>
      <c r="CPJ5" s="63" t="s">
        <v>1289</v>
      </c>
      <c r="CPK5" s="63" t="s">
        <v>1290</v>
      </c>
      <c r="CPL5" s="63" t="s">
        <v>1291</v>
      </c>
      <c r="CPM5" s="63" t="s">
        <v>1292</v>
      </c>
      <c r="CPN5" s="63" t="s">
        <v>1293</v>
      </c>
      <c r="CPO5" s="63" t="s">
        <v>1294</v>
      </c>
      <c r="CPP5" s="63" t="s">
        <v>1295</v>
      </c>
      <c r="CPQ5" s="63" t="s">
        <v>1296</v>
      </c>
      <c r="CPR5" s="63" t="s">
        <v>1297</v>
      </c>
      <c r="CPS5" s="63" t="s">
        <v>1298</v>
      </c>
      <c r="CPT5" s="63" t="s">
        <v>1299</v>
      </c>
      <c r="CPU5" s="63" t="s">
        <v>1300</v>
      </c>
      <c r="CPV5" s="63" t="s">
        <v>1301</v>
      </c>
      <c r="CPW5" s="63" t="s">
        <v>1302</v>
      </c>
      <c r="CPX5" s="63" t="s">
        <v>1303</v>
      </c>
      <c r="CPY5" s="63" t="s">
        <v>1304</v>
      </c>
      <c r="CPZ5" s="63" t="s">
        <v>1305</v>
      </c>
      <c r="CQA5" s="63" t="s">
        <v>87</v>
      </c>
      <c r="CQB5" s="63" t="s">
        <v>1306</v>
      </c>
      <c r="CQC5" s="63" t="s">
        <v>1307</v>
      </c>
      <c r="CQD5" s="63" t="s">
        <v>1308</v>
      </c>
      <c r="CQE5" s="63" t="s">
        <v>1309</v>
      </c>
      <c r="CQF5" s="63" t="s">
        <v>1310</v>
      </c>
      <c r="CQG5" s="63" t="s">
        <v>1311</v>
      </c>
      <c r="CQH5" s="63" t="s">
        <v>1312</v>
      </c>
      <c r="CQI5" s="63" t="s">
        <v>1313</v>
      </c>
      <c r="CQJ5" s="63" t="s">
        <v>1314</v>
      </c>
      <c r="CQK5" s="63" t="s">
        <v>1315</v>
      </c>
      <c r="CQL5" s="63" t="s">
        <v>1316</v>
      </c>
      <c r="CQM5" s="63" t="s">
        <v>1317</v>
      </c>
      <c r="CQN5" s="63" t="s">
        <v>1318</v>
      </c>
      <c r="CQO5" s="63" t="s">
        <v>1319</v>
      </c>
      <c r="CQP5" s="63" t="s">
        <v>1320</v>
      </c>
      <c r="CQQ5" s="63" t="s">
        <v>1321</v>
      </c>
      <c r="CQR5" s="63" t="s">
        <v>1322</v>
      </c>
      <c r="CQS5" s="63" t="s">
        <v>1323</v>
      </c>
      <c r="CQT5" s="63" t="s">
        <v>1324</v>
      </c>
      <c r="CQU5" s="63" t="s">
        <v>1325</v>
      </c>
      <c r="CQV5" s="63" t="s">
        <v>1326</v>
      </c>
      <c r="CQW5" s="63" t="s">
        <v>1327</v>
      </c>
      <c r="CQX5" s="63" t="s">
        <v>1328</v>
      </c>
      <c r="CQY5" s="63" t="s">
        <v>1329</v>
      </c>
      <c r="CQZ5" s="63" t="s">
        <v>1330</v>
      </c>
      <c r="CRA5" s="63" t="s">
        <v>1331</v>
      </c>
      <c r="CRB5" s="63" t="s">
        <v>1332</v>
      </c>
      <c r="CRC5" s="63" t="s">
        <v>1333</v>
      </c>
      <c r="CRD5" s="63" t="s">
        <v>1334</v>
      </c>
      <c r="CRE5" s="63" t="s">
        <v>1335</v>
      </c>
      <c r="CRF5" s="63" t="s">
        <v>88</v>
      </c>
      <c r="CRG5" s="63" t="s">
        <v>1336</v>
      </c>
      <c r="CRH5" s="63" t="s">
        <v>1337</v>
      </c>
      <c r="CRI5" s="63" t="s">
        <v>1338</v>
      </c>
      <c r="CRJ5" s="63" t="s">
        <v>1339</v>
      </c>
      <c r="CRK5" s="63" t="s">
        <v>1340</v>
      </c>
      <c r="CRL5" s="63" t="s">
        <v>1341</v>
      </c>
      <c r="CRM5" s="63" t="s">
        <v>1342</v>
      </c>
      <c r="CRN5" s="63" t="s">
        <v>1343</v>
      </c>
      <c r="CRO5" s="63" t="s">
        <v>1344</v>
      </c>
      <c r="CRP5" s="63" t="s">
        <v>1345</v>
      </c>
      <c r="CRQ5" s="63" t="s">
        <v>1346</v>
      </c>
      <c r="CRR5" s="63" t="s">
        <v>1347</v>
      </c>
      <c r="CRS5" s="63" t="s">
        <v>1348</v>
      </c>
      <c r="CRT5" s="63" t="s">
        <v>1349</v>
      </c>
      <c r="CRU5" s="63" t="s">
        <v>1350</v>
      </c>
      <c r="CRV5" s="63" t="s">
        <v>1351</v>
      </c>
      <c r="CRW5" s="63" t="s">
        <v>1352</v>
      </c>
      <c r="CRX5" s="63" t="s">
        <v>1353</v>
      </c>
      <c r="CRY5" s="63" t="s">
        <v>1354</v>
      </c>
      <c r="CRZ5" s="63" t="s">
        <v>1355</v>
      </c>
      <c r="CSA5" s="63" t="s">
        <v>1356</v>
      </c>
      <c r="CSB5" s="63" t="s">
        <v>1357</v>
      </c>
      <c r="CSC5" s="63" t="s">
        <v>1358</v>
      </c>
      <c r="CSD5" s="63" t="s">
        <v>1359</v>
      </c>
      <c r="CSE5" s="63" t="s">
        <v>1360</v>
      </c>
      <c r="CSF5" s="63" t="s">
        <v>1361</v>
      </c>
      <c r="CSG5" s="63" t="s">
        <v>1362</v>
      </c>
      <c r="CSH5" s="63" t="s">
        <v>1363</v>
      </c>
      <c r="CSI5" s="63" t="s">
        <v>1364</v>
      </c>
      <c r="CSJ5" s="63" t="s">
        <v>1365</v>
      </c>
      <c r="CSK5" s="66" t="s">
        <v>1366</v>
      </c>
      <c r="CSL5" s="11" t="s">
        <v>1367</v>
      </c>
      <c r="CSM5" s="11" t="s">
        <v>1368</v>
      </c>
      <c r="CSN5" s="11" t="s">
        <v>1369</v>
      </c>
      <c r="CSO5" s="11" t="s">
        <v>1370</v>
      </c>
      <c r="CSP5" s="11" t="s">
        <v>1371</v>
      </c>
      <c r="CSQ5" s="67" t="s">
        <v>1372</v>
      </c>
      <c r="CSR5" s="11" t="s">
        <v>1373</v>
      </c>
      <c r="CSS5" s="11" t="s">
        <v>1374</v>
      </c>
      <c r="CST5" s="11" t="s">
        <v>1375</v>
      </c>
      <c r="CSU5" s="11" t="s">
        <v>1376</v>
      </c>
      <c r="CSV5" s="11" t="s">
        <v>1377</v>
      </c>
      <c r="CSW5" s="11" t="s">
        <v>1378</v>
      </c>
      <c r="CSX5" s="11" t="s">
        <v>1379</v>
      </c>
      <c r="CSY5" s="11" t="s">
        <v>1380</v>
      </c>
      <c r="CSZ5" s="11" t="s">
        <v>1381</v>
      </c>
      <c r="CTA5" s="11" t="s">
        <v>1382</v>
      </c>
      <c r="CTB5" s="11" t="s">
        <v>1383</v>
      </c>
      <c r="CTC5" s="11" t="s">
        <v>1384</v>
      </c>
      <c r="CTD5" s="11" t="s">
        <v>1385</v>
      </c>
      <c r="CTE5" s="11" t="s">
        <v>1386</v>
      </c>
      <c r="CTF5" s="11" t="s">
        <v>1387</v>
      </c>
      <c r="CTG5" s="11" t="s">
        <v>1388</v>
      </c>
      <c r="CTH5" s="11" t="s">
        <v>1389</v>
      </c>
      <c r="CTI5" s="11" t="s">
        <v>1390</v>
      </c>
      <c r="CTJ5" s="11" t="s">
        <v>1391</v>
      </c>
      <c r="CTK5" s="11" t="s">
        <v>1392</v>
      </c>
      <c r="CTL5" s="11" t="s">
        <v>1393</v>
      </c>
      <c r="CTM5" s="11" t="s">
        <v>1394</v>
      </c>
      <c r="CTN5" s="11" t="s">
        <v>1395</v>
      </c>
      <c r="CTO5" s="11" t="s">
        <v>1396</v>
      </c>
      <c r="CTP5" s="11" t="s">
        <v>1397</v>
      </c>
      <c r="CTQ5" s="11" t="s">
        <v>1398</v>
      </c>
      <c r="CTR5" s="11" t="s">
        <v>1399</v>
      </c>
      <c r="CTS5" s="11" t="s">
        <v>1400</v>
      </c>
      <c r="CTT5" s="11" t="s">
        <v>1401</v>
      </c>
      <c r="CTU5" s="11" t="s">
        <v>1402</v>
      </c>
      <c r="CTV5" s="11" t="s">
        <v>1403</v>
      </c>
      <c r="CTW5" s="11" t="s">
        <v>1404</v>
      </c>
      <c r="CTX5" s="11" t="s">
        <v>1405</v>
      </c>
      <c r="CTY5" s="11" t="s">
        <v>1406</v>
      </c>
      <c r="CTZ5" s="68" t="s">
        <v>2707</v>
      </c>
      <c r="CUA5" s="11" t="s">
        <v>2668</v>
      </c>
      <c r="CUB5" s="63" t="s">
        <v>2669</v>
      </c>
      <c r="CUC5" s="63" t="s">
        <v>2670</v>
      </c>
      <c r="CUD5" s="63" t="s">
        <v>2671</v>
      </c>
      <c r="CUE5" s="63" t="s">
        <v>2672</v>
      </c>
      <c r="CUF5" s="69" t="s">
        <v>2673</v>
      </c>
      <c r="CUG5" s="63" t="s">
        <v>2674</v>
      </c>
      <c r="CUH5" s="63" t="s">
        <v>2675</v>
      </c>
      <c r="CUI5" s="63" t="s">
        <v>2676</v>
      </c>
      <c r="CUJ5" s="63" t="s">
        <v>2677</v>
      </c>
      <c r="CUK5" s="63" t="s">
        <v>2678</v>
      </c>
      <c r="CUL5" s="63" t="s">
        <v>2679</v>
      </c>
      <c r="CUM5" s="63" t="s">
        <v>2680</v>
      </c>
      <c r="CUN5" s="63" t="s">
        <v>2681</v>
      </c>
      <c r="CUO5" s="63" t="s">
        <v>2682</v>
      </c>
      <c r="CUP5" s="63" t="s">
        <v>2683</v>
      </c>
      <c r="CUQ5" s="63" t="s">
        <v>2684</v>
      </c>
      <c r="CUR5" s="63" t="s">
        <v>2685</v>
      </c>
      <c r="CUS5" s="63" t="s">
        <v>2686</v>
      </c>
      <c r="CUT5" s="63" t="s">
        <v>2687</v>
      </c>
      <c r="CUU5" s="63" t="s">
        <v>2688</v>
      </c>
      <c r="CUV5" s="63" t="s">
        <v>2689</v>
      </c>
      <c r="CUW5" s="63" t="s">
        <v>2690</v>
      </c>
      <c r="CUX5" s="63" t="s">
        <v>2691</v>
      </c>
      <c r="CUY5" s="63" t="s">
        <v>2692</v>
      </c>
      <c r="CUZ5" s="63" t="s">
        <v>2693</v>
      </c>
      <c r="CVA5" s="63" t="s">
        <v>2694</v>
      </c>
      <c r="CVB5" s="63" t="s">
        <v>2695</v>
      </c>
      <c r="CVC5" s="63" t="s">
        <v>2696</v>
      </c>
      <c r="CVD5" s="63" t="s">
        <v>2697</v>
      </c>
      <c r="CVE5" s="63" t="s">
        <v>2698</v>
      </c>
      <c r="CVF5" s="63" t="s">
        <v>2699</v>
      </c>
      <c r="CVG5" s="63" t="s">
        <v>2700</v>
      </c>
      <c r="CVH5" s="63" t="s">
        <v>2701</v>
      </c>
      <c r="CVI5" s="63" t="s">
        <v>2702</v>
      </c>
      <c r="CVJ5" s="63" t="s">
        <v>2703</v>
      </c>
      <c r="CVK5" s="63" t="s">
        <v>2704</v>
      </c>
      <c r="CVL5" s="63" t="s">
        <v>2705</v>
      </c>
      <c r="CVM5" s="63" t="s">
        <v>2708</v>
      </c>
      <c r="CVN5" s="63" t="s">
        <v>2706</v>
      </c>
      <c r="CVO5" s="71" t="s">
        <v>2777</v>
      </c>
      <c r="CVP5" s="71" t="s">
        <v>2709</v>
      </c>
    </row>
    <row r="6" spans="1:2616" s="16" customFormat="1" x14ac:dyDescent="0.3">
      <c r="A6" s="2" t="s">
        <v>2666</v>
      </c>
      <c r="B6" s="2" t="s">
        <v>1427</v>
      </c>
      <c r="C6" s="57" t="s">
        <v>2735</v>
      </c>
      <c r="D6" s="35">
        <v>5</v>
      </c>
      <c r="E6" s="16">
        <v>57</v>
      </c>
      <c r="G6" s="16" t="s">
        <v>1424</v>
      </c>
      <c r="H6" s="53">
        <f ca="1">IF(ISNA(MATCH(1,$CSL6:$CTY6,0)),"",(J6+1)/($B$1-MATCH(1,$CSL6:$CTY6,0)+2))</f>
        <v>1</v>
      </c>
      <c r="I6" s="35">
        <f ca="1">IF(ISNA(MATCH(0,$CSL6:$CTY6,-1)),"",$B$1-MATCH(0,$CSL6:$CTY6,-1))</f>
        <v>0</v>
      </c>
      <c r="J6" s="35">
        <f t="shared" ref="J6:J8" ca="1" si="99">SUM(CSL6:CTY6)</f>
        <v>1</v>
      </c>
      <c r="K6" s="49">
        <f ca="1">IF($J6&gt;0,SUM($CUA6:$CVN6)/$J6,"")</f>
        <v>2</v>
      </c>
      <c r="L6" s="16">
        <v>201</v>
      </c>
      <c r="M6" s="12">
        <v>201</v>
      </c>
      <c r="N6" s="12">
        <v>201</v>
      </c>
      <c r="O6" s="4">
        <v>201</v>
      </c>
      <c r="P6" s="4">
        <v>201</v>
      </c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16">
        <v>1</v>
      </c>
      <c r="BD6" s="16">
        <v>1</v>
      </c>
      <c r="BI6" s="16">
        <v>1</v>
      </c>
      <c r="CSK6" s="54" t="str">
        <f t="shared" ref="CSK6" si="100">"X"</f>
        <v>X</v>
      </c>
      <c r="CSL6" s="35">
        <f ca="1">IF(SUM(OFFSET($BA6:$DJ6,0,62*(CSL$1-1),,62))&gt;0,1,"")</f>
        <v>1</v>
      </c>
      <c r="CSM6" s="35" t="str">
        <f t="shared" ref="CSM6:CTY8" ca="1" si="101">IF(SUM(OFFSET($BA6:$DJ6,0,62*(CSM$1-1),,62))&gt;0,1,"")</f>
        <v/>
      </c>
      <c r="CSN6" s="35" t="str">
        <f t="shared" ca="1" si="101"/>
        <v/>
      </c>
      <c r="CSO6" s="35" t="str">
        <f t="shared" ca="1" si="101"/>
        <v/>
      </c>
      <c r="CSP6" s="35" t="str">
        <f t="shared" ca="1" si="101"/>
        <v/>
      </c>
      <c r="CSQ6" s="35" t="str">
        <f t="shared" ca="1" si="101"/>
        <v/>
      </c>
      <c r="CSR6" s="35" t="str">
        <f t="shared" ca="1" si="101"/>
        <v/>
      </c>
      <c r="CSS6" s="35" t="str">
        <f t="shared" ca="1" si="101"/>
        <v/>
      </c>
      <c r="CST6" s="35" t="str">
        <f t="shared" ca="1" si="101"/>
        <v/>
      </c>
      <c r="CSU6" s="35" t="str">
        <f t="shared" ca="1" si="101"/>
        <v/>
      </c>
      <c r="CSV6" s="35" t="str">
        <f t="shared" ca="1" si="101"/>
        <v/>
      </c>
      <c r="CSW6" s="35" t="str">
        <f t="shared" ca="1" si="101"/>
        <v/>
      </c>
      <c r="CSX6" s="35" t="str">
        <f t="shared" ca="1" si="101"/>
        <v/>
      </c>
      <c r="CSY6" s="35" t="str">
        <f t="shared" ca="1" si="101"/>
        <v/>
      </c>
      <c r="CSZ6" s="35" t="str">
        <f t="shared" ca="1" si="101"/>
        <v/>
      </c>
      <c r="CTA6" s="35" t="str">
        <f t="shared" ca="1" si="101"/>
        <v/>
      </c>
      <c r="CTB6" s="35" t="str">
        <f t="shared" ca="1" si="101"/>
        <v/>
      </c>
      <c r="CTC6" s="35" t="str">
        <f t="shared" ca="1" si="101"/>
        <v/>
      </c>
      <c r="CTD6" s="35" t="str">
        <f t="shared" ca="1" si="101"/>
        <v/>
      </c>
      <c r="CTE6" s="35" t="str">
        <f t="shared" ca="1" si="101"/>
        <v/>
      </c>
      <c r="CTF6" s="35" t="str">
        <f t="shared" ca="1" si="101"/>
        <v/>
      </c>
      <c r="CTG6" s="35" t="str">
        <f t="shared" ca="1" si="101"/>
        <v/>
      </c>
      <c r="CTH6" s="35" t="str">
        <f t="shared" ca="1" si="101"/>
        <v/>
      </c>
      <c r="CTI6" s="35" t="str">
        <f t="shared" ca="1" si="101"/>
        <v/>
      </c>
      <c r="CTJ6" s="35" t="str">
        <f t="shared" ca="1" si="101"/>
        <v/>
      </c>
      <c r="CTK6" s="35" t="str">
        <f t="shared" ca="1" si="101"/>
        <v/>
      </c>
      <c r="CTL6" s="35" t="str">
        <f t="shared" ca="1" si="101"/>
        <v/>
      </c>
      <c r="CTM6" s="35" t="str">
        <f t="shared" ca="1" si="101"/>
        <v/>
      </c>
      <c r="CTN6" s="35" t="str">
        <f t="shared" ca="1" si="101"/>
        <v/>
      </c>
      <c r="CTO6" s="35" t="str">
        <f t="shared" ca="1" si="101"/>
        <v/>
      </c>
      <c r="CTP6" s="35" t="str">
        <f t="shared" ca="1" si="101"/>
        <v/>
      </c>
      <c r="CTQ6" s="35" t="str">
        <f t="shared" ca="1" si="101"/>
        <v/>
      </c>
      <c r="CTR6" s="35" t="str">
        <f t="shared" ca="1" si="101"/>
        <v/>
      </c>
      <c r="CTS6" s="35" t="str">
        <f t="shared" ca="1" si="101"/>
        <v/>
      </c>
      <c r="CTT6" s="35" t="str">
        <f t="shared" ca="1" si="101"/>
        <v/>
      </c>
      <c r="CTU6" s="35" t="str">
        <f t="shared" ca="1" si="101"/>
        <v/>
      </c>
      <c r="CTV6" s="35" t="str">
        <f t="shared" ca="1" si="101"/>
        <v/>
      </c>
      <c r="CTW6" s="35" t="str">
        <f t="shared" ca="1" si="101"/>
        <v/>
      </c>
      <c r="CTX6" s="35" t="str">
        <f t="shared" ca="1" si="101"/>
        <v/>
      </c>
      <c r="CTY6" s="35" t="str">
        <f t="shared" ca="1" si="101"/>
        <v/>
      </c>
      <c r="CTZ6" s="55" t="str">
        <f t="shared" ref="CTZ6" si="102">"X"</f>
        <v>X</v>
      </c>
      <c r="CUA6" s="16">
        <f t="shared" ref="CUA6:CUA8" ca="1" si="103">IF(AND(ISNUMBER(CSL6),CSL6&gt;0),SUM(OFFSET($BA6:$DJ6,0,62*(CUA$1-1),,62))-1,"")</f>
        <v>2</v>
      </c>
      <c r="CUB6" s="16" t="str">
        <f t="shared" ref="CUB6:CUB8" ca="1" si="104">IF(AND(ISNUMBER(CSM6),CSM6&gt;0),SUM(OFFSET($BA6:$DJ6,0,62*(CUB$1-1),,62))-1,"")</f>
        <v/>
      </c>
      <c r="CUC6" s="16" t="str">
        <f t="shared" ref="CUC6:CUC8" ca="1" si="105">IF(AND(ISNUMBER(CSN6),CSN6&gt;0),SUM(OFFSET($BA6:$DJ6,0,62*(CUC$1-1),,62))-1,"")</f>
        <v/>
      </c>
      <c r="CUD6" s="16" t="str">
        <f t="shared" ref="CUD6:CUD8" ca="1" si="106">IF(AND(ISNUMBER(CSO6),CSO6&gt;0),SUM(OFFSET($BA6:$DJ6,0,62*(CUD$1-1),,62))-1,"")</f>
        <v/>
      </c>
      <c r="CUE6" s="16" t="str">
        <f t="shared" ref="CUE6:CUE8" ca="1" si="107">IF(AND(ISNUMBER(CSP6),CSP6&gt;0),SUM(OFFSET($BA6:$DJ6,0,62*(CUE$1-1),,62))-1,"")</f>
        <v/>
      </c>
      <c r="CUF6" s="16" t="str">
        <f t="shared" ref="CUF6:CUF8" ca="1" si="108">IF(AND(ISNUMBER(CSQ6),CSQ6&gt;0),SUM(OFFSET($BA6:$DJ6,0,62*(CUF$1-1),,62))-1,"")</f>
        <v/>
      </c>
      <c r="CUG6" s="16" t="str">
        <f t="shared" ref="CUG6:CUG8" ca="1" si="109">IF(AND(ISNUMBER(CSR6),CSR6&gt;0),SUM(OFFSET($BA6:$DJ6,0,62*(CUG$1-1),,62))-1,"")</f>
        <v/>
      </c>
      <c r="CUH6" s="16" t="str">
        <f t="shared" ref="CUH6:CUH8" ca="1" si="110">IF(AND(ISNUMBER(CSS6),CSS6&gt;0),SUM(OFFSET($BA6:$DJ6,0,62*(CUH$1-1),,62))-1,"")</f>
        <v/>
      </c>
      <c r="CUI6" s="16" t="str">
        <f t="shared" ref="CUI6:CUI8" ca="1" si="111">IF(AND(ISNUMBER(CST6),CST6&gt;0),SUM(OFFSET($BA6:$DJ6,0,62*(CUI$1-1),,62))-1,"")</f>
        <v/>
      </c>
      <c r="CUJ6" s="16" t="str">
        <f t="shared" ref="CUJ6:CUJ8" ca="1" si="112">IF(AND(ISNUMBER(CSU6),CSU6&gt;0),SUM(OFFSET($BA6:$DJ6,0,62*(CUJ$1-1),,62))-1,"")</f>
        <v/>
      </c>
      <c r="CUK6" s="16" t="str">
        <f t="shared" ref="CUK6:CUK8" ca="1" si="113">IF(AND(ISNUMBER(CSV6),CSV6&gt;0),SUM(OFFSET($BA6:$DJ6,0,62*(CUK$1-1),,62))-1,"")</f>
        <v/>
      </c>
      <c r="CUL6" s="16" t="str">
        <f t="shared" ref="CUL6:CUL8" ca="1" si="114">IF(AND(ISNUMBER(CSW6),CSW6&gt;0),SUM(OFFSET($BA6:$DJ6,0,62*(CUL$1-1),,62))-1,"")</f>
        <v/>
      </c>
      <c r="CUM6" s="16" t="str">
        <f t="shared" ref="CUM6:CUM8" ca="1" si="115">IF(AND(ISNUMBER(CSX6),CSX6&gt;0),SUM(OFFSET($BA6:$DJ6,0,62*(CUM$1-1),,62))-1,"")</f>
        <v/>
      </c>
      <c r="CUN6" s="16" t="str">
        <f t="shared" ref="CUN6:CUN8" ca="1" si="116">IF(AND(ISNUMBER(CSY6),CSY6&gt;0),SUM(OFFSET($BA6:$DJ6,0,62*(CUN$1-1),,62))-1,"")</f>
        <v/>
      </c>
      <c r="CUO6" s="16" t="str">
        <f t="shared" ref="CUO6:CUO8" ca="1" si="117">IF(AND(ISNUMBER(CSZ6),CSZ6&gt;0),SUM(OFFSET($BA6:$DJ6,0,62*(CUO$1-1),,62))-1,"")</f>
        <v/>
      </c>
      <c r="CUP6" s="16" t="str">
        <f t="shared" ref="CUP6:CUP8" ca="1" si="118">IF(AND(ISNUMBER(CTA6),CTA6&gt;0),SUM(OFFSET($BA6:$DJ6,0,62*(CUP$1-1),,62))-1,"")</f>
        <v/>
      </c>
      <c r="CUQ6" s="16" t="str">
        <f t="shared" ref="CUQ6:CUQ8" ca="1" si="119">IF(AND(ISNUMBER(CTB6),CTB6&gt;0),SUM(OFFSET($BA6:$DJ6,0,62*(CUQ$1-1),,62))-1,"")</f>
        <v/>
      </c>
      <c r="CUR6" s="16" t="str">
        <f t="shared" ref="CUR6:CUR8" ca="1" si="120">IF(AND(ISNUMBER(CTC6),CTC6&gt;0),SUM(OFFSET($BA6:$DJ6,0,62*(CUR$1-1),,62))-1,"")</f>
        <v/>
      </c>
      <c r="CUS6" s="16" t="str">
        <f t="shared" ref="CUS6:CUS8" ca="1" si="121">IF(AND(ISNUMBER(CTD6),CTD6&gt;0),SUM(OFFSET($BA6:$DJ6,0,62*(CUS$1-1),,62))-1,"")</f>
        <v/>
      </c>
      <c r="CUT6" s="16" t="str">
        <f t="shared" ref="CUT6:CUT8" ca="1" si="122">IF(AND(ISNUMBER(CTE6),CTE6&gt;0),SUM(OFFSET($BA6:$DJ6,0,62*(CUT$1-1),,62))-1,"")</f>
        <v/>
      </c>
      <c r="CUU6" s="16" t="str">
        <f t="shared" ref="CUU6:CUU8" ca="1" si="123">IF(AND(ISNUMBER(CTF6),CTF6&gt;0),SUM(OFFSET($BA6:$DJ6,0,62*(CUU$1-1),,62))-1,"")</f>
        <v/>
      </c>
      <c r="CUV6" s="16" t="str">
        <f t="shared" ref="CUV6:CUV8" ca="1" si="124">IF(AND(ISNUMBER(CTG6),CTG6&gt;0),SUM(OFFSET($BA6:$DJ6,0,62*(CUV$1-1),,62))-1,"")</f>
        <v/>
      </c>
      <c r="CUW6" s="16" t="str">
        <f t="shared" ref="CUW6:CUW8" ca="1" si="125">IF(AND(ISNUMBER(CTH6),CTH6&gt;0),SUM(OFFSET($BA6:$DJ6,0,62*(CUW$1-1),,62))-1,"")</f>
        <v/>
      </c>
      <c r="CUX6" s="16" t="str">
        <f t="shared" ref="CUX6:CUX8" ca="1" si="126">IF(AND(ISNUMBER(CTI6),CTI6&gt;0),SUM(OFFSET($BA6:$DJ6,0,62*(CUX$1-1),,62))-1,"")</f>
        <v/>
      </c>
      <c r="CUY6" s="16" t="str">
        <f t="shared" ref="CUY6:CUY8" ca="1" si="127">IF(AND(ISNUMBER(CTJ6),CTJ6&gt;0),SUM(OFFSET($BA6:$DJ6,0,62*(CUY$1-1),,62))-1,"")</f>
        <v/>
      </c>
      <c r="CUZ6" s="16" t="str">
        <f t="shared" ref="CUZ6:CUZ8" ca="1" si="128">IF(AND(ISNUMBER(CTK6),CTK6&gt;0),SUM(OFFSET($BA6:$DJ6,0,62*(CUZ$1-1),,62))-1,"")</f>
        <v/>
      </c>
      <c r="CVA6" s="16" t="str">
        <f t="shared" ref="CVA6:CVA8" ca="1" si="129">IF(AND(ISNUMBER(CTL6),CTL6&gt;0),SUM(OFFSET($BA6:$DJ6,0,62*(CVA$1-1),,62))-1,"")</f>
        <v/>
      </c>
      <c r="CVB6" s="16" t="str">
        <f t="shared" ref="CVB6:CVB8" ca="1" si="130">IF(AND(ISNUMBER(CTM6),CTM6&gt;0),SUM(OFFSET($BA6:$DJ6,0,62*(CVB$1-1),,62))-1,"")</f>
        <v/>
      </c>
      <c r="CVC6" s="16" t="str">
        <f t="shared" ref="CVC6:CVC8" ca="1" si="131">IF(AND(ISNUMBER(CTN6),CTN6&gt;0),SUM(OFFSET($BA6:$DJ6,0,62*(CVC$1-1),,62))-1,"")</f>
        <v/>
      </c>
      <c r="CVD6" s="16" t="str">
        <f t="shared" ref="CVD6:CVD8" ca="1" si="132">IF(AND(ISNUMBER(CTO6),CTO6&gt;0),SUM(OFFSET($BA6:$DJ6,0,62*(CVD$1-1),,62))-1,"")</f>
        <v/>
      </c>
      <c r="CVE6" s="16" t="str">
        <f t="shared" ref="CVE6:CVE8" ca="1" si="133">IF(AND(ISNUMBER(CTP6),CTP6&gt;0),SUM(OFFSET($BA6:$DJ6,0,62*(CVE$1-1),,62))-1,"")</f>
        <v/>
      </c>
      <c r="CVF6" s="16" t="str">
        <f t="shared" ref="CVF6:CVF8" ca="1" si="134">IF(AND(ISNUMBER(CTQ6),CTQ6&gt;0),SUM(OFFSET($BA6:$DJ6,0,62*(CVF$1-1),,62))-1,"")</f>
        <v/>
      </c>
      <c r="CVG6" s="16" t="str">
        <f t="shared" ref="CVG6:CVG8" ca="1" si="135">IF(AND(ISNUMBER(CTR6),CTR6&gt;0),SUM(OFFSET($BA6:$DJ6,0,62*(CVG$1-1),,62))-1,"")</f>
        <v/>
      </c>
      <c r="CVH6" s="16" t="str">
        <f t="shared" ref="CVH6:CVH8" ca="1" si="136">IF(AND(ISNUMBER(CTS6),CTS6&gt;0),SUM(OFFSET($BA6:$DJ6,0,62*(CVH$1-1),,62))-1,"")</f>
        <v/>
      </c>
      <c r="CVI6" s="16" t="str">
        <f t="shared" ref="CVI6:CVI8" ca="1" si="137">IF(AND(ISNUMBER(CTT6),CTT6&gt;0),SUM(OFFSET($BA6:$DJ6,0,62*(CVI$1-1),,62))-1,"")</f>
        <v/>
      </c>
      <c r="CVJ6" s="16" t="str">
        <f t="shared" ref="CVJ6:CVJ8" ca="1" si="138">IF(AND(ISNUMBER(CTU6),CTU6&gt;0),SUM(OFFSET($BA6:$DJ6,0,62*(CVJ$1-1),,62))-1,"")</f>
        <v/>
      </c>
      <c r="CVK6" s="16" t="str">
        <f t="shared" ref="CVK6:CVK8" ca="1" si="139">IF(AND(ISNUMBER(CTV6),CTV6&gt;0),SUM(OFFSET($BA6:$DJ6,0,62*(CVK$1-1),,62))-1,"")</f>
        <v/>
      </c>
      <c r="CVL6" s="16" t="str">
        <f t="shared" ref="CVL6:CVL8" ca="1" si="140">IF(AND(ISNUMBER(CTW6),CTW6&gt;0),SUM(OFFSET($BA6:$DJ6,0,62*(CVL$1-1),,62))-1,"")</f>
        <v/>
      </c>
      <c r="CVM6" s="16" t="str">
        <f t="shared" ref="CVM6:CVM8" ca="1" si="141">IF(AND(ISNUMBER(CTX6),CTX6&gt;0),SUM(OFFSET($BA6:$DJ6,0,62*(CVM$1-1),,62))-1,"")</f>
        <v/>
      </c>
      <c r="CVN6" s="16" t="str">
        <f t="shared" ref="CVN6:CVN8" ca="1" si="142">IF(AND(ISNUMBER(CTY6),CTY6&gt;0),SUM(OFFSET($BA6:$DJ6,0,62*(CVN$1-1),,62))-1,"")</f>
        <v/>
      </c>
      <c r="CVO6" s="16" t="str">
        <f>SUBSTITUTE(SUBSTITUTE(LOWER(A6&amp;B6),"ё","е")," ","")</f>
        <v>ивановиван</v>
      </c>
      <c r="CVP6" s="16" t="str">
        <f>IFERROR(VLOOKUP(CVO6,'Внешние данные'!A:Z,4,FALSE),"")</f>
        <v/>
      </c>
    </row>
    <row r="7" spans="1:2616" s="16" customFormat="1" x14ac:dyDescent="0.3">
      <c r="A7" s="2" t="s">
        <v>2733</v>
      </c>
      <c r="B7" s="2" t="s">
        <v>2734</v>
      </c>
      <c r="C7" s="57" t="s">
        <v>2736</v>
      </c>
      <c r="D7" s="35">
        <v>6</v>
      </c>
      <c r="E7" s="58">
        <v>179</v>
      </c>
      <c r="G7" s="16" t="s">
        <v>1424</v>
      </c>
      <c r="H7" s="53">
        <f t="shared" ref="H7:H8" ca="1" si="143">IF(ISNA(MATCH(1,$CSL7:$CTY7,0)),"",(J7+1)/($B$1-MATCH(1,$CSL7:$CTY7,0)+2))</f>
        <v>1</v>
      </c>
      <c r="I7" s="35">
        <f t="shared" ref="I7:I8" ca="1" si="144">IF(ISNA(MATCH(0,$CSL7:$CTY7,-1)),"",$B$1-MATCH(0,$CSL7:$CTY7,-1))</f>
        <v>0</v>
      </c>
      <c r="J7" s="35">
        <f t="shared" ca="1" si="99"/>
        <v>1</v>
      </c>
      <c r="K7" s="49">
        <f t="shared" ref="K7:K8" ca="1" si="145">IF($J7&gt;0,SUM($CUA7:$CVN7)/$J7,"")</f>
        <v>1</v>
      </c>
      <c r="L7" s="16">
        <v>202</v>
      </c>
      <c r="M7" s="12">
        <v>202</v>
      </c>
      <c r="N7" s="12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16">
        <v>1</v>
      </c>
      <c r="BI7" s="16">
        <v>1</v>
      </c>
      <c r="CSK7" s="54" t="str">
        <f>"X"</f>
        <v>X</v>
      </c>
      <c r="CSL7" s="35">
        <f t="shared" ref="CSL7:CTA8" ca="1" si="146">IF(SUM(OFFSET($BA7:$DJ7,0,62*(CSL$1-1),,62))&gt;0,1,"")</f>
        <v>1</v>
      </c>
      <c r="CSM7" s="35" t="str">
        <f t="shared" ca="1" si="146"/>
        <v/>
      </c>
      <c r="CSN7" s="35" t="str">
        <f t="shared" ca="1" si="146"/>
        <v/>
      </c>
      <c r="CSO7" s="35" t="str">
        <f t="shared" ca="1" si="146"/>
        <v/>
      </c>
      <c r="CSP7" s="35" t="str">
        <f t="shared" ca="1" si="146"/>
        <v/>
      </c>
      <c r="CSQ7" s="35" t="str">
        <f t="shared" ca="1" si="146"/>
        <v/>
      </c>
      <c r="CSR7" s="35" t="str">
        <f t="shared" ca="1" si="146"/>
        <v/>
      </c>
      <c r="CSS7" s="35" t="str">
        <f t="shared" ca="1" si="146"/>
        <v/>
      </c>
      <c r="CST7" s="35" t="str">
        <f t="shared" ca="1" si="146"/>
        <v/>
      </c>
      <c r="CSU7" s="35" t="str">
        <f t="shared" ca="1" si="146"/>
        <v/>
      </c>
      <c r="CSV7" s="35" t="str">
        <f t="shared" ca="1" si="146"/>
        <v/>
      </c>
      <c r="CSW7" s="35" t="str">
        <f t="shared" ca="1" si="146"/>
        <v/>
      </c>
      <c r="CSX7" s="35" t="str">
        <f t="shared" ca="1" si="146"/>
        <v/>
      </c>
      <c r="CSY7" s="35" t="str">
        <f t="shared" ca="1" si="146"/>
        <v/>
      </c>
      <c r="CSZ7" s="35" t="str">
        <f t="shared" ca="1" si="146"/>
        <v/>
      </c>
      <c r="CTA7" s="35" t="str">
        <f t="shared" ca="1" si="146"/>
        <v/>
      </c>
      <c r="CTB7" s="35" t="str">
        <f t="shared" ca="1" si="101"/>
        <v/>
      </c>
      <c r="CTC7" s="35" t="str">
        <f t="shared" ca="1" si="101"/>
        <v/>
      </c>
      <c r="CTD7" s="35" t="str">
        <f t="shared" ca="1" si="101"/>
        <v/>
      </c>
      <c r="CTE7" s="35" t="str">
        <f t="shared" ca="1" si="101"/>
        <v/>
      </c>
      <c r="CTF7" s="35" t="str">
        <f t="shared" ca="1" si="101"/>
        <v/>
      </c>
      <c r="CTG7" s="35" t="str">
        <f t="shared" ca="1" si="101"/>
        <v/>
      </c>
      <c r="CTH7" s="35" t="str">
        <f t="shared" ca="1" si="101"/>
        <v/>
      </c>
      <c r="CTI7" s="35" t="str">
        <f t="shared" ca="1" si="101"/>
        <v/>
      </c>
      <c r="CTJ7" s="35" t="str">
        <f t="shared" ca="1" si="101"/>
        <v/>
      </c>
      <c r="CTK7" s="35" t="str">
        <f t="shared" ca="1" si="101"/>
        <v/>
      </c>
      <c r="CTL7" s="35" t="str">
        <f t="shared" ca="1" si="101"/>
        <v/>
      </c>
      <c r="CTM7" s="35" t="str">
        <f t="shared" ca="1" si="101"/>
        <v/>
      </c>
      <c r="CTN7" s="35" t="str">
        <f t="shared" ca="1" si="101"/>
        <v/>
      </c>
      <c r="CTO7" s="35" t="str">
        <f t="shared" ca="1" si="101"/>
        <v/>
      </c>
      <c r="CTP7" s="35" t="str">
        <f t="shared" ca="1" si="101"/>
        <v/>
      </c>
      <c r="CTQ7" s="35" t="str">
        <f t="shared" ca="1" si="101"/>
        <v/>
      </c>
      <c r="CTR7" s="35" t="str">
        <f t="shared" ca="1" si="101"/>
        <v/>
      </c>
      <c r="CTS7" s="35" t="str">
        <f t="shared" ca="1" si="101"/>
        <v/>
      </c>
      <c r="CTT7" s="35" t="str">
        <f t="shared" ca="1" si="101"/>
        <v/>
      </c>
      <c r="CTU7" s="35" t="str">
        <f t="shared" ca="1" si="101"/>
        <v/>
      </c>
      <c r="CTV7" s="35" t="str">
        <f t="shared" ca="1" si="101"/>
        <v/>
      </c>
      <c r="CTW7" s="35" t="str">
        <f t="shared" ca="1" si="101"/>
        <v/>
      </c>
      <c r="CTX7" s="35" t="str">
        <f t="shared" ca="1" si="101"/>
        <v/>
      </c>
      <c r="CTY7" s="35" t="str">
        <f t="shared" ca="1" si="101"/>
        <v/>
      </c>
      <c r="CTZ7" s="56" t="str">
        <f>"X"</f>
        <v>X</v>
      </c>
      <c r="CUA7" s="16">
        <f t="shared" ca="1" si="103"/>
        <v>1</v>
      </c>
      <c r="CUB7" s="16" t="str">
        <f t="shared" ca="1" si="104"/>
        <v/>
      </c>
      <c r="CUC7" s="16" t="str">
        <f t="shared" ca="1" si="105"/>
        <v/>
      </c>
      <c r="CUD7" s="16" t="str">
        <f t="shared" ca="1" si="106"/>
        <v/>
      </c>
      <c r="CUE7" s="16" t="str">
        <f t="shared" ca="1" si="107"/>
        <v/>
      </c>
      <c r="CUF7" s="16" t="str">
        <f t="shared" ca="1" si="108"/>
        <v/>
      </c>
      <c r="CUG7" s="16" t="str">
        <f t="shared" ca="1" si="109"/>
        <v/>
      </c>
      <c r="CUH7" s="16" t="str">
        <f t="shared" ca="1" si="110"/>
        <v/>
      </c>
      <c r="CUI7" s="16" t="str">
        <f t="shared" ca="1" si="111"/>
        <v/>
      </c>
      <c r="CUJ7" s="16" t="str">
        <f t="shared" ca="1" si="112"/>
        <v/>
      </c>
      <c r="CUK7" s="16" t="str">
        <f t="shared" ca="1" si="113"/>
        <v/>
      </c>
      <c r="CUL7" s="16" t="str">
        <f t="shared" ca="1" si="114"/>
        <v/>
      </c>
      <c r="CUM7" s="16" t="str">
        <f t="shared" ca="1" si="115"/>
        <v/>
      </c>
      <c r="CUN7" s="16" t="str">
        <f t="shared" ca="1" si="116"/>
        <v/>
      </c>
      <c r="CUO7" s="16" t="str">
        <f t="shared" ca="1" si="117"/>
        <v/>
      </c>
      <c r="CUP7" s="16" t="str">
        <f t="shared" ca="1" si="118"/>
        <v/>
      </c>
      <c r="CUQ7" s="16" t="str">
        <f t="shared" ca="1" si="119"/>
        <v/>
      </c>
      <c r="CUR7" s="16" t="str">
        <f t="shared" ca="1" si="120"/>
        <v/>
      </c>
      <c r="CUS7" s="16" t="str">
        <f t="shared" ca="1" si="121"/>
        <v/>
      </c>
      <c r="CUT7" s="16" t="str">
        <f t="shared" ca="1" si="122"/>
        <v/>
      </c>
      <c r="CUU7" s="16" t="str">
        <f t="shared" ca="1" si="123"/>
        <v/>
      </c>
      <c r="CUV7" s="16" t="str">
        <f t="shared" ca="1" si="124"/>
        <v/>
      </c>
      <c r="CUW7" s="16" t="str">
        <f t="shared" ca="1" si="125"/>
        <v/>
      </c>
      <c r="CUX7" s="16" t="str">
        <f t="shared" ca="1" si="126"/>
        <v/>
      </c>
      <c r="CUY7" s="16" t="str">
        <f t="shared" ca="1" si="127"/>
        <v/>
      </c>
      <c r="CUZ7" s="16" t="str">
        <f t="shared" ca="1" si="128"/>
        <v/>
      </c>
      <c r="CVA7" s="16" t="str">
        <f t="shared" ca="1" si="129"/>
        <v/>
      </c>
      <c r="CVB7" s="16" t="str">
        <f t="shared" ca="1" si="130"/>
        <v/>
      </c>
      <c r="CVC7" s="16" t="str">
        <f t="shared" ca="1" si="131"/>
        <v/>
      </c>
      <c r="CVD7" s="16" t="str">
        <f t="shared" ca="1" si="132"/>
        <v/>
      </c>
      <c r="CVE7" s="16" t="str">
        <f t="shared" ca="1" si="133"/>
        <v/>
      </c>
      <c r="CVF7" s="16" t="str">
        <f t="shared" ca="1" si="134"/>
        <v/>
      </c>
      <c r="CVG7" s="16" t="str">
        <f t="shared" ca="1" si="135"/>
        <v/>
      </c>
      <c r="CVH7" s="16" t="str">
        <f t="shared" ca="1" si="136"/>
        <v/>
      </c>
      <c r="CVI7" s="16" t="str">
        <f t="shared" ca="1" si="137"/>
        <v/>
      </c>
      <c r="CVJ7" s="16" t="str">
        <f t="shared" ca="1" si="138"/>
        <v/>
      </c>
      <c r="CVK7" s="16" t="str">
        <f t="shared" ca="1" si="139"/>
        <v/>
      </c>
      <c r="CVL7" s="16" t="str">
        <f t="shared" ca="1" si="140"/>
        <v/>
      </c>
      <c r="CVM7" s="16" t="str">
        <f t="shared" ca="1" si="141"/>
        <v/>
      </c>
      <c r="CVN7" s="16" t="str">
        <f t="shared" ca="1" si="142"/>
        <v/>
      </c>
      <c r="CVO7" s="58" t="str">
        <f>SUBSTITUTE(SUBSTITUTE(LOWER(A7&amp;B7),"ё","е")," ","")</f>
        <v>петровпетр</v>
      </c>
      <c r="CVP7" s="16" t="str">
        <f>IFERROR(VLOOKUP(CVO7,'Внешние данные'!A:Z,4,FALSE),"")</f>
        <v>Нашлось!</v>
      </c>
    </row>
    <row r="8" spans="1:2616" s="16" customFormat="1" x14ac:dyDescent="0.3">
      <c r="A8" s="2" t="s">
        <v>2737</v>
      </c>
      <c r="B8" s="2" t="s">
        <v>2738</v>
      </c>
      <c r="C8" s="57" t="s">
        <v>2739</v>
      </c>
      <c r="D8" s="35">
        <v>7</v>
      </c>
      <c r="E8" s="58" t="s">
        <v>2740</v>
      </c>
      <c r="G8" s="16" t="s">
        <v>1423</v>
      </c>
      <c r="H8" s="53">
        <f t="shared" ca="1" si="143"/>
        <v>1</v>
      </c>
      <c r="I8" s="35">
        <f t="shared" ca="1" si="144"/>
        <v>0</v>
      </c>
      <c r="J8" s="35">
        <f t="shared" ca="1" si="99"/>
        <v>1</v>
      </c>
      <c r="K8" s="49">
        <f t="shared" ca="1" si="145"/>
        <v>3</v>
      </c>
      <c r="L8" s="16">
        <v>308</v>
      </c>
      <c r="M8" s="12">
        <v>308</v>
      </c>
      <c r="N8" s="12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CF8" s="16">
        <v>1</v>
      </c>
      <c r="CJ8" s="16">
        <v>1</v>
      </c>
      <c r="CK8" s="16">
        <v>1</v>
      </c>
      <c r="CL8" s="16">
        <v>1</v>
      </c>
      <c r="CSK8" s="54" t="str">
        <f>"X"</f>
        <v>X</v>
      </c>
      <c r="CSL8" s="35">
        <f t="shared" ca="1" si="146"/>
        <v>1</v>
      </c>
      <c r="CSM8" s="35" t="str">
        <f t="shared" ca="1" si="101"/>
        <v/>
      </c>
      <c r="CSN8" s="35" t="str">
        <f t="shared" ca="1" si="101"/>
        <v/>
      </c>
      <c r="CSO8" s="35" t="str">
        <f t="shared" ca="1" si="101"/>
        <v/>
      </c>
      <c r="CSP8" s="35" t="str">
        <f t="shared" ca="1" si="101"/>
        <v/>
      </c>
      <c r="CSQ8" s="35" t="str">
        <f t="shared" ca="1" si="101"/>
        <v/>
      </c>
      <c r="CSR8" s="35" t="str">
        <f t="shared" ca="1" si="101"/>
        <v/>
      </c>
      <c r="CSS8" s="35" t="str">
        <f t="shared" ca="1" si="101"/>
        <v/>
      </c>
      <c r="CST8" s="35" t="str">
        <f t="shared" ca="1" si="101"/>
        <v/>
      </c>
      <c r="CSU8" s="35" t="str">
        <f t="shared" ca="1" si="101"/>
        <v/>
      </c>
      <c r="CSV8" s="35" t="str">
        <f t="shared" ca="1" si="101"/>
        <v/>
      </c>
      <c r="CSW8" s="35" t="str">
        <f t="shared" ca="1" si="101"/>
        <v/>
      </c>
      <c r="CSX8" s="35" t="str">
        <f t="shared" ca="1" si="101"/>
        <v/>
      </c>
      <c r="CSY8" s="35" t="str">
        <f t="shared" ca="1" si="101"/>
        <v/>
      </c>
      <c r="CSZ8" s="35" t="str">
        <f t="shared" ca="1" si="101"/>
        <v/>
      </c>
      <c r="CTA8" s="35" t="str">
        <f t="shared" ca="1" si="101"/>
        <v/>
      </c>
      <c r="CTB8" s="35" t="str">
        <f t="shared" ca="1" si="101"/>
        <v/>
      </c>
      <c r="CTC8" s="35" t="str">
        <f t="shared" ca="1" si="101"/>
        <v/>
      </c>
      <c r="CTD8" s="35" t="str">
        <f t="shared" ca="1" si="101"/>
        <v/>
      </c>
      <c r="CTE8" s="35" t="str">
        <f t="shared" ca="1" si="101"/>
        <v/>
      </c>
      <c r="CTF8" s="35" t="str">
        <f t="shared" ca="1" si="101"/>
        <v/>
      </c>
      <c r="CTG8" s="35" t="str">
        <f t="shared" ca="1" si="101"/>
        <v/>
      </c>
      <c r="CTH8" s="35" t="str">
        <f t="shared" ca="1" si="101"/>
        <v/>
      </c>
      <c r="CTI8" s="35" t="str">
        <f t="shared" ca="1" si="101"/>
        <v/>
      </c>
      <c r="CTJ8" s="35" t="str">
        <f t="shared" ca="1" si="101"/>
        <v/>
      </c>
      <c r="CTK8" s="35" t="str">
        <f t="shared" ca="1" si="101"/>
        <v/>
      </c>
      <c r="CTL8" s="35" t="str">
        <f t="shared" ca="1" si="101"/>
        <v/>
      </c>
      <c r="CTM8" s="35" t="str">
        <f t="shared" ca="1" si="101"/>
        <v/>
      </c>
      <c r="CTN8" s="35" t="str">
        <f t="shared" ca="1" si="101"/>
        <v/>
      </c>
      <c r="CTO8" s="35" t="str">
        <f t="shared" ca="1" si="101"/>
        <v/>
      </c>
      <c r="CTP8" s="35" t="str">
        <f t="shared" ca="1" si="101"/>
        <v/>
      </c>
      <c r="CTQ8" s="35" t="str">
        <f t="shared" ca="1" si="101"/>
        <v/>
      </c>
      <c r="CTR8" s="35" t="str">
        <f t="shared" ca="1" si="101"/>
        <v/>
      </c>
      <c r="CTS8" s="35" t="str">
        <f t="shared" ca="1" si="101"/>
        <v/>
      </c>
      <c r="CTT8" s="35" t="str">
        <f t="shared" ca="1" si="101"/>
        <v/>
      </c>
      <c r="CTU8" s="35" t="str">
        <f t="shared" ca="1" si="101"/>
        <v/>
      </c>
      <c r="CTV8" s="35" t="str">
        <f t="shared" ca="1" si="101"/>
        <v/>
      </c>
      <c r="CTW8" s="35" t="str">
        <f t="shared" ca="1" si="101"/>
        <v/>
      </c>
      <c r="CTX8" s="35" t="str">
        <f t="shared" ca="1" si="101"/>
        <v/>
      </c>
      <c r="CTY8" s="35" t="str">
        <f t="shared" ca="1" si="101"/>
        <v/>
      </c>
      <c r="CTZ8" s="56" t="str">
        <f>"X"</f>
        <v>X</v>
      </c>
      <c r="CUA8" s="16">
        <f t="shared" ca="1" si="103"/>
        <v>3</v>
      </c>
      <c r="CUB8" s="16" t="str">
        <f t="shared" ca="1" si="104"/>
        <v/>
      </c>
      <c r="CUC8" s="16" t="str">
        <f t="shared" ca="1" si="105"/>
        <v/>
      </c>
      <c r="CUD8" s="16" t="str">
        <f t="shared" ca="1" si="106"/>
        <v/>
      </c>
      <c r="CUE8" s="16" t="str">
        <f t="shared" ca="1" si="107"/>
        <v/>
      </c>
      <c r="CUF8" s="16" t="str">
        <f t="shared" ca="1" si="108"/>
        <v/>
      </c>
      <c r="CUG8" s="16" t="str">
        <f t="shared" ca="1" si="109"/>
        <v/>
      </c>
      <c r="CUH8" s="16" t="str">
        <f t="shared" ca="1" si="110"/>
        <v/>
      </c>
      <c r="CUI8" s="16" t="str">
        <f t="shared" ca="1" si="111"/>
        <v/>
      </c>
      <c r="CUJ8" s="16" t="str">
        <f t="shared" ca="1" si="112"/>
        <v/>
      </c>
      <c r="CUK8" s="16" t="str">
        <f t="shared" ca="1" si="113"/>
        <v/>
      </c>
      <c r="CUL8" s="16" t="str">
        <f t="shared" ca="1" si="114"/>
        <v/>
      </c>
      <c r="CUM8" s="16" t="str">
        <f t="shared" ca="1" si="115"/>
        <v/>
      </c>
      <c r="CUN8" s="16" t="str">
        <f t="shared" ca="1" si="116"/>
        <v/>
      </c>
      <c r="CUO8" s="16" t="str">
        <f t="shared" ca="1" si="117"/>
        <v/>
      </c>
      <c r="CUP8" s="16" t="str">
        <f t="shared" ca="1" si="118"/>
        <v/>
      </c>
      <c r="CUQ8" s="16" t="str">
        <f t="shared" ca="1" si="119"/>
        <v/>
      </c>
      <c r="CUR8" s="16" t="str">
        <f t="shared" ca="1" si="120"/>
        <v/>
      </c>
      <c r="CUS8" s="16" t="str">
        <f t="shared" ca="1" si="121"/>
        <v/>
      </c>
      <c r="CUT8" s="16" t="str">
        <f t="shared" ca="1" si="122"/>
        <v/>
      </c>
      <c r="CUU8" s="16" t="str">
        <f t="shared" ca="1" si="123"/>
        <v/>
      </c>
      <c r="CUV8" s="16" t="str">
        <f t="shared" ca="1" si="124"/>
        <v/>
      </c>
      <c r="CUW8" s="16" t="str">
        <f t="shared" ca="1" si="125"/>
        <v/>
      </c>
      <c r="CUX8" s="16" t="str">
        <f t="shared" ca="1" si="126"/>
        <v/>
      </c>
      <c r="CUY8" s="16" t="str">
        <f t="shared" ca="1" si="127"/>
        <v/>
      </c>
      <c r="CUZ8" s="16" t="str">
        <f t="shared" ca="1" si="128"/>
        <v/>
      </c>
      <c r="CVA8" s="16" t="str">
        <f t="shared" ca="1" si="129"/>
        <v/>
      </c>
      <c r="CVB8" s="16" t="str">
        <f t="shared" ca="1" si="130"/>
        <v/>
      </c>
      <c r="CVC8" s="16" t="str">
        <f t="shared" ca="1" si="131"/>
        <v/>
      </c>
      <c r="CVD8" s="16" t="str">
        <f t="shared" ca="1" si="132"/>
        <v/>
      </c>
      <c r="CVE8" s="16" t="str">
        <f t="shared" ca="1" si="133"/>
        <v/>
      </c>
      <c r="CVF8" s="16" t="str">
        <f t="shared" ca="1" si="134"/>
        <v/>
      </c>
      <c r="CVG8" s="16" t="str">
        <f t="shared" ca="1" si="135"/>
        <v/>
      </c>
      <c r="CVH8" s="16" t="str">
        <f t="shared" ca="1" si="136"/>
        <v/>
      </c>
      <c r="CVI8" s="16" t="str">
        <f t="shared" ca="1" si="137"/>
        <v/>
      </c>
      <c r="CVJ8" s="16" t="str">
        <f t="shared" ca="1" si="138"/>
        <v/>
      </c>
      <c r="CVK8" s="16" t="str">
        <f t="shared" ca="1" si="139"/>
        <v/>
      </c>
      <c r="CVL8" s="16" t="str">
        <f t="shared" ca="1" si="140"/>
        <v/>
      </c>
      <c r="CVM8" s="16" t="str">
        <f t="shared" ca="1" si="141"/>
        <v/>
      </c>
      <c r="CVN8" s="16" t="str">
        <f t="shared" ca="1" si="142"/>
        <v/>
      </c>
      <c r="CVO8" s="58" t="str">
        <f>SUBSTITUTE(SUBSTITUTE(LOWER(A8&amp;B8),"ё","е")," ","")</f>
        <v>сидоровсидр</v>
      </c>
      <c r="CVP8" s="16" t="str">
        <f>IFERROR(VLOOKUP(CVO8,'Внешние данные'!A:Z,4,FALSE),"")</f>
        <v/>
      </c>
    </row>
    <row r="9" spans="1:2616" s="16" customFormat="1" x14ac:dyDescent="0.3">
      <c r="A9" s="2"/>
      <c r="B9" s="2"/>
      <c r="C9" s="57"/>
      <c r="D9" s="3"/>
      <c r="H9" s="3"/>
      <c r="I9" s="3"/>
      <c r="K9" s="59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CSK9" s="24"/>
      <c r="CSQ9" s="22"/>
      <c r="CSR9" s="3"/>
      <c r="CSS9" s="3"/>
      <c r="CST9" s="3"/>
      <c r="CSU9" s="3"/>
      <c r="CSV9" s="3"/>
      <c r="CSW9" s="3"/>
      <c r="CSX9" s="3"/>
      <c r="CSY9" s="3"/>
      <c r="CSZ9" s="3"/>
      <c r="CTA9" s="3"/>
      <c r="CTB9" s="3"/>
      <c r="CTC9" s="3"/>
      <c r="CTD9" s="3"/>
      <c r="CTE9" s="3"/>
      <c r="CTF9" s="3"/>
      <c r="CTG9" s="3"/>
      <c r="CTH9" s="3"/>
      <c r="CTI9" s="3"/>
      <c r="CTJ9" s="3"/>
      <c r="CTK9" s="3"/>
      <c r="CTL9" s="3"/>
      <c r="CTM9" s="3"/>
      <c r="CTN9" s="3"/>
      <c r="CTO9" s="3"/>
      <c r="CTP9" s="3"/>
      <c r="CTQ9" s="3"/>
      <c r="CTR9" s="3"/>
      <c r="CTS9" s="3"/>
      <c r="CTT9" s="3"/>
      <c r="CTU9" s="3"/>
      <c r="CTV9" s="3"/>
      <c r="CTW9" s="3"/>
      <c r="CTX9" s="3"/>
      <c r="CTY9" s="3"/>
      <c r="CTZ9" s="37"/>
      <c r="CUA9" s="3"/>
      <c r="CUB9" s="3"/>
      <c r="CUC9" s="3"/>
      <c r="CUD9" s="3"/>
      <c r="CUE9" s="3"/>
      <c r="CUF9" s="3"/>
    </row>
    <row r="10" spans="1:2616" s="16" customFormat="1" x14ac:dyDescent="0.3">
      <c r="A10" s="2"/>
      <c r="B10" s="2"/>
      <c r="C10" s="57"/>
      <c r="D10" s="3"/>
      <c r="H10" s="3"/>
      <c r="I10" s="3"/>
      <c r="K10" s="59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CSK10" s="24"/>
      <c r="CSQ10" s="22"/>
      <c r="CSR10" s="3"/>
      <c r="CSS10" s="3"/>
      <c r="CST10" s="3"/>
      <c r="CSU10" s="3"/>
      <c r="CSV10" s="3"/>
      <c r="CSW10" s="3"/>
      <c r="CSX10" s="3"/>
      <c r="CSY10" s="3"/>
      <c r="CSZ10" s="3"/>
      <c r="CTA10" s="3"/>
      <c r="CTB10" s="3"/>
      <c r="CTC10" s="3"/>
      <c r="CTD10" s="3"/>
      <c r="CTE10" s="3"/>
      <c r="CTF10" s="3"/>
      <c r="CTG10" s="3"/>
      <c r="CTH10" s="3"/>
      <c r="CTI10" s="3"/>
      <c r="CTJ10" s="3"/>
      <c r="CTK10" s="3"/>
      <c r="CTL10" s="3"/>
      <c r="CTM10" s="3"/>
      <c r="CTN10" s="3"/>
      <c r="CTO10" s="3"/>
      <c r="CTP10" s="3"/>
      <c r="CTQ10" s="3"/>
      <c r="CTR10" s="3"/>
      <c r="CTS10" s="3"/>
      <c r="CTT10" s="3"/>
      <c r="CTU10" s="3"/>
      <c r="CTV10" s="3"/>
      <c r="CTW10" s="3"/>
      <c r="CTX10" s="3"/>
      <c r="CTY10" s="3"/>
      <c r="CTZ10" s="37"/>
      <c r="CUA10" s="3"/>
      <c r="CUB10" s="3"/>
      <c r="CUC10" s="3"/>
      <c r="CUD10" s="3"/>
      <c r="CUE10" s="3"/>
      <c r="CUF10" s="3"/>
    </row>
    <row r="11" spans="1:2616" s="16" customFormat="1" x14ac:dyDescent="0.3">
      <c r="A11" s="2"/>
      <c r="B11" s="2"/>
      <c r="C11" s="57"/>
      <c r="D11" s="3"/>
      <c r="H11" s="3"/>
      <c r="I11" s="3"/>
      <c r="K11" s="59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CSK11" s="24"/>
      <c r="CSQ11" s="22"/>
      <c r="CSR11" s="3"/>
      <c r="CSS11" s="3"/>
      <c r="CST11" s="3"/>
      <c r="CSU11" s="3"/>
      <c r="CSV11" s="3"/>
      <c r="CSW11" s="3"/>
      <c r="CSX11" s="3"/>
      <c r="CSY11" s="3"/>
      <c r="CSZ11" s="3"/>
      <c r="CTA11" s="3"/>
      <c r="CTB11" s="3"/>
      <c r="CTC11" s="3"/>
      <c r="CTD11" s="3"/>
      <c r="CTE11" s="3"/>
      <c r="CTF11" s="3"/>
      <c r="CTG11" s="3"/>
      <c r="CTH11" s="3"/>
      <c r="CTI11" s="3"/>
      <c r="CTJ11" s="3"/>
      <c r="CTK11" s="3"/>
      <c r="CTL11" s="3"/>
      <c r="CTM11" s="3"/>
      <c r="CTN11" s="3"/>
      <c r="CTO11" s="3"/>
      <c r="CTP11" s="3"/>
      <c r="CTQ11" s="3"/>
      <c r="CTR11" s="3"/>
      <c r="CTS11" s="3"/>
      <c r="CTT11" s="3"/>
      <c r="CTU11" s="3"/>
      <c r="CTV11" s="3"/>
      <c r="CTW11" s="3"/>
      <c r="CTX11" s="3"/>
      <c r="CTY11" s="3"/>
      <c r="CTZ11" s="37"/>
      <c r="CUA11" s="3"/>
      <c r="CUB11" s="3"/>
      <c r="CUC11" s="3"/>
      <c r="CUD11" s="3"/>
      <c r="CUE11" s="3"/>
      <c r="CUF11" s="3"/>
    </row>
    <row r="12" spans="1:2616" s="16" customFormat="1" x14ac:dyDescent="0.3">
      <c r="A12" s="2"/>
      <c r="B12" s="2"/>
      <c r="C12" s="57"/>
      <c r="D12" s="3"/>
      <c r="H12" s="3"/>
      <c r="I12" s="3"/>
      <c r="K12" s="59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CSK12" s="24"/>
      <c r="CSQ12" s="22"/>
      <c r="CSR12" s="3"/>
      <c r="CSS12" s="3"/>
      <c r="CST12" s="3"/>
      <c r="CSU12" s="3"/>
      <c r="CSV12" s="3"/>
      <c r="CSW12" s="3"/>
      <c r="CSX12" s="3"/>
      <c r="CSY12" s="3"/>
      <c r="CSZ12" s="3"/>
      <c r="CTA12" s="3"/>
      <c r="CTB12" s="3"/>
      <c r="CTC12" s="3"/>
      <c r="CTD12" s="3"/>
      <c r="CTE12" s="3"/>
      <c r="CTF12" s="3"/>
      <c r="CTG12" s="3"/>
      <c r="CTH12" s="3"/>
      <c r="CTI12" s="3"/>
      <c r="CTJ12" s="3"/>
      <c r="CTK12" s="3"/>
      <c r="CTL12" s="3"/>
      <c r="CTM12" s="3"/>
      <c r="CTN12" s="3"/>
      <c r="CTO12" s="3"/>
      <c r="CTP12" s="3"/>
      <c r="CTQ12" s="3"/>
      <c r="CTR12" s="3"/>
      <c r="CTS12" s="3"/>
      <c r="CTT12" s="3"/>
      <c r="CTU12" s="3"/>
      <c r="CTV12" s="3"/>
      <c r="CTW12" s="3"/>
      <c r="CTX12" s="3"/>
      <c r="CTY12" s="3"/>
      <c r="CTZ12" s="37"/>
      <c r="CUA12" s="3"/>
      <c r="CUB12" s="3"/>
      <c r="CUC12" s="3"/>
      <c r="CUD12" s="3"/>
      <c r="CUE12" s="3"/>
      <c r="CUF12" s="3"/>
    </row>
    <row r="13" spans="1:2616" s="16" customFormat="1" x14ac:dyDescent="0.3">
      <c r="A13" s="2"/>
      <c r="B13" s="2"/>
      <c r="C13" s="57"/>
      <c r="D13" s="3"/>
      <c r="H13" s="3"/>
      <c r="I13" s="3"/>
      <c r="K13" s="59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CSK13" s="24"/>
      <c r="CSQ13" s="22"/>
      <c r="CSR13" s="3"/>
      <c r="CSS13" s="3"/>
      <c r="CST13" s="3"/>
      <c r="CSU13" s="3"/>
      <c r="CSV13" s="3"/>
      <c r="CSW13" s="3"/>
      <c r="CSX13" s="3"/>
      <c r="CSY13" s="3"/>
      <c r="CSZ13" s="3"/>
      <c r="CTA13" s="3"/>
      <c r="CTB13" s="3"/>
      <c r="CTC13" s="3"/>
      <c r="CTD13" s="3"/>
      <c r="CTE13" s="3"/>
      <c r="CTF13" s="3"/>
      <c r="CTG13" s="3"/>
      <c r="CTH13" s="3"/>
      <c r="CTI13" s="3"/>
      <c r="CTJ13" s="3"/>
      <c r="CTK13" s="3"/>
      <c r="CTL13" s="3"/>
      <c r="CTM13" s="3"/>
      <c r="CTN13" s="3"/>
      <c r="CTO13" s="3"/>
      <c r="CTP13" s="3"/>
      <c r="CTQ13" s="3"/>
      <c r="CTR13" s="3"/>
      <c r="CTS13" s="3"/>
      <c r="CTT13" s="3"/>
      <c r="CTU13" s="3"/>
      <c r="CTV13" s="3"/>
      <c r="CTW13" s="3"/>
      <c r="CTX13" s="3"/>
      <c r="CTY13" s="3"/>
      <c r="CTZ13" s="37"/>
      <c r="CUA13" s="3"/>
      <c r="CUB13" s="3"/>
      <c r="CUC13" s="3"/>
      <c r="CUD13" s="3"/>
      <c r="CUE13" s="3"/>
      <c r="CUF13" s="3"/>
    </row>
    <row r="14" spans="1:2616" s="16" customFormat="1" x14ac:dyDescent="0.3">
      <c r="A14" s="2"/>
      <c r="B14" s="2"/>
      <c r="C14" s="57"/>
      <c r="D14" s="3"/>
      <c r="H14" s="3"/>
      <c r="I14" s="3"/>
      <c r="K14" s="59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CSK14" s="24"/>
      <c r="CSQ14" s="22"/>
      <c r="CSR14" s="3"/>
      <c r="CSS14" s="3"/>
      <c r="CST14" s="3"/>
      <c r="CSU14" s="3"/>
      <c r="CSV14" s="3"/>
      <c r="CSW14" s="3"/>
      <c r="CSX14" s="3"/>
      <c r="CSY14" s="3"/>
      <c r="CSZ14" s="3"/>
      <c r="CTA14" s="3"/>
      <c r="CTB14" s="3"/>
      <c r="CTC14" s="3"/>
      <c r="CTD14" s="3"/>
      <c r="CTE14" s="3"/>
      <c r="CTF14" s="3"/>
      <c r="CTG14" s="3"/>
      <c r="CTH14" s="3"/>
      <c r="CTI14" s="3"/>
      <c r="CTJ14" s="3"/>
      <c r="CTK14" s="3"/>
      <c r="CTL14" s="3"/>
      <c r="CTM14" s="3"/>
      <c r="CTN14" s="3"/>
      <c r="CTO14" s="3"/>
      <c r="CTP14" s="3"/>
      <c r="CTQ14" s="3"/>
      <c r="CTR14" s="3"/>
      <c r="CTS14" s="3"/>
      <c r="CTT14" s="3"/>
      <c r="CTU14" s="3"/>
      <c r="CTV14" s="3"/>
      <c r="CTW14" s="3"/>
      <c r="CTX14" s="3"/>
      <c r="CTY14" s="3"/>
      <c r="CTZ14" s="37"/>
      <c r="CUA14" s="3"/>
      <c r="CUB14" s="3"/>
      <c r="CUC14" s="3"/>
      <c r="CUD14" s="3"/>
      <c r="CUE14" s="3"/>
      <c r="CUF14" s="3"/>
    </row>
    <row r="15" spans="1:2616" s="16" customFormat="1" x14ac:dyDescent="0.3">
      <c r="A15" s="2"/>
      <c r="B15" s="2"/>
      <c r="C15" s="57"/>
      <c r="D15" s="3"/>
      <c r="H15" s="3"/>
      <c r="I15" s="3"/>
      <c r="K15" s="59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CSK15" s="24"/>
      <c r="CSQ15" s="22"/>
      <c r="CSR15" s="3"/>
      <c r="CSS15" s="3"/>
      <c r="CST15" s="3"/>
      <c r="CSU15" s="3"/>
      <c r="CSV15" s="3"/>
      <c r="CSW15" s="3"/>
      <c r="CSX15" s="3"/>
      <c r="CSY15" s="3"/>
      <c r="CSZ15" s="3"/>
      <c r="CTA15" s="3"/>
      <c r="CTB15" s="3"/>
      <c r="CTC15" s="3"/>
      <c r="CTD15" s="3"/>
      <c r="CTE15" s="3"/>
      <c r="CTF15" s="3"/>
      <c r="CTG15" s="3"/>
      <c r="CTH15" s="3"/>
      <c r="CTI15" s="3"/>
      <c r="CTJ15" s="3"/>
      <c r="CTK15" s="3"/>
      <c r="CTL15" s="3"/>
      <c r="CTM15" s="3"/>
      <c r="CTN15" s="3"/>
      <c r="CTO15" s="3"/>
      <c r="CTP15" s="3"/>
      <c r="CTQ15" s="3"/>
      <c r="CTR15" s="3"/>
      <c r="CTS15" s="3"/>
      <c r="CTT15" s="3"/>
      <c r="CTU15" s="3"/>
      <c r="CTV15" s="3"/>
      <c r="CTW15" s="3"/>
      <c r="CTX15" s="3"/>
      <c r="CTY15" s="3"/>
      <c r="CTZ15" s="37"/>
      <c r="CUA15" s="3"/>
      <c r="CUB15" s="3"/>
      <c r="CUC15" s="3"/>
      <c r="CUD15" s="3"/>
      <c r="CUE15" s="3"/>
      <c r="CUF15" s="3"/>
    </row>
    <row r="16" spans="1:2616" s="16" customFormat="1" x14ac:dyDescent="0.3">
      <c r="A16" s="2"/>
      <c r="B16" s="2"/>
      <c r="C16" s="57"/>
      <c r="D16" s="3"/>
      <c r="H16" s="3"/>
      <c r="I16" s="3"/>
      <c r="K16" s="59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CSK16" s="24"/>
      <c r="CSQ16" s="22"/>
      <c r="CSR16" s="3"/>
      <c r="CSS16" s="3"/>
      <c r="CST16" s="3"/>
      <c r="CSU16" s="3"/>
      <c r="CSV16" s="3"/>
      <c r="CSW16" s="3"/>
      <c r="CSX16" s="3"/>
      <c r="CSY16" s="3"/>
      <c r="CSZ16" s="3"/>
      <c r="CTA16" s="3"/>
      <c r="CTB16" s="3"/>
      <c r="CTC16" s="3"/>
      <c r="CTD16" s="3"/>
      <c r="CTE16" s="3"/>
      <c r="CTF16" s="3"/>
      <c r="CTG16" s="3"/>
      <c r="CTH16" s="3"/>
      <c r="CTI16" s="3"/>
      <c r="CTJ16" s="3"/>
      <c r="CTK16" s="3"/>
      <c r="CTL16" s="3"/>
      <c r="CTM16" s="3"/>
      <c r="CTN16" s="3"/>
      <c r="CTO16" s="3"/>
      <c r="CTP16" s="3"/>
      <c r="CTQ16" s="3"/>
      <c r="CTR16" s="3"/>
      <c r="CTS16" s="3"/>
      <c r="CTT16" s="3"/>
      <c r="CTU16" s="3"/>
      <c r="CTV16" s="3"/>
      <c r="CTW16" s="3"/>
      <c r="CTX16" s="3"/>
      <c r="CTY16" s="3"/>
      <c r="CTZ16" s="37"/>
      <c r="CUA16" s="3"/>
      <c r="CUB16" s="3"/>
      <c r="CUC16" s="3"/>
      <c r="CUD16" s="3"/>
      <c r="CUE16" s="3"/>
      <c r="CUF16" s="3"/>
    </row>
    <row r="17" spans="1:52 2533:2580" s="16" customFormat="1" x14ac:dyDescent="0.3">
      <c r="A17" s="2"/>
      <c r="B17" s="2"/>
      <c r="C17" s="57"/>
      <c r="D17" s="3"/>
      <c r="H17" s="3"/>
      <c r="I17" s="3"/>
      <c r="K17" s="59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CSK17" s="24"/>
      <c r="CSQ17" s="22"/>
      <c r="CSR17" s="3"/>
      <c r="CSS17" s="3"/>
      <c r="CST17" s="3"/>
      <c r="CSU17" s="3"/>
      <c r="CSV17" s="3"/>
      <c r="CSW17" s="3"/>
      <c r="CSX17" s="3"/>
      <c r="CSY17" s="3"/>
      <c r="CSZ17" s="3"/>
      <c r="CTA17" s="3"/>
      <c r="CTB17" s="3"/>
      <c r="CTC17" s="3"/>
      <c r="CTD17" s="3"/>
      <c r="CTE17" s="3"/>
      <c r="CTF17" s="3"/>
      <c r="CTG17" s="3"/>
      <c r="CTH17" s="3"/>
      <c r="CTI17" s="3"/>
      <c r="CTJ17" s="3"/>
      <c r="CTK17" s="3"/>
      <c r="CTL17" s="3"/>
      <c r="CTM17" s="3"/>
      <c r="CTN17" s="3"/>
      <c r="CTO17" s="3"/>
      <c r="CTP17" s="3"/>
      <c r="CTQ17" s="3"/>
      <c r="CTR17" s="3"/>
      <c r="CTS17" s="3"/>
      <c r="CTT17" s="3"/>
      <c r="CTU17" s="3"/>
      <c r="CTV17" s="3"/>
      <c r="CTW17" s="3"/>
      <c r="CTX17" s="3"/>
      <c r="CTY17" s="3"/>
      <c r="CTZ17" s="37"/>
      <c r="CUA17" s="3"/>
      <c r="CUB17" s="3"/>
      <c r="CUC17" s="3"/>
      <c r="CUD17" s="3"/>
      <c r="CUE17" s="3"/>
      <c r="CUF17" s="3"/>
    </row>
    <row r="18" spans="1:52 2533:2580" s="16" customFormat="1" x14ac:dyDescent="0.3">
      <c r="A18" s="2"/>
      <c r="B18" s="2"/>
      <c r="C18" s="57"/>
      <c r="D18" s="3"/>
      <c r="H18" s="3"/>
      <c r="I18" s="3"/>
      <c r="K18" s="59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CSK18" s="24"/>
      <c r="CSQ18" s="22"/>
      <c r="CSR18" s="3"/>
      <c r="CSS18" s="3"/>
      <c r="CST18" s="3"/>
      <c r="CSU18" s="3"/>
      <c r="CSV18" s="3"/>
      <c r="CSW18" s="3"/>
      <c r="CSX18" s="3"/>
      <c r="CSY18" s="3"/>
      <c r="CSZ18" s="3"/>
      <c r="CTA18" s="3"/>
      <c r="CTB18" s="3"/>
      <c r="CTC18" s="3"/>
      <c r="CTD18" s="3"/>
      <c r="CTE18" s="3"/>
      <c r="CTF18" s="3"/>
      <c r="CTG18" s="3"/>
      <c r="CTH18" s="3"/>
      <c r="CTI18" s="3"/>
      <c r="CTJ18" s="3"/>
      <c r="CTK18" s="3"/>
      <c r="CTL18" s="3"/>
      <c r="CTM18" s="3"/>
      <c r="CTN18" s="3"/>
      <c r="CTO18" s="3"/>
      <c r="CTP18" s="3"/>
      <c r="CTQ18" s="3"/>
      <c r="CTR18" s="3"/>
      <c r="CTS18" s="3"/>
      <c r="CTT18" s="3"/>
      <c r="CTU18" s="3"/>
      <c r="CTV18" s="3"/>
      <c r="CTW18" s="3"/>
      <c r="CTX18" s="3"/>
      <c r="CTY18" s="3"/>
      <c r="CTZ18" s="37"/>
      <c r="CUA18" s="3"/>
      <c r="CUB18" s="3"/>
      <c r="CUC18" s="3"/>
      <c r="CUD18" s="3"/>
      <c r="CUE18" s="3"/>
      <c r="CUF18" s="3"/>
    </row>
    <row r="19" spans="1:52 2533:2580" s="16" customFormat="1" x14ac:dyDescent="0.3">
      <c r="A19" s="2"/>
      <c r="B19" s="2"/>
      <c r="C19" s="57"/>
      <c r="D19" s="3"/>
      <c r="H19" s="3"/>
      <c r="I19" s="3"/>
      <c r="K19" s="59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CSK19" s="24"/>
      <c r="CSQ19" s="22"/>
      <c r="CSR19" s="3"/>
      <c r="CSS19" s="3"/>
      <c r="CST19" s="3"/>
      <c r="CSU19" s="3"/>
      <c r="CSV19" s="3"/>
      <c r="CSW19" s="3"/>
      <c r="CSX19" s="3"/>
      <c r="CSY19" s="3"/>
      <c r="CSZ19" s="3"/>
      <c r="CTA19" s="3"/>
      <c r="CTB19" s="3"/>
      <c r="CTC19" s="3"/>
      <c r="CTD19" s="3"/>
      <c r="CTE19" s="3"/>
      <c r="CTF19" s="3"/>
      <c r="CTG19" s="3"/>
      <c r="CTH19" s="3"/>
      <c r="CTI19" s="3"/>
      <c r="CTJ19" s="3"/>
      <c r="CTK19" s="3"/>
      <c r="CTL19" s="3"/>
      <c r="CTM19" s="3"/>
      <c r="CTN19" s="3"/>
      <c r="CTO19" s="3"/>
      <c r="CTP19" s="3"/>
      <c r="CTQ19" s="3"/>
      <c r="CTR19" s="3"/>
      <c r="CTS19" s="3"/>
      <c r="CTT19" s="3"/>
      <c r="CTU19" s="3"/>
      <c r="CTV19" s="3"/>
      <c r="CTW19" s="3"/>
      <c r="CTX19" s="3"/>
      <c r="CTY19" s="3"/>
      <c r="CTZ19" s="37"/>
      <c r="CUA19" s="3"/>
      <c r="CUB19" s="3"/>
      <c r="CUC19" s="3"/>
      <c r="CUD19" s="3"/>
      <c r="CUE19" s="3"/>
      <c r="CUF19" s="3"/>
    </row>
    <row r="20" spans="1:52 2533:2580" s="16" customFormat="1" x14ac:dyDescent="0.3">
      <c r="A20" s="2"/>
      <c r="B20" s="2"/>
      <c r="C20" s="57"/>
      <c r="D20" s="3"/>
      <c r="H20" s="3"/>
      <c r="I20" s="3"/>
      <c r="K20" s="59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CSK20" s="24"/>
      <c r="CSQ20" s="22"/>
      <c r="CSR20" s="3"/>
      <c r="CSS20" s="3"/>
      <c r="CST20" s="3"/>
      <c r="CSU20" s="3"/>
      <c r="CSV20" s="3"/>
      <c r="CSW20" s="3"/>
      <c r="CSX20" s="3"/>
      <c r="CSY20" s="3"/>
      <c r="CSZ20" s="3"/>
      <c r="CTA20" s="3"/>
      <c r="CTB20" s="3"/>
      <c r="CTC20" s="3"/>
      <c r="CTD20" s="3"/>
      <c r="CTE20" s="3"/>
      <c r="CTF20" s="3"/>
      <c r="CTG20" s="3"/>
      <c r="CTH20" s="3"/>
      <c r="CTI20" s="3"/>
      <c r="CTJ20" s="3"/>
      <c r="CTK20" s="3"/>
      <c r="CTL20" s="3"/>
      <c r="CTM20" s="3"/>
      <c r="CTN20" s="3"/>
      <c r="CTO20" s="3"/>
      <c r="CTP20" s="3"/>
      <c r="CTQ20" s="3"/>
      <c r="CTR20" s="3"/>
      <c r="CTS20" s="3"/>
      <c r="CTT20" s="3"/>
      <c r="CTU20" s="3"/>
      <c r="CTV20" s="3"/>
      <c r="CTW20" s="3"/>
      <c r="CTX20" s="3"/>
      <c r="CTY20" s="3"/>
      <c r="CTZ20" s="37"/>
      <c r="CUA20" s="3"/>
      <c r="CUB20" s="3"/>
      <c r="CUC20" s="3"/>
      <c r="CUD20" s="3"/>
      <c r="CUE20" s="3"/>
      <c r="CUF20" s="3"/>
    </row>
    <row r="21" spans="1:52 2533:2580" s="16" customFormat="1" x14ac:dyDescent="0.3">
      <c r="A21" s="2"/>
      <c r="B21" s="2"/>
      <c r="C21" s="57"/>
      <c r="D21" s="3"/>
      <c r="H21" s="3"/>
      <c r="I21" s="3"/>
      <c r="K21" s="59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CSK21" s="24"/>
      <c r="CSQ21" s="22"/>
      <c r="CSR21" s="3"/>
      <c r="CSS21" s="3"/>
      <c r="CST21" s="3"/>
      <c r="CSU21" s="3"/>
      <c r="CSV21" s="3"/>
      <c r="CSW21" s="3"/>
      <c r="CSX21" s="3"/>
      <c r="CSY21" s="3"/>
      <c r="CSZ21" s="3"/>
      <c r="CTA21" s="3"/>
      <c r="CTB21" s="3"/>
      <c r="CTC21" s="3"/>
      <c r="CTD21" s="3"/>
      <c r="CTE21" s="3"/>
      <c r="CTF21" s="3"/>
      <c r="CTG21" s="3"/>
      <c r="CTH21" s="3"/>
      <c r="CTI21" s="3"/>
      <c r="CTJ21" s="3"/>
      <c r="CTK21" s="3"/>
      <c r="CTL21" s="3"/>
      <c r="CTM21" s="3"/>
      <c r="CTN21" s="3"/>
      <c r="CTO21" s="3"/>
      <c r="CTP21" s="3"/>
      <c r="CTQ21" s="3"/>
      <c r="CTR21" s="3"/>
      <c r="CTS21" s="3"/>
      <c r="CTT21" s="3"/>
      <c r="CTU21" s="3"/>
      <c r="CTV21" s="3"/>
      <c r="CTW21" s="3"/>
      <c r="CTX21" s="3"/>
      <c r="CTY21" s="3"/>
      <c r="CTZ21" s="37"/>
      <c r="CUA21" s="3"/>
      <c r="CUB21" s="3"/>
      <c r="CUC21" s="3"/>
      <c r="CUD21" s="3"/>
      <c r="CUE21" s="3"/>
      <c r="CUF21" s="3"/>
    </row>
    <row r="22" spans="1:52 2533:2580" s="16" customFormat="1" x14ac:dyDescent="0.3">
      <c r="A22" s="2"/>
      <c r="B22" s="2"/>
      <c r="C22" s="57"/>
      <c r="D22" s="3"/>
      <c r="H22" s="3"/>
      <c r="I22" s="3"/>
      <c r="K22" s="59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CSK22" s="24"/>
      <c r="CSQ22" s="22"/>
      <c r="CSR22" s="3"/>
      <c r="CSS22" s="3"/>
      <c r="CST22" s="3"/>
      <c r="CSU22" s="3"/>
      <c r="CSV22" s="3"/>
      <c r="CSW22" s="3"/>
      <c r="CSX22" s="3"/>
      <c r="CSY22" s="3"/>
      <c r="CSZ22" s="3"/>
      <c r="CTA22" s="3"/>
      <c r="CTB22" s="3"/>
      <c r="CTC22" s="3"/>
      <c r="CTD22" s="3"/>
      <c r="CTE22" s="3"/>
      <c r="CTF22" s="3"/>
      <c r="CTG22" s="3"/>
      <c r="CTH22" s="3"/>
      <c r="CTI22" s="3"/>
      <c r="CTJ22" s="3"/>
      <c r="CTK22" s="3"/>
      <c r="CTL22" s="3"/>
      <c r="CTM22" s="3"/>
      <c r="CTN22" s="3"/>
      <c r="CTO22" s="3"/>
      <c r="CTP22" s="3"/>
      <c r="CTQ22" s="3"/>
      <c r="CTR22" s="3"/>
      <c r="CTS22" s="3"/>
      <c r="CTT22" s="3"/>
      <c r="CTU22" s="3"/>
      <c r="CTV22" s="3"/>
      <c r="CTW22" s="3"/>
      <c r="CTX22" s="3"/>
      <c r="CTY22" s="3"/>
      <c r="CTZ22" s="37"/>
      <c r="CUA22" s="3"/>
      <c r="CUB22" s="3"/>
      <c r="CUC22" s="3"/>
      <c r="CUD22" s="3"/>
      <c r="CUE22" s="3"/>
      <c r="CUF22" s="3"/>
    </row>
    <row r="23" spans="1:52 2533:2580" s="16" customFormat="1" x14ac:dyDescent="0.3">
      <c r="A23" s="2"/>
      <c r="B23" s="2"/>
      <c r="C23" s="57"/>
      <c r="D23" s="3"/>
      <c r="H23" s="3"/>
      <c r="I23" s="3"/>
      <c r="K23" s="59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CSK23" s="24"/>
      <c r="CSQ23" s="22"/>
      <c r="CSR23" s="3"/>
      <c r="CSS23" s="3"/>
      <c r="CST23" s="3"/>
      <c r="CSU23" s="3"/>
      <c r="CSV23" s="3"/>
      <c r="CSW23" s="3"/>
      <c r="CSX23" s="3"/>
      <c r="CSY23" s="3"/>
      <c r="CSZ23" s="3"/>
      <c r="CTA23" s="3"/>
      <c r="CTB23" s="3"/>
      <c r="CTC23" s="3"/>
      <c r="CTD23" s="3"/>
      <c r="CTE23" s="3"/>
      <c r="CTF23" s="3"/>
      <c r="CTG23" s="3"/>
      <c r="CTH23" s="3"/>
      <c r="CTI23" s="3"/>
      <c r="CTJ23" s="3"/>
      <c r="CTK23" s="3"/>
      <c r="CTL23" s="3"/>
      <c r="CTM23" s="3"/>
      <c r="CTN23" s="3"/>
      <c r="CTO23" s="3"/>
      <c r="CTP23" s="3"/>
      <c r="CTQ23" s="3"/>
      <c r="CTR23" s="3"/>
      <c r="CTS23" s="3"/>
      <c r="CTT23" s="3"/>
      <c r="CTU23" s="3"/>
      <c r="CTV23" s="3"/>
      <c r="CTW23" s="3"/>
      <c r="CTX23" s="3"/>
      <c r="CTY23" s="3"/>
      <c r="CTZ23" s="37"/>
      <c r="CUA23" s="3"/>
      <c r="CUB23" s="3"/>
      <c r="CUC23" s="3"/>
      <c r="CUD23" s="3"/>
      <c r="CUE23" s="3"/>
      <c r="CUF23" s="3"/>
    </row>
    <row r="24" spans="1:52 2533:2580" s="16" customFormat="1" x14ac:dyDescent="0.3">
      <c r="A24" s="2"/>
      <c r="B24" s="2"/>
      <c r="C24" s="57"/>
      <c r="D24" s="3"/>
      <c r="H24" s="3"/>
      <c r="I24" s="3"/>
      <c r="K24" s="59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CSK24" s="24"/>
      <c r="CSQ24" s="22"/>
      <c r="CSR24" s="3"/>
      <c r="CSS24" s="3"/>
      <c r="CST24" s="3"/>
      <c r="CSU24" s="3"/>
      <c r="CSV24" s="3"/>
      <c r="CSW24" s="3"/>
      <c r="CSX24" s="3"/>
      <c r="CSY24" s="3"/>
      <c r="CSZ24" s="3"/>
      <c r="CTA24" s="3"/>
      <c r="CTB24" s="3"/>
      <c r="CTC24" s="3"/>
      <c r="CTD24" s="3"/>
      <c r="CTE24" s="3"/>
      <c r="CTF24" s="3"/>
      <c r="CTG24" s="3"/>
      <c r="CTH24" s="3"/>
      <c r="CTI24" s="3"/>
      <c r="CTJ24" s="3"/>
      <c r="CTK24" s="3"/>
      <c r="CTL24" s="3"/>
      <c r="CTM24" s="3"/>
      <c r="CTN24" s="3"/>
      <c r="CTO24" s="3"/>
      <c r="CTP24" s="3"/>
      <c r="CTQ24" s="3"/>
      <c r="CTR24" s="3"/>
      <c r="CTS24" s="3"/>
      <c r="CTT24" s="3"/>
      <c r="CTU24" s="3"/>
      <c r="CTV24" s="3"/>
      <c r="CTW24" s="3"/>
      <c r="CTX24" s="3"/>
      <c r="CTY24" s="3"/>
      <c r="CTZ24" s="37"/>
      <c r="CUA24" s="3"/>
      <c r="CUB24" s="3"/>
      <c r="CUC24" s="3"/>
      <c r="CUD24" s="3"/>
      <c r="CUE24" s="3"/>
      <c r="CUF24" s="3"/>
    </row>
    <row r="25" spans="1:52 2533:2580" s="16" customFormat="1" x14ac:dyDescent="0.3">
      <c r="A25" s="2"/>
      <c r="B25" s="2"/>
      <c r="C25" s="57"/>
      <c r="D25" s="3"/>
      <c r="H25" s="3"/>
      <c r="I25" s="3"/>
      <c r="K25" s="59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CSK25" s="24"/>
      <c r="CSQ25" s="22"/>
      <c r="CSR25" s="3"/>
      <c r="CSS25" s="3"/>
      <c r="CST25" s="3"/>
      <c r="CSU25" s="3"/>
      <c r="CSV25" s="3"/>
      <c r="CSW25" s="3"/>
      <c r="CSX25" s="3"/>
      <c r="CSY25" s="3"/>
      <c r="CSZ25" s="3"/>
      <c r="CTA25" s="3"/>
      <c r="CTB25" s="3"/>
      <c r="CTC25" s="3"/>
      <c r="CTD25" s="3"/>
      <c r="CTE25" s="3"/>
      <c r="CTF25" s="3"/>
      <c r="CTG25" s="3"/>
      <c r="CTH25" s="3"/>
      <c r="CTI25" s="3"/>
      <c r="CTJ25" s="3"/>
      <c r="CTK25" s="3"/>
      <c r="CTL25" s="3"/>
      <c r="CTM25" s="3"/>
      <c r="CTN25" s="3"/>
      <c r="CTO25" s="3"/>
      <c r="CTP25" s="3"/>
      <c r="CTQ25" s="3"/>
      <c r="CTR25" s="3"/>
      <c r="CTS25" s="3"/>
      <c r="CTT25" s="3"/>
      <c r="CTU25" s="3"/>
      <c r="CTV25" s="3"/>
      <c r="CTW25" s="3"/>
      <c r="CTX25" s="3"/>
      <c r="CTY25" s="3"/>
      <c r="CTZ25" s="37"/>
      <c r="CUA25" s="3"/>
      <c r="CUB25" s="3"/>
      <c r="CUC25" s="3"/>
      <c r="CUD25" s="3"/>
      <c r="CUE25" s="3"/>
      <c r="CUF25" s="3"/>
    </row>
    <row r="26" spans="1:52 2533:2580" s="16" customFormat="1" x14ac:dyDescent="0.3">
      <c r="A26" s="2"/>
      <c r="B26" s="2"/>
      <c r="C26" s="57"/>
      <c r="D26" s="3"/>
      <c r="H26" s="3"/>
      <c r="I26" s="3"/>
      <c r="K26" s="59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CSK26" s="24"/>
      <c r="CSQ26" s="22"/>
      <c r="CSR26" s="3"/>
      <c r="CSS26" s="3"/>
      <c r="CST26" s="3"/>
      <c r="CSU26" s="3"/>
      <c r="CSV26" s="3"/>
      <c r="CSW26" s="3"/>
      <c r="CSX26" s="3"/>
      <c r="CSY26" s="3"/>
      <c r="CSZ26" s="3"/>
      <c r="CTA26" s="3"/>
      <c r="CTB26" s="3"/>
      <c r="CTC26" s="3"/>
      <c r="CTD26" s="3"/>
      <c r="CTE26" s="3"/>
      <c r="CTF26" s="3"/>
      <c r="CTG26" s="3"/>
      <c r="CTH26" s="3"/>
      <c r="CTI26" s="3"/>
      <c r="CTJ26" s="3"/>
      <c r="CTK26" s="3"/>
      <c r="CTL26" s="3"/>
      <c r="CTM26" s="3"/>
      <c r="CTN26" s="3"/>
      <c r="CTO26" s="3"/>
      <c r="CTP26" s="3"/>
      <c r="CTQ26" s="3"/>
      <c r="CTR26" s="3"/>
      <c r="CTS26" s="3"/>
      <c r="CTT26" s="3"/>
      <c r="CTU26" s="3"/>
      <c r="CTV26" s="3"/>
      <c r="CTW26" s="3"/>
      <c r="CTX26" s="3"/>
      <c r="CTY26" s="3"/>
      <c r="CTZ26" s="37"/>
      <c r="CUA26" s="3"/>
      <c r="CUB26" s="3"/>
      <c r="CUC26" s="3"/>
      <c r="CUD26" s="3"/>
      <c r="CUE26" s="3"/>
      <c r="CUF26" s="3"/>
    </row>
    <row r="27" spans="1:52 2533:2580" s="16" customFormat="1" x14ac:dyDescent="0.3">
      <c r="A27" s="2"/>
      <c r="B27" s="2"/>
      <c r="C27" s="57"/>
      <c r="D27" s="3"/>
      <c r="H27" s="3"/>
      <c r="I27" s="3"/>
      <c r="K27" s="59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CSK27" s="24"/>
      <c r="CSQ27" s="22"/>
      <c r="CSR27" s="3"/>
      <c r="CSS27" s="3"/>
      <c r="CST27" s="3"/>
      <c r="CSU27" s="3"/>
      <c r="CSV27" s="3"/>
      <c r="CSW27" s="3"/>
      <c r="CSX27" s="3"/>
      <c r="CSY27" s="3"/>
      <c r="CSZ27" s="3"/>
      <c r="CTA27" s="3"/>
      <c r="CTB27" s="3"/>
      <c r="CTC27" s="3"/>
      <c r="CTD27" s="3"/>
      <c r="CTE27" s="3"/>
      <c r="CTF27" s="3"/>
      <c r="CTG27" s="3"/>
      <c r="CTH27" s="3"/>
      <c r="CTI27" s="3"/>
      <c r="CTJ27" s="3"/>
      <c r="CTK27" s="3"/>
      <c r="CTL27" s="3"/>
      <c r="CTM27" s="3"/>
      <c r="CTN27" s="3"/>
      <c r="CTO27" s="3"/>
      <c r="CTP27" s="3"/>
      <c r="CTQ27" s="3"/>
      <c r="CTR27" s="3"/>
      <c r="CTS27" s="3"/>
      <c r="CTT27" s="3"/>
      <c r="CTU27" s="3"/>
      <c r="CTV27" s="3"/>
      <c r="CTW27" s="3"/>
      <c r="CTX27" s="3"/>
      <c r="CTY27" s="3"/>
      <c r="CTZ27" s="37"/>
      <c r="CUA27" s="3"/>
      <c r="CUB27" s="3"/>
      <c r="CUC27" s="3"/>
      <c r="CUD27" s="3"/>
      <c r="CUE27" s="3"/>
      <c r="CUF27" s="3"/>
    </row>
    <row r="28" spans="1:52 2533:2580" s="16" customFormat="1" x14ac:dyDescent="0.3">
      <c r="A28" s="2"/>
      <c r="B28" s="2"/>
      <c r="C28" s="57"/>
      <c r="D28" s="3"/>
      <c r="H28" s="3"/>
      <c r="I28" s="3"/>
      <c r="K28" s="59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CSK28" s="24"/>
      <c r="CSQ28" s="22"/>
      <c r="CSR28" s="3"/>
      <c r="CSS28" s="3"/>
      <c r="CST28" s="3"/>
      <c r="CSU28" s="3"/>
      <c r="CSV28" s="3"/>
      <c r="CSW28" s="3"/>
      <c r="CSX28" s="3"/>
      <c r="CSY28" s="3"/>
      <c r="CSZ28" s="3"/>
      <c r="CTA28" s="3"/>
      <c r="CTB28" s="3"/>
      <c r="CTC28" s="3"/>
      <c r="CTD28" s="3"/>
      <c r="CTE28" s="3"/>
      <c r="CTF28" s="3"/>
      <c r="CTG28" s="3"/>
      <c r="CTH28" s="3"/>
      <c r="CTI28" s="3"/>
      <c r="CTJ28" s="3"/>
      <c r="CTK28" s="3"/>
      <c r="CTL28" s="3"/>
      <c r="CTM28" s="3"/>
      <c r="CTN28" s="3"/>
      <c r="CTO28" s="3"/>
      <c r="CTP28" s="3"/>
      <c r="CTQ28" s="3"/>
      <c r="CTR28" s="3"/>
      <c r="CTS28" s="3"/>
      <c r="CTT28" s="3"/>
      <c r="CTU28" s="3"/>
      <c r="CTV28" s="3"/>
      <c r="CTW28" s="3"/>
      <c r="CTX28" s="3"/>
      <c r="CTY28" s="3"/>
      <c r="CTZ28" s="37"/>
      <c r="CUA28" s="3"/>
      <c r="CUB28" s="3"/>
      <c r="CUC28" s="3"/>
      <c r="CUD28" s="3"/>
      <c r="CUE28" s="3"/>
      <c r="CUF28" s="3"/>
    </row>
    <row r="29" spans="1:52 2533:2580" s="16" customFormat="1" x14ac:dyDescent="0.3">
      <c r="A29" s="2"/>
      <c r="B29" s="2"/>
      <c r="C29" s="57"/>
      <c r="D29" s="3"/>
      <c r="H29" s="3"/>
      <c r="I29" s="3"/>
      <c r="K29" s="59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CSK29" s="24"/>
      <c r="CSQ29" s="22"/>
      <c r="CSR29" s="3"/>
      <c r="CSS29" s="3"/>
      <c r="CST29" s="3"/>
      <c r="CSU29" s="3"/>
      <c r="CSV29" s="3"/>
      <c r="CSW29" s="3"/>
      <c r="CSX29" s="3"/>
      <c r="CSY29" s="3"/>
      <c r="CSZ29" s="3"/>
      <c r="CTA29" s="3"/>
      <c r="CTB29" s="3"/>
      <c r="CTC29" s="3"/>
      <c r="CTD29" s="3"/>
      <c r="CTE29" s="3"/>
      <c r="CTF29" s="3"/>
      <c r="CTG29" s="3"/>
      <c r="CTH29" s="3"/>
      <c r="CTI29" s="3"/>
      <c r="CTJ29" s="3"/>
      <c r="CTK29" s="3"/>
      <c r="CTL29" s="3"/>
      <c r="CTM29" s="3"/>
      <c r="CTN29" s="3"/>
      <c r="CTO29" s="3"/>
      <c r="CTP29" s="3"/>
      <c r="CTQ29" s="3"/>
      <c r="CTR29" s="3"/>
      <c r="CTS29" s="3"/>
      <c r="CTT29" s="3"/>
      <c r="CTU29" s="3"/>
      <c r="CTV29" s="3"/>
      <c r="CTW29" s="3"/>
      <c r="CTX29" s="3"/>
      <c r="CTY29" s="3"/>
      <c r="CTZ29" s="37"/>
      <c r="CUA29" s="3"/>
      <c r="CUB29" s="3"/>
      <c r="CUC29" s="3"/>
      <c r="CUD29" s="3"/>
      <c r="CUE29" s="3"/>
      <c r="CUF29" s="3"/>
    </row>
    <row r="30" spans="1:52 2533:2580" s="16" customFormat="1" x14ac:dyDescent="0.3">
      <c r="A30" s="2"/>
      <c r="B30" s="2"/>
      <c r="C30" s="57"/>
      <c r="D30" s="3"/>
      <c r="H30" s="3"/>
      <c r="I30" s="3"/>
      <c r="K30" s="59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CSK30" s="24"/>
      <c r="CSQ30" s="22"/>
      <c r="CSR30" s="3"/>
      <c r="CSS30" s="3"/>
      <c r="CST30" s="3"/>
      <c r="CSU30" s="3"/>
      <c r="CSV30" s="3"/>
      <c r="CSW30" s="3"/>
      <c r="CSX30" s="3"/>
      <c r="CSY30" s="3"/>
      <c r="CSZ30" s="3"/>
      <c r="CTA30" s="3"/>
      <c r="CTB30" s="3"/>
      <c r="CTC30" s="3"/>
      <c r="CTD30" s="3"/>
      <c r="CTE30" s="3"/>
      <c r="CTF30" s="3"/>
      <c r="CTG30" s="3"/>
      <c r="CTH30" s="3"/>
      <c r="CTI30" s="3"/>
      <c r="CTJ30" s="3"/>
      <c r="CTK30" s="3"/>
      <c r="CTL30" s="3"/>
      <c r="CTM30" s="3"/>
      <c r="CTN30" s="3"/>
      <c r="CTO30" s="3"/>
      <c r="CTP30" s="3"/>
      <c r="CTQ30" s="3"/>
      <c r="CTR30" s="3"/>
      <c r="CTS30" s="3"/>
      <c r="CTT30" s="3"/>
      <c r="CTU30" s="3"/>
      <c r="CTV30" s="3"/>
      <c r="CTW30" s="3"/>
      <c r="CTX30" s="3"/>
      <c r="CTY30" s="3"/>
      <c r="CTZ30" s="37"/>
      <c r="CUA30" s="3"/>
      <c r="CUB30" s="3"/>
      <c r="CUC30" s="3"/>
      <c r="CUD30" s="3"/>
      <c r="CUE30" s="3"/>
      <c r="CUF30" s="3"/>
    </row>
    <row r="31" spans="1:52 2533:2580" s="16" customFormat="1" x14ac:dyDescent="0.3">
      <c r="A31" s="2"/>
      <c r="B31" s="2"/>
      <c r="C31" s="57"/>
      <c r="D31" s="3"/>
      <c r="H31" s="3"/>
      <c r="I31" s="3"/>
      <c r="K31" s="59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CSK31" s="24"/>
      <c r="CSQ31" s="22"/>
      <c r="CSR31" s="3"/>
      <c r="CSS31" s="3"/>
      <c r="CST31" s="3"/>
      <c r="CSU31" s="3"/>
      <c r="CSV31" s="3"/>
      <c r="CSW31" s="3"/>
      <c r="CSX31" s="3"/>
      <c r="CSY31" s="3"/>
      <c r="CSZ31" s="3"/>
      <c r="CTA31" s="3"/>
      <c r="CTB31" s="3"/>
      <c r="CTC31" s="3"/>
      <c r="CTD31" s="3"/>
      <c r="CTE31" s="3"/>
      <c r="CTF31" s="3"/>
      <c r="CTG31" s="3"/>
      <c r="CTH31" s="3"/>
      <c r="CTI31" s="3"/>
      <c r="CTJ31" s="3"/>
      <c r="CTK31" s="3"/>
      <c r="CTL31" s="3"/>
      <c r="CTM31" s="3"/>
      <c r="CTN31" s="3"/>
      <c r="CTO31" s="3"/>
      <c r="CTP31" s="3"/>
      <c r="CTQ31" s="3"/>
      <c r="CTR31" s="3"/>
      <c r="CTS31" s="3"/>
      <c r="CTT31" s="3"/>
      <c r="CTU31" s="3"/>
      <c r="CTV31" s="3"/>
      <c r="CTW31" s="3"/>
      <c r="CTX31" s="3"/>
      <c r="CTY31" s="3"/>
      <c r="CTZ31" s="37"/>
      <c r="CUA31" s="3"/>
      <c r="CUB31" s="3"/>
      <c r="CUC31" s="3"/>
      <c r="CUD31" s="3"/>
      <c r="CUE31" s="3"/>
      <c r="CUF31" s="3"/>
    </row>
    <row r="32" spans="1:52 2533:2580" s="16" customFormat="1" x14ac:dyDescent="0.3">
      <c r="A32" s="2"/>
      <c r="B32" s="2"/>
      <c r="C32" s="57"/>
      <c r="D32" s="3"/>
      <c r="H32" s="3"/>
      <c r="I32" s="3"/>
      <c r="K32" s="59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CSK32" s="24"/>
      <c r="CSQ32" s="22"/>
      <c r="CSR32" s="3"/>
      <c r="CSS32" s="3"/>
      <c r="CST32" s="3"/>
      <c r="CSU32" s="3"/>
      <c r="CSV32" s="3"/>
      <c r="CSW32" s="3"/>
      <c r="CSX32" s="3"/>
      <c r="CSY32" s="3"/>
      <c r="CSZ32" s="3"/>
      <c r="CTA32" s="3"/>
      <c r="CTB32" s="3"/>
      <c r="CTC32" s="3"/>
      <c r="CTD32" s="3"/>
      <c r="CTE32" s="3"/>
      <c r="CTF32" s="3"/>
      <c r="CTG32" s="3"/>
      <c r="CTH32" s="3"/>
      <c r="CTI32" s="3"/>
      <c r="CTJ32" s="3"/>
      <c r="CTK32" s="3"/>
      <c r="CTL32" s="3"/>
      <c r="CTM32" s="3"/>
      <c r="CTN32" s="3"/>
      <c r="CTO32" s="3"/>
      <c r="CTP32" s="3"/>
      <c r="CTQ32" s="3"/>
      <c r="CTR32" s="3"/>
      <c r="CTS32" s="3"/>
      <c r="CTT32" s="3"/>
      <c r="CTU32" s="3"/>
      <c r="CTV32" s="3"/>
      <c r="CTW32" s="3"/>
      <c r="CTX32" s="3"/>
      <c r="CTY32" s="3"/>
      <c r="CTZ32" s="37"/>
      <c r="CUA32" s="3"/>
      <c r="CUB32" s="3"/>
      <c r="CUC32" s="3"/>
      <c r="CUD32" s="3"/>
      <c r="CUE32" s="3"/>
      <c r="CUF32" s="3"/>
    </row>
    <row r="33" spans="1:52 2533:2580" s="16" customFormat="1" x14ac:dyDescent="0.3">
      <c r="A33" s="2"/>
      <c r="B33" s="2"/>
      <c r="C33" s="57"/>
      <c r="D33" s="3"/>
      <c r="H33" s="3"/>
      <c r="I33" s="3"/>
      <c r="K33" s="59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CSK33" s="24"/>
      <c r="CSQ33" s="22"/>
      <c r="CSR33" s="3"/>
      <c r="CSS33" s="3"/>
      <c r="CST33" s="3"/>
      <c r="CSU33" s="3"/>
      <c r="CSV33" s="3"/>
      <c r="CSW33" s="3"/>
      <c r="CSX33" s="3"/>
      <c r="CSY33" s="3"/>
      <c r="CSZ33" s="3"/>
      <c r="CTA33" s="3"/>
      <c r="CTB33" s="3"/>
      <c r="CTC33" s="3"/>
      <c r="CTD33" s="3"/>
      <c r="CTE33" s="3"/>
      <c r="CTF33" s="3"/>
      <c r="CTG33" s="3"/>
      <c r="CTH33" s="3"/>
      <c r="CTI33" s="3"/>
      <c r="CTJ33" s="3"/>
      <c r="CTK33" s="3"/>
      <c r="CTL33" s="3"/>
      <c r="CTM33" s="3"/>
      <c r="CTN33" s="3"/>
      <c r="CTO33" s="3"/>
      <c r="CTP33" s="3"/>
      <c r="CTQ33" s="3"/>
      <c r="CTR33" s="3"/>
      <c r="CTS33" s="3"/>
      <c r="CTT33" s="3"/>
      <c r="CTU33" s="3"/>
      <c r="CTV33" s="3"/>
      <c r="CTW33" s="3"/>
      <c r="CTX33" s="3"/>
      <c r="CTY33" s="3"/>
      <c r="CTZ33" s="37"/>
      <c r="CUA33" s="3"/>
      <c r="CUB33" s="3"/>
      <c r="CUC33" s="3"/>
      <c r="CUD33" s="3"/>
      <c r="CUE33" s="3"/>
      <c r="CUF33" s="3"/>
    </row>
    <row r="34" spans="1:52 2533:2580" s="16" customFormat="1" x14ac:dyDescent="0.3">
      <c r="A34" s="2"/>
      <c r="B34" s="2"/>
      <c r="C34" s="57"/>
      <c r="D34" s="3"/>
      <c r="H34" s="3"/>
      <c r="I34" s="3"/>
      <c r="K34" s="59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CSK34" s="24"/>
      <c r="CSQ34" s="22"/>
      <c r="CSR34" s="3"/>
      <c r="CSS34" s="3"/>
      <c r="CST34" s="3"/>
      <c r="CSU34" s="3"/>
      <c r="CSV34" s="3"/>
      <c r="CSW34" s="3"/>
      <c r="CSX34" s="3"/>
      <c r="CSY34" s="3"/>
      <c r="CSZ34" s="3"/>
      <c r="CTA34" s="3"/>
      <c r="CTB34" s="3"/>
      <c r="CTC34" s="3"/>
      <c r="CTD34" s="3"/>
      <c r="CTE34" s="3"/>
      <c r="CTF34" s="3"/>
      <c r="CTG34" s="3"/>
      <c r="CTH34" s="3"/>
      <c r="CTI34" s="3"/>
      <c r="CTJ34" s="3"/>
      <c r="CTK34" s="3"/>
      <c r="CTL34" s="3"/>
      <c r="CTM34" s="3"/>
      <c r="CTN34" s="3"/>
      <c r="CTO34" s="3"/>
      <c r="CTP34" s="3"/>
      <c r="CTQ34" s="3"/>
      <c r="CTR34" s="3"/>
      <c r="CTS34" s="3"/>
      <c r="CTT34" s="3"/>
      <c r="CTU34" s="3"/>
      <c r="CTV34" s="3"/>
      <c r="CTW34" s="3"/>
      <c r="CTX34" s="3"/>
      <c r="CTY34" s="3"/>
      <c r="CTZ34" s="37"/>
      <c r="CUA34" s="3"/>
      <c r="CUB34" s="3"/>
      <c r="CUC34" s="3"/>
      <c r="CUD34" s="3"/>
      <c r="CUE34" s="3"/>
      <c r="CUF34" s="3"/>
    </row>
    <row r="35" spans="1:52 2533:2580" s="16" customFormat="1" x14ac:dyDescent="0.3">
      <c r="A35" s="2"/>
      <c r="B35" s="2"/>
      <c r="C35" s="57"/>
      <c r="D35" s="3"/>
      <c r="H35" s="3"/>
      <c r="I35" s="3"/>
      <c r="K35" s="59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CSK35" s="24"/>
      <c r="CSQ35" s="22"/>
      <c r="CSR35" s="3"/>
      <c r="CSS35" s="3"/>
      <c r="CST35" s="3"/>
      <c r="CSU35" s="3"/>
      <c r="CSV35" s="3"/>
      <c r="CSW35" s="3"/>
      <c r="CSX35" s="3"/>
      <c r="CSY35" s="3"/>
      <c r="CSZ35" s="3"/>
      <c r="CTA35" s="3"/>
      <c r="CTB35" s="3"/>
      <c r="CTC35" s="3"/>
      <c r="CTD35" s="3"/>
      <c r="CTE35" s="3"/>
      <c r="CTF35" s="3"/>
      <c r="CTG35" s="3"/>
      <c r="CTH35" s="3"/>
      <c r="CTI35" s="3"/>
      <c r="CTJ35" s="3"/>
      <c r="CTK35" s="3"/>
      <c r="CTL35" s="3"/>
      <c r="CTM35" s="3"/>
      <c r="CTN35" s="3"/>
      <c r="CTO35" s="3"/>
      <c r="CTP35" s="3"/>
      <c r="CTQ35" s="3"/>
      <c r="CTR35" s="3"/>
      <c r="CTS35" s="3"/>
      <c r="CTT35" s="3"/>
      <c r="CTU35" s="3"/>
      <c r="CTV35" s="3"/>
      <c r="CTW35" s="3"/>
      <c r="CTX35" s="3"/>
      <c r="CTY35" s="3"/>
      <c r="CTZ35" s="37"/>
      <c r="CUA35" s="3"/>
      <c r="CUB35" s="3"/>
      <c r="CUC35" s="3"/>
      <c r="CUD35" s="3"/>
      <c r="CUE35" s="3"/>
      <c r="CUF35" s="3"/>
    </row>
    <row r="36" spans="1:52 2533:2580" s="16" customFormat="1" x14ac:dyDescent="0.3">
      <c r="A36" s="2"/>
      <c r="B36" s="2"/>
      <c r="C36" s="57"/>
      <c r="D36" s="3"/>
      <c r="H36" s="3"/>
      <c r="I36" s="3"/>
      <c r="K36" s="59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CSK36" s="24"/>
      <c r="CSQ36" s="22"/>
      <c r="CSR36" s="3"/>
      <c r="CSS36" s="3"/>
      <c r="CST36" s="3"/>
      <c r="CSU36" s="3"/>
      <c r="CSV36" s="3"/>
      <c r="CSW36" s="3"/>
      <c r="CSX36" s="3"/>
      <c r="CSY36" s="3"/>
      <c r="CSZ36" s="3"/>
      <c r="CTA36" s="3"/>
      <c r="CTB36" s="3"/>
      <c r="CTC36" s="3"/>
      <c r="CTD36" s="3"/>
      <c r="CTE36" s="3"/>
      <c r="CTF36" s="3"/>
      <c r="CTG36" s="3"/>
      <c r="CTH36" s="3"/>
      <c r="CTI36" s="3"/>
      <c r="CTJ36" s="3"/>
      <c r="CTK36" s="3"/>
      <c r="CTL36" s="3"/>
      <c r="CTM36" s="3"/>
      <c r="CTN36" s="3"/>
      <c r="CTO36" s="3"/>
      <c r="CTP36" s="3"/>
      <c r="CTQ36" s="3"/>
      <c r="CTR36" s="3"/>
      <c r="CTS36" s="3"/>
      <c r="CTT36" s="3"/>
      <c r="CTU36" s="3"/>
      <c r="CTV36" s="3"/>
      <c r="CTW36" s="3"/>
      <c r="CTX36" s="3"/>
      <c r="CTY36" s="3"/>
      <c r="CTZ36" s="37"/>
      <c r="CUA36" s="3"/>
      <c r="CUB36" s="3"/>
      <c r="CUC36" s="3"/>
      <c r="CUD36" s="3"/>
      <c r="CUE36" s="3"/>
      <c r="CUF36" s="3"/>
    </row>
    <row r="37" spans="1:52 2533:2580" s="16" customFormat="1" x14ac:dyDescent="0.3">
      <c r="A37" s="2"/>
      <c r="B37" s="2"/>
      <c r="C37" s="57"/>
      <c r="D37" s="3"/>
      <c r="H37" s="3"/>
      <c r="I37" s="3"/>
      <c r="K37" s="59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CSK37" s="24"/>
      <c r="CSQ37" s="22"/>
      <c r="CSR37" s="3"/>
      <c r="CSS37" s="3"/>
      <c r="CST37" s="3"/>
      <c r="CSU37" s="3"/>
      <c r="CSV37" s="3"/>
      <c r="CSW37" s="3"/>
      <c r="CSX37" s="3"/>
      <c r="CSY37" s="3"/>
      <c r="CSZ37" s="3"/>
      <c r="CTA37" s="3"/>
      <c r="CTB37" s="3"/>
      <c r="CTC37" s="3"/>
      <c r="CTD37" s="3"/>
      <c r="CTE37" s="3"/>
      <c r="CTF37" s="3"/>
      <c r="CTG37" s="3"/>
      <c r="CTH37" s="3"/>
      <c r="CTI37" s="3"/>
      <c r="CTJ37" s="3"/>
      <c r="CTK37" s="3"/>
      <c r="CTL37" s="3"/>
      <c r="CTM37" s="3"/>
      <c r="CTN37" s="3"/>
      <c r="CTO37" s="3"/>
      <c r="CTP37" s="3"/>
      <c r="CTQ37" s="3"/>
      <c r="CTR37" s="3"/>
      <c r="CTS37" s="3"/>
      <c r="CTT37" s="3"/>
      <c r="CTU37" s="3"/>
      <c r="CTV37" s="3"/>
      <c r="CTW37" s="3"/>
      <c r="CTX37" s="3"/>
      <c r="CTY37" s="3"/>
      <c r="CTZ37" s="37"/>
      <c r="CUA37" s="3"/>
      <c r="CUB37" s="3"/>
      <c r="CUC37" s="3"/>
      <c r="CUD37" s="3"/>
      <c r="CUE37" s="3"/>
      <c r="CUF37" s="3"/>
    </row>
    <row r="38" spans="1:52 2533:2580" s="16" customFormat="1" x14ac:dyDescent="0.3">
      <c r="A38" s="2"/>
      <c r="B38" s="2"/>
      <c r="C38" s="57"/>
      <c r="D38" s="3"/>
      <c r="H38" s="3"/>
      <c r="I38" s="3"/>
      <c r="K38" s="59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CSK38" s="24"/>
      <c r="CSQ38" s="22"/>
      <c r="CSR38" s="3"/>
      <c r="CSS38" s="3"/>
      <c r="CST38" s="3"/>
      <c r="CSU38" s="3"/>
      <c r="CSV38" s="3"/>
      <c r="CSW38" s="3"/>
      <c r="CSX38" s="3"/>
      <c r="CSY38" s="3"/>
      <c r="CSZ38" s="3"/>
      <c r="CTA38" s="3"/>
      <c r="CTB38" s="3"/>
      <c r="CTC38" s="3"/>
      <c r="CTD38" s="3"/>
      <c r="CTE38" s="3"/>
      <c r="CTF38" s="3"/>
      <c r="CTG38" s="3"/>
      <c r="CTH38" s="3"/>
      <c r="CTI38" s="3"/>
      <c r="CTJ38" s="3"/>
      <c r="CTK38" s="3"/>
      <c r="CTL38" s="3"/>
      <c r="CTM38" s="3"/>
      <c r="CTN38" s="3"/>
      <c r="CTO38" s="3"/>
      <c r="CTP38" s="3"/>
      <c r="CTQ38" s="3"/>
      <c r="CTR38" s="3"/>
      <c r="CTS38" s="3"/>
      <c r="CTT38" s="3"/>
      <c r="CTU38" s="3"/>
      <c r="CTV38" s="3"/>
      <c r="CTW38" s="3"/>
      <c r="CTX38" s="3"/>
      <c r="CTY38" s="3"/>
      <c r="CTZ38" s="37"/>
      <c r="CUA38" s="3"/>
      <c r="CUB38" s="3"/>
      <c r="CUC38" s="3"/>
      <c r="CUD38" s="3"/>
      <c r="CUE38" s="3"/>
      <c r="CUF38" s="3"/>
    </row>
    <row r="39" spans="1:52 2533:2580" s="16" customFormat="1" x14ac:dyDescent="0.3">
      <c r="A39" s="2"/>
      <c r="B39" s="2"/>
      <c r="C39" s="57"/>
      <c r="D39" s="3"/>
      <c r="H39" s="3"/>
      <c r="I39" s="3"/>
      <c r="K39" s="59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CSK39" s="24"/>
      <c r="CSQ39" s="22"/>
      <c r="CSR39" s="3"/>
      <c r="CSS39" s="3"/>
      <c r="CST39" s="3"/>
      <c r="CSU39" s="3"/>
      <c r="CSV39" s="3"/>
      <c r="CSW39" s="3"/>
      <c r="CSX39" s="3"/>
      <c r="CSY39" s="3"/>
      <c r="CSZ39" s="3"/>
      <c r="CTA39" s="3"/>
      <c r="CTB39" s="3"/>
      <c r="CTC39" s="3"/>
      <c r="CTD39" s="3"/>
      <c r="CTE39" s="3"/>
      <c r="CTF39" s="3"/>
      <c r="CTG39" s="3"/>
      <c r="CTH39" s="3"/>
      <c r="CTI39" s="3"/>
      <c r="CTJ39" s="3"/>
      <c r="CTK39" s="3"/>
      <c r="CTL39" s="3"/>
      <c r="CTM39" s="3"/>
      <c r="CTN39" s="3"/>
      <c r="CTO39" s="3"/>
      <c r="CTP39" s="3"/>
      <c r="CTQ39" s="3"/>
      <c r="CTR39" s="3"/>
      <c r="CTS39" s="3"/>
      <c r="CTT39" s="3"/>
      <c r="CTU39" s="3"/>
      <c r="CTV39" s="3"/>
      <c r="CTW39" s="3"/>
      <c r="CTX39" s="3"/>
      <c r="CTY39" s="3"/>
      <c r="CTZ39" s="37"/>
      <c r="CUA39" s="3"/>
      <c r="CUB39" s="3"/>
      <c r="CUC39" s="3"/>
      <c r="CUD39" s="3"/>
      <c r="CUE39" s="3"/>
      <c r="CUF39" s="3"/>
    </row>
    <row r="40" spans="1:52 2533:2580" s="16" customFormat="1" x14ac:dyDescent="0.3">
      <c r="A40" s="2"/>
      <c r="B40" s="2"/>
      <c r="C40" s="57"/>
      <c r="D40" s="3"/>
      <c r="H40" s="3"/>
      <c r="I40" s="3"/>
      <c r="K40" s="59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CSK40" s="24"/>
      <c r="CSQ40" s="22"/>
      <c r="CSR40" s="3"/>
      <c r="CSS40" s="3"/>
      <c r="CST40" s="3"/>
      <c r="CSU40" s="3"/>
      <c r="CSV40" s="3"/>
      <c r="CSW40" s="3"/>
      <c r="CSX40" s="3"/>
      <c r="CSY40" s="3"/>
      <c r="CSZ40" s="3"/>
      <c r="CTA40" s="3"/>
      <c r="CTB40" s="3"/>
      <c r="CTC40" s="3"/>
      <c r="CTD40" s="3"/>
      <c r="CTE40" s="3"/>
      <c r="CTF40" s="3"/>
      <c r="CTG40" s="3"/>
      <c r="CTH40" s="3"/>
      <c r="CTI40" s="3"/>
      <c r="CTJ40" s="3"/>
      <c r="CTK40" s="3"/>
      <c r="CTL40" s="3"/>
      <c r="CTM40" s="3"/>
      <c r="CTN40" s="3"/>
      <c r="CTO40" s="3"/>
      <c r="CTP40" s="3"/>
      <c r="CTQ40" s="3"/>
      <c r="CTR40" s="3"/>
      <c r="CTS40" s="3"/>
      <c r="CTT40" s="3"/>
      <c r="CTU40" s="3"/>
      <c r="CTV40" s="3"/>
      <c r="CTW40" s="3"/>
      <c r="CTX40" s="3"/>
      <c r="CTY40" s="3"/>
      <c r="CTZ40" s="37"/>
      <c r="CUA40" s="3"/>
      <c r="CUB40" s="3"/>
      <c r="CUC40" s="3"/>
      <c r="CUD40" s="3"/>
      <c r="CUE40" s="3"/>
      <c r="CUF40" s="3"/>
    </row>
    <row r="41" spans="1:52 2533:2580" s="16" customFormat="1" x14ac:dyDescent="0.3">
      <c r="A41" s="2"/>
      <c r="B41" s="2"/>
      <c r="C41" s="57"/>
      <c r="D41" s="3"/>
      <c r="H41" s="3"/>
      <c r="I41" s="3"/>
      <c r="K41" s="59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CSK41" s="24"/>
      <c r="CSQ41" s="22"/>
      <c r="CSR41" s="3"/>
      <c r="CSS41" s="3"/>
      <c r="CST41" s="3"/>
      <c r="CSU41" s="3"/>
      <c r="CSV41" s="3"/>
      <c r="CSW41" s="3"/>
      <c r="CSX41" s="3"/>
      <c r="CSY41" s="3"/>
      <c r="CSZ41" s="3"/>
      <c r="CTA41" s="3"/>
      <c r="CTB41" s="3"/>
      <c r="CTC41" s="3"/>
      <c r="CTD41" s="3"/>
      <c r="CTE41" s="3"/>
      <c r="CTF41" s="3"/>
      <c r="CTG41" s="3"/>
      <c r="CTH41" s="3"/>
      <c r="CTI41" s="3"/>
      <c r="CTJ41" s="3"/>
      <c r="CTK41" s="3"/>
      <c r="CTL41" s="3"/>
      <c r="CTM41" s="3"/>
      <c r="CTN41" s="3"/>
      <c r="CTO41" s="3"/>
      <c r="CTP41" s="3"/>
      <c r="CTQ41" s="3"/>
      <c r="CTR41" s="3"/>
      <c r="CTS41" s="3"/>
      <c r="CTT41" s="3"/>
      <c r="CTU41" s="3"/>
      <c r="CTV41" s="3"/>
      <c r="CTW41" s="3"/>
      <c r="CTX41" s="3"/>
      <c r="CTY41" s="3"/>
      <c r="CTZ41" s="37"/>
      <c r="CUA41" s="3"/>
      <c r="CUB41" s="3"/>
      <c r="CUC41" s="3"/>
      <c r="CUD41" s="3"/>
      <c r="CUE41" s="3"/>
      <c r="CUF41" s="3"/>
    </row>
    <row r="42" spans="1:52 2533:2580" s="16" customFormat="1" x14ac:dyDescent="0.3">
      <c r="A42" s="2"/>
      <c r="B42" s="2"/>
      <c r="C42" s="57"/>
      <c r="D42" s="3"/>
      <c r="H42" s="3"/>
      <c r="I42" s="3"/>
      <c r="K42" s="59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CSK42" s="24"/>
      <c r="CSQ42" s="22"/>
      <c r="CSR42" s="3"/>
      <c r="CSS42" s="3"/>
      <c r="CST42" s="3"/>
      <c r="CSU42" s="3"/>
      <c r="CSV42" s="3"/>
      <c r="CSW42" s="3"/>
      <c r="CSX42" s="3"/>
      <c r="CSY42" s="3"/>
      <c r="CSZ42" s="3"/>
      <c r="CTA42" s="3"/>
      <c r="CTB42" s="3"/>
      <c r="CTC42" s="3"/>
      <c r="CTD42" s="3"/>
      <c r="CTE42" s="3"/>
      <c r="CTF42" s="3"/>
      <c r="CTG42" s="3"/>
      <c r="CTH42" s="3"/>
      <c r="CTI42" s="3"/>
      <c r="CTJ42" s="3"/>
      <c r="CTK42" s="3"/>
      <c r="CTL42" s="3"/>
      <c r="CTM42" s="3"/>
      <c r="CTN42" s="3"/>
      <c r="CTO42" s="3"/>
      <c r="CTP42" s="3"/>
      <c r="CTQ42" s="3"/>
      <c r="CTR42" s="3"/>
      <c r="CTS42" s="3"/>
      <c r="CTT42" s="3"/>
      <c r="CTU42" s="3"/>
      <c r="CTV42" s="3"/>
      <c r="CTW42" s="3"/>
      <c r="CTX42" s="3"/>
      <c r="CTY42" s="3"/>
      <c r="CTZ42" s="37"/>
      <c r="CUA42" s="3"/>
      <c r="CUB42" s="3"/>
      <c r="CUC42" s="3"/>
      <c r="CUD42" s="3"/>
      <c r="CUE42" s="3"/>
      <c r="CUF42" s="3"/>
    </row>
    <row r="43" spans="1:52 2533:2580" s="16" customFormat="1" x14ac:dyDescent="0.3">
      <c r="A43" s="2"/>
      <c r="B43" s="2"/>
      <c r="C43" s="57"/>
      <c r="D43" s="3"/>
      <c r="H43" s="3"/>
      <c r="I43" s="3"/>
      <c r="K43" s="59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CSK43" s="24"/>
      <c r="CSQ43" s="22"/>
      <c r="CSR43" s="3"/>
      <c r="CSS43" s="3"/>
      <c r="CST43" s="3"/>
      <c r="CSU43" s="3"/>
      <c r="CSV43" s="3"/>
      <c r="CSW43" s="3"/>
      <c r="CSX43" s="3"/>
      <c r="CSY43" s="3"/>
      <c r="CSZ43" s="3"/>
      <c r="CTA43" s="3"/>
      <c r="CTB43" s="3"/>
      <c r="CTC43" s="3"/>
      <c r="CTD43" s="3"/>
      <c r="CTE43" s="3"/>
      <c r="CTF43" s="3"/>
      <c r="CTG43" s="3"/>
      <c r="CTH43" s="3"/>
      <c r="CTI43" s="3"/>
      <c r="CTJ43" s="3"/>
      <c r="CTK43" s="3"/>
      <c r="CTL43" s="3"/>
      <c r="CTM43" s="3"/>
      <c r="CTN43" s="3"/>
      <c r="CTO43" s="3"/>
      <c r="CTP43" s="3"/>
      <c r="CTQ43" s="3"/>
      <c r="CTR43" s="3"/>
      <c r="CTS43" s="3"/>
      <c r="CTT43" s="3"/>
      <c r="CTU43" s="3"/>
      <c r="CTV43" s="3"/>
      <c r="CTW43" s="3"/>
      <c r="CTX43" s="3"/>
      <c r="CTY43" s="3"/>
      <c r="CTZ43" s="37"/>
      <c r="CUA43" s="3"/>
      <c r="CUB43" s="3"/>
      <c r="CUC43" s="3"/>
      <c r="CUD43" s="3"/>
      <c r="CUE43" s="3"/>
      <c r="CUF43" s="3"/>
    </row>
    <row r="44" spans="1:52 2533:2580" s="16" customFormat="1" x14ac:dyDescent="0.3">
      <c r="A44" s="2"/>
      <c r="B44" s="2"/>
      <c r="C44" s="57"/>
      <c r="D44" s="3"/>
      <c r="H44" s="3"/>
      <c r="I44" s="3"/>
      <c r="K44" s="59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CSK44" s="24"/>
      <c r="CSQ44" s="22"/>
      <c r="CSR44" s="3"/>
      <c r="CSS44" s="3"/>
      <c r="CST44" s="3"/>
      <c r="CSU44" s="3"/>
      <c r="CSV44" s="3"/>
      <c r="CSW44" s="3"/>
      <c r="CSX44" s="3"/>
      <c r="CSY44" s="3"/>
      <c r="CSZ44" s="3"/>
      <c r="CTA44" s="3"/>
      <c r="CTB44" s="3"/>
      <c r="CTC44" s="3"/>
      <c r="CTD44" s="3"/>
      <c r="CTE44" s="3"/>
      <c r="CTF44" s="3"/>
      <c r="CTG44" s="3"/>
      <c r="CTH44" s="3"/>
      <c r="CTI44" s="3"/>
      <c r="CTJ44" s="3"/>
      <c r="CTK44" s="3"/>
      <c r="CTL44" s="3"/>
      <c r="CTM44" s="3"/>
      <c r="CTN44" s="3"/>
      <c r="CTO44" s="3"/>
      <c r="CTP44" s="3"/>
      <c r="CTQ44" s="3"/>
      <c r="CTR44" s="3"/>
      <c r="CTS44" s="3"/>
      <c r="CTT44" s="3"/>
      <c r="CTU44" s="3"/>
      <c r="CTV44" s="3"/>
      <c r="CTW44" s="3"/>
      <c r="CTX44" s="3"/>
      <c r="CTY44" s="3"/>
      <c r="CTZ44" s="37"/>
      <c r="CUA44" s="3"/>
      <c r="CUB44" s="3"/>
      <c r="CUC44" s="3"/>
      <c r="CUD44" s="3"/>
      <c r="CUE44" s="3"/>
      <c r="CUF44" s="3"/>
    </row>
    <row r="45" spans="1:52 2533:2580" s="16" customFormat="1" x14ac:dyDescent="0.3">
      <c r="A45" s="2"/>
      <c r="B45" s="2"/>
      <c r="C45" s="57"/>
      <c r="D45" s="3"/>
      <c r="H45" s="3"/>
      <c r="I45" s="3"/>
      <c r="K45" s="59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CSK45" s="24"/>
      <c r="CSQ45" s="22"/>
      <c r="CSR45" s="3"/>
      <c r="CSS45" s="3"/>
      <c r="CST45" s="3"/>
      <c r="CSU45" s="3"/>
      <c r="CSV45" s="3"/>
      <c r="CSW45" s="3"/>
      <c r="CSX45" s="3"/>
      <c r="CSY45" s="3"/>
      <c r="CSZ45" s="3"/>
      <c r="CTA45" s="3"/>
      <c r="CTB45" s="3"/>
      <c r="CTC45" s="3"/>
      <c r="CTD45" s="3"/>
      <c r="CTE45" s="3"/>
      <c r="CTF45" s="3"/>
      <c r="CTG45" s="3"/>
      <c r="CTH45" s="3"/>
      <c r="CTI45" s="3"/>
      <c r="CTJ45" s="3"/>
      <c r="CTK45" s="3"/>
      <c r="CTL45" s="3"/>
      <c r="CTM45" s="3"/>
      <c r="CTN45" s="3"/>
      <c r="CTO45" s="3"/>
      <c r="CTP45" s="3"/>
      <c r="CTQ45" s="3"/>
      <c r="CTR45" s="3"/>
      <c r="CTS45" s="3"/>
      <c r="CTT45" s="3"/>
      <c r="CTU45" s="3"/>
      <c r="CTV45" s="3"/>
      <c r="CTW45" s="3"/>
      <c r="CTX45" s="3"/>
      <c r="CTY45" s="3"/>
      <c r="CTZ45" s="37"/>
      <c r="CUA45" s="3"/>
      <c r="CUB45" s="3"/>
      <c r="CUC45" s="3"/>
      <c r="CUD45" s="3"/>
      <c r="CUE45" s="3"/>
      <c r="CUF45" s="3"/>
    </row>
  </sheetData>
  <sheetProtection sort="0" autoFilter="0" pivotTables="0"/>
  <mergeCells count="5">
    <mergeCell ref="CUA2:CVN3"/>
    <mergeCell ref="H2:I3"/>
    <mergeCell ref="CSL2:CTY3"/>
    <mergeCell ref="M2:AZ3"/>
    <mergeCell ref="J2:K3"/>
  </mergeCells>
  <conditionalFormatting sqref="A1:XFD1">
    <cfRule type="expression" dxfId="2632" priority="448">
      <formula>MID(A5,3,1)="п"</formula>
    </cfRule>
    <cfRule type="expression" dxfId="2631" priority="449">
      <formula>MID(A5,3,1)="н"</formula>
    </cfRule>
  </conditionalFormatting>
  <conditionalFormatting sqref="M4:AZ4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L1048576">
    <cfRule type="expression" dxfId="2630" priority="434">
      <formula>$F1=1</formula>
    </cfRule>
  </conditionalFormatting>
  <conditionalFormatting sqref="BA1:CSJ1048576">
    <cfRule type="expression" dxfId="2629" priority="433">
      <formula>LEFT(BA$1,2)&lt;&gt;LEFT(BB$1,2)</formula>
    </cfRule>
    <cfRule type="expression" dxfId="2628" priority="456">
      <formula>BA$1="п.Н"</formula>
    </cfRule>
    <cfRule type="expression" dxfId="2627" priority="457">
      <formula>BA$1="н.Н"</formula>
    </cfRule>
  </conditionalFormatting>
  <conditionalFormatting sqref="J1:J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3:CE3">
    <cfRule type="colorScale" priority="4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3:DJ3">
    <cfRule type="colorScale" priority="4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L3:EO3">
    <cfRule type="colorScale" priority="4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4:CE4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3:DJ3">
    <cfRule type="colorScale" priority="4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4:DJ4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2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1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V3:GY3">
    <cfRule type="colorScale" priority="40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HA3:ID3">
    <cfRule type="colorScale" priority="4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FU4:GY4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A3:ID3">
    <cfRule type="colorScale" priority="4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GZ4:ID4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F3:JI3">
    <cfRule type="colorScale" priority="3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K3:KN3">
    <cfRule type="colorScale" priority="3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IE4:JI4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K3:KN3">
    <cfRule type="colorScale" priority="3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J4:KN4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P3:LS3">
    <cfRule type="colorScale" priority="3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U3:MX3">
    <cfRule type="colorScale" priority="3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Z3:OC3">
    <cfRule type="colorScale" priority="3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KO4:LS4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U3:MX3">
    <cfRule type="colorScale" priority="3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T4:MX4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8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7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J3:QM3">
    <cfRule type="colorScale" priority="36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O3:RR3">
    <cfRule type="colorScale" priority="3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PI4:QM4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O3:RR3">
    <cfRule type="colorScale" priority="3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N4:RR4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T3:SW3">
    <cfRule type="colorScale" priority="3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Y3:UB3">
    <cfRule type="colorScale" priority="3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RS4:SW4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Y3:UB3">
    <cfRule type="colorScale" priority="3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X4:UB4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D3:VG3">
    <cfRule type="colorScale" priority="3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I3:WL3">
    <cfRule type="colorScale" priority="3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N3:XQ3">
    <cfRule type="colorScale" priority="3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UC4:VG4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I3:WL3">
    <cfRule type="colorScale" priority="3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H4:WL4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X3:AAA3">
    <cfRule type="colorScale" priority="32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C3:ABF3">
    <cfRule type="colorScale" priority="3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YW4:AAA4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C3:ABF3">
    <cfRule type="colorScale" priority="31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B4:ABF4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H3:ACK3">
    <cfRule type="colorScale" priority="3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M3:ADP3">
    <cfRule type="colorScale" priority="3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BG4:ACK4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M3:ADP3">
    <cfRule type="colorScale" priority="31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L4:ADP4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R3:AEU3">
    <cfRule type="colorScale" priority="3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W3:AFZ3">
    <cfRule type="colorScale" priority="3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B3:AHE3">
    <cfRule type="colorScale" priority="3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DQ4:AEU4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W3:AFZ3">
    <cfRule type="colorScale" priority="3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V4:AFZ4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9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L3:AJO3">
    <cfRule type="colorScale" priority="28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Q3:AKT3">
    <cfRule type="colorScale" priority="2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IK4:AJO4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Q3:AKT3">
    <cfRule type="colorScale" priority="27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P4:AKT4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V3:ALY3">
    <cfRule type="colorScale" priority="2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MA3:AND3">
    <cfRule type="colorScale" priority="2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KU4:ALY4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A3:AND3">
    <cfRule type="colorScale" priority="27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LZ4:AND4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F3:AOI3">
    <cfRule type="colorScale" priority="2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K3:APN3">
    <cfRule type="colorScale" priority="2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P3:AQS3">
    <cfRule type="colorScale" priority="2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NE4:AOI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K3:APN3">
    <cfRule type="colorScale" priority="2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J4:APN4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5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5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4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Z3:ATC3">
    <cfRule type="colorScale" priority="24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E3:AUH3">
    <cfRule type="colorScale" priority="2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Y4:ATC4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E3:AUH3">
    <cfRule type="colorScale" priority="23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D4:AUH4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J3:AVM3">
    <cfRule type="colorScale" priority="2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O3:AWR3">
    <cfRule type="colorScale" priority="2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UI4:AVM4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O3:AWR3">
    <cfRule type="colorScale" priority="2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N4:AWR4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T3:AXW3">
    <cfRule type="colorScale" priority="2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Y3:AZB3">
    <cfRule type="colorScale" priority="2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D3:BAG3">
    <cfRule type="colorScale" priority="2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WS4:AXW4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Y3:AZB3">
    <cfRule type="colorScale" priority="2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X4:AZB4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1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0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N3:BCQ3">
    <cfRule type="colorScale" priority="20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S3:BDV3">
    <cfRule type="colorScale" priority="1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BM4:BCQ4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S3:BDV3">
    <cfRule type="colorScale" priority="1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R4:BDV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X3:BFA3">
    <cfRule type="colorScale" priority="1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C3:BGF3">
    <cfRule type="colorScale" priority="19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DW4:BFA4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C3:BGF3">
    <cfRule type="colorScale" priority="1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B4:BGF4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H3:BHK3">
    <cfRule type="colorScale" priority="1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M3:BIP3">
    <cfRule type="colorScale" priority="18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R3:BJU3">
    <cfRule type="colorScale" priority="1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GG4:BHK4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M3:BIP3">
    <cfRule type="colorScale" priority="1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L4:BIP4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7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6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B3:BME3">
    <cfRule type="colorScale" priority="15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G3:BNJ3">
    <cfRule type="colorScale" priority="1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LA4:BME4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G3:BNJ3">
    <cfRule type="colorScale" priority="1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F4:BNJ4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L3:BOO3">
    <cfRule type="colorScale" priority="1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Q3:BPT3">
    <cfRule type="colorScale" priority="15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NK4:BOO4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Q3:BPT3">
    <cfRule type="colorScale" priority="1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P4:BPT4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V3:BQY3">
    <cfRule type="colorScale" priority="1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RA3:BSD3">
    <cfRule type="colorScale" priority="14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F3:BTI3">
    <cfRule type="colorScale" priority="1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PU4:BQY4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A3:BSD3">
    <cfRule type="colorScale" priority="1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QZ4:BSD4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3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2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P3:BVS3">
    <cfRule type="colorScale" priority="11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U3:BWX3">
    <cfRule type="colorScale" priority="1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UO4:BVS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U3:BWX3">
    <cfRule type="colorScale" priority="1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T4:BWX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Z3:BYC3">
    <cfRule type="colorScale" priority="11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E3:BZH3">
    <cfRule type="colorScale" priority="1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WY4:BYC4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E3:BZH3">
    <cfRule type="colorScale" priority="1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D4:BZH4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J3:CAM3">
    <cfRule type="colorScale" priority="1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O3:CBR3">
    <cfRule type="colorScale" priority="1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T3:CCW3">
    <cfRule type="colorScale" priority="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ZI4:CAM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O3:CBR3">
    <cfRule type="colorScale" priority="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N4:CBR4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8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D3:CFG3">
    <cfRule type="colorScale" priority="7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I3:CGL3">
    <cfRule type="colorScale" priority="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EC4:CFG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I3:CGL3">
    <cfRule type="colorScale" priority="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H4:CGL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N3:CHQ3">
    <cfRule type="colorScale" priority="6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S3:CIV3">
    <cfRule type="colorScale" priority="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M4:CHQ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S3:CIV3">
    <cfRule type="colorScale" priority="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R4:CIV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X3:CKA3">
    <cfRule type="colorScale" priority="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C3:CLF3">
    <cfRule type="colorScale" priority="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H3:CMK3">
    <cfRule type="colorScale" priority="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IW4:CKA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C3:CLF3">
    <cfRule type="colorScale" priority="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B4:CLF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4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R3:COU3">
    <cfRule type="colorScale" priority="3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W3:CPZ3">
    <cfRule type="colorScale" priority="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NQ4:COU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W3:CPZ3">
    <cfRule type="colorScale" priority="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V4:CPZ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B3:CRE3">
    <cfRule type="colorScale" priority="2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G3:CSJ3">
    <cfRule type="colorScale" priority="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QA4:CRE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G3:CSJ3">
    <cfRule type="colorScale" priority="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F4:CSJ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AZ1048576">
    <cfRule type="expression" dxfId="2626" priority="922">
      <formula>AND(ROW(M1)&gt;=6,OR(NOT(ISNUMBER(CSL1)),CSL1&lt;1))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hide_nach">
                <anchor moveWithCells="1" sizeWithCells="1">
                  <from>
                    <xdr:col>0</xdr:col>
                    <xdr:colOff>19050</xdr:colOff>
                    <xdr:row>1</xdr:row>
                    <xdr:rowOff>19050</xdr:rowOff>
                  </from>
                  <to>
                    <xdr:col>1</xdr:col>
                    <xdr:colOff>438150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hide_prod">
                <anchor moveWithCells="1" sizeWithCells="1">
                  <from>
                    <xdr:col>0</xdr:col>
                    <xdr:colOff>19050</xdr:colOff>
                    <xdr:row>2</xdr:row>
                    <xdr:rowOff>9525</xdr:rowOff>
                  </from>
                  <to>
                    <xdr:col>1</xdr:col>
                    <xdr:colOff>428625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unhide_nach">
                <anchor moveWithCells="1" sizeWithCells="1">
                  <from>
                    <xdr:col>1</xdr:col>
                    <xdr:colOff>476250</xdr:colOff>
                    <xdr:row>1</xdr:row>
                    <xdr:rowOff>19050</xdr:rowOff>
                  </from>
                  <to>
                    <xdr:col>4</xdr:col>
                    <xdr:colOff>352425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unhide_prod">
                <anchor moveWithCells="1" sizeWithCells="1">
                  <from>
                    <xdr:col>1</xdr:col>
                    <xdr:colOff>485775</xdr:colOff>
                    <xdr:row>2</xdr:row>
                    <xdr:rowOff>28575</xdr:rowOff>
                  </from>
                  <to>
                    <xdr:col>4</xdr:col>
                    <xdr:colOff>342900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23" id="{AD336398-682B-4D59-B5BA-717E113E08C0}">
            <xm:f>AND(NOT(ISBLANK(XEZ1)),ROW(B1)&gt;=6,ISBLANK(A1),ISNA(MATCH(G1,OFFSET(Аудитории!$C$12:$AA$12,MATCH(B1,Аудитории!$B$13:$B$14,0),0,1,25),0)))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L1:L1048576 G1:G1048576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93D82-CA84-4A40-A891-8542C994403D}">
  <dimension ref="A1:D12"/>
  <sheetViews>
    <sheetView workbookViewId="0">
      <selection activeCell="B13" sqref="B13"/>
    </sheetView>
  </sheetViews>
  <sheetFormatPr defaultRowHeight="15" x14ac:dyDescent="0.25"/>
  <cols>
    <col min="1" max="1" width="23.140625" style="51" bestFit="1" customWidth="1"/>
    <col min="2" max="2" width="50.5703125" style="51" customWidth="1"/>
    <col min="3" max="3" width="12.5703125" style="51" bestFit="1" customWidth="1"/>
    <col min="4" max="4" width="71.140625" style="51" bestFit="1" customWidth="1"/>
  </cols>
  <sheetData>
    <row r="1" spans="1:4" x14ac:dyDescent="0.25">
      <c r="A1" s="51" t="s">
        <v>2741</v>
      </c>
      <c r="B1" s="51" t="s">
        <v>2742</v>
      </c>
      <c r="C1" s="51" t="s">
        <v>2743</v>
      </c>
      <c r="D1" s="51" t="s">
        <v>2744</v>
      </c>
    </row>
    <row r="2" spans="1:4" x14ac:dyDescent="0.25">
      <c r="A2" s="51" t="s">
        <v>2745</v>
      </c>
      <c r="C2" s="51" t="s">
        <v>2746</v>
      </c>
      <c r="D2" s="51" t="s">
        <v>2747</v>
      </c>
    </row>
    <row r="3" spans="1:4" x14ac:dyDescent="0.25">
      <c r="A3" s="51" t="s">
        <v>2745</v>
      </c>
      <c r="C3" s="51" t="s">
        <v>2748</v>
      </c>
      <c r="D3" s="51" t="s">
        <v>2749</v>
      </c>
    </row>
    <row r="4" spans="1:4" x14ac:dyDescent="0.25">
      <c r="A4" s="51" t="s">
        <v>2750</v>
      </c>
      <c r="B4" s="51" t="s">
        <v>2751</v>
      </c>
      <c r="C4" s="51" t="s">
        <v>2752</v>
      </c>
      <c r="D4" s="51" t="s">
        <v>2753</v>
      </c>
    </row>
    <row r="5" spans="1:4" x14ac:dyDescent="0.25">
      <c r="A5" s="51" t="s">
        <v>2754</v>
      </c>
      <c r="B5" s="51" t="s">
        <v>2755</v>
      </c>
      <c r="C5" s="51" t="s">
        <v>2756</v>
      </c>
      <c r="D5" s="51" t="s">
        <v>2757</v>
      </c>
    </row>
    <row r="6" spans="1:4" x14ac:dyDescent="0.25">
      <c r="A6" s="51" t="s">
        <v>2745</v>
      </c>
      <c r="C6" s="51" t="s">
        <v>2758</v>
      </c>
      <c r="D6" s="51" t="s">
        <v>2759</v>
      </c>
    </row>
    <row r="7" spans="1:4" x14ac:dyDescent="0.25">
      <c r="A7" s="51" t="s">
        <v>2760</v>
      </c>
      <c r="B7" s="51" t="s">
        <v>2761</v>
      </c>
      <c r="C7" s="51" t="s">
        <v>2762</v>
      </c>
      <c r="D7" s="51" t="s">
        <v>2763</v>
      </c>
    </row>
    <row r="8" spans="1:4" x14ac:dyDescent="0.25">
      <c r="A8" s="51" t="s">
        <v>2764</v>
      </c>
      <c r="B8" s="51" t="s">
        <v>2765</v>
      </c>
      <c r="C8" s="51" t="s">
        <v>2766</v>
      </c>
      <c r="D8" s="51" t="s">
        <v>2767</v>
      </c>
    </row>
    <row r="9" spans="1:4" x14ac:dyDescent="0.25">
      <c r="A9" s="51" t="s">
        <v>2768</v>
      </c>
      <c r="B9" s="51" t="s">
        <v>2769</v>
      </c>
      <c r="C9" s="51" t="s">
        <v>2766</v>
      </c>
      <c r="D9" s="51" t="s">
        <v>2770</v>
      </c>
    </row>
    <row r="10" spans="1:4" x14ac:dyDescent="0.25">
      <c r="A10" s="51" t="s">
        <v>2764</v>
      </c>
      <c r="B10" s="51" t="s">
        <v>2771</v>
      </c>
      <c r="C10" s="51" t="s">
        <v>2752</v>
      </c>
      <c r="D10" s="51" t="s">
        <v>2772</v>
      </c>
    </row>
    <row r="11" spans="1:4" x14ac:dyDescent="0.25">
      <c r="A11" s="51" t="s">
        <v>2768</v>
      </c>
      <c r="B11" s="51" t="s">
        <v>2773</v>
      </c>
      <c r="C11" s="51" t="s">
        <v>2752</v>
      </c>
      <c r="D11" s="51" t="s">
        <v>2772</v>
      </c>
    </row>
    <row r="12" spans="1:4" x14ac:dyDescent="0.25">
      <c r="A12" s="51" t="s">
        <v>2754</v>
      </c>
      <c r="B12" s="51" t="s">
        <v>2776</v>
      </c>
      <c r="C12" s="51" t="s">
        <v>2774</v>
      </c>
      <c r="D12" s="51" t="s">
        <v>2775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A14"/>
  <sheetViews>
    <sheetView workbookViewId="0">
      <selection activeCell="E23" sqref="E23"/>
    </sheetView>
  </sheetViews>
  <sheetFormatPr defaultRowHeight="15" x14ac:dyDescent="0.25"/>
  <cols>
    <col min="1" max="1" width="16" bestFit="1" customWidth="1"/>
    <col min="2" max="2" width="7.140625" customWidth="1"/>
    <col min="3" max="16" width="7" customWidth="1"/>
    <col min="17" max="27" width="7.140625" customWidth="1"/>
  </cols>
  <sheetData>
    <row r="1" spans="1:27" x14ac:dyDescent="0.25">
      <c r="Q1" s="6" t="s">
        <v>1413</v>
      </c>
      <c r="R1" s="6" t="s">
        <v>1413</v>
      </c>
      <c r="S1" s="6" t="s">
        <v>1413</v>
      </c>
    </row>
    <row r="2" spans="1:27" x14ac:dyDescent="0.25">
      <c r="A2" t="s">
        <v>1414</v>
      </c>
      <c r="C2" s="7">
        <v>104</v>
      </c>
      <c r="D2" s="7">
        <v>106</v>
      </c>
      <c r="E2" s="7">
        <v>108</v>
      </c>
      <c r="F2" s="7">
        <v>201</v>
      </c>
      <c r="G2" s="7">
        <v>202</v>
      </c>
      <c r="H2" s="7">
        <v>203</v>
      </c>
      <c r="I2" s="7">
        <v>205</v>
      </c>
      <c r="J2" s="7">
        <v>207</v>
      </c>
      <c r="K2" s="7">
        <v>209</v>
      </c>
      <c r="L2" s="7">
        <v>301</v>
      </c>
      <c r="M2" s="7">
        <v>302</v>
      </c>
      <c r="N2" s="7">
        <v>303</v>
      </c>
      <c r="O2" s="7">
        <v>305</v>
      </c>
      <c r="P2" s="7">
        <v>307</v>
      </c>
      <c r="Q2" s="7">
        <v>308</v>
      </c>
      <c r="R2" s="7">
        <v>309</v>
      </c>
      <c r="S2" s="7">
        <v>316</v>
      </c>
      <c r="T2" s="7">
        <v>402</v>
      </c>
      <c r="U2" s="7">
        <v>406</v>
      </c>
    </row>
    <row r="3" spans="1:27" x14ac:dyDescent="0.25">
      <c r="A3" t="s">
        <v>1415</v>
      </c>
      <c r="C3">
        <f>COUNTIFS(Итог!$L:$L,Аудитории!C$2)</f>
        <v>0</v>
      </c>
      <c r="D3">
        <f>COUNTIFS(Итог!$L:$L,Аудитории!D$2)</f>
        <v>0</v>
      </c>
      <c r="E3">
        <f>COUNTIFS(Итог!$L:$L,Аудитории!E$2)</f>
        <v>0</v>
      </c>
      <c r="F3">
        <f>COUNTIFS(Итог!$L:$L,Аудитории!F$2)</f>
        <v>1</v>
      </c>
      <c r="G3">
        <f>COUNTIFS(Итог!$L:$L,Аудитории!G$2)</f>
        <v>1</v>
      </c>
      <c r="H3">
        <f>COUNTIFS(Итог!$L:$L,Аудитории!H$2)</f>
        <v>0</v>
      </c>
      <c r="I3">
        <f>COUNTIFS(Итог!$L:$L,Аудитории!I$2)</f>
        <v>0</v>
      </c>
      <c r="J3">
        <f>COUNTIFS(Итог!$L:$L,Аудитории!J$2)</f>
        <v>0</v>
      </c>
      <c r="K3">
        <f>COUNTIFS(Итог!$L:$L,Аудитории!K$2)</f>
        <v>0</v>
      </c>
      <c r="L3">
        <f>COUNTIFS(Итог!$L:$L,Аудитории!L$2)</f>
        <v>0</v>
      </c>
      <c r="M3">
        <f>COUNTIFS(Итог!$L:$L,Аудитории!M$2)</f>
        <v>0</v>
      </c>
      <c r="N3">
        <f>COUNTIFS(Итог!$L:$L,Аудитории!N$2)</f>
        <v>0</v>
      </c>
      <c r="O3">
        <f>COUNTIFS(Итог!$L:$L,Аудитории!O$2)</f>
        <v>0</v>
      </c>
      <c r="P3">
        <f>COUNTIFS(Итог!$L:$L,Аудитории!P$2)</f>
        <v>0</v>
      </c>
      <c r="Q3">
        <f>COUNTIFS(Итог!$L:$L,Аудитории!Q$2)</f>
        <v>1</v>
      </c>
      <c r="R3">
        <f>COUNTIFS(Итог!$L:$L,Аудитории!R$2)</f>
        <v>0</v>
      </c>
      <c r="S3">
        <f>COUNTIFS(Итог!$L:$L,Аудитории!S$2)</f>
        <v>0</v>
      </c>
      <c r="T3">
        <f>COUNTIFS(Итог!$L:$L,Аудитории!T$2)</f>
        <v>0</v>
      </c>
      <c r="U3">
        <f>COUNTIFS(Итог!$L:$L,Аудитории!U$2)</f>
        <v>0</v>
      </c>
    </row>
    <row r="4" spans="1:27" x14ac:dyDescent="0.25">
      <c r="A4" t="s">
        <v>1417</v>
      </c>
      <c r="C4">
        <f>SUMIFS(Итог!$H:$H,Итог!$L:$L,Аудитории!C$2)</f>
        <v>0</v>
      </c>
      <c r="D4">
        <f>SUMIFS(Итог!$H:$H,Итог!$L:$L,Аудитории!D$2)</f>
        <v>0</v>
      </c>
      <c r="E4">
        <f>SUMIFS(Итог!$H:$H,Итог!$L:$L,Аудитории!E$2)</f>
        <v>0</v>
      </c>
      <c r="F4">
        <f ca="1">SUMIFS(Итог!$H:$H,Итог!$L:$L,Аудитории!F$2)</f>
        <v>1</v>
      </c>
      <c r="G4">
        <f ca="1">SUMIFS(Итог!$H:$H,Итог!$L:$L,Аудитории!G$2)</f>
        <v>1</v>
      </c>
      <c r="H4">
        <f>SUMIFS(Итог!$H:$H,Итог!$L:$L,Аудитории!H$2)</f>
        <v>0</v>
      </c>
      <c r="I4">
        <f>SUMIFS(Итог!$H:$H,Итог!$L:$L,Аудитории!I$2)</f>
        <v>0</v>
      </c>
      <c r="J4">
        <f>SUMIFS(Итог!$H:$H,Итог!$L:$L,Аудитории!J$2)</f>
        <v>0</v>
      </c>
      <c r="K4">
        <f>SUMIFS(Итог!$H:$H,Итог!$L:$L,Аудитории!K$2)</f>
        <v>0</v>
      </c>
      <c r="L4">
        <f>SUMIFS(Итог!$H:$H,Итог!$L:$L,Аудитории!L$2)</f>
        <v>0</v>
      </c>
      <c r="M4">
        <f>SUMIFS(Итог!$H:$H,Итог!$L:$L,Аудитории!M$2)</f>
        <v>0</v>
      </c>
      <c r="N4">
        <f>SUMIFS(Итог!$H:$H,Итог!$L:$L,Аудитории!N$2)</f>
        <v>0</v>
      </c>
      <c r="O4">
        <f>SUMIFS(Итог!$H:$H,Итог!$L:$L,Аудитории!O$2)</f>
        <v>0</v>
      </c>
      <c r="P4">
        <f>SUMIFS(Итог!$H:$H,Итог!$L:$L,Аудитории!P$2)</f>
        <v>0</v>
      </c>
      <c r="Q4">
        <f ca="1">SUMIFS(Итог!$H:$H,Итог!$L:$L,Аудитории!Q$2)</f>
        <v>1</v>
      </c>
      <c r="R4">
        <f>SUMIFS(Итог!$H:$H,Итог!$L:$L,Аудитории!R$2)</f>
        <v>0</v>
      </c>
      <c r="S4">
        <f>SUMIFS(Итог!$H:$H,Итог!$L:$L,Аудитории!S$2)</f>
        <v>0</v>
      </c>
      <c r="T4">
        <f>SUMIFS(Итог!$H:$H,Итог!$L:$L,Аудитории!T$2)</f>
        <v>0</v>
      </c>
      <c r="U4">
        <f>SUMIFS(Итог!$H:$H,Итог!$L:$L,Аудитории!U$2)</f>
        <v>0</v>
      </c>
    </row>
    <row r="5" spans="1:27" x14ac:dyDescent="0.25">
      <c r="A5" t="s">
        <v>1416</v>
      </c>
      <c r="C5">
        <f ca="1">COUNTIFS(OFFSET(Итог!$L:$L,0,Итог!$B$1-1),Аудитории!C2,OFFSET(Итог!$CSK:$CSK,0,Итог!$B$1-1),1)</f>
        <v>0</v>
      </c>
      <c r="D5">
        <f ca="1">COUNTIFS(OFFSET(Итог!$L:$L,0,Итог!$B$1-1),Аудитории!D2,OFFSET(Итог!$CSK:$CSK,0,Итог!$B$1-1),1)</f>
        <v>0</v>
      </c>
      <c r="E5">
        <f ca="1">COUNTIFS(OFFSET(Итог!$L:$L,0,Итог!$B$1-1),Аудитории!E2,OFFSET(Итог!$CSK:$CSK,0,Итог!$B$1-1),1)</f>
        <v>0</v>
      </c>
      <c r="F5">
        <f ca="1">COUNTIFS(OFFSET(Итог!$L:$L,0,Итог!$B$1-1),Аудитории!F2,OFFSET(Итог!$CSK:$CSK,0,Итог!$B$1-1),1)</f>
        <v>0</v>
      </c>
      <c r="G5">
        <f ca="1">COUNTIFS(OFFSET(Итог!$L:$L,0,Итог!$B$1-1),Аудитории!G2,OFFSET(Итог!$CSK:$CSK,0,Итог!$B$1-1),1)</f>
        <v>0</v>
      </c>
      <c r="H5">
        <f ca="1">COUNTIFS(OFFSET(Итог!$L:$L,0,Итог!$B$1-1),Аудитории!H2,OFFSET(Итог!$CSK:$CSK,0,Итог!$B$1-1),1)</f>
        <v>0</v>
      </c>
      <c r="I5">
        <f ca="1">COUNTIFS(OFFSET(Итог!$L:$L,0,Итог!$B$1-1),Аудитории!I2,OFFSET(Итог!$CSK:$CSK,0,Итог!$B$1-1),1)</f>
        <v>0</v>
      </c>
      <c r="J5">
        <f ca="1">COUNTIFS(OFFSET(Итог!$L:$L,0,Итог!$B$1-1),Аудитории!J2,OFFSET(Итог!$CSK:$CSK,0,Итог!$B$1-1),1)</f>
        <v>0</v>
      </c>
      <c r="K5">
        <f ca="1">COUNTIFS(OFFSET(Итог!$L:$L,0,Итог!$B$1-1),Аудитории!K2,OFFSET(Итог!$CSK:$CSK,0,Итог!$B$1-1),1)</f>
        <v>0</v>
      </c>
      <c r="L5">
        <f ca="1">COUNTIFS(OFFSET(Итог!$L:$L,0,Итог!$B$1-1),Аудитории!L2,OFFSET(Итог!$CSK:$CSK,0,Итог!$B$1-1),1)</f>
        <v>0</v>
      </c>
      <c r="M5">
        <f ca="1">COUNTIFS(OFFSET(Итог!$L:$L,0,Итог!$B$1-1),Аудитории!M2,OFFSET(Итог!$CSK:$CSK,0,Итог!$B$1-1),1)</f>
        <v>0</v>
      </c>
      <c r="N5">
        <f ca="1">COUNTIFS(OFFSET(Итог!$L:$L,0,Итог!$B$1-1),Аудитории!N2,OFFSET(Итог!$CSK:$CSK,0,Итог!$B$1-1),1)</f>
        <v>0</v>
      </c>
      <c r="O5">
        <f ca="1">COUNTIFS(OFFSET(Итог!$L:$L,0,Итог!$B$1-1),Аудитории!O2,OFFSET(Итог!$CSK:$CSK,0,Итог!$B$1-1),1)</f>
        <v>0</v>
      </c>
      <c r="P5">
        <f ca="1">COUNTIFS(OFFSET(Итог!$L:$L,0,Итог!$B$1-1),Аудитории!P2,OFFSET(Итог!$CSK:$CSK,0,Итог!$B$1-1),1)</f>
        <v>0</v>
      </c>
      <c r="Q5">
        <f ca="1">COUNTIFS(OFFSET(Итог!$L:$L,0,Итог!$B$1-1),Аудитории!Q2,OFFSET(Итог!$CSK:$CSK,0,Итог!$B$1-1),1)</f>
        <v>0</v>
      </c>
      <c r="R5">
        <f ca="1">COUNTIFS(OFFSET(Итог!$L:$L,0,Итог!$B$1-1),Аудитории!R2,OFFSET(Итог!$CSK:$CSK,0,Итог!$B$1-1),1)</f>
        <v>0</v>
      </c>
      <c r="S5">
        <f ca="1">COUNTIFS(OFFSET(Итог!$L:$L,0,Итог!$B$1-1),Аудитории!S2,OFFSET(Итог!$CSK:$CSK,0,Итог!$B$1-1),1)</f>
        <v>0</v>
      </c>
      <c r="T5">
        <f ca="1">COUNTIFS(OFFSET(Итог!$L:$L,0,Итог!$B$1-1),Аудитории!T2,OFFSET(Итог!$CSK:$CSK,0,Итог!$B$1-1),1)</f>
        <v>0</v>
      </c>
      <c r="U5">
        <f ca="1">COUNTIFS(OFFSET(Итог!$L:$L,0,Итог!$B$1-1),Аудитории!U2,OFFSET(Итог!$CSK:$CSK,0,Итог!$B$1-1),1)</f>
        <v>0</v>
      </c>
    </row>
    <row r="6" spans="1:27" x14ac:dyDescent="0.25">
      <c r="A6" t="s">
        <v>1418</v>
      </c>
      <c r="C6">
        <f ca="1">COUNTIFS(OFFSET(Итог!$L:$L,0,Итог!$B$1-2),Аудитории!C2,OFFSET(Итог!$CSK:$CSK,0,Итог!$B$1-2),1)</f>
        <v>0</v>
      </c>
      <c r="D6">
        <f ca="1">COUNTIFS(OFFSET(Итог!$L:$L,0,Итог!$B$1-2),Аудитории!D2,OFFSET(Итог!$CSK:$CSK,0,Итог!$B$1-2),1)</f>
        <v>0</v>
      </c>
      <c r="E6">
        <f ca="1">COUNTIFS(OFFSET(Итог!$L:$L,0,Итог!$B$1-2),Аудитории!E2,OFFSET(Итог!$CSK:$CSK,0,Итог!$B$1-2),1)</f>
        <v>0</v>
      </c>
      <c r="F6">
        <f ca="1">COUNTIFS(OFFSET(Итог!$L:$L,0,Итог!$B$1-2),Аудитории!F2,OFFSET(Итог!$CSK:$CSK,0,Итог!$B$1-2),1)</f>
        <v>0</v>
      </c>
      <c r="G6">
        <f ca="1">COUNTIFS(OFFSET(Итог!$L:$L,0,Итог!$B$1-2),Аудитории!G2,OFFSET(Итог!$CSK:$CSK,0,Итог!$B$1-2),1)</f>
        <v>0</v>
      </c>
      <c r="H6">
        <f ca="1">COUNTIFS(OFFSET(Итог!$L:$L,0,Итог!$B$1-2),Аудитории!H2,OFFSET(Итог!$CSK:$CSK,0,Итог!$B$1-2),1)</f>
        <v>0</v>
      </c>
      <c r="I6">
        <f ca="1">COUNTIFS(OFFSET(Итог!$L:$L,0,Итог!$B$1-2),Аудитории!I2,OFFSET(Итог!$CSK:$CSK,0,Итог!$B$1-2),1)</f>
        <v>0</v>
      </c>
      <c r="J6">
        <f ca="1">COUNTIFS(OFFSET(Итог!$L:$L,0,Итог!$B$1-2),Аудитории!J2,OFFSET(Итог!$CSK:$CSK,0,Итог!$B$1-2),1)</f>
        <v>0</v>
      </c>
      <c r="K6">
        <f ca="1">COUNTIFS(OFFSET(Итог!$L:$L,0,Итог!$B$1-2),Аудитории!K2,OFFSET(Итог!$CSK:$CSK,0,Итог!$B$1-2),1)</f>
        <v>0</v>
      </c>
      <c r="L6">
        <f ca="1">COUNTIFS(OFFSET(Итог!$L:$L,0,Итог!$B$1-2),Аудитории!L2,OFFSET(Итог!$CSK:$CSK,0,Итог!$B$1-2),1)</f>
        <v>0</v>
      </c>
      <c r="M6">
        <f ca="1">COUNTIFS(OFFSET(Итог!$L:$L,0,Итог!$B$1-2),Аудитории!M2,OFFSET(Итог!$CSK:$CSK,0,Итог!$B$1-2),1)</f>
        <v>0</v>
      </c>
      <c r="N6">
        <f ca="1">COUNTIFS(OFFSET(Итог!$L:$L,0,Итог!$B$1-2),Аудитории!N2,OFFSET(Итог!$CSK:$CSK,0,Итог!$B$1-2),1)</f>
        <v>0</v>
      </c>
      <c r="O6">
        <f ca="1">COUNTIFS(OFFSET(Итог!$L:$L,0,Итог!$B$1-2),Аудитории!O2,OFFSET(Итог!$CSK:$CSK,0,Итог!$B$1-2),1)</f>
        <v>0</v>
      </c>
      <c r="P6">
        <f ca="1">COUNTIFS(OFFSET(Итог!$L:$L,0,Итог!$B$1-2),Аудитории!P2,OFFSET(Итог!$CSK:$CSK,0,Итог!$B$1-2),1)</f>
        <v>0</v>
      </c>
      <c r="Q6">
        <f ca="1">COUNTIFS(OFFSET(Итог!$L:$L,0,Итог!$B$1-2),Аудитории!Q2,OFFSET(Итог!$CSK:$CSK,0,Итог!$B$1-2),1)</f>
        <v>0</v>
      </c>
      <c r="R6">
        <f ca="1">COUNTIFS(OFFSET(Итог!$L:$L,0,Итог!$B$1-2),Аудитории!R2,OFFSET(Итог!$CSK:$CSK,0,Итог!$B$1-2),1)</f>
        <v>0</v>
      </c>
      <c r="S6">
        <f ca="1">COUNTIFS(OFFSET(Итог!$L:$L,0,Итог!$B$1-2),Аудитории!S2,OFFSET(Итог!$CSK:$CSK,0,Итог!$B$1-2),1)</f>
        <v>0</v>
      </c>
      <c r="T6">
        <f ca="1">COUNTIFS(OFFSET(Итог!$L:$L,0,Итог!$B$1-2),Аудитории!T2,OFFSET(Итог!$CSK:$CSK,0,Итог!$B$1-2),1)</f>
        <v>0</v>
      </c>
      <c r="U6">
        <f ca="1">COUNTIFS(OFFSET(Итог!$L:$L,0,Итог!$B$1-2),Аудитории!U2,OFFSET(Итог!$CSK:$CSK,0,Итог!$B$1-2),1)</f>
        <v>0</v>
      </c>
    </row>
    <row r="7" spans="1:27" x14ac:dyDescent="0.25">
      <c r="A7" t="s">
        <v>1419</v>
      </c>
      <c r="C7">
        <f ca="1">COUNTIFS(OFFSET(Итог!$L:$L,0,Итог!$B$1-3),Аудитории!C2,OFFSET(Итог!$CSK:$CSK,0,Итог!$B$1-3),1)</f>
        <v>0</v>
      </c>
      <c r="D7">
        <f ca="1">COUNTIFS(OFFSET(Итог!$L:$L,0,Итог!$B$1-3),Аудитории!D2,OFFSET(Итог!$CSK:$CSK,0,Итог!$B$1-3),1)</f>
        <v>0</v>
      </c>
      <c r="E7">
        <f ca="1">COUNTIFS(OFFSET(Итог!$L:$L,0,Итог!$B$1-3),Аудитории!E2,OFFSET(Итог!$CSK:$CSK,0,Итог!$B$1-3),1)</f>
        <v>0</v>
      </c>
      <c r="F7">
        <f ca="1">COUNTIFS(OFFSET(Итог!$L:$L,0,Итог!$B$1-3),Аудитории!F2,OFFSET(Итог!$CSK:$CSK,0,Итог!$B$1-3),1)</f>
        <v>0</v>
      </c>
      <c r="G7">
        <f ca="1">COUNTIFS(OFFSET(Итог!$L:$L,0,Итог!$B$1-3),Аудитории!G2,OFFSET(Итог!$CSK:$CSK,0,Итог!$B$1-3),1)</f>
        <v>0</v>
      </c>
      <c r="H7">
        <f ca="1">COUNTIFS(OFFSET(Итог!$L:$L,0,Итог!$B$1-3),Аудитории!H2,OFFSET(Итог!$CSK:$CSK,0,Итог!$B$1-3),1)</f>
        <v>0</v>
      </c>
      <c r="I7">
        <f ca="1">COUNTIFS(OFFSET(Итог!$L:$L,0,Итог!$B$1-3),Аудитории!I2,OFFSET(Итог!$CSK:$CSK,0,Итог!$B$1-3),1)</f>
        <v>0</v>
      </c>
      <c r="J7">
        <f ca="1">COUNTIFS(OFFSET(Итог!$L:$L,0,Итог!$B$1-3),Аудитории!J2,OFFSET(Итог!$CSK:$CSK,0,Итог!$B$1-3),1)</f>
        <v>0</v>
      </c>
      <c r="K7">
        <f ca="1">COUNTIFS(OFFSET(Итог!$L:$L,0,Итог!$B$1-3),Аудитории!K2,OFFSET(Итог!$CSK:$CSK,0,Итог!$B$1-3),1)</f>
        <v>0</v>
      </c>
      <c r="L7">
        <f ca="1">COUNTIFS(OFFSET(Итог!$L:$L,0,Итог!$B$1-3),Аудитории!L2,OFFSET(Итог!$CSK:$CSK,0,Итог!$B$1-3),1)</f>
        <v>0</v>
      </c>
      <c r="M7">
        <f ca="1">COUNTIFS(OFFSET(Итог!$L:$L,0,Итог!$B$1-3),Аудитории!M2,OFFSET(Итог!$CSK:$CSK,0,Итог!$B$1-3),1)</f>
        <v>0</v>
      </c>
      <c r="N7">
        <f ca="1">COUNTIFS(OFFSET(Итог!$L:$L,0,Итог!$B$1-3),Аудитории!N2,OFFSET(Итог!$CSK:$CSK,0,Итог!$B$1-3),1)</f>
        <v>0</v>
      </c>
      <c r="O7">
        <f ca="1">COUNTIFS(OFFSET(Итог!$L:$L,0,Итог!$B$1-3),Аудитории!O2,OFFSET(Итог!$CSK:$CSK,0,Итог!$B$1-3),1)</f>
        <v>0</v>
      </c>
      <c r="P7">
        <f ca="1">COUNTIFS(OFFSET(Итог!$L:$L,0,Итог!$B$1-3),Аудитории!P2,OFFSET(Итог!$CSK:$CSK,0,Итог!$B$1-3),1)</f>
        <v>0</v>
      </c>
      <c r="Q7">
        <f ca="1">COUNTIFS(OFFSET(Итог!$L:$L,0,Итог!$B$1-3),Аудитории!Q2,OFFSET(Итог!$CSK:$CSK,0,Итог!$B$1-3),1)</f>
        <v>0</v>
      </c>
      <c r="R7">
        <f ca="1">COUNTIFS(OFFSET(Итог!$L:$L,0,Итог!$B$1-3),Аудитории!R2,OFFSET(Итог!$CSK:$CSK,0,Итог!$B$1-3),1)</f>
        <v>0</v>
      </c>
      <c r="S7">
        <f ca="1">COUNTIFS(OFFSET(Итог!$L:$L,0,Итог!$B$1-3),Аудитории!S2,OFFSET(Итог!$CSK:$CSK,0,Итог!$B$1-3),1)</f>
        <v>0</v>
      </c>
      <c r="T7">
        <f ca="1">COUNTIFS(OFFSET(Итог!$L:$L,0,Итог!$B$1-3),Аудитории!T2,OFFSET(Итог!$CSK:$CSK,0,Итог!$B$1-3),1)</f>
        <v>0</v>
      </c>
      <c r="U7">
        <f ca="1">COUNTIFS(OFFSET(Итог!$L:$L,0,Итог!$B$1-3),Аудитории!U2,OFFSET(Итог!$CSK:$CSK,0,Итог!$B$1-3),1)</f>
        <v>0</v>
      </c>
    </row>
    <row r="9" spans="1:27" x14ac:dyDescent="0.25">
      <c r="A9" t="s">
        <v>1426</v>
      </c>
      <c r="C9" t="e">
        <f>AVERAGEIFS(Итог!$K:$K,Итог!$L:$L,Аудитории!C$2)</f>
        <v>#DIV/0!</v>
      </c>
      <c r="D9" t="e">
        <f>AVERAGEIFS(Итог!$K:$K,Итог!$L:$L,Аудитории!D$2)</f>
        <v>#DIV/0!</v>
      </c>
      <c r="E9" t="e">
        <f>AVERAGEIFS(Итог!$K:$K,Итог!$L:$L,Аудитории!E$2)</f>
        <v>#DIV/0!</v>
      </c>
      <c r="F9">
        <f ca="1">AVERAGEIFS(Итог!$K:$K,Итог!$L:$L,Аудитории!F$2)</f>
        <v>2</v>
      </c>
      <c r="G9">
        <f ca="1">AVERAGEIFS(Итог!$K:$K,Итог!$L:$L,Аудитории!G$2)</f>
        <v>1</v>
      </c>
      <c r="H9" t="e">
        <f>AVERAGEIFS(Итог!$K:$K,Итог!$L:$L,Аудитории!H$2)</f>
        <v>#DIV/0!</v>
      </c>
      <c r="I9" t="e">
        <f>AVERAGEIFS(Итог!$K:$K,Итог!$L:$L,Аудитории!I$2)</f>
        <v>#DIV/0!</v>
      </c>
      <c r="J9" t="e">
        <f>AVERAGEIFS(Итог!$K:$K,Итог!$L:$L,Аудитории!J$2)</f>
        <v>#DIV/0!</v>
      </c>
      <c r="K9" t="e">
        <f>AVERAGEIFS(Итог!$K:$K,Итог!$L:$L,Аудитории!K$2)</f>
        <v>#DIV/0!</v>
      </c>
      <c r="L9" t="e">
        <f>AVERAGEIFS(Итог!$K:$K,Итог!$L:$L,Аудитории!L$2)</f>
        <v>#DIV/0!</v>
      </c>
      <c r="M9" t="e">
        <f>AVERAGEIFS(Итог!$K:$K,Итог!$L:$L,Аудитории!M$2)</f>
        <v>#DIV/0!</v>
      </c>
      <c r="N9" t="e">
        <f>AVERAGEIFS(Итог!$K:$K,Итог!$L:$L,Аудитории!N$2)</f>
        <v>#DIV/0!</v>
      </c>
      <c r="O9" t="e">
        <f>AVERAGEIFS(Итог!$K:$K,Итог!$L:$L,Аудитории!O$2)</f>
        <v>#DIV/0!</v>
      </c>
      <c r="P9" t="e">
        <f>AVERAGEIFS(Итог!$K:$K,Итог!$L:$L,Аудитории!P$2)</f>
        <v>#DIV/0!</v>
      </c>
      <c r="Q9">
        <f ca="1">AVERAGEIFS(Итог!$K:$K,Итог!$L:$L,Аудитории!Q$2)</f>
        <v>3</v>
      </c>
      <c r="R9" t="e">
        <f>AVERAGEIFS(Итог!$K:$K,Итог!$L:$L,Аудитории!R$2)</f>
        <v>#DIV/0!</v>
      </c>
      <c r="S9" t="e">
        <f>AVERAGEIFS(Итог!$K:$K,Итог!$L:$L,Аудитории!S$2)</f>
        <v>#DIV/0!</v>
      </c>
      <c r="T9" t="e">
        <f>AVERAGEIFS(Итог!$K:$K,Итог!$L:$L,Аудитории!T$2)</f>
        <v>#DIV/0!</v>
      </c>
      <c r="U9" t="e">
        <f>AVERAGEIFS(Итог!$K:$K,Итог!$L:$L,Аудитории!U$2)</f>
        <v>#DIV/0!</v>
      </c>
    </row>
    <row r="10" spans="1:27" x14ac:dyDescent="0.25">
      <c r="A10" t="s">
        <v>1425</v>
      </c>
      <c r="C10" t="e">
        <f>AVERAGEIFS(Итог!#REF!,Итог!$L:$L,Аудитории!C$2)</f>
        <v>#REF!</v>
      </c>
      <c r="D10" t="e">
        <f>AVERAGEIFS(Итог!#REF!,Итог!$L:$L,Аудитории!D$2)</f>
        <v>#REF!</v>
      </c>
      <c r="E10" t="e">
        <f>AVERAGEIFS(Итог!#REF!,Итог!$L:$L,Аудитории!E$2)</f>
        <v>#REF!</v>
      </c>
      <c r="F10" t="e">
        <f>AVERAGEIFS(Итог!#REF!,Итог!$L:$L,Аудитории!F$2)</f>
        <v>#REF!</v>
      </c>
      <c r="G10" t="e">
        <f>AVERAGEIFS(Итог!#REF!,Итог!$L:$L,Аудитории!G$2)</f>
        <v>#REF!</v>
      </c>
      <c r="H10" t="e">
        <f>AVERAGEIFS(Итог!#REF!,Итог!$L:$L,Аудитории!H$2)</f>
        <v>#REF!</v>
      </c>
      <c r="I10" t="e">
        <f>AVERAGEIFS(Итог!#REF!,Итог!$L:$L,Аудитории!I$2)</f>
        <v>#REF!</v>
      </c>
      <c r="J10" t="e">
        <f>AVERAGEIFS(Итог!#REF!,Итог!$L:$L,Аудитории!J$2)</f>
        <v>#REF!</v>
      </c>
      <c r="K10" t="e">
        <f>AVERAGEIFS(Итог!#REF!,Итог!$L:$L,Аудитории!K$2)</f>
        <v>#REF!</v>
      </c>
      <c r="L10" t="e">
        <f>AVERAGEIFS(Итог!#REF!,Итог!$L:$L,Аудитории!L$2)</f>
        <v>#REF!</v>
      </c>
      <c r="M10" t="e">
        <f>AVERAGEIFS(Итог!#REF!,Итог!$L:$L,Аудитории!M$2)</f>
        <v>#REF!</v>
      </c>
      <c r="N10" t="e">
        <f>AVERAGEIFS(Итог!#REF!,Итог!$L:$L,Аудитории!N$2)</f>
        <v>#REF!</v>
      </c>
      <c r="O10" t="e">
        <f>AVERAGEIFS(Итог!#REF!,Итог!$L:$L,Аудитории!O$2)</f>
        <v>#REF!</v>
      </c>
      <c r="P10" t="e">
        <f>AVERAGEIFS(Итог!#REF!,Итог!$L:$L,Аудитории!P$2)</f>
        <v>#REF!</v>
      </c>
      <c r="Q10" t="e">
        <f>AVERAGEIFS(Итог!#REF!,Итог!$L:$L,Аудитории!Q$2)</f>
        <v>#REF!</v>
      </c>
      <c r="R10" t="e">
        <f>AVERAGEIFS(Итог!#REF!,Итог!$L:$L,Аудитории!R$2)</f>
        <v>#REF!</v>
      </c>
      <c r="S10" t="e">
        <f>AVERAGEIFS(Итог!#REF!,Итог!$L:$L,Аудитории!S$2)</f>
        <v>#REF!</v>
      </c>
      <c r="T10" t="e">
        <f>AVERAGEIFS(Итог!#REF!,Итог!$L:$L,Аудитории!T$2)</f>
        <v>#REF!</v>
      </c>
      <c r="U10" t="e">
        <f>AVERAGEIFS(Итог!#REF!,Итог!$L:$L,Аудитории!U$2)</f>
        <v>#REF!</v>
      </c>
    </row>
    <row r="12" spans="1:27" ht="30" x14ac:dyDescent="0.25">
      <c r="B12" s="8" t="s">
        <v>1422</v>
      </c>
    </row>
    <row r="13" spans="1:27" x14ac:dyDescent="0.25">
      <c r="A13" t="s">
        <v>1421</v>
      </c>
      <c r="B13" t="s">
        <v>1423</v>
      </c>
      <c r="C13" s="9">
        <v>308</v>
      </c>
      <c r="D13" s="9">
        <v>309</v>
      </c>
      <c r="E13" s="9">
        <v>316</v>
      </c>
      <c r="F13" s="9"/>
      <c r="G13" s="9"/>
      <c r="H13" s="9"/>
      <c r="I13" s="9"/>
      <c r="J13" s="9"/>
      <c r="K13" s="9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27" x14ac:dyDescent="0.25">
      <c r="A14" t="s">
        <v>1420</v>
      </c>
      <c r="B14" t="s">
        <v>1424</v>
      </c>
      <c r="C14" s="9">
        <v>104</v>
      </c>
      <c r="D14" s="9">
        <v>106</v>
      </c>
      <c r="E14" s="9">
        <v>108</v>
      </c>
      <c r="F14" s="9">
        <v>201</v>
      </c>
      <c r="G14" s="9">
        <v>202</v>
      </c>
      <c r="H14" s="9">
        <v>203</v>
      </c>
      <c r="I14" s="9">
        <v>205</v>
      </c>
      <c r="J14" s="9">
        <v>207</v>
      </c>
      <c r="K14" s="9">
        <v>209</v>
      </c>
      <c r="L14" s="10">
        <v>301</v>
      </c>
      <c r="M14" s="10">
        <v>302</v>
      </c>
      <c r="N14" s="10">
        <v>303</v>
      </c>
      <c r="O14" s="10">
        <v>305</v>
      </c>
      <c r="P14" s="10">
        <v>307</v>
      </c>
      <c r="Q14" s="10">
        <v>402</v>
      </c>
      <c r="R14" s="10">
        <v>406</v>
      </c>
      <c r="S14" s="10"/>
      <c r="T14" s="10"/>
      <c r="U14" s="10"/>
      <c r="V14" s="10"/>
      <c r="W14" s="10"/>
      <c r="X14" s="10"/>
      <c r="Y14" s="10"/>
      <c r="Z14" s="10"/>
      <c r="AA14" s="10"/>
    </row>
  </sheetData>
  <conditionalFormatting sqref="C3:S7 V3:AA7">
    <cfRule type="colorScale" priority="4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S3:S7">
    <cfRule type="colorScale" priority="3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T3:U7">
    <cfRule type="colorScale" priority="2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U3:U7">
    <cfRule type="colorScale" priority="1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41"/>
  <sheetViews>
    <sheetView workbookViewId="0">
      <selection activeCell="C45" sqref="C45"/>
    </sheetView>
  </sheetViews>
  <sheetFormatPr defaultRowHeight="15" x14ac:dyDescent="0.25"/>
  <cols>
    <col min="1" max="1" width="9.85546875" customWidth="1"/>
    <col min="2" max="4" width="17.28515625" customWidth="1"/>
    <col min="5" max="7" width="20.42578125" customWidth="1"/>
  </cols>
  <sheetData>
    <row r="1" spans="1:14" x14ac:dyDescent="0.25">
      <c r="A1" t="s">
        <v>1469</v>
      </c>
      <c r="B1" t="s">
        <v>1470</v>
      </c>
      <c r="C1" t="s">
        <v>1471</v>
      </c>
      <c r="D1" t="s">
        <v>1472</v>
      </c>
      <c r="E1" s="29" t="s">
        <v>1473</v>
      </c>
      <c r="F1" s="30" t="s">
        <v>1474</v>
      </c>
      <c r="G1" s="31" t="s">
        <v>1475</v>
      </c>
    </row>
    <row r="2" spans="1:14" x14ac:dyDescent="0.25">
      <c r="A2">
        <v>1</v>
      </c>
      <c r="B2" t="s">
        <v>1476</v>
      </c>
      <c r="C2" t="s">
        <v>1477</v>
      </c>
      <c r="E2" s="26" t="s">
        <v>2664</v>
      </c>
      <c r="F2" s="19" t="s">
        <v>2665</v>
      </c>
      <c r="G2" s="27"/>
    </row>
    <row r="3" spans="1:14" x14ac:dyDescent="0.25">
      <c r="A3">
        <v>2</v>
      </c>
      <c r="B3" t="s">
        <v>1478</v>
      </c>
      <c r="C3" t="s">
        <v>1479</v>
      </c>
      <c r="E3" s="26" t="s">
        <v>1478</v>
      </c>
      <c r="F3" s="19" t="s">
        <v>1479</v>
      </c>
      <c r="G3" s="27"/>
      <c r="I3" s="78" t="s">
        <v>1556</v>
      </c>
      <c r="J3" s="78"/>
      <c r="K3" s="78"/>
      <c r="L3" s="78"/>
      <c r="M3" s="78"/>
      <c r="N3" s="78"/>
    </row>
    <row r="4" spans="1:14" x14ac:dyDescent="0.25">
      <c r="A4">
        <v>3</v>
      </c>
      <c r="B4" t="s">
        <v>1480</v>
      </c>
      <c r="C4" t="s">
        <v>1481</v>
      </c>
      <c r="E4" s="26" t="s">
        <v>1480</v>
      </c>
      <c r="F4" s="19" t="s">
        <v>1481</v>
      </c>
      <c r="G4" s="27"/>
      <c r="I4" s="78"/>
      <c r="J4" s="78"/>
      <c r="K4" s="78"/>
      <c r="L4" s="78"/>
      <c r="M4" s="78"/>
      <c r="N4" s="78"/>
    </row>
    <row r="5" spans="1:14" x14ac:dyDescent="0.25">
      <c r="A5">
        <v>4</v>
      </c>
      <c r="B5" t="s">
        <v>1482</v>
      </c>
      <c r="C5" t="s">
        <v>1483</v>
      </c>
      <c r="E5" s="26" t="s">
        <v>1482</v>
      </c>
      <c r="F5" s="19" t="s">
        <v>1483</v>
      </c>
      <c r="G5" s="27"/>
      <c r="I5" s="78"/>
      <c r="J5" s="78"/>
      <c r="K5" s="78"/>
      <c r="L5" s="78"/>
      <c r="M5" s="78"/>
      <c r="N5" s="78"/>
    </row>
    <row r="6" spans="1:14" x14ac:dyDescent="0.25">
      <c r="A6">
        <v>5</v>
      </c>
      <c r="B6" t="s">
        <v>1484</v>
      </c>
      <c r="C6" t="s">
        <v>1485</v>
      </c>
      <c r="E6" s="26" t="s">
        <v>1484</v>
      </c>
      <c r="F6" s="19" t="s">
        <v>1485</v>
      </c>
      <c r="G6" s="27"/>
      <c r="I6" s="78"/>
      <c r="J6" s="78"/>
      <c r="K6" s="78"/>
      <c r="L6" s="78"/>
      <c r="M6" s="78"/>
      <c r="N6" s="78"/>
    </row>
    <row r="7" spans="1:14" x14ac:dyDescent="0.25">
      <c r="A7">
        <v>6</v>
      </c>
      <c r="B7" t="s">
        <v>1486</v>
      </c>
      <c r="C7" t="s">
        <v>1487</v>
      </c>
      <c r="E7" s="26" t="s">
        <v>1486</v>
      </c>
      <c r="F7" s="19" t="s">
        <v>1487</v>
      </c>
      <c r="G7" s="27"/>
      <c r="I7" s="78"/>
      <c r="J7" s="78"/>
      <c r="K7" s="78"/>
      <c r="L7" s="78"/>
      <c r="M7" s="78"/>
      <c r="N7" s="78"/>
    </row>
    <row r="8" spans="1:14" x14ac:dyDescent="0.25">
      <c r="A8">
        <v>7</v>
      </c>
      <c r="B8" t="s">
        <v>1488</v>
      </c>
      <c r="C8" t="s">
        <v>1489</v>
      </c>
      <c r="E8" s="26" t="s">
        <v>1488</v>
      </c>
      <c r="F8" s="19" t="s">
        <v>1489</v>
      </c>
      <c r="G8" s="27"/>
      <c r="I8" s="78"/>
      <c r="J8" s="78"/>
      <c r="K8" s="78"/>
      <c r="L8" s="78"/>
      <c r="M8" s="78"/>
      <c r="N8" s="78"/>
    </row>
    <row r="9" spans="1:14" x14ac:dyDescent="0.25">
      <c r="A9">
        <v>8</v>
      </c>
      <c r="B9" t="s">
        <v>1490</v>
      </c>
      <c r="C9" t="s">
        <v>1491</v>
      </c>
      <c r="E9" s="26" t="s">
        <v>1490</v>
      </c>
      <c r="F9" s="19" t="s">
        <v>1491</v>
      </c>
      <c r="G9" s="27"/>
      <c r="I9" s="78"/>
      <c r="J9" s="78"/>
      <c r="K9" s="78"/>
      <c r="L9" s="78"/>
      <c r="M9" s="78"/>
      <c r="N9" s="78"/>
    </row>
    <row r="10" spans="1:14" x14ac:dyDescent="0.25">
      <c r="A10">
        <v>9</v>
      </c>
      <c r="B10" t="s">
        <v>1492</v>
      </c>
      <c r="C10" t="s">
        <v>1493</v>
      </c>
      <c r="E10" s="26" t="s">
        <v>1492</v>
      </c>
      <c r="F10" s="19" t="s">
        <v>1493</v>
      </c>
      <c r="G10" s="27"/>
      <c r="I10" s="78"/>
      <c r="J10" s="78"/>
      <c r="K10" s="78"/>
      <c r="L10" s="78"/>
      <c r="M10" s="78"/>
      <c r="N10" s="78"/>
    </row>
    <row r="11" spans="1:14" x14ac:dyDescent="0.25">
      <c r="A11">
        <v>10</v>
      </c>
      <c r="B11" t="s">
        <v>1494</v>
      </c>
      <c r="C11" t="s">
        <v>1495</v>
      </c>
      <c r="E11" s="26" t="s">
        <v>1494</v>
      </c>
      <c r="F11" s="19" t="s">
        <v>1495</v>
      </c>
      <c r="G11" s="27"/>
      <c r="I11" s="78"/>
      <c r="J11" s="78"/>
      <c r="K11" s="78"/>
      <c r="L11" s="78"/>
      <c r="M11" s="78"/>
      <c r="N11" s="78"/>
    </row>
    <row r="12" spans="1:14" x14ac:dyDescent="0.25">
      <c r="A12">
        <v>11</v>
      </c>
      <c r="B12" t="s">
        <v>1496</v>
      </c>
      <c r="C12" t="s">
        <v>1497</v>
      </c>
      <c r="E12" s="26" t="s">
        <v>1496</v>
      </c>
      <c r="F12" s="19" t="s">
        <v>1497</v>
      </c>
      <c r="G12" s="27"/>
    </row>
    <row r="13" spans="1:14" x14ac:dyDescent="0.25">
      <c r="A13">
        <v>12</v>
      </c>
      <c r="B13" t="s">
        <v>1498</v>
      </c>
      <c r="C13" t="s">
        <v>1499</v>
      </c>
      <c r="E13" s="26" t="s">
        <v>1498</v>
      </c>
      <c r="F13" s="19" t="s">
        <v>1499</v>
      </c>
      <c r="G13" s="27"/>
    </row>
    <row r="14" spans="1:14" x14ac:dyDescent="0.25">
      <c r="A14">
        <v>13</v>
      </c>
      <c r="B14" t="s">
        <v>1500</v>
      </c>
      <c r="C14" t="s">
        <v>1501</v>
      </c>
      <c r="E14" s="26" t="s">
        <v>1500</v>
      </c>
      <c r="F14" s="19" t="s">
        <v>1501</v>
      </c>
      <c r="G14" s="27"/>
    </row>
    <row r="15" spans="1:14" x14ac:dyDescent="0.25">
      <c r="A15">
        <v>14</v>
      </c>
      <c r="B15" t="s">
        <v>1502</v>
      </c>
      <c r="C15" t="s">
        <v>1503</v>
      </c>
      <c r="E15" s="26" t="s">
        <v>1502</v>
      </c>
      <c r="F15" s="19" t="s">
        <v>1503</v>
      </c>
      <c r="G15" s="27"/>
    </row>
    <row r="16" spans="1:14" x14ac:dyDescent="0.25">
      <c r="A16">
        <v>15</v>
      </c>
      <c r="B16" t="s">
        <v>1504</v>
      </c>
      <c r="C16" t="s">
        <v>1505</v>
      </c>
      <c r="E16" s="26" t="s">
        <v>1504</v>
      </c>
      <c r="F16" s="19" t="s">
        <v>1505</v>
      </c>
      <c r="G16" s="27"/>
    </row>
    <row r="17" spans="1:7" x14ac:dyDescent="0.25">
      <c r="A17">
        <v>16</v>
      </c>
      <c r="B17" t="s">
        <v>1506</v>
      </c>
      <c r="C17" t="s">
        <v>1507</v>
      </c>
      <c r="E17" s="26" t="s">
        <v>1506</v>
      </c>
      <c r="F17" s="19" t="s">
        <v>1507</v>
      </c>
      <c r="G17" s="27"/>
    </row>
    <row r="18" spans="1:7" x14ac:dyDescent="0.25">
      <c r="A18">
        <v>17</v>
      </c>
      <c r="B18" t="s">
        <v>1508</v>
      </c>
      <c r="C18" t="s">
        <v>1509</v>
      </c>
      <c r="E18" s="26" t="s">
        <v>1508</v>
      </c>
      <c r="F18" s="19" t="s">
        <v>1509</v>
      </c>
      <c r="G18" s="27"/>
    </row>
    <row r="19" spans="1:7" x14ac:dyDescent="0.25">
      <c r="A19">
        <v>18</v>
      </c>
      <c r="B19" t="s">
        <v>1510</v>
      </c>
      <c r="C19" t="s">
        <v>1511</v>
      </c>
      <c r="E19" s="26" t="s">
        <v>1510</v>
      </c>
      <c r="F19" s="19" t="s">
        <v>1511</v>
      </c>
      <c r="G19" s="27"/>
    </row>
    <row r="20" spans="1:7" x14ac:dyDescent="0.25">
      <c r="A20">
        <v>19</v>
      </c>
      <c r="B20" t="s">
        <v>1512</v>
      </c>
      <c r="C20" t="s">
        <v>1513</v>
      </c>
      <c r="E20" s="26" t="s">
        <v>1512</v>
      </c>
      <c r="F20" s="19" t="s">
        <v>1513</v>
      </c>
      <c r="G20" s="27"/>
    </row>
    <row r="21" spans="1:7" x14ac:dyDescent="0.25">
      <c r="A21">
        <v>20</v>
      </c>
      <c r="B21" t="s">
        <v>1514</v>
      </c>
      <c r="C21" t="s">
        <v>1515</v>
      </c>
      <c r="E21" s="26" t="s">
        <v>1514</v>
      </c>
      <c r="F21" s="19" t="s">
        <v>1515</v>
      </c>
      <c r="G21" s="27"/>
    </row>
    <row r="22" spans="1:7" x14ac:dyDescent="0.25">
      <c r="A22">
        <v>21</v>
      </c>
      <c r="B22" t="s">
        <v>1516</v>
      </c>
      <c r="C22" t="s">
        <v>1517</v>
      </c>
      <c r="E22" s="26" t="s">
        <v>1516</v>
      </c>
      <c r="F22" s="19" t="s">
        <v>1517</v>
      </c>
      <c r="G22" s="27"/>
    </row>
    <row r="23" spans="1:7" x14ac:dyDescent="0.25">
      <c r="A23">
        <v>22</v>
      </c>
      <c r="B23" t="s">
        <v>1518</v>
      </c>
      <c r="C23" t="s">
        <v>1519</v>
      </c>
      <c r="E23" s="26" t="s">
        <v>1518</v>
      </c>
      <c r="F23" s="19" t="s">
        <v>1519</v>
      </c>
      <c r="G23" s="27"/>
    </row>
    <row r="24" spans="1:7" x14ac:dyDescent="0.25">
      <c r="A24">
        <v>23</v>
      </c>
      <c r="B24" t="s">
        <v>1520</v>
      </c>
      <c r="C24" t="s">
        <v>1521</v>
      </c>
      <c r="E24" s="26" t="s">
        <v>1520</v>
      </c>
      <c r="F24" s="19" t="s">
        <v>1521</v>
      </c>
      <c r="G24" s="27"/>
    </row>
    <row r="25" spans="1:7" x14ac:dyDescent="0.25">
      <c r="A25">
        <v>24</v>
      </c>
      <c r="B25" t="s">
        <v>1522</v>
      </c>
      <c r="C25" t="s">
        <v>1523</v>
      </c>
      <c r="E25" s="26" t="s">
        <v>1522</v>
      </c>
      <c r="F25" s="19" t="s">
        <v>1523</v>
      </c>
      <c r="G25" s="27"/>
    </row>
    <row r="26" spans="1:7" x14ac:dyDescent="0.25">
      <c r="A26">
        <v>25</v>
      </c>
      <c r="B26" t="s">
        <v>1524</v>
      </c>
      <c r="C26" t="s">
        <v>1525</v>
      </c>
      <c r="E26" s="26" t="s">
        <v>1524</v>
      </c>
      <c r="F26" s="19" t="s">
        <v>1525</v>
      </c>
      <c r="G26" s="27"/>
    </row>
    <row r="27" spans="1:7" x14ac:dyDescent="0.25">
      <c r="A27">
        <v>26</v>
      </c>
      <c r="B27" t="s">
        <v>1526</v>
      </c>
      <c r="C27" t="s">
        <v>1527</v>
      </c>
      <c r="E27" s="26" t="s">
        <v>1526</v>
      </c>
      <c r="F27" s="19" t="s">
        <v>1527</v>
      </c>
      <c r="G27" s="27"/>
    </row>
    <row r="28" spans="1:7" x14ac:dyDescent="0.25">
      <c r="A28">
        <v>27</v>
      </c>
      <c r="B28" t="s">
        <v>1528</v>
      </c>
      <c r="C28" t="s">
        <v>1529</v>
      </c>
      <c r="E28" s="26" t="s">
        <v>1528</v>
      </c>
      <c r="F28" s="19" t="s">
        <v>1529</v>
      </c>
      <c r="G28" s="27"/>
    </row>
    <row r="29" spans="1:7" x14ac:dyDescent="0.25">
      <c r="A29">
        <v>28</v>
      </c>
      <c r="B29" t="s">
        <v>1530</v>
      </c>
      <c r="C29" t="s">
        <v>1531</v>
      </c>
      <c r="E29" s="26" t="s">
        <v>1530</v>
      </c>
      <c r="F29" s="19" t="s">
        <v>1531</v>
      </c>
      <c r="G29" s="27"/>
    </row>
    <row r="30" spans="1:7" x14ac:dyDescent="0.25">
      <c r="A30">
        <v>29</v>
      </c>
      <c r="B30" t="s">
        <v>1532</v>
      </c>
      <c r="C30" t="s">
        <v>1533</v>
      </c>
      <c r="E30" s="26" t="s">
        <v>1532</v>
      </c>
      <c r="F30" s="19" t="s">
        <v>1533</v>
      </c>
      <c r="G30" s="27"/>
    </row>
    <row r="31" spans="1:7" x14ac:dyDescent="0.25">
      <c r="A31">
        <v>30</v>
      </c>
      <c r="B31" t="s">
        <v>1534</v>
      </c>
      <c r="C31" t="s">
        <v>1535</v>
      </c>
      <c r="E31" s="26" t="s">
        <v>1534</v>
      </c>
      <c r="F31" s="19" t="s">
        <v>1535</v>
      </c>
      <c r="G31" s="27"/>
    </row>
    <row r="32" spans="1:7" x14ac:dyDescent="0.25">
      <c r="A32">
        <v>31</v>
      </c>
      <c r="B32" t="s">
        <v>1536</v>
      </c>
      <c r="C32" t="s">
        <v>1537</v>
      </c>
      <c r="E32" s="26" t="s">
        <v>1536</v>
      </c>
      <c r="F32" s="19" t="s">
        <v>1537</v>
      </c>
      <c r="G32" s="27"/>
    </row>
    <row r="33" spans="1:7" x14ac:dyDescent="0.25">
      <c r="A33">
        <v>32</v>
      </c>
      <c r="B33" t="s">
        <v>1538</v>
      </c>
      <c r="C33" t="s">
        <v>1539</v>
      </c>
      <c r="E33" s="26" t="s">
        <v>1538</v>
      </c>
      <c r="F33" s="19" t="s">
        <v>1539</v>
      </c>
      <c r="G33" s="27"/>
    </row>
    <row r="34" spans="1:7" x14ac:dyDescent="0.25">
      <c r="A34">
        <v>33</v>
      </c>
      <c r="B34" t="s">
        <v>1540</v>
      </c>
      <c r="C34" t="s">
        <v>1541</v>
      </c>
      <c r="E34" s="26" t="s">
        <v>1540</v>
      </c>
      <c r="F34" s="19" t="s">
        <v>1541</v>
      </c>
      <c r="G34" s="27"/>
    </row>
    <row r="35" spans="1:7" x14ac:dyDescent="0.25">
      <c r="A35">
        <v>34</v>
      </c>
      <c r="B35" t="s">
        <v>1542</v>
      </c>
      <c r="C35" t="s">
        <v>1543</v>
      </c>
      <c r="E35" s="26" t="s">
        <v>1542</v>
      </c>
      <c r="F35" s="19" t="s">
        <v>1543</v>
      </c>
      <c r="G35" s="27"/>
    </row>
    <row r="36" spans="1:7" x14ac:dyDescent="0.25">
      <c r="A36">
        <v>35</v>
      </c>
      <c r="B36" t="s">
        <v>1544</v>
      </c>
      <c r="C36" t="s">
        <v>1545</v>
      </c>
      <c r="E36" s="26" t="s">
        <v>1544</v>
      </c>
      <c r="F36" s="19" t="s">
        <v>1545</v>
      </c>
      <c r="G36" s="27"/>
    </row>
    <row r="37" spans="1:7" x14ac:dyDescent="0.25">
      <c r="A37">
        <v>36</v>
      </c>
      <c r="B37" t="s">
        <v>1546</v>
      </c>
      <c r="C37" t="s">
        <v>1547</v>
      </c>
      <c r="E37" s="26" t="s">
        <v>1546</v>
      </c>
      <c r="F37" s="19" t="s">
        <v>1547</v>
      </c>
      <c r="G37" s="27"/>
    </row>
    <row r="38" spans="1:7" x14ac:dyDescent="0.25">
      <c r="A38">
        <v>37</v>
      </c>
      <c r="B38" t="s">
        <v>1548</v>
      </c>
      <c r="C38" t="s">
        <v>1549</v>
      </c>
      <c r="E38" s="26" t="s">
        <v>1548</v>
      </c>
      <c r="F38" s="19" t="s">
        <v>1549</v>
      </c>
      <c r="G38" s="27"/>
    </row>
    <row r="39" spans="1:7" x14ac:dyDescent="0.25">
      <c r="A39">
        <v>38</v>
      </c>
      <c r="B39" t="s">
        <v>1550</v>
      </c>
      <c r="C39" t="s">
        <v>1551</v>
      </c>
      <c r="E39" s="26" t="s">
        <v>1550</v>
      </c>
      <c r="F39" s="19" t="s">
        <v>1551</v>
      </c>
      <c r="G39" s="27"/>
    </row>
    <row r="40" spans="1:7" x14ac:dyDescent="0.25">
      <c r="A40">
        <v>39</v>
      </c>
      <c r="B40" t="s">
        <v>1552</v>
      </c>
      <c r="C40" t="s">
        <v>1553</v>
      </c>
      <c r="E40" s="26" t="s">
        <v>1552</v>
      </c>
      <c r="F40" s="19" t="s">
        <v>1553</v>
      </c>
      <c r="G40" s="27"/>
    </row>
    <row r="41" spans="1:7" ht="15.75" thickBot="1" x14ac:dyDescent="0.3">
      <c r="A41">
        <v>40</v>
      </c>
      <c r="B41" t="s">
        <v>1554</v>
      </c>
      <c r="C41" t="s">
        <v>1555</v>
      </c>
      <c r="E41" s="32" t="s">
        <v>1554</v>
      </c>
      <c r="F41" s="33" t="s">
        <v>1555</v>
      </c>
      <c r="G41" s="34"/>
    </row>
  </sheetData>
  <mergeCells count="1">
    <mergeCell ref="I3:N1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3"/>
  <sheetViews>
    <sheetView workbookViewId="0">
      <selection activeCell="J18" sqref="J18"/>
    </sheetView>
  </sheetViews>
  <sheetFormatPr defaultRowHeight="15" x14ac:dyDescent="0.25"/>
  <cols>
    <col min="1" max="1" width="15.42578125" bestFit="1" customWidth="1"/>
    <col min="2" max="2" width="15.7109375" bestFit="1" customWidth="1"/>
    <col min="3" max="3" width="8.5703125" bestFit="1" customWidth="1"/>
  </cols>
  <sheetData>
    <row r="1" spans="1:3" x14ac:dyDescent="0.25">
      <c r="A1" t="s">
        <v>2652</v>
      </c>
      <c r="B1" t="s">
        <v>2653</v>
      </c>
    </row>
    <row r="2" spans="1:3" x14ac:dyDescent="0.25">
      <c r="A2" t="s">
        <v>2654</v>
      </c>
      <c r="B2" t="s">
        <v>2655</v>
      </c>
    </row>
    <row r="3" spans="1:3" x14ac:dyDescent="0.25">
      <c r="A3" t="s">
        <v>2651</v>
      </c>
      <c r="B3" t="s">
        <v>2650</v>
      </c>
      <c r="C3" t="s">
        <v>2656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9A69-839E-4983-ACFD-EF22FCE3DAB4}">
  <dimension ref="A1:D2"/>
  <sheetViews>
    <sheetView workbookViewId="0">
      <selection activeCell="B7" sqref="B7"/>
    </sheetView>
  </sheetViews>
  <sheetFormatPr defaultRowHeight="15" x14ac:dyDescent="0.25"/>
  <cols>
    <col min="1" max="1" width="11.7109375" bestFit="1" customWidth="1"/>
    <col min="2" max="2" width="11.42578125" customWidth="1"/>
    <col min="4" max="4" width="10.42578125" customWidth="1"/>
  </cols>
  <sheetData>
    <row r="1" spans="1:4" x14ac:dyDescent="0.25">
      <c r="A1" t="s">
        <v>2777</v>
      </c>
      <c r="B1" t="s">
        <v>0</v>
      </c>
      <c r="C1" t="s">
        <v>1</v>
      </c>
      <c r="D1" t="s">
        <v>2778</v>
      </c>
    </row>
    <row r="2" spans="1:4" x14ac:dyDescent="0.25">
      <c r="A2" t="str">
        <f>SUBSTITUTE(SUBSTITUTE(LOWER(B2&amp;C2),"ё","е")," ","")</f>
        <v>петровпетр</v>
      </c>
      <c r="B2" t="s">
        <v>2733</v>
      </c>
      <c r="C2" t="s">
        <v>2779</v>
      </c>
      <c r="D2" t="s">
        <v>2780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Итог</vt:lpstr>
      <vt:lpstr>Список усл. форматирования</vt:lpstr>
      <vt:lpstr>Аудитории</vt:lpstr>
      <vt:lpstr>@Cords</vt:lpstr>
      <vt:lpstr>Одна ауд.</vt:lpstr>
      <vt:lpstr>Внешние 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Шашков</dc:creator>
  <cp:lastModifiedBy>Сергей Шашков</cp:lastModifiedBy>
  <dcterms:created xsi:type="dcterms:W3CDTF">2017-08-09T09:36:04Z</dcterms:created>
  <dcterms:modified xsi:type="dcterms:W3CDTF">2019-07-26T09:26:52Z</dcterms:modified>
</cp:coreProperties>
</file>