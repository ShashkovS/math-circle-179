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X:\repos\math-circle-179\Кондуиты\"/>
    </mc:Choice>
  </mc:AlternateContent>
  <xr:revisionPtr revIDLastSave="0" documentId="13_ncr:1_{795E80B5-A181-43D4-AD2B-112AC2149381}" xr6:coauthVersionLast="43" xr6:coauthVersionMax="43" xr10:uidLastSave="{00000000-0000-0000-0000-000000000000}"/>
  <bookViews>
    <workbookView xWindow="-108" yWindow="-108" windowWidth="23256" windowHeight="12720" tabRatio="602" xr2:uid="{00000000-000D-0000-FFFF-FFFF00000000}"/>
  </bookViews>
  <sheets>
    <sheet name="Итог" sheetId="1" r:id="rId1"/>
    <sheet name="Список усл. форматирования" sheetId="7" state="hidden" r:id="rId2"/>
    <sheet name="Аудитории" sheetId="2" r:id="rId3"/>
    <sheet name="@Cords" sheetId="5" state="hidden" r:id="rId4"/>
    <sheet name="Одна ауд." sheetId="6" r:id="rId5"/>
    <sheet name="Внешние данные" sheetId="8" r:id="rId6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SK9" i="1" l="1"/>
  <c r="CSK10" i="1"/>
  <c r="CSK11" i="1"/>
  <c r="CSK12" i="1"/>
  <c r="CSK13" i="1"/>
  <c r="CSK14" i="1"/>
  <c r="CSK15" i="1"/>
  <c r="CSK16" i="1"/>
  <c r="CSK17" i="1"/>
  <c r="CSK18" i="1"/>
  <c r="CSK19" i="1"/>
  <c r="CSK20" i="1"/>
  <c r="CSK21" i="1"/>
  <c r="CSK22" i="1"/>
  <c r="CSK23" i="1"/>
  <c r="CSK24" i="1"/>
  <c r="CSK25" i="1"/>
  <c r="CSK26" i="1"/>
  <c r="CSK27" i="1"/>
  <c r="CSK28" i="1"/>
  <c r="CSK29" i="1"/>
  <c r="CSK30" i="1"/>
  <c r="CSK31" i="1"/>
  <c r="CSK32" i="1"/>
  <c r="CSK33" i="1"/>
  <c r="CSK34" i="1"/>
  <c r="CSK35" i="1"/>
  <c r="CSK36" i="1"/>
  <c r="CSK37" i="1"/>
  <c r="CSK38" i="1"/>
  <c r="CSK39" i="1"/>
  <c r="CSK40" i="1"/>
  <c r="CSK41" i="1"/>
  <c r="CSK42" i="1"/>
  <c r="CSK43" i="1"/>
  <c r="CSK44" i="1"/>
  <c r="CSK45" i="1"/>
  <c r="CSK46" i="1"/>
  <c r="CSK47" i="1"/>
  <c r="CSK48" i="1"/>
  <c r="CSK49" i="1"/>
  <c r="CSK50" i="1"/>
  <c r="CSK51" i="1"/>
  <c r="CSK52" i="1"/>
  <c r="CSK53" i="1"/>
  <c r="CSK54" i="1"/>
  <c r="CSK55" i="1"/>
  <c r="CSL9" i="1"/>
  <c r="CUA9" i="1" s="1"/>
  <c r="CSL10" i="1"/>
  <c r="CSL11" i="1"/>
  <c r="CSL12" i="1"/>
  <c r="CSL13" i="1"/>
  <c r="CSL14" i="1"/>
  <c r="CSL15" i="1"/>
  <c r="CSL16" i="1"/>
  <c r="CUA16" i="1" s="1"/>
  <c r="CSL17" i="1"/>
  <c r="CUA17" i="1" s="1"/>
  <c r="CSL18" i="1"/>
  <c r="CUA18" i="1" s="1"/>
  <c r="CSL19" i="1"/>
  <c r="CUA19" i="1" s="1"/>
  <c r="CSL20" i="1"/>
  <c r="CSL21" i="1"/>
  <c r="CUA21" i="1" s="1"/>
  <c r="CSL22" i="1"/>
  <c r="CUA22" i="1" s="1"/>
  <c r="CSL23" i="1"/>
  <c r="CUA23" i="1" s="1"/>
  <c r="CSL24" i="1"/>
  <c r="CUA24" i="1" s="1"/>
  <c r="CSL25" i="1"/>
  <c r="CUA25" i="1" s="1"/>
  <c r="CSL26" i="1"/>
  <c r="CSL27" i="1"/>
  <c r="CSL28" i="1"/>
  <c r="CSL29" i="1"/>
  <c r="CSL30" i="1"/>
  <c r="CUA30" i="1" s="1"/>
  <c r="CSL31" i="1"/>
  <c r="CUA31" i="1" s="1"/>
  <c r="CSL32" i="1"/>
  <c r="CUA32" i="1" s="1"/>
  <c r="CSL33" i="1"/>
  <c r="CUA33" i="1" s="1"/>
  <c r="CSL34" i="1"/>
  <c r="CUA34" i="1" s="1"/>
  <c r="CSL35" i="1"/>
  <c r="CUA35" i="1" s="1"/>
  <c r="CSL36" i="1"/>
  <c r="CSL37" i="1"/>
  <c r="CSL38" i="1"/>
  <c r="CSL39" i="1"/>
  <c r="CUA39" i="1" s="1"/>
  <c r="CSL40" i="1"/>
  <c r="CUA40" i="1" s="1"/>
  <c r="CSL41" i="1"/>
  <c r="CUA41" i="1" s="1"/>
  <c r="CSL42" i="1"/>
  <c r="CSL43" i="1"/>
  <c r="CSL44" i="1"/>
  <c r="CSL45" i="1"/>
  <c r="CSL46" i="1"/>
  <c r="CSL47" i="1"/>
  <c r="CUA47" i="1" s="1"/>
  <c r="CSL48" i="1"/>
  <c r="CUA48" i="1" s="1"/>
  <c r="CSL49" i="1"/>
  <c r="CUA49" i="1" s="1"/>
  <c r="CSL50" i="1"/>
  <c r="CUA50" i="1" s="1"/>
  <c r="CSL51" i="1"/>
  <c r="CUA51" i="1" s="1"/>
  <c r="CSL52" i="1"/>
  <c r="CSL53" i="1"/>
  <c r="CSL54" i="1"/>
  <c r="CUA54" i="1" s="1"/>
  <c r="CSL55" i="1"/>
  <c r="CUA55" i="1" s="1"/>
  <c r="CSM9" i="1"/>
  <c r="CUB9" i="1" s="1"/>
  <c r="CSM10" i="1"/>
  <c r="CUB10" i="1" s="1"/>
  <c r="CSM11" i="1"/>
  <c r="CSM12" i="1"/>
  <c r="CSM13" i="1"/>
  <c r="CSM14" i="1"/>
  <c r="CSM15" i="1"/>
  <c r="CSM16" i="1"/>
  <c r="CUB16" i="1" s="1"/>
  <c r="CSM17" i="1"/>
  <c r="CUB17" i="1" s="1"/>
  <c r="CSM18" i="1"/>
  <c r="CUB18" i="1" s="1"/>
  <c r="CSM19" i="1"/>
  <c r="CUB19" i="1" s="1"/>
  <c r="CSM20" i="1"/>
  <c r="CUB20" i="1" s="1"/>
  <c r="CSM21" i="1"/>
  <c r="CSM22" i="1"/>
  <c r="CSM23" i="1"/>
  <c r="CSM24" i="1"/>
  <c r="CUB24" i="1" s="1"/>
  <c r="CSM25" i="1"/>
  <c r="CUB25" i="1" s="1"/>
  <c r="CSM26" i="1"/>
  <c r="CUB26" i="1" s="1"/>
  <c r="CSM27" i="1"/>
  <c r="CSM28" i="1"/>
  <c r="CUB28" i="1" s="1"/>
  <c r="CSM29" i="1"/>
  <c r="CSM30" i="1"/>
  <c r="CSM31" i="1"/>
  <c r="CSM32" i="1"/>
  <c r="CUB32" i="1" s="1"/>
  <c r="CSM33" i="1"/>
  <c r="CUB33" i="1" s="1"/>
  <c r="CSM34" i="1"/>
  <c r="CUB34" i="1" s="1"/>
  <c r="CSM35" i="1"/>
  <c r="CUB35" i="1" s="1"/>
  <c r="CSM36" i="1"/>
  <c r="CUB36" i="1" s="1"/>
  <c r="CSM37" i="1"/>
  <c r="CSM38" i="1"/>
  <c r="CSM39" i="1"/>
  <c r="CSM40" i="1"/>
  <c r="CUB40" i="1" s="1"/>
  <c r="CSM41" i="1"/>
  <c r="CUB41" i="1" s="1"/>
  <c r="CSM42" i="1"/>
  <c r="CUB42" i="1" s="1"/>
  <c r="CSM43" i="1"/>
  <c r="CSM44" i="1"/>
  <c r="CSM45" i="1"/>
  <c r="CSM46" i="1"/>
  <c r="CSM47" i="1"/>
  <c r="CUB47" i="1" s="1"/>
  <c r="CSM48" i="1"/>
  <c r="CUB48" i="1" s="1"/>
  <c r="CSM49" i="1"/>
  <c r="CUB49" i="1" s="1"/>
  <c r="CSM50" i="1"/>
  <c r="CUB50" i="1" s="1"/>
  <c r="CSM51" i="1"/>
  <c r="CUB51" i="1" s="1"/>
  <c r="CSM52" i="1"/>
  <c r="CUB52" i="1" s="1"/>
  <c r="CSM53" i="1"/>
  <c r="CSM54" i="1"/>
  <c r="CSM55" i="1"/>
  <c r="CSN9" i="1"/>
  <c r="CUC9" i="1" s="1"/>
  <c r="CSN10" i="1"/>
  <c r="CUC10" i="1" s="1"/>
  <c r="CSN11" i="1"/>
  <c r="CUC11" i="1" s="1"/>
  <c r="CSN12" i="1"/>
  <c r="CSN13" i="1"/>
  <c r="CSN14" i="1"/>
  <c r="CUC14" i="1" s="1"/>
  <c r="CSN15" i="1"/>
  <c r="CSN16" i="1"/>
  <c r="CSN17" i="1"/>
  <c r="CUC17" i="1" s="1"/>
  <c r="CSN18" i="1"/>
  <c r="CUC18" i="1" s="1"/>
  <c r="CSN19" i="1"/>
  <c r="CUC19" i="1" s="1"/>
  <c r="CSN20" i="1"/>
  <c r="CUC20" i="1" s="1"/>
  <c r="CSN21" i="1"/>
  <c r="CUC21" i="1" s="1"/>
  <c r="CSN22" i="1"/>
  <c r="CUC22" i="1" s="1"/>
  <c r="CSN23" i="1"/>
  <c r="CSN24" i="1"/>
  <c r="CUC24" i="1" s="1"/>
  <c r="CSN25" i="1"/>
  <c r="CUC25" i="1" s="1"/>
  <c r="CSN26" i="1"/>
  <c r="CUC26" i="1" s="1"/>
  <c r="CSN27" i="1"/>
  <c r="CUC27" i="1" s="1"/>
  <c r="CSN28" i="1"/>
  <c r="CSN29" i="1"/>
  <c r="CSN30" i="1"/>
  <c r="CUC30" i="1" s="1"/>
  <c r="CSN31" i="1"/>
  <c r="CSN32" i="1"/>
  <c r="CSN33" i="1"/>
  <c r="CUC33" i="1" s="1"/>
  <c r="CSN34" i="1"/>
  <c r="CUC34" i="1" s="1"/>
  <c r="CSN35" i="1"/>
  <c r="CUC35" i="1" s="1"/>
  <c r="CSN36" i="1"/>
  <c r="CUC36" i="1" s="1"/>
  <c r="CSN37" i="1"/>
  <c r="CUC37" i="1" s="1"/>
  <c r="CSN38" i="1"/>
  <c r="CUC38" i="1" s="1"/>
  <c r="CSN39" i="1"/>
  <c r="CSN40" i="1"/>
  <c r="CSN41" i="1"/>
  <c r="CUC41" i="1" s="1"/>
  <c r="CSN42" i="1"/>
  <c r="CUC42" i="1" s="1"/>
  <c r="CSN43" i="1"/>
  <c r="CUC43" i="1" s="1"/>
  <c r="CSN44" i="1"/>
  <c r="CSN45" i="1"/>
  <c r="CUC45" i="1" s="1"/>
  <c r="CSN46" i="1"/>
  <c r="CUC46" i="1" s="1"/>
  <c r="CSN47" i="1"/>
  <c r="CSN48" i="1"/>
  <c r="CSN49" i="1"/>
  <c r="CUC49" i="1" s="1"/>
  <c r="CSN50" i="1"/>
  <c r="CUC50" i="1" s="1"/>
  <c r="CSN51" i="1"/>
  <c r="CUC51" i="1" s="1"/>
  <c r="CSN52" i="1"/>
  <c r="CUC52" i="1" s="1"/>
  <c r="CSN53" i="1"/>
  <c r="CUC53" i="1" s="1"/>
  <c r="CSN54" i="1"/>
  <c r="CUC54" i="1" s="1"/>
  <c r="CSN55" i="1"/>
  <c r="CSO9" i="1"/>
  <c r="CSO10" i="1"/>
  <c r="CUD10" i="1" s="1"/>
  <c r="CSO11" i="1"/>
  <c r="CUD11" i="1" s="1"/>
  <c r="CSO12" i="1"/>
  <c r="CUD12" i="1" s="1"/>
  <c r="CSO13" i="1"/>
  <c r="CSO14" i="1"/>
  <c r="CSO15" i="1"/>
  <c r="CUD15" i="1" s="1"/>
  <c r="CSO16" i="1"/>
  <c r="CSO17" i="1"/>
  <c r="CUD17" i="1" s="1"/>
  <c r="CSO18" i="1"/>
  <c r="CUD18" i="1" s="1"/>
  <c r="CSO19" i="1"/>
  <c r="CUD19" i="1" s="1"/>
  <c r="CSO20" i="1"/>
  <c r="CUD20" i="1" s="1"/>
  <c r="CSO21" i="1"/>
  <c r="CUD21" i="1" s="1"/>
  <c r="CSO22" i="1"/>
  <c r="CSO23" i="1"/>
  <c r="CUD23" i="1" s="1"/>
  <c r="CSO24" i="1"/>
  <c r="CSO25" i="1"/>
  <c r="CSO26" i="1"/>
  <c r="CUD26" i="1" s="1"/>
  <c r="CSO27" i="1"/>
  <c r="CUD27" i="1" s="1"/>
  <c r="CSO28" i="1"/>
  <c r="CUD28" i="1" s="1"/>
  <c r="CSO29" i="1"/>
  <c r="CSO30" i="1"/>
  <c r="CSO31" i="1"/>
  <c r="CUD31" i="1" s="1"/>
  <c r="CSO32" i="1"/>
  <c r="CSO33" i="1"/>
  <c r="CUD33" i="1" s="1"/>
  <c r="CSO34" i="1"/>
  <c r="CUD34" i="1" s="1"/>
  <c r="CSO35" i="1"/>
  <c r="CUD35" i="1" s="1"/>
  <c r="CSO36" i="1"/>
  <c r="CUD36" i="1" s="1"/>
  <c r="CSO37" i="1"/>
  <c r="CUD37" i="1" s="1"/>
  <c r="CSO38" i="1"/>
  <c r="CSO39" i="1"/>
  <c r="CUD39" i="1" s="1"/>
  <c r="CSO40" i="1"/>
  <c r="CSO41" i="1"/>
  <c r="CUD41" i="1" s="1"/>
  <c r="CSO42" i="1"/>
  <c r="CUD42" i="1" s="1"/>
  <c r="CSO43" i="1"/>
  <c r="CUD43" i="1" s="1"/>
  <c r="CSO44" i="1"/>
  <c r="CUD44" i="1" s="1"/>
  <c r="CSO45" i="1"/>
  <c r="CSO46" i="1"/>
  <c r="CSO47" i="1"/>
  <c r="CUD47" i="1" s="1"/>
  <c r="CSO48" i="1"/>
  <c r="CSO49" i="1"/>
  <c r="CSO50" i="1"/>
  <c r="CUD50" i="1" s="1"/>
  <c r="CSO51" i="1"/>
  <c r="CUD51" i="1" s="1"/>
  <c r="CSO52" i="1"/>
  <c r="CUD52" i="1" s="1"/>
  <c r="CSO53" i="1"/>
  <c r="CUD53" i="1" s="1"/>
  <c r="CSO54" i="1"/>
  <c r="CUD54" i="1" s="1"/>
  <c r="CSO55" i="1"/>
  <c r="CUD55" i="1" s="1"/>
  <c r="CSP9" i="1"/>
  <c r="CSP10" i="1"/>
  <c r="CSP11" i="1"/>
  <c r="CUE11" i="1" s="1"/>
  <c r="CSP12" i="1"/>
  <c r="CUE12" i="1" s="1"/>
  <c r="CSP13" i="1"/>
  <c r="CUE13" i="1" s="1"/>
  <c r="CSP14" i="1"/>
  <c r="CSP15" i="1"/>
  <c r="CSP16" i="1"/>
  <c r="CUE16" i="1" s="1"/>
  <c r="CSP17" i="1"/>
  <c r="CSP18" i="1"/>
  <c r="CSP19" i="1"/>
  <c r="CUE19" i="1" s="1"/>
  <c r="CSP20" i="1"/>
  <c r="CUE20" i="1" s="1"/>
  <c r="CSP21" i="1"/>
  <c r="CUE21" i="1" s="1"/>
  <c r="CSP22" i="1"/>
  <c r="CUE22" i="1" s="1"/>
  <c r="CSP23" i="1"/>
  <c r="CSP24" i="1"/>
  <c r="CUE24" i="1" s="1"/>
  <c r="CSP25" i="1"/>
  <c r="CSP26" i="1"/>
  <c r="CSP27" i="1"/>
  <c r="CUE27" i="1" s="1"/>
  <c r="CSP28" i="1"/>
  <c r="CUE28" i="1" s="1"/>
  <c r="CSP29" i="1"/>
  <c r="CUE29" i="1" s="1"/>
  <c r="CSP30" i="1"/>
  <c r="CSP31" i="1"/>
  <c r="CUE31" i="1" s="1"/>
  <c r="CSP32" i="1"/>
  <c r="CUE32" i="1" s="1"/>
  <c r="CSP33" i="1"/>
  <c r="CSP34" i="1"/>
  <c r="CSP35" i="1"/>
  <c r="CUE35" i="1" s="1"/>
  <c r="CSP36" i="1"/>
  <c r="CUE36" i="1" s="1"/>
  <c r="CSP37" i="1"/>
  <c r="CUE37" i="1" s="1"/>
  <c r="CSP38" i="1"/>
  <c r="CSP39" i="1"/>
  <c r="CUE39" i="1" s="1"/>
  <c r="CSP40" i="1"/>
  <c r="CUE40" i="1" s="1"/>
  <c r="CSP41" i="1"/>
  <c r="CSP42" i="1"/>
  <c r="CUE42" i="1" s="1"/>
  <c r="CSP43" i="1"/>
  <c r="CUE43" i="1" s="1"/>
  <c r="CSP44" i="1"/>
  <c r="CUE44" i="1" s="1"/>
  <c r="CSP45" i="1"/>
  <c r="CUE45" i="1" s="1"/>
  <c r="CSP46" i="1"/>
  <c r="CSP47" i="1"/>
  <c r="CUE47" i="1" s="1"/>
  <c r="CSP48" i="1"/>
  <c r="CUE48" i="1" s="1"/>
  <c r="CSP49" i="1"/>
  <c r="CSP50" i="1"/>
  <c r="CUE50" i="1" s="1"/>
  <c r="CSP51" i="1"/>
  <c r="CUE51" i="1" s="1"/>
  <c r="CSP52" i="1"/>
  <c r="CUE52" i="1" s="1"/>
  <c r="CSP53" i="1"/>
  <c r="CUE53" i="1" s="1"/>
  <c r="CSP54" i="1"/>
  <c r="CUE54" i="1" s="1"/>
  <c r="CSP55" i="1"/>
  <c r="CUE55" i="1" s="1"/>
  <c r="CSQ9" i="1"/>
  <c r="CUF9" i="1" s="1"/>
  <c r="CSQ10" i="1"/>
  <c r="CUF10" i="1" s="1"/>
  <c r="CSQ11" i="1"/>
  <c r="CSQ12" i="1"/>
  <c r="CUF12" i="1" s="1"/>
  <c r="CSQ13" i="1"/>
  <c r="CUF13" i="1" s="1"/>
  <c r="CSQ14" i="1"/>
  <c r="CUF14" i="1" s="1"/>
  <c r="CSQ15" i="1"/>
  <c r="CSQ16" i="1"/>
  <c r="CUF16" i="1" s="1"/>
  <c r="CSQ17" i="1"/>
  <c r="CUF17" i="1" s="1"/>
  <c r="CSQ18" i="1"/>
  <c r="CSQ19" i="1"/>
  <c r="CSQ20" i="1"/>
  <c r="CUF20" i="1" s="1"/>
  <c r="CSQ21" i="1"/>
  <c r="CUF21" i="1" s="1"/>
  <c r="CSQ22" i="1"/>
  <c r="CUF22" i="1" s="1"/>
  <c r="CSQ23" i="1"/>
  <c r="CSQ24" i="1"/>
  <c r="CUF24" i="1" s="1"/>
  <c r="CSQ25" i="1"/>
  <c r="CUF25" i="1" s="1"/>
  <c r="CSQ26" i="1"/>
  <c r="CSQ27" i="1"/>
  <c r="CSQ28" i="1"/>
  <c r="CUF28" i="1" s="1"/>
  <c r="CSQ29" i="1"/>
  <c r="CUF29" i="1" s="1"/>
  <c r="CSQ30" i="1"/>
  <c r="CUF30" i="1" s="1"/>
  <c r="CSQ31" i="1"/>
  <c r="CUF31" i="1" s="1"/>
  <c r="CSQ32" i="1"/>
  <c r="CUF32" i="1" s="1"/>
  <c r="CSQ33" i="1"/>
  <c r="CUF33" i="1" s="1"/>
  <c r="CSQ34" i="1"/>
  <c r="CSQ35" i="1"/>
  <c r="CSQ36" i="1"/>
  <c r="CUF36" i="1" s="1"/>
  <c r="CSQ37" i="1"/>
  <c r="CUF37" i="1" s="1"/>
  <c r="CSQ38" i="1"/>
  <c r="CUF38" i="1" s="1"/>
  <c r="CSQ39" i="1"/>
  <c r="CSQ40" i="1"/>
  <c r="CUF40" i="1" s="1"/>
  <c r="CSQ41" i="1"/>
  <c r="CUF41" i="1" s="1"/>
  <c r="CSQ42" i="1"/>
  <c r="CSQ43" i="1"/>
  <c r="CSQ44" i="1"/>
  <c r="CUF44" i="1" s="1"/>
  <c r="CSQ45" i="1"/>
  <c r="CUF45" i="1" s="1"/>
  <c r="CSQ46" i="1"/>
  <c r="CUF46" i="1" s="1"/>
  <c r="CSQ47" i="1"/>
  <c r="CSQ48" i="1"/>
  <c r="CUF48" i="1" s="1"/>
  <c r="CSQ49" i="1"/>
  <c r="CUF49" i="1" s="1"/>
  <c r="CSQ50" i="1"/>
  <c r="CSQ51" i="1"/>
  <c r="CSQ52" i="1"/>
  <c r="CUF52" i="1" s="1"/>
  <c r="CSQ53" i="1"/>
  <c r="CUF53" i="1" s="1"/>
  <c r="CSQ54" i="1"/>
  <c r="CUF54" i="1" s="1"/>
  <c r="CSQ55" i="1"/>
  <c r="CSR9" i="1"/>
  <c r="CUG9" i="1" s="1"/>
  <c r="CSR10" i="1"/>
  <c r="CUG10" i="1" s="1"/>
  <c r="CSR11" i="1"/>
  <c r="CSR12" i="1"/>
  <c r="CSR13" i="1"/>
  <c r="CUG13" i="1" s="1"/>
  <c r="CSR14" i="1"/>
  <c r="CUG14" i="1" s="1"/>
  <c r="CSR15" i="1"/>
  <c r="CUG15" i="1" s="1"/>
  <c r="CSR16" i="1"/>
  <c r="CSR17" i="1"/>
  <c r="CUG17" i="1" s="1"/>
  <c r="CSR18" i="1"/>
  <c r="CUG18" i="1" s="1"/>
  <c r="CSR19" i="1"/>
  <c r="CSR20" i="1"/>
  <c r="CSR21" i="1"/>
  <c r="CUG21" i="1" s="1"/>
  <c r="CSR22" i="1"/>
  <c r="CUG22" i="1" s="1"/>
  <c r="CSR23" i="1"/>
  <c r="CUG23" i="1" s="1"/>
  <c r="CSR24" i="1"/>
  <c r="CSR25" i="1"/>
  <c r="CSR26" i="1"/>
  <c r="CUG26" i="1" s="1"/>
  <c r="CSR27" i="1"/>
  <c r="CSR28" i="1"/>
  <c r="CSR29" i="1"/>
  <c r="CUG29" i="1" s="1"/>
  <c r="CSR30" i="1"/>
  <c r="CUG30" i="1" s="1"/>
  <c r="CSR31" i="1"/>
  <c r="CUG31" i="1" s="1"/>
  <c r="CSR32" i="1"/>
  <c r="CSR33" i="1"/>
  <c r="CUG33" i="1" s="1"/>
  <c r="CSR34" i="1"/>
  <c r="CUG34" i="1" s="1"/>
  <c r="CSR35" i="1"/>
  <c r="CSR36" i="1"/>
  <c r="CSR37" i="1"/>
  <c r="CUG37" i="1" s="1"/>
  <c r="CSR38" i="1"/>
  <c r="CUG38" i="1" s="1"/>
  <c r="CSR39" i="1"/>
  <c r="CUG39" i="1" s="1"/>
  <c r="CSR40" i="1"/>
  <c r="CSR41" i="1"/>
  <c r="CSR42" i="1"/>
  <c r="CUG42" i="1" s="1"/>
  <c r="CSR43" i="1"/>
  <c r="CSR44" i="1"/>
  <c r="CSR45" i="1"/>
  <c r="CUG45" i="1" s="1"/>
  <c r="CSR46" i="1"/>
  <c r="CUG46" i="1" s="1"/>
  <c r="CSR47" i="1"/>
  <c r="CUG47" i="1" s="1"/>
  <c r="CSR48" i="1"/>
  <c r="CSR49" i="1"/>
  <c r="CUG49" i="1" s="1"/>
  <c r="CSR50" i="1"/>
  <c r="CUG50" i="1" s="1"/>
  <c r="CSR51" i="1"/>
  <c r="CSR52" i="1"/>
  <c r="CSR53" i="1"/>
  <c r="CUG53" i="1" s="1"/>
  <c r="CSR54" i="1"/>
  <c r="CUG54" i="1" s="1"/>
  <c r="CSR55" i="1"/>
  <c r="CUG55" i="1" s="1"/>
  <c r="CSS9" i="1"/>
  <c r="CUH9" i="1" s="1"/>
  <c r="CSS10" i="1"/>
  <c r="CSS11" i="1"/>
  <c r="CUH11" i="1" s="1"/>
  <c r="CSS12" i="1"/>
  <c r="CSS13" i="1"/>
  <c r="CSS14" i="1"/>
  <c r="CUH14" i="1" s="1"/>
  <c r="CSS15" i="1"/>
  <c r="CUH15" i="1" s="1"/>
  <c r="CSS16" i="1"/>
  <c r="CUH16" i="1" s="1"/>
  <c r="CSS17" i="1"/>
  <c r="CSS18" i="1"/>
  <c r="CUH18" i="1" s="1"/>
  <c r="CSS19" i="1"/>
  <c r="CUH19" i="1" s="1"/>
  <c r="CSS20" i="1"/>
  <c r="CSS21" i="1"/>
  <c r="CSS22" i="1"/>
  <c r="CUH22" i="1" s="1"/>
  <c r="CSS23" i="1"/>
  <c r="CUH23" i="1" s="1"/>
  <c r="CSS24" i="1"/>
  <c r="CUH24" i="1" s="1"/>
  <c r="CSS25" i="1"/>
  <c r="CUH25" i="1" s="1"/>
  <c r="CSS26" i="1"/>
  <c r="CUH26" i="1" s="1"/>
  <c r="CSS27" i="1"/>
  <c r="CUH27" i="1" s="1"/>
  <c r="CSS28" i="1"/>
  <c r="CSS29" i="1"/>
  <c r="CSS30" i="1"/>
  <c r="CUH30" i="1" s="1"/>
  <c r="CSS31" i="1"/>
  <c r="CUH31" i="1" s="1"/>
  <c r="CSS32" i="1"/>
  <c r="CUH32" i="1" s="1"/>
  <c r="CSS33" i="1"/>
  <c r="CSS34" i="1"/>
  <c r="CUH34" i="1" s="1"/>
  <c r="CSS35" i="1"/>
  <c r="CUH35" i="1" s="1"/>
  <c r="CSS36" i="1"/>
  <c r="CSS37" i="1"/>
  <c r="CSS38" i="1"/>
  <c r="CUH38" i="1" s="1"/>
  <c r="CSS39" i="1"/>
  <c r="CUH39" i="1" s="1"/>
  <c r="CSS40" i="1"/>
  <c r="CUH40" i="1" s="1"/>
  <c r="CSS41" i="1"/>
  <c r="CSS42" i="1"/>
  <c r="CUH42" i="1" s="1"/>
  <c r="CSS43" i="1"/>
  <c r="CUH43" i="1" s="1"/>
  <c r="CSS44" i="1"/>
  <c r="CUH44" i="1" s="1"/>
  <c r="CSS45" i="1"/>
  <c r="CSS46" i="1"/>
  <c r="CUH46" i="1" s="1"/>
  <c r="CSS47" i="1"/>
  <c r="CUH47" i="1" s="1"/>
  <c r="CSS48" i="1"/>
  <c r="CUH48" i="1" s="1"/>
  <c r="CSS49" i="1"/>
  <c r="CSS50" i="1"/>
  <c r="CUH50" i="1" s="1"/>
  <c r="CSS51" i="1"/>
  <c r="CUH51" i="1" s="1"/>
  <c r="CSS52" i="1"/>
  <c r="CSS53" i="1"/>
  <c r="CSS54" i="1"/>
  <c r="CUH54" i="1" s="1"/>
  <c r="CSS55" i="1"/>
  <c r="CUH55" i="1" s="1"/>
  <c r="CST9" i="1"/>
  <c r="CUI9" i="1" s="1"/>
  <c r="CST10" i="1"/>
  <c r="CST11" i="1"/>
  <c r="CUI11" i="1" s="1"/>
  <c r="CST12" i="1"/>
  <c r="CUI12" i="1" s="1"/>
  <c r="CST13" i="1"/>
  <c r="CST14" i="1"/>
  <c r="CST15" i="1"/>
  <c r="CUI15" i="1" s="1"/>
  <c r="CST16" i="1"/>
  <c r="CUI16" i="1" s="1"/>
  <c r="CST17" i="1"/>
  <c r="CUI17" i="1" s="1"/>
  <c r="CST18" i="1"/>
  <c r="CST19" i="1"/>
  <c r="CUI19" i="1" s="1"/>
  <c r="CST20" i="1"/>
  <c r="CUI20" i="1" s="1"/>
  <c r="CST21" i="1"/>
  <c r="CST22" i="1"/>
  <c r="CUI22" i="1" s="1"/>
  <c r="CST23" i="1"/>
  <c r="CUI23" i="1" s="1"/>
  <c r="CST24" i="1"/>
  <c r="CUI24" i="1" s="1"/>
  <c r="CST25" i="1"/>
  <c r="CUI25" i="1" s="1"/>
  <c r="CST26" i="1"/>
  <c r="CST27" i="1"/>
  <c r="CST28" i="1"/>
  <c r="CUI28" i="1" s="1"/>
  <c r="CST29" i="1"/>
  <c r="CST30" i="1"/>
  <c r="CST31" i="1"/>
  <c r="CUI31" i="1" s="1"/>
  <c r="CST32" i="1"/>
  <c r="CUI32" i="1" s="1"/>
  <c r="CST33" i="1"/>
  <c r="CUI33" i="1" s="1"/>
  <c r="CST34" i="1"/>
  <c r="CUI34" i="1" s="1"/>
  <c r="CST35" i="1"/>
  <c r="CUI35" i="1" s="1"/>
  <c r="CST36" i="1"/>
  <c r="CUI36" i="1" s="1"/>
  <c r="CST37" i="1"/>
  <c r="CST38" i="1"/>
  <c r="CST39" i="1"/>
  <c r="CUI39" i="1" s="1"/>
  <c r="CST40" i="1"/>
  <c r="CUI40" i="1" s="1"/>
  <c r="CST41" i="1"/>
  <c r="CUI41" i="1" s="1"/>
  <c r="CST42" i="1"/>
  <c r="CST43" i="1"/>
  <c r="CUI43" i="1" s="1"/>
  <c r="CST44" i="1"/>
  <c r="CUI44" i="1" s="1"/>
  <c r="CST45" i="1"/>
  <c r="CST46" i="1"/>
  <c r="CST47" i="1"/>
  <c r="CUI47" i="1" s="1"/>
  <c r="CST48" i="1"/>
  <c r="CUI48" i="1" s="1"/>
  <c r="CST49" i="1"/>
  <c r="CUI49" i="1" s="1"/>
  <c r="CST50" i="1"/>
  <c r="CUI50" i="1" s="1"/>
  <c r="CST51" i="1"/>
  <c r="CUI51" i="1" s="1"/>
  <c r="CST52" i="1"/>
  <c r="CUI52" i="1" s="1"/>
  <c r="CST53" i="1"/>
  <c r="CUI53" i="1" s="1"/>
  <c r="CST54" i="1"/>
  <c r="CUI54" i="1" s="1"/>
  <c r="CST55" i="1"/>
  <c r="CUI55" i="1" s="1"/>
  <c r="CSU9" i="1"/>
  <c r="CUJ9" i="1" s="1"/>
  <c r="CSU10" i="1"/>
  <c r="CUJ10" i="1" s="1"/>
  <c r="CSU11" i="1"/>
  <c r="CSU12" i="1"/>
  <c r="CSU13" i="1"/>
  <c r="CUJ13" i="1" s="1"/>
  <c r="CSU14" i="1"/>
  <c r="CSU15" i="1"/>
  <c r="CSU16" i="1"/>
  <c r="CUJ16" i="1" s="1"/>
  <c r="CSU17" i="1"/>
  <c r="CUJ17" i="1" s="1"/>
  <c r="CSU18" i="1"/>
  <c r="CUJ18" i="1" s="1"/>
  <c r="CSU19" i="1"/>
  <c r="CSU20" i="1"/>
  <c r="CUJ20" i="1" s="1"/>
  <c r="CSU21" i="1"/>
  <c r="CUJ21" i="1" s="1"/>
  <c r="CSU22" i="1"/>
  <c r="CSU23" i="1"/>
  <c r="CSU24" i="1"/>
  <c r="CUJ24" i="1" s="1"/>
  <c r="CSU25" i="1"/>
  <c r="CUJ25" i="1" s="1"/>
  <c r="CSU26" i="1"/>
  <c r="CUJ26" i="1" s="1"/>
  <c r="CSU27" i="1"/>
  <c r="CSU28" i="1"/>
  <c r="CSU29" i="1"/>
  <c r="CUJ29" i="1" s="1"/>
  <c r="CSU30" i="1"/>
  <c r="CSU31" i="1"/>
  <c r="CSU32" i="1"/>
  <c r="CUJ32" i="1" s="1"/>
  <c r="CSU33" i="1"/>
  <c r="CUJ33" i="1" s="1"/>
  <c r="CSU34" i="1"/>
  <c r="CUJ34" i="1" s="1"/>
  <c r="CSU35" i="1"/>
  <c r="CSU36" i="1"/>
  <c r="CUJ36" i="1" s="1"/>
  <c r="CSU37" i="1"/>
  <c r="CUJ37" i="1" s="1"/>
  <c r="CSU38" i="1"/>
  <c r="CSU39" i="1"/>
  <c r="CSU40" i="1"/>
  <c r="CUJ40" i="1" s="1"/>
  <c r="CSU41" i="1"/>
  <c r="CUJ41" i="1" s="1"/>
  <c r="CSU42" i="1"/>
  <c r="CUJ42" i="1" s="1"/>
  <c r="CSU43" i="1"/>
  <c r="CUJ43" i="1" s="1"/>
  <c r="CSU44" i="1"/>
  <c r="CSU45" i="1"/>
  <c r="CUJ45" i="1" s="1"/>
  <c r="CSU46" i="1"/>
  <c r="CSU47" i="1"/>
  <c r="CSU48" i="1"/>
  <c r="CUJ48" i="1" s="1"/>
  <c r="CSU49" i="1"/>
  <c r="CUJ49" i="1" s="1"/>
  <c r="CSU50" i="1"/>
  <c r="CUJ50" i="1" s="1"/>
  <c r="CSU51" i="1"/>
  <c r="CSU52" i="1"/>
  <c r="CSU53" i="1"/>
  <c r="CUJ53" i="1" s="1"/>
  <c r="CSU54" i="1"/>
  <c r="CSU55" i="1"/>
  <c r="CSV9" i="1"/>
  <c r="CUK9" i="1" s="1"/>
  <c r="CSV10" i="1"/>
  <c r="CUK10" i="1" s="1"/>
  <c r="CSV11" i="1"/>
  <c r="CUK11" i="1" s="1"/>
  <c r="CSV12" i="1"/>
  <c r="CSV13" i="1"/>
  <c r="CUK13" i="1" s="1"/>
  <c r="CSV14" i="1"/>
  <c r="CUK14" i="1" s="1"/>
  <c r="CSV15" i="1"/>
  <c r="CSV16" i="1"/>
  <c r="CSV17" i="1"/>
  <c r="CUK17" i="1" s="1"/>
  <c r="CSV18" i="1"/>
  <c r="CUK18" i="1" s="1"/>
  <c r="CSV19" i="1"/>
  <c r="CUK19" i="1" s="1"/>
  <c r="CSV20" i="1"/>
  <c r="CSV21" i="1"/>
  <c r="CUK21" i="1" s="1"/>
  <c r="CSV22" i="1"/>
  <c r="CUK22" i="1" s="1"/>
  <c r="CSV23" i="1"/>
  <c r="CSV24" i="1"/>
  <c r="CSV25" i="1"/>
  <c r="CUK25" i="1" s="1"/>
  <c r="CSV26" i="1"/>
  <c r="CUK26" i="1" s="1"/>
  <c r="CSV27" i="1"/>
  <c r="CUK27" i="1" s="1"/>
  <c r="CSV28" i="1"/>
  <c r="CSV29" i="1"/>
  <c r="CUK29" i="1" s="1"/>
  <c r="CSV30" i="1"/>
  <c r="CUK30" i="1" s="1"/>
  <c r="CSV31" i="1"/>
  <c r="CSV32" i="1"/>
  <c r="CSV33" i="1"/>
  <c r="CUK33" i="1" s="1"/>
  <c r="CSV34" i="1"/>
  <c r="CUK34" i="1" s="1"/>
  <c r="CSV35" i="1"/>
  <c r="CUK35" i="1" s="1"/>
  <c r="CSV36" i="1"/>
  <c r="CSV37" i="1"/>
  <c r="CSV38" i="1"/>
  <c r="CUK38" i="1" s="1"/>
  <c r="CSV39" i="1"/>
  <c r="CSV40" i="1"/>
  <c r="CSV41" i="1"/>
  <c r="CUK41" i="1" s="1"/>
  <c r="CSV42" i="1"/>
  <c r="CUK42" i="1" s="1"/>
  <c r="CSV43" i="1"/>
  <c r="CUK43" i="1" s="1"/>
  <c r="CSV44" i="1"/>
  <c r="CSV45" i="1"/>
  <c r="CUK45" i="1" s="1"/>
  <c r="CSV46" i="1"/>
  <c r="CUK46" i="1" s="1"/>
  <c r="CSV47" i="1"/>
  <c r="CSV48" i="1"/>
  <c r="CSV49" i="1"/>
  <c r="CUK49" i="1" s="1"/>
  <c r="CSV50" i="1"/>
  <c r="CUK50" i="1" s="1"/>
  <c r="CSV51" i="1"/>
  <c r="CUK51" i="1" s="1"/>
  <c r="CSV52" i="1"/>
  <c r="CSV53" i="1"/>
  <c r="CSV54" i="1"/>
  <c r="CUK54" i="1" s="1"/>
  <c r="CSV55" i="1"/>
  <c r="CSW9" i="1"/>
  <c r="CSW10" i="1"/>
  <c r="CUL10" i="1" s="1"/>
  <c r="CSW11" i="1"/>
  <c r="CUL11" i="1" s="1"/>
  <c r="CSW12" i="1"/>
  <c r="CUL12" i="1" s="1"/>
  <c r="CSW13" i="1"/>
  <c r="CSW14" i="1"/>
  <c r="CUL14" i="1" s="1"/>
  <c r="CSW15" i="1"/>
  <c r="CUL15" i="1" s="1"/>
  <c r="CSW16" i="1"/>
  <c r="CSW17" i="1"/>
  <c r="CSW18" i="1"/>
  <c r="CUL18" i="1" s="1"/>
  <c r="CSW19" i="1"/>
  <c r="CUL19" i="1" s="1"/>
  <c r="CSW20" i="1"/>
  <c r="CUL20" i="1" s="1"/>
  <c r="CSW21" i="1"/>
  <c r="CSW22" i="1"/>
  <c r="CUL22" i="1" s="1"/>
  <c r="CSW23" i="1"/>
  <c r="CUL23" i="1" s="1"/>
  <c r="CSW24" i="1"/>
  <c r="CSW25" i="1"/>
  <c r="CSW26" i="1"/>
  <c r="CUL26" i="1" s="1"/>
  <c r="CSW27" i="1"/>
  <c r="CUL27" i="1" s="1"/>
  <c r="CSW28" i="1"/>
  <c r="CUL28" i="1" s="1"/>
  <c r="CSW29" i="1"/>
  <c r="CSW30" i="1"/>
  <c r="CUL30" i="1" s="1"/>
  <c r="CSW31" i="1"/>
  <c r="CUL31" i="1" s="1"/>
  <c r="CSW32" i="1"/>
  <c r="CSW33" i="1"/>
  <c r="CSW34" i="1"/>
  <c r="CUL34" i="1" s="1"/>
  <c r="CSW35" i="1"/>
  <c r="CUL35" i="1" s="1"/>
  <c r="CSW36" i="1"/>
  <c r="CUL36" i="1" s="1"/>
  <c r="CSW37" i="1"/>
  <c r="CSW38" i="1"/>
  <c r="CSW39" i="1"/>
  <c r="CUL39" i="1" s="1"/>
  <c r="CSW40" i="1"/>
  <c r="CSW41" i="1"/>
  <c r="CSW42" i="1"/>
  <c r="CUL42" i="1" s="1"/>
  <c r="CSW43" i="1"/>
  <c r="CUL43" i="1" s="1"/>
  <c r="CSW44" i="1"/>
  <c r="CUL44" i="1" s="1"/>
  <c r="CSW45" i="1"/>
  <c r="CSW46" i="1"/>
  <c r="CSW47" i="1"/>
  <c r="CUL47" i="1" s="1"/>
  <c r="CSW48" i="1"/>
  <c r="CSW49" i="1"/>
  <c r="CSW50" i="1"/>
  <c r="CUL50" i="1" s="1"/>
  <c r="CSW51" i="1"/>
  <c r="CUL51" i="1" s="1"/>
  <c r="CSW52" i="1"/>
  <c r="CUL52" i="1" s="1"/>
  <c r="CSW53" i="1"/>
  <c r="CSW54" i="1"/>
  <c r="CUL54" i="1" s="1"/>
  <c r="CSW55" i="1"/>
  <c r="CUL55" i="1" s="1"/>
  <c r="CSX9" i="1"/>
  <c r="CUM9" i="1" s="1"/>
  <c r="CSX10" i="1"/>
  <c r="CUM10" i="1" s="1"/>
  <c r="CSX11" i="1"/>
  <c r="CUM11" i="1" s="1"/>
  <c r="CSX12" i="1"/>
  <c r="CUM12" i="1" s="1"/>
  <c r="CSX13" i="1"/>
  <c r="CUM13" i="1" s="1"/>
  <c r="CSX14" i="1"/>
  <c r="CSX15" i="1"/>
  <c r="CSX16" i="1"/>
  <c r="CSX17" i="1"/>
  <c r="CSX18" i="1"/>
  <c r="CSX19" i="1"/>
  <c r="CUM19" i="1" s="1"/>
  <c r="CSX20" i="1"/>
  <c r="CUM20" i="1" s="1"/>
  <c r="CSX21" i="1"/>
  <c r="CUM21" i="1" s="1"/>
  <c r="CSX22" i="1"/>
  <c r="CSX23" i="1"/>
  <c r="CUM23" i="1" s="1"/>
  <c r="CSX24" i="1"/>
  <c r="CSX25" i="1"/>
  <c r="CUM25" i="1" s="1"/>
  <c r="CSX26" i="1"/>
  <c r="CSX27" i="1"/>
  <c r="CUM27" i="1" s="1"/>
  <c r="CSX28" i="1"/>
  <c r="CUM28" i="1" s="1"/>
  <c r="CSX29" i="1"/>
  <c r="CUM29" i="1" s="1"/>
  <c r="CSX30" i="1"/>
  <c r="CSX31" i="1"/>
  <c r="CUM31" i="1" s="1"/>
  <c r="CSX32" i="1"/>
  <c r="CUM32" i="1" s="1"/>
  <c r="CSX33" i="1"/>
  <c r="CSX34" i="1"/>
  <c r="CSX35" i="1"/>
  <c r="CUM35" i="1" s="1"/>
  <c r="CSX36" i="1"/>
  <c r="CUM36" i="1" s="1"/>
  <c r="CSX37" i="1"/>
  <c r="CUM37" i="1" s="1"/>
  <c r="CSX38" i="1"/>
  <c r="CSX39" i="1"/>
  <c r="CUM39" i="1" s="1"/>
  <c r="CSX40" i="1"/>
  <c r="CUM40" i="1" s="1"/>
  <c r="CSX41" i="1"/>
  <c r="CUM41" i="1" s="1"/>
  <c r="CSX42" i="1"/>
  <c r="CSX43" i="1"/>
  <c r="CUM43" i="1" s="1"/>
  <c r="CSX44" i="1"/>
  <c r="CUM44" i="1" s="1"/>
  <c r="CSX45" i="1"/>
  <c r="CUM45" i="1" s="1"/>
  <c r="CSX46" i="1"/>
  <c r="CSX47" i="1"/>
  <c r="CSX48" i="1"/>
  <c r="CUM48" i="1" s="1"/>
  <c r="CSX49" i="1"/>
  <c r="CSX50" i="1"/>
  <c r="CUM50" i="1" s="1"/>
  <c r="CSX51" i="1"/>
  <c r="CUM51" i="1" s="1"/>
  <c r="CSX52" i="1"/>
  <c r="CUM52" i="1" s="1"/>
  <c r="CSX53" i="1"/>
  <c r="CUM53" i="1" s="1"/>
  <c r="CSX54" i="1"/>
  <c r="CSX55" i="1"/>
  <c r="CUM55" i="1" s="1"/>
  <c r="CSY9" i="1"/>
  <c r="CUN9" i="1" s="1"/>
  <c r="CSY10" i="1"/>
  <c r="CUN10" i="1" s="1"/>
  <c r="CSY11" i="1"/>
  <c r="CSY12" i="1"/>
  <c r="CUN12" i="1" s="1"/>
  <c r="CSY13" i="1"/>
  <c r="CUN13" i="1" s="1"/>
  <c r="CSY14" i="1"/>
  <c r="CUN14" i="1" s="1"/>
  <c r="CSY15" i="1"/>
  <c r="CSY16" i="1"/>
  <c r="CSY17" i="1"/>
  <c r="CUN17" i="1" s="1"/>
  <c r="CSY18" i="1"/>
  <c r="CSY19" i="1"/>
  <c r="CSY20" i="1"/>
  <c r="CUN20" i="1" s="1"/>
  <c r="CSY21" i="1"/>
  <c r="CUN21" i="1" s="1"/>
  <c r="CSY22" i="1"/>
  <c r="CUN22" i="1" s="1"/>
  <c r="CSY23" i="1"/>
  <c r="CSY24" i="1"/>
  <c r="CUN24" i="1" s="1"/>
  <c r="CSY25" i="1"/>
  <c r="CUN25" i="1" s="1"/>
  <c r="CSY26" i="1"/>
  <c r="CUN26" i="1" s="1"/>
  <c r="CSY27" i="1"/>
  <c r="CUN27" i="1" s="1"/>
  <c r="CSY28" i="1"/>
  <c r="CUN28" i="1" s="1"/>
  <c r="CSY29" i="1"/>
  <c r="CUN29" i="1" s="1"/>
  <c r="CSY30" i="1"/>
  <c r="CUN30" i="1" s="1"/>
  <c r="CSY31" i="1"/>
  <c r="CSY32" i="1"/>
  <c r="CSY33" i="1"/>
  <c r="CSY34" i="1"/>
  <c r="CSY35" i="1"/>
  <c r="CSY36" i="1"/>
  <c r="CUN36" i="1" s="1"/>
  <c r="CSY37" i="1"/>
  <c r="CUN37" i="1" s="1"/>
  <c r="CSY38" i="1"/>
  <c r="CUN38" i="1" s="1"/>
  <c r="CSY39" i="1"/>
  <c r="CSY40" i="1"/>
  <c r="CUN40" i="1" s="1"/>
  <c r="CSY41" i="1"/>
  <c r="CSY42" i="1"/>
  <c r="CUN42" i="1" s="1"/>
  <c r="CSY43" i="1"/>
  <c r="CSY44" i="1"/>
  <c r="CUN44" i="1" s="1"/>
  <c r="CSY45" i="1"/>
  <c r="CUN45" i="1" s="1"/>
  <c r="CSY46" i="1"/>
  <c r="CUN46" i="1" s="1"/>
  <c r="CSY47" i="1"/>
  <c r="CSY48" i="1"/>
  <c r="CUN48" i="1" s="1"/>
  <c r="CSY49" i="1"/>
  <c r="CUN49" i="1" s="1"/>
  <c r="CSY50" i="1"/>
  <c r="CSY51" i="1"/>
  <c r="CSY52" i="1"/>
  <c r="CUN52" i="1" s="1"/>
  <c r="CSY53" i="1"/>
  <c r="CUN53" i="1" s="1"/>
  <c r="CSY54" i="1"/>
  <c r="CUN54" i="1" s="1"/>
  <c r="CSY55" i="1"/>
  <c r="CSZ9" i="1"/>
  <c r="CUO9" i="1" s="1"/>
  <c r="CSZ10" i="1"/>
  <c r="CUO10" i="1" s="1"/>
  <c r="CSZ11" i="1"/>
  <c r="CUO11" i="1" s="1"/>
  <c r="CSZ12" i="1"/>
  <c r="CSZ13" i="1"/>
  <c r="CUO13" i="1" s="1"/>
  <c r="CSZ14" i="1"/>
  <c r="CUO14" i="1" s="1"/>
  <c r="CSZ15" i="1"/>
  <c r="CUO15" i="1" s="1"/>
  <c r="CSZ16" i="1"/>
  <c r="CSZ17" i="1"/>
  <c r="CSZ18" i="1"/>
  <c r="CUO18" i="1" s="1"/>
  <c r="CSZ19" i="1"/>
  <c r="CSZ20" i="1"/>
  <c r="CUO20" i="1" s="1"/>
  <c r="CSZ21" i="1"/>
  <c r="CUO21" i="1" s="1"/>
  <c r="CSZ22" i="1"/>
  <c r="CUO22" i="1" s="1"/>
  <c r="CSZ23" i="1"/>
  <c r="CUO23" i="1" s="1"/>
  <c r="CSZ24" i="1"/>
  <c r="CSZ25" i="1"/>
  <c r="CUO25" i="1" s="1"/>
  <c r="CSZ26" i="1"/>
  <c r="CUO26" i="1" s="1"/>
  <c r="CSZ27" i="1"/>
  <c r="CUO27" i="1" s="1"/>
  <c r="CSZ28" i="1"/>
  <c r="CSZ29" i="1"/>
  <c r="CUO29" i="1" s="1"/>
  <c r="CSZ30" i="1"/>
  <c r="CUO30" i="1" s="1"/>
  <c r="CSZ31" i="1"/>
  <c r="CUO31" i="1" s="1"/>
  <c r="CSZ32" i="1"/>
  <c r="CSZ33" i="1"/>
  <c r="CSZ34" i="1"/>
  <c r="CUO34" i="1" s="1"/>
  <c r="CSZ35" i="1"/>
  <c r="CSZ36" i="1"/>
  <c r="CSZ37" i="1"/>
  <c r="CUO37" i="1" s="1"/>
  <c r="CSZ38" i="1"/>
  <c r="CUO38" i="1" s="1"/>
  <c r="CSZ39" i="1"/>
  <c r="CUO39" i="1" s="1"/>
  <c r="CSZ40" i="1"/>
  <c r="CSZ41" i="1"/>
  <c r="CUO41" i="1" s="1"/>
  <c r="CSZ42" i="1"/>
  <c r="CUO42" i="1" s="1"/>
  <c r="CSZ43" i="1"/>
  <c r="CUO43" i="1" s="1"/>
  <c r="CSZ44" i="1"/>
  <c r="CUO44" i="1" s="1"/>
  <c r="CSZ45" i="1"/>
  <c r="CUO45" i="1" s="1"/>
  <c r="CSZ46" i="1"/>
  <c r="CUO46" i="1" s="1"/>
  <c r="CSZ47" i="1"/>
  <c r="CUO47" i="1" s="1"/>
  <c r="CSZ48" i="1"/>
  <c r="CSZ49" i="1"/>
  <c r="CUO49" i="1" s="1"/>
  <c r="CSZ50" i="1"/>
  <c r="CUO50" i="1" s="1"/>
  <c r="CSZ51" i="1"/>
  <c r="CSZ52" i="1"/>
  <c r="CSZ53" i="1"/>
  <c r="CUO53" i="1" s="1"/>
  <c r="CSZ54" i="1"/>
  <c r="CUO54" i="1" s="1"/>
  <c r="CSZ55" i="1"/>
  <c r="CUO55" i="1" s="1"/>
  <c r="CTA9" i="1"/>
  <c r="CTA10" i="1"/>
  <c r="CUP10" i="1" s="1"/>
  <c r="CTA11" i="1"/>
  <c r="CUP11" i="1" s="1"/>
  <c r="CTA12" i="1"/>
  <c r="CUP12" i="1" s="1"/>
  <c r="CTA13" i="1"/>
  <c r="CTA14" i="1"/>
  <c r="CUP14" i="1" s="1"/>
  <c r="CTA15" i="1"/>
  <c r="CUP15" i="1" s="1"/>
  <c r="CTA16" i="1"/>
  <c r="CUP16" i="1" s="1"/>
  <c r="CTA17" i="1"/>
  <c r="CTA18" i="1"/>
  <c r="CUP18" i="1" s="1"/>
  <c r="CTA19" i="1"/>
  <c r="CUP19" i="1" s="1"/>
  <c r="CTA20" i="1"/>
  <c r="CTA21" i="1"/>
  <c r="CTA22" i="1"/>
  <c r="CUP22" i="1" s="1"/>
  <c r="CTA23" i="1"/>
  <c r="CUP23" i="1" s="1"/>
  <c r="CTA24" i="1"/>
  <c r="CUP24" i="1" s="1"/>
  <c r="CTA25" i="1"/>
  <c r="CTA26" i="1"/>
  <c r="CUP26" i="1" s="1"/>
  <c r="CTA27" i="1"/>
  <c r="CUP27" i="1" s="1"/>
  <c r="CTA28" i="1"/>
  <c r="CUP28" i="1" s="1"/>
  <c r="CTA29" i="1"/>
  <c r="CTA30" i="1"/>
  <c r="CUP30" i="1" s="1"/>
  <c r="CTA31" i="1"/>
  <c r="CUP31" i="1" s="1"/>
  <c r="CTA32" i="1"/>
  <c r="CUP32" i="1" s="1"/>
  <c r="CTA33" i="1"/>
  <c r="CTA34" i="1"/>
  <c r="CTA35" i="1"/>
  <c r="CUP35" i="1" s="1"/>
  <c r="CTA36" i="1"/>
  <c r="CTA37" i="1"/>
  <c r="CUP37" i="1" s="1"/>
  <c r="CTA38" i="1"/>
  <c r="CUP38" i="1" s="1"/>
  <c r="CTA39" i="1"/>
  <c r="CUP39" i="1" s="1"/>
  <c r="CTA40" i="1"/>
  <c r="CUP40" i="1" s="1"/>
  <c r="CTA41" i="1"/>
  <c r="CUP41" i="1" s="1"/>
  <c r="CTA42" i="1"/>
  <c r="CUP42" i="1" s="1"/>
  <c r="CTA43" i="1"/>
  <c r="CUP43" i="1" s="1"/>
  <c r="CTA44" i="1"/>
  <c r="CUP44" i="1" s="1"/>
  <c r="CTA45" i="1"/>
  <c r="CTA46" i="1"/>
  <c r="CUP46" i="1" s="1"/>
  <c r="CTA47" i="1"/>
  <c r="CUP47" i="1" s="1"/>
  <c r="CTA48" i="1"/>
  <c r="CUP48" i="1" s="1"/>
  <c r="CTA49" i="1"/>
  <c r="CTA50" i="1"/>
  <c r="CUP50" i="1" s="1"/>
  <c r="CTA51" i="1"/>
  <c r="CUP51" i="1" s="1"/>
  <c r="CTA52" i="1"/>
  <c r="CTA53" i="1"/>
  <c r="CTA54" i="1"/>
  <c r="CUP54" i="1" s="1"/>
  <c r="CTA55" i="1"/>
  <c r="CUP55" i="1" s="1"/>
  <c r="CTB9" i="1"/>
  <c r="CUQ9" i="1" s="1"/>
  <c r="CTB10" i="1"/>
  <c r="CTB11" i="1"/>
  <c r="CUQ11" i="1" s="1"/>
  <c r="CTB12" i="1"/>
  <c r="CUQ12" i="1" s="1"/>
  <c r="CTB13" i="1"/>
  <c r="CTB14" i="1"/>
  <c r="CUQ14" i="1" s="1"/>
  <c r="CTB15" i="1"/>
  <c r="CUQ15" i="1" s="1"/>
  <c r="CTB16" i="1"/>
  <c r="CUQ16" i="1" s="1"/>
  <c r="CTB17" i="1"/>
  <c r="CUQ17" i="1" s="1"/>
  <c r="CTB18" i="1"/>
  <c r="CUQ18" i="1" s="1"/>
  <c r="CTB19" i="1"/>
  <c r="CUQ19" i="1" s="1"/>
  <c r="CTB20" i="1"/>
  <c r="CUQ20" i="1" s="1"/>
  <c r="CTB21" i="1"/>
  <c r="CTB22" i="1"/>
  <c r="CTB23" i="1"/>
  <c r="CUQ23" i="1" s="1"/>
  <c r="CTB24" i="1"/>
  <c r="CUQ24" i="1" s="1"/>
  <c r="CTB25" i="1"/>
  <c r="CUQ25" i="1" s="1"/>
  <c r="CTB26" i="1"/>
  <c r="CTB27" i="1"/>
  <c r="CUQ27" i="1" s="1"/>
  <c r="CTB28" i="1"/>
  <c r="CUQ28" i="1" s="1"/>
  <c r="CTB29" i="1"/>
  <c r="CTB30" i="1"/>
  <c r="CTB31" i="1"/>
  <c r="CUQ31" i="1" s="1"/>
  <c r="CTB32" i="1"/>
  <c r="CUQ32" i="1" s="1"/>
  <c r="CTB33" i="1"/>
  <c r="CUQ33" i="1" s="1"/>
  <c r="CTB34" i="1"/>
  <c r="CTB35" i="1"/>
  <c r="CUQ35" i="1" s="1"/>
  <c r="CTB36" i="1"/>
  <c r="CUQ36" i="1" s="1"/>
  <c r="CTB37" i="1"/>
  <c r="CTB38" i="1"/>
  <c r="CUQ38" i="1" s="1"/>
  <c r="CTB39" i="1"/>
  <c r="CUQ39" i="1" s="1"/>
  <c r="CTB40" i="1"/>
  <c r="CUQ40" i="1" s="1"/>
  <c r="CTB41" i="1"/>
  <c r="CUQ41" i="1" s="1"/>
  <c r="CTB42" i="1"/>
  <c r="CTB43" i="1"/>
  <c r="CUQ43" i="1" s="1"/>
  <c r="CTB44" i="1"/>
  <c r="CUQ44" i="1" s="1"/>
  <c r="CTB45" i="1"/>
  <c r="CTB46" i="1"/>
  <c r="CUQ46" i="1" s="1"/>
  <c r="CTB47" i="1"/>
  <c r="CUQ47" i="1" s="1"/>
  <c r="CTB48" i="1"/>
  <c r="CUQ48" i="1" s="1"/>
  <c r="CTB49" i="1"/>
  <c r="CUQ49" i="1" s="1"/>
  <c r="CTB50" i="1"/>
  <c r="CTB51" i="1"/>
  <c r="CUQ51" i="1" s="1"/>
  <c r="CTB52" i="1"/>
  <c r="CUQ52" i="1" s="1"/>
  <c r="CTB53" i="1"/>
  <c r="CTB54" i="1"/>
  <c r="CTB55" i="1"/>
  <c r="CUQ55" i="1" s="1"/>
  <c r="CTC9" i="1"/>
  <c r="CUR9" i="1" s="1"/>
  <c r="CTC10" i="1"/>
  <c r="CUR10" i="1" s="1"/>
  <c r="CTC11" i="1"/>
  <c r="CUR11" i="1" s="1"/>
  <c r="CTC12" i="1"/>
  <c r="CUR12" i="1" s="1"/>
  <c r="CTC13" i="1"/>
  <c r="CUR13" i="1" s="1"/>
  <c r="CTC14" i="1"/>
  <c r="CUR14" i="1" s="1"/>
  <c r="CTC15" i="1"/>
  <c r="CTC16" i="1"/>
  <c r="CUR16" i="1" s="1"/>
  <c r="CTC17" i="1"/>
  <c r="CUR17" i="1" s="1"/>
  <c r="CTC18" i="1"/>
  <c r="CUR18" i="1" s="1"/>
  <c r="CTC19" i="1"/>
  <c r="CTC20" i="1"/>
  <c r="CUR20" i="1" s="1"/>
  <c r="CTC21" i="1"/>
  <c r="CUR21" i="1" s="1"/>
  <c r="CTC22" i="1"/>
  <c r="CTC23" i="1"/>
  <c r="CTC24" i="1"/>
  <c r="CUR24" i="1" s="1"/>
  <c r="CTC25" i="1"/>
  <c r="CUR25" i="1" s="1"/>
  <c r="CTC26" i="1"/>
  <c r="CUR26" i="1" s="1"/>
  <c r="CTC27" i="1"/>
  <c r="CTC28" i="1"/>
  <c r="CUR28" i="1" s="1"/>
  <c r="CTC29" i="1"/>
  <c r="CUR29" i="1" s="1"/>
  <c r="CTC30" i="1"/>
  <c r="CTC31" i="1"/>
  <c r="CTC32" i="1"/>
  <c r="CUR32" i="1" s="1"/>
  <c r="CTC33" i="1"/>
  <c r="CUR33" i="1" s="1"/>
  <c r="CTC34" i="1"/>
  <c r="CUR34" i="1" s="1"/>
  <c r="CTC35" i="1"/>
  <c r="CUR35" i="1" s="1"/>
  <c r="CTC36" i="1"/>
  <c r="CUR36" i="1" s="1"/>
  <c r="CTC37" i="1"/>
  <c r="CUR37" i="1" s="1"/>
  <c r="CTC38" i="1"/>
  <c r="CTC39" i="1"/>
  <c r="CTC40" i="1"/>
  <c r="CUR40" i="1" s="1"/>
  <c r="CTC41" i="1"/>
  <c r="CUR41" i="1" s="1"/>
  <c r="CTC42" i="1"/>
  <c r="CUR42" i="1" s="1"/>
  <c r="CTC43" i="1"/>
  <c r="CUR43" i="1" s="1"/>
  <c r="CTC44" i="1"/>
  <c r="CUR44" i="1" s="1"/>
  <c r="CTC45" i="1"/>
  <c r="CUR45" i="1" s="1"/>
  <c r="CTC46" i="1"/>
  <c r="CTC47" i="1"/>
  <c r="CTC48" i="1"/>
  <c r="CUR48" i="1" s="1"/>
  <c r="CTC49" i="1"/>
  <c r="CUR49" i="1" s="1"/>
  <c r="CTC50" i="1"/>
  <c r="CUR50" i="1" s="1"/>
  <c r="CTC51" i="1"/>
  <c r="CTC52" i="1"/>
  <c r="CUR52" i="1" s="1"/>
  <c r="CTC53" i="1"/>
  <c r="CUR53" i="1" s="1"/>
  <c r="CTC54" i="1"/>
  <c r="CTC55" i="1"/>
  <c r="CTD9" i="1"/>
  <c r="CUS9" i="1" s="1"/>
  <c r="CTD10" i="1"/>
  <c r="CUS10" i="1" s="1"/>
  <c r="CTD11" i="1"/>
  <c r="CUS11" i="1" s="1"/>
  <c r="CTD12" i="1"/>
  <c r="CTD13" i="1"/>
  <c r="CUS13" i="1" s="1"/>
  <c r="CTD14" i="1"/>
  <c r="CUS14" i="1" s="1"/>
  <c r="CTD15" i="1"/>
  <c r="CTD16" i="1"/>
  <c r="CUS16" i="1" s="1"/>
  <c r="CTD17" i="1"/>
  <c r="CUS17" i="1" s="1"/>
  <c r="CTD18" i="1"/>
  <c r="CUS18" i="1" s="1"/>
  <c r="CTD19" i="1"/>
  <c r="CUS19" i="1" s="1"/>
  <c r="CTD20" i="1"/>
  <c r="CUS20" i="1" s="1"/>
  <c r="CTD21" i="1"/>
  <c r="CUS21" i="1" s="1"/>
  <c r="CTD22" i="1"/>
  <c r="CUS22" i="1" s="1"/>
  <c r="CTD23" i="1"/>
  <c r="CTD24" i="1"/>
  <c r="CUS24" i="1" s="1"/>
  <c r="CTD25" i="1"/>
  <c r="CUS25" i="1" s="1"/>
  <c r="CTD26" i="1"/>
  <c r="CUS26" i="1" s="1"/>
  <c r="CTD27" i="1"/>
  <c r="CUS27" i="1" s="1"/>
  <c r="CTD28" i="1"/>
  <c r="CUS28" i="1" s="1"/>
  <c r="CTD29" i="1"/>
  <c r="CUS29" i="1" s="1"/>
  <c r="CTD30" i="1"/>
  <c r="CUS30" i="1" s="1"/>
  <c r="CTD31" i="1"/>
  <c r="CUS31" i="1" s="1"/>
  <c r="CTD32" i="1"/>
  <c r="CTD33" i="1"/>
  <c r="CUS33" i="1" s="1"/>
  <c r="CTD34" i="1"/>
  <c r="CUS34" i="1" s="1"/>
  <c r="CTD35" i="1"/>
  <c r="CUS35" i="1" s="1"/>
  <c r="CTD36" i="1"/>
  <c r="CTD37" i="1"/>
  <c r="CUS37" i="1" s="1"/>
  <c r="CTD38" i="1"/>
  <c r="CUS38" i="1" s="1"/>
  <c r="CTD39" i="1"/>
  <c r="CTD40" i="1"/>
  <c r="CTD41" i="1"/>
  <c r="CUS41" i="1" s="1"/>
  <c r="CTD42" i="1"/>
  <c r="CUS42" i="1" s="1"/>
  <c r="CTD43" i="1"/>
  <c r="CUS43" i="1" s="1"/>
  <c r="CTD44" i="1"/>
  <c r="CTD45" i="1"/>
  <c r="CUS45" i="1" s="1"/>
  <c r="CTD46" i="1"/>
  <c r="CUS46" i="1" s="1"/>
  <c r="CTD47" i="1"/>
  <c r="CTD48" i="1"/>
  <c r="CTD49" i="1"/>
  <c r="CUS49" i="1" s="1"/>
  <c r="CTD50" i="1"/>
  <c r="CUS50" i="1" s="1"/>
  <c r="CTD51" i="1"/>
  <c r="CUS51" i="1" s="1"/>
  <c r="CTD52" i="1"/>
  <c r="CUS52" i="1" s="1"/>
  <c r="CTD53" i="1"/>
  <c r="CUS53" i="1" s="1"/>
  <c r="CTD54" i="1"/>
  <c r="CUS54" i="1" s="1"/>
  <c r="CTD55" i="1"/>
  <c r="CTE9" i="1"/>
  <c r="CTE10" i="1"/>
  <c r="CUT10" i="1" s="1"/>
  <c r="CTE11" i="1"/>
  <c r="CUT11" i="1" s="1"/>
  <c r="CTE12" i="1"/>
  <c r="CUT12" i="1" s="1"/>
  <c r="CTE13" i="1"/>
  <c r="CTE14" i="1"/>
  <c r="CUT14" i="1" s="1"/>
  <c r="CTE15" i="1"/>
  <c r="CUT15" i="1" s="1"/>
  <c r="CTE16" i="1"/>
  <c r="CTE17" i="1"/>
  <c r="CTE18" i="1"/>
  <c r="CUT18" i="1" s="1"/>
  <c r="CTE19" i="1"/>
  <c r="CUT19" i="1" s="1"/>
  <c r="CTE20" i="1"/>
  <c r="CUT20" i="1" s="1"/>
  <c r="CTE21" i="1"/>
  <c r="CTE22" i="1"/>
  <c r="CUT22" i="1" s="1"/>
  <c r="CTE23" i="1"/>
  <c r="CUT23" i="1" s="1"/>
  <c r="CTE24" i="1"/>
  <c r="CTE25" i="1"/>
  <c r="CTE26" i="1"/>
  <c r="CUT26" i="1" s="1"/>
  <c r="CTE27" i="1"/>
  <c r="CUT27" i="1" s="1"/>
  <c r="CTE28" i="1"/>
  <c r="CUT28" i="1" s="1"/>
  <c r="CTE29" i="1"/>
  <c r="CUT29" i="1" s="1"/>
  <c r="CTE30" i="1"/>
  <c r="CUT30" i="1" s="1"/>
  <c r="CTE31" i="1"/>
  <c r="CUT31" i="1" s="1"/>
  <c r="CTE32" i="1"/>
  <c r="CTE33" i="1"/>
  <c r="CTE34" i="1"/>
  <c r="CUT34" i="1" s="1"/>
  <c r="CTE35" i="1"/>
  <c r="CUT35" i="1" s="1"/>
  <c r="CTE36" i="1"/>
  <c r="CUT36" i="1" s="1"/>
  <c r="CTE37" i="1"/>
  <c r="CTE38" i="1"/>
  <c r="CUT38" i="1" s="1"/>
  <c r="CTE39" i="1"/>
  <c r="CUT39" i="1" s="1"/>
  <c r="CTE40" i="1"/>
  <c r="CTE41" i="1"/>
  <c r="CTE42" i="1"/>
  <c r="CUT42" i="1" s="1"/>
  <c r="CTE43" i="1"/>
  <c r="CUT43" i="1" s="1"/>
  <c r="CTE44" i="1"/>
  <c r="CUT44" i="1" s="1"/>
  <c r="CTE45" i="1"/>
  <c r="CUT45" i="1" s="1"/>
  <c r="CTE46" i="1"/>
  <c r="CUT46" i="1" s="1"/>
  <c r="CTE47" i="1"/>
  <c r="CUT47" i="1" s="1"/>
  <c r="CTE48" i="1"/>
  <c r="CUT48" i="1" s="1"/>
  <c r="CTE49" i="1"/>
  <c r="CUT49" i="1" s="1"/>
  <c r="CTE50" i="1"/>
  <c r="CUT50" i="1" s="1"/>
  <c r="CTE51" i="1"/>
  <c r="CUT51" i="1" s="1"/>
  <c r="CTE52" i="1"/>
  <c r="CUT52" i="1" s="1"/>
  <c r="CTE53" i="1"/>
  <c r="CTE54" i="1"/>
  <c r="CUT54" i="1" s="1"/>
  <c r="CTE55" i="1"/>
  <c r="CUT55" i="1" s="1"/>
  <c r="CTF9" i="1"/>
  <c r="CTF10" i="1"/>
  <c r="CUU10" i="1" s="1"/>
  <c r="CTF11" i="1"/>
  <c r="CUU11" i="1" s="1"/>
  <c r="CTF12" i="1"/>
  <c r="CUU12" i="1" s="1"/>
  <c r="CTF13" i="1"/>
  <c r="CUU13" i="1" s="1"/>
  <c r="CTF14" i="1"/>
  <c r="CUU14" i="1" s="1"/>
  <c r="CTF15" i="1"/>
  <c r="CUU15" i="1" s="1"/>
  <c r="CTF16" i="1"/>
  <c r="CUU16" i="1" s="1"/>
  <c r="CTF17" i="1"/>
  <c r="CTF18" i="1"/>
  <c r="CTF19" i="1"/>
  <c r="CUU19" i="1" s="1"/>
  <c r="CTF20" i="1"/>
  <c r="CUU20" i="1" s="1"/>
  <c r="CTF21" i="1"/>
  <c r="CUU21" i="1" s="1"/>
  <c r="CTF22" i="1"/>
  <c r="CUU22" i="1" s="1"/>
  <c r="CTF23" i="1"/>
  <c r="CUU23" i="1" s="1"/>
  <c r="CTF24" i="1"/>
  <c r="CUU24" i="1" s="1"/>
  <c r="CTF25" i="1"/>
  <c r="CTF26" i="1"/>
  <c r="CUU26" i="1" s="1"/>
  <c r="CTF27" i="1"/>
  <c r="CUU27" i="1" s="1"/>
  <c r="CTF28" i="1"/>
  <c r="CUU28" i="1" s="1"/>
  <c r="CTF29" i="1"/>
  <c r="CUU29" i="1" s="1"/>
  <c r="CTF30" i="1"/>
  <c r="CTF31" i="1"/>
  <c r="CUU31" i="1" s="1"/>
  <c r="CTF32" i="1"/>
  <c r="CUU32" i="1" s="1"/>
  <c r="CTF33" i="1"/>
  <c r="CTF34" i="1"/>
  <c r="CUU34" i="1" s="1"/>
  <c r="CTF35" i="1"/>
  <c r="CUU35" i="1" s="1"/>
  <c r="CTF36" i="1"/>
  <c r="CUU36" i="1" s="1"/>
  <c r="CTF37" i="1"/>
  <c r="CUU37" i="1" s="1"/>
  <c r="CTF38" i="1"/>
  <c r="CTF39" i="1"/>
  <c r="CUU39" i="1" s="1"/>
  <c r="CTF40" i="1"/>
  <c r="CUU40" i="1" s="1"/>
  <c r="CTF41" i="1"/>
  <c r="CTF42" i="1"/>
  <c r="CTF43" i="1"/>
  <c r="CUU43" i="1" s="1"/>
  <c r="CTF44" i="1"/>
  <c r="CUU44" i="1" s="1"/>
  <c r="CTF45" i="1"/>
  <c r="CUU45" i="1" s="1"/>
  <c r="CTF46" i="1"/>
  <c r="CUU46" i="1" s="1"/>
  <c r="CTF47" i="1"/>
  <c r="CUU47" i="1" s="1"/>
  <c r="CTF48" i="1"/>
  <c r="CUU48" i="1" s="1"/>
  <c r="CTF49" i="1"/>
  <c r="CTF50" i="1"/>
  <c r="CUU50" i="1" s="1"/>
  <c r="CTF51" i="1"/>
  <c r="CUU51" i="1" s="1"/>
  <c r="CTF52" i="1"/>
  <c r="CUU52" i="1" s="1"/>
  <c r="CTF53" i="1"/>
  <c r="CUU53" i="1" s="1"/>
  <c r="CTF54" i="1"/>
  <c r="CTF55" i="1"/>
  <c r="CUU55" i="1" s="1"/>
  <c r="CTG9" i="1"/>
  <c r="CUV9" i="1" s="1"/>
  <c r="CTG10" i="1"/>
  <c r="CTG11" i="1"/>
  <c r="CUV11" i="1" s="1"/>
  <c r="CTG12" i="1"/>
  <c r="CUV12" i="1" s="1"/>
  <c r="CTG13" i="1"/>
  <c r="CUV13" i="1" s="1"/>
  <c r="CTG14" i="1"/>
  <c r="CUV14" i="1" s="1"/>
  <c r="CTG15" i="1"/>
  <c r="CUV15" i="1" s="1"/>
  <c r="CTG16" i="1"/>
  <c r="CUV16" i="1" s="1"/>
  <c r="CTG17" i="1"/>
  <c r="CUV17" i="1" s="1"/>
  <c r="CTG18" i="1"/>
  <c r="CUV18" i="1" s="1"/>
  <c r="CTG19" i="1"/>
  <c r="CTG20" i="1"/>
  <c r="CUV20" i="1" s="1"/>
  <c r="CTG21" i="1"/>
  <c r="CUV21" i="1" s="1"/>
  <c r="CTG22" i="1"/>
  <c r="CUV22" i="1" s="1"/>
  <c r="CTG23" i="1"/>
  <c r="CTG24" i="1"/>
  <c r="CUV24" i="1" s="1"/>
  <c r="CTG25" i="1"/>
  <c r="CUV25" i="1" s="1"/>
  <c r="CTG26" i="1"/>
  <c r="CTG27" i="1"/>
  <c r="CTG28" i="1"/>
  <c r="CUV28" i="1" s="1"/>
  <c r="CTG29" i="1"/>
  <c r="CUV29" i="1" s="1"/>
  <c r="CTG30" i="1"/>
  <c r="CUV30" i="1" s="1"/>
  <c r="CTG31" i="1"/>
  <c r="CUV31" i="1" s="1"/>
  <c r="CTG32" i="1"/>
  <c r="CUV32" i="1" s="1"/>
  <c r="CTG33" i="1"/>
  <c r="CUV33" i="1" s="1"/>
  <c r="CTG34" i="1"/>
  <c r="CTG35" i="1"/>
  <c r="CTG36" i="1"/>
  <c r="CUV36" i="1" s="1"/>
  <c r="CTG37" i="1"/>
  <c r="CUV37" i="1" s="1"/>
  <c r="CTG38" i="1"/>
  <c r="CUV38" i="1" s="1"/>
  <c r="CTG39" i="1"/>
  <c r="CUV39" i="1" s="1"/>
  <c r="CTG40" i="1"/>
  <c r="CUV40" i="1" s="1"/>
  <c r="CTG41" i="1"/>
  <c r="CUV41" i="1" s="1"/>
  <c r="CTG42" i="1"/>
  <c r="CTG43" i="1"/>
  <c r="CTG44" i="1"/>
  <c r="CUV44" i="1" s="1"/>
  <c r="CTG45" i="1"/>
  <c r="CUV45" i="1" s="1"/>
  <c r="CTG46" i="1"/>
  <c r="CUV46" i="1" s="1"/>
  <c r="CTG47" i="1"/>
  <c r="CTG48" i="1"/>
  <c r="CUV48" i="1" s="1"/>
  <c r="CTG49" i="1"/>
  <c r="CUV49" i="1" s="1"/>
  <c r="CTG50" i="1"/>
  <c r="CTG51" i="1"/>
  <c r="CTG52" i="1"/>
  <c r="CUV52" i="1" s="1"/>
  <c r="CTG53" i="1"/>
  <c r="CUV53" i="1" s="1"/>
  <c r="CTG54" i="1"/>
  <c r="CUV54" i="1" s="1"/>
  <c r="CTG55" i="1"/>
  <c r="CUV55" i="1" s="1"/>
  <c r="CTH9" i="1"/>
  <c r="CUW9" i="1" s="1"/>
  <c r="CTH10" i="1"/>
  <c r="CUW10" i="1" s="1"/>
  <c r="CTH11" i="1"/>
  <c r="CTH12" i="1"/>
  <c r="CTH13" i="1"/>
  <c r="CUW13" i="1" s="1"/>
  <c r="CTH14" i="1"/>
  <c r="CUW14" i="1" s="1"/>
  <c r="CTH15" i="1"/>
  <c r="CUW15" i="1" s="1"/>
  <c r="CTH16" i="1"/>
  <c r="CUW16" i="1" s="1"/>
  <c r="CTH17" i="1"/>
  <c r="CUW17" i="1" s="1"/>
  <c r="CTH18" i="1"/>
  <c r="CUW18" i="1" s="1"/>
  <c r="CTH19" i="1"/>
  <c r="CTH20" i="1"/>
  <c r="CTH21" i="1"/>
  <c r="CUW21" i="1" s="1"/>
  <c r="CTH22" i="1"/>
  <c r="CUW22" i="1" s="1"/>
  <c r="CTH23" i="1"/>
  <c r="CUW23" i="1" s="1"/>
  <c r="CTH24" i="1"/>
  <c r="CTH25" i="1"/>
  <c r="CUW25" i="1" s="1"/>
  <c r="CTH26" i="1"/>
  <c r="CUW26" i="1" s="1"/>
  <c r="CTH27" i="1"/>
  <c r="CTH28" i="1"/>
  <c r="CTH29" i="1"/>
  <c r="CUW29" i="1" s="1"/>
  <c r="CTH30" i="1"/>
  <c r="CUW30" i="1" s="1"/>
  <c r="CTH31" i="1"/>
  <c r="CUW31" i="1" s="1"/>
  <c r="CTH32" i="1"/>
  <c r="CUW32" i="1" s="1"/>
  <c r="CTH33" i="1"/>
  <c r="CUW33" i="1" s="1"/>
  <c r="CTH34" i="1"/>
  <c r="CUW34" i="1" s="1"/>
  <c r="CTH35" i="1"/>
  <c r="CUW35" i="1" s="1"/>
  <c r="CTH36" i="1"/>
  <c r="CUW36" i="1" s="1"/>
  <c r="CTH37" i="1"/>
  <c r="CUW37" i="1" s="1"/>
  <c r="CTH38" i="1"/>
  <c r="CUW38" i="1" s="1"/>
  <c r="CTH39" i="1"/>
  <c r="CUW39" i="1" s="1"/>
  <c r="CTH40" i="1"/>
  <c r="CUW40" i="1" s="1"/>
  <c r="CTH41" i="1"/>
  <c r="CUW41" i="1" s="1"/>
  <c r="CTH42" i="1"/>
  <c r="CUW42" i="1" s="1"/>
  <c r="CTH43" i="1"/>
  <c r="CTH44" i="1"/>
  <c r="CUW44" i="1" s="1"/>
  <c r="CTH45" i="1"/>
  <c r="CUW45" i="1" s="1"/>
  <c r="CTH46" i="1"/>
  <c r="CUW46" i="1" s="1"/>
  <c r="CTH47" i="1"/>
  <c r="CUW47" i="1" s="1"/>
  <c r="CTH48" i="1"/>
  <c r="CTH49" i="1"/>
  <c r="CUW49" i="1" s="1"/>
  <c r="CTH50" i="1"/>
  <c r="CUW50" i="1" s="1"/>
  <c r="CTH51" i="1"/>
  <c r="CTH52" i="1"/>
  <c r="CTH53" i="1"/>
  <c r="CUW53" i="1" s="1"/>
  <c r="CTH54" i="1"/>
  <c r="CUW54" i="1" s="1"/>
  <c r="CTH55" i="1"/>
  <c r="CUW55" i="1" s="1"/>
  <c r="CTI9" i="1"/>
  <c r="CUX9" i="1" s="1"/>
  <c r="CTI10" i="1"/>
  <c r="CUX10" i="1" s="1"/>
  <c r="CTI11" i="1"/>
  <c r="CUX11" i="1" s="1"/>
  <c r="CTI12" i="1"/>
  <c r="CTI13" i="1"/>
  <c r="CUX13" i="1" s="1"/>
  <c r="CTI14" i="1"/>
  <c r="CUX14" i="1" s="1"/>
  <c r="CTI15" i="1"/>
  <c r="CUX15" i="1" s="1"/>
  <c r="CTI16" i="1"/>
  <c r="CUX16" i="1" s="1"/>
  <c r="CTI17" i="1"/>
  <c r="CTI18" i="1"/>
  <c r="CUX18" i="1" s="1"/>
  <c r="CTI19" i="1"/>
  <c r="CUX19" i="1" s="1"/>
  <c r="CTI20" i="1"/>
  <c r="CTI21" i="1"/>
  <c r="CUX21" i="1" s="1"/>
  <c r="CTI22" i="1"/>
  <c r="CUX22" i="1" s="1"/>
  <c r="CTI23" i="1"/>
  <c r="CUX23" i="1" s="1"/>
  <c r="CTI24" i="1"/>
  <c r="CUX24" i="1" s="1"/>
  <c r="CTI25" i="1"/>
  <c r="CUX25" i="1" s="1"/>
  <c r="CTI26" i="1"/>
  <c r="CUX26" i="1" s="1"/>
  <c r="CTI27" i="1"/>
  <c r="CUX27" i="1" s="1"/>
  <c r="CTI28" i="1"/>
  <c r="CTI29" i="1"/>
  <c r="CTI30" i="1"/>
  <c r="CUX30" i="1" s="1"/>
  <c r="CTI31" i="1"/>
  <c r="CUX31" i="1" s="1"/>
  <c r="CTI32" i="1"/>
  <c r="CUX32" i="1" s="1"/>
  <c r="CTI33" i="1"/>
  <c r="CUX33" i="1" s="1"/>
  <c r="CTI34" i="1"/>
  <c r="CUX34" i="1" s="1"/>
  <c r="CTI35" i="1"/>
  <c r="CUX35" i="1" s="1"/>
  <c r="CTI36" i="1"/>
  <c r="CTI37" i="1"/>
  <c r="CUX37" i="1" s="1"/>
  <c r="CTI38" i="1"/>
  <c r="CUX38" i="1" s="1"/>
  <c r="CTI39" i="1"/>
  <c r="CUX39" i="1" s="1"/>
  <c r="CTI40" i="1"/>
  <c r="CUX40" i="1" s="1"/>
  <c r="CTI41" i="1"/>
  <c r="CTI42" i="1"/>
  <c r="CUX42" i="1" s="1"/>
  <c r="CTI43" i="1"/>
  <c r="CUX43" i="1" s="1"/>
  <c r="CTI44" i="1"/>
  <c r="CTI45" i="1"/>
  <c r="CUX45" i="1" s="1"/>
  <c r="CTI46" i="1"/>
  <c r="CUX46" i="1" s="1"/>
  <c r="CTI47" i="1"/>
  <c r="CUX47" i="1" s="1"/>
  <c r="CTI48" i="1"/>
  <c r="CUX48" i="1" s="1"/>
  <c r="CTI49" i="1"/>
  <c r="CUX49" i="1" s="1"/>
  <c r="CTI50" i="1"/>
  <c r="CUX50" i="1" s="1"/>
  <c r="CTI51" i="1"/>
  <c r="CUX51" i="1" s="1"/>
  <c r="CTI52" i="1"/>
  <c r="CUX52" i="1" s="1"/>
  <c r="CTI53" i="1"/>
  <c r="CTI54" i="1"/>
  <c r="CUX54" i="1" s="1"/>
  <c r="CTI55" i="1"/>
  <c r="CUX55" i="1" s="1"/>
  <c r="CTJ9" i="1"/>
  <c r="CUY9" i="1" s="1"/>
  <c r="CTJ10" i="1"/>
  <c r="CTJ11" i="1"/>
  <c r="CUY11" i="1" s="1"/>
  <c r="CTJ12" i="1"/>
  <c r="CUY12" i="1" s="1"/>
  <c r="CTJ13" i="1"/>
  <c r="CTJ14" i="1"/>
  <c r="CTJ15" i="1"/>
  <c r="CUY15" i="1" s="1"/>
  <c r="CTJ16" i="1"/>
  <c r="CUY16" i="1" s="1"/>
  <c r="CTJ17" i="1"/>
  <c r="CUY17" i="1" s="1"/>
  <c r="CTJ18" i="1"/>
  <c r="CTJ19" i="1"/>
  <c r="CUY19" i="1" s="1"/>
  <c r="CTJ20" i="1"/>
  <c r="CUY20" i="1" s="1"/>
  <c r="CTJ21" i="1"/>
  <c r="CTJ22" i="1"/>
  <c r="CTJ23" i="1"/>
  <c r="CUY23" i="1" s="1"/>
  <c r="CTJ24" i="1"/>
  <c r="CUY24" i="1" s="1"/>
  <c r="CTJ25" i="1"/>
  <c r="CUY25" i="1" s="1"/>
  <c r="CTJ26" i="1"/>
  <c r="CUY26" i="1" s="1"/>
  <c r="CTJ27" i="1"/>
  <c r="CUY27" i="1" s="1"/>
  <c r="CTJ28" i="1"/>
  <c r="CUY28" i="1" s="1"/>
  <c r="CTJ29" i="1"/>
  <c r="CTJ30" i="1"/>
  <c r="CTJ31" i="1"/>
  <c r="CUY31" i="1" s="1"/>
  <c r="CTJ32" i="1"/>
  <c r="CUY32" i="1" s="1"/>
  <c r="CTJ33" i="1"/>
  <c r="CUY33" i="1" s="1"/>
  <c r="CTJ34" i="1"/>
  <c r="CTJ35" i="1"/>
  <c r="CUY35" i="1" s="1"/>
  <c r="CTJ36" i="1"/>
  <c r="CUY36" i="1" s="1"/>
  <c r="CTJ37" i="1"/>
  <c r="CTJ38" i="1"/>
  <c r="CTJ39" i="1"/>
  <c r="CUY39" i="1" s="1"/>
  <c r="CTJ40" i="1"/>
  <c r="CUY40" i="1" s="1"/>
  <c r="CTJ41" i="1"/>
  <c r="CUY41" i="1" s="1"/>
  <c r="CTJ42" i="1"/>
  <c r="CTJ43" i="1"/>
  <c r="CUY43" i="1" s="1"/>
  <c r="CTJ44" i="1"/>
  <c r="CUY44" i="1" s="1"/>
  <c r="CTJ45" i="1"/>
  <c r="CTJ46" i="1"/>
  <c r="CTJ47" i="1"/>
  <c r="CUY47" i="1" s="1"/>
  <c r="CTJ48" i="1"/>
  <c r="CUY48" i="1" s="1"/>
  <c r="CTJ49" i="1"/>
  <c r="CUY49" i="1" s="1"/>
  <c r="CTJ50" i="1"/>
  <c r="CUY50" i="1" s="1"/>
  <c r="CTJ51" i="1"/>
  <c r="CUY51" i="1" s="1"/>
  <c r="CTJ52" i="1"/>
  <c r="CUY52" i="1" s="1"/>
  <c r="CTJ53" i="1"/>
  <c r="CTJ54" i="1"/>
  <c r="CTJ55" i="1"/>
  <c r="CUY55" i="1" s="1"/>
  <c r="CTK9" i="1"/>
  <c r="CUZ9" i="1" s="1"/>
  <c r="CTK10" i="1"/>
  <c r="CUZ10" i="1" s="1"/>
  <c r="CTK11" i="1"/>
  <c r="CTK12" i="1"/>
  <c r="CUZ12" i="1" s="1"/>
  <c r="CTK13" i="1"/>
  <c r="CUZ13" i="1" s="1"/>
  <c r="CTK14" i="1"/>
  <c r="CTK15" i="1"/>
  <c r="CUZ15" i="1" s="1"/>
  <c r="CTK16" i="1"/>
  <c r="CUZ16" i="1" s="1"/>
  <c r="CTK17" i="1"/>
  <c r="CUZ17" i="1" s="1"/>
  <c r="CTK18" i="1"/>
  <c r="CUZ18" i="1" s="1"/>
  <c r="CTK19" i="1"/>
  <c r="CUZ19" i="1" s="1"/>
  <c r="CTK20" i="1"/>
  <c r="CUZ20" i="1" s="1"/>
  <c r="CTK21" i="1"/>
  <c r="CUZ21" i="1" s="1"/>
  <c r="CTK22" i="1"/>
  <c r="CTK23" i="1"/>
  <c r="CTK24" i="1"/>
  <c r="CUZ24" i="1" s="1"/>
  <c r="CTK25" i="1"/>
  <c r="CUZ25" i="1" s="1"/>
  <c r="CTK26" i="1"/>
  <c r="CUZ26" i="1" s="1"/>
  <c r="CTK27" i="1"/>
  <c r="CTK28" i="1"/>
  <c r="CUZ28" i="1" s="1"/>
  <c r="CTK29" i="1"/>
  <c r="CUZ29" i="1" s="1"/>
  <c r="CTK30" i="1"/>
  <c r="CTK31" i="1"/>
  <c r="CTK32" i="1"/>
  <c r="CUZ32" i="1" s="1"/>
  <c r="CTK33" i="1"/>
  <c r="CUZ33" i="1" s="1"/>
  <c r="CTK34" i="1"/>
  <c r="CUZ34" i="1" s="1"/>
  <c r="CTK35" i="1"/>
  <c r="CTK36" i="1"/>
  <c r="CUZ36" i="1" s="1"/>
  <c r="CTK37" i="1"/>
  <c r="CUZ37" i="1" s="1"/>
  <c r="CTK38" i="1"/>
  <c r="CTK39" i="1"/>
  <c r="CUZ39" i="1" s="1"/>
  <c r="CTK40" i="1"/>
  <c r="CUZ40" i="1" s="1"/>
  <c r="CTK41" i="1"/>
  <c r="CUZ41" i="1" s="1"/>
  <c r="CTK42" i="1"/>
  <c r="CUZ42" i="1" s="1"/>
  <c r="CTK43" i="1"/>
  <c r="CUZ43" i="1" s="1"/>
  <c r="CTK44" i="1"/>
  <c r="CUZ44" i="1" s="1"/>
  <c r="CTK45" i="1"/>
  <c r="CUZ45" i="1" s="1"/>
  <c r="CTK46" i="1"/>
  <c r="CTK47" i="1"/>
  <c r="CTK48" i="1"/>
  <c r="CUZ48" i="1" s="1"/>
  <c r="CTK49" i="1"/>
  <c r="CUZ49" i="1" s="1"/>
  <c r="CTK50" i="1"/>
  <c r="CUZ50" i="1" s="1"/>
  <c r="CTK51" i="1"/>
  <c r="CTK52" i="1"/>
  <c r="CUZ52" i="1" s="1"/>
  <c r="CTK53" i="1"/>
  <c r="CUZ53" i="1" s="1"/>
  <c r="CTK54" i="1"/>
  <c r="CTK55" i="1"/>
  <c r="CTL9" i="1"/>
  <c r="CVA9" i="1" s="1"/>
  <c r="CTL10" i="1"/>
  <c r="CVA10" i="1" s="1"/>
  <c r="CTL11" i="1"/>
  <c r="CVA11" i="1" s="1"/>
  <c r="CTL12" i="1"/>
  <c r="CVA12" i="1" s="1"/>
  <c r="CTL13" i="1"/>
  <c r="CVA13" i="1" s="1"/>
  <c r="CTL14" i="1"/>
  <c r="CVA14" i="1" s="1"/>
  <c r="CTL15" i="1"/>
  <c r="CVA15" i="1" s="1"/>
  <c r="CTL16" i="1"/>
  <c r="CTL17" i="1"/>
  <c r="CVA17" i="1" s="1"/>
  <c r="CTL18" i="1"/>
  <c r="CVA18" i="1" s="1"/>
  <c r="CTL19" i="1"/>
  <c r="CVA19" i="1" s="1"/>
  <c r="CTL20" i="1"/>
  <c r="CTL21" i="1"/>
  <c r="CVA21" i="1" s="1"/>
  <c r="CTL22" i="1"/>
  <c r="CVA22" i="1" s="1"/>
  <c r="CTL23" i="1"/>
  <c r="CTL24" i="1"/>
  <c r="CVA24" i="1" s="1"/>
  <c r="CTL25" i="1"/>
  <c r="CVA25" i="1" s="1"/>
  <c r="CTL26" i="1"/>
  <c r="CVA26" i="1" s="1"/>
  <c r="CTL27" i="1"/>
  <c r="CVA27" i="1" s="1"/>
  <c r="CTL28" i="1"/>
  <c r="CTL29" i="1"/>
  <c r="CVA29" i="1" s="1"/>
  <c r="CTL30" i="1"/>
  <c r="CVA30" i="1" s="1"/>
  <c r="CTL31" i="1"/>
  <c r="CTL32" i="1"/>
  <c r="CTL33" i="1"/>
  <c r="CVA33" i="1" s="1"/>
  <c r="CTL34" i="1"/>
  <c r="CVA34" i="1" s="1"/>
  <c r="CTL35" i="1"/>
  <c r="CVA35" i="1" s="1"/>
  <c r="CTL36" i="1"/>
  <c r="CVA36" i="1" s="1"/>
  <c r="CTL37" i="1"/>
  <c r="CVA37" i="1" s="1"/>
  <c r="CTL38" i="1"/>
  <c r="CVA38" i="1" s="1"/>
  <c r="CTL39" i="1"/>
  <c r="CTL40" i="1"/>
  <c r="CTL41" i="1"/>
  <c r="CVA41" i="1" s="1"/>
  <c r="CTL42" i="1"/>
  <c r="CVA42" i="1" s="1"/>
  <c r="CTL43" i="1"/>
  <c r="CVA43" i="1" s="1"/>
  <c r="CTL44" i="1"/>
  <c r="CTL45" i="1"/>
  <c r="CVA45" i="1" s="1"/>
  <c r="CTL46" i="1"/>
  <c r="CVA46" i="1" s="1"/>
  <c r="CTL47" i="1"/>
  <c r="CTL48" i="1"/>
  <c r="CVA48" i="1" s="1"/>
  <c r="CTL49" i="1"/>
  <c r="CVA49" i="1" s="1"/>
  <c r="CTL50" i="1"/>
  <c r="CVA50" i="1" s="1"/>
  <c r="CTL51" i="1"/>
  <c r="CVA51" i="1" s="1"/>
  <c r="CTL52" i="1"/>
  <c r="CTL53" i="1"/>
  <c r="CVA53" i="1" s="1"/>
  <c r="CTL54" i="1"/>
  <c r="CVA54" i="1" s="1"/>
  <c r="CTL55" i="1"/>
  <c r="CTM9" i="1"/>
  <c r="CTM10" i="1"/>
  <c r="CVB10" i="1" s="1"/>
  <c r="CTM11" i="1"/>
  <c r="CVB11" i="1" s="1"/>
  <c r="CTM12" i="1"/>
  <c r="CVB12" i="1" s="1"/>
  <c r="CTM13" i="1"/>
  <c r="CVB13" i="1" s="1"/>
  <c r="CTM14" i="1"/>
  <c r="CVB14" i="1" s="1"/>
  <c r="CTM15" i="1"/>
  <c r="CVB15" i="1" s="1"/>
  <c r="CTM16" i="1"/>
  <c r="CTM17" i="1"/>
  <c r="CTM18" i="1"/>
  <c r="CVB18" i="1" s="1"/>
  <c r="CTM19" i="1"/>
  <c r="CVB19" i="1" s="1"/>
  <c r="CTM20" i="1"/>
  <c r="CVB20" i="1" s="1"/>
  <c r="CTM21" i="1"/>
  <c r="CTM22" i="1"/>
  <c r="CVB22" i="1" s="1"/>
  <c r="CTM23" i="1"/>
  <c r="CVB23" i="1" s="1"/>
  <c r="CTM24" i="1"/>
  <c r="CTM25" i="1"/>
  <c r="CVB25" i="1" s="1"/>
  <c r="CTM26" i="1"/>
  <c r="CVB26" i="1" s="1"/>
  <c r="CTM27" i="1"/>
  <c r="CVB27" i="1" s="1"/>
  <c r="CTM28" i="1"/>
  <c r="CVB28" i="1" s="1"/>
  <c r="CTM29" i="1"/>
  <c r="CVB29" i="1" s="1"/>
  <c r="CTM30" i="1"/>
  <c r="CVB30" i="1" s="1"/>
  <c r="CTM31" i="1"/>
  <c r="CVB31" i="1" s="1"/>
  <c r="CTM32" i="1"/>
  <c r="CVB32" i="1" s="1"/>
  <c r="CTM33" i="1"/>
  <c r="CTM34" i="1"/>
  <c r="CVB34" i="1" s="1"/>
  <c r="CTM35" i="1"/>
  <c r="CVB35" i="1" s="1"/>
  <c r="CTM36" i="1"/>
  <c r="CVB36" i="1" s="1"/>
  <c r="CTM37" i="1"/>
  <c r="CTM38" i="1"/>
  <c r="CVB38" i="1" s="1"/>
  <c r="CTM39" i="1"/>
  <c r="CVB39" i="1" s="1"/>
  <c r="CTM40" i="1"/>
  <c r="CTM41" i="1"/>
  <c r="CTM42" i="1"/>
  <c r="CVB42" i="1" s="1"/>
  <c r="CTM43" i="1"/>
  <c r="CVB43" i="1" s="1"/>
  <c r="CTM44" i="1"/>
  <c r="CVB44" i="1" s="1"/>
  <c r="CTM45" i="1"/>
  <c r="CTM46" i="1"/>
  <c r="CVB46" i="1" s="1"/>
  <c r="CTM47" i="1"/>
  <c r="CVB47" i="1" s="1"/>
  <c r="CTM48" i="1"/>
  <c r="CTM49" i="1"/>
  <c r="CVB49" i="1" s="1"/>
  <c r="CTM50" i="1"/>
  <c r="CVB50" i="1" s="1"/>
  <c r="CTM51" i="1"/>
  <c r="CVB51" i="1" s="1"/>
  <c r="CTM52" i="1"/>
  <c r="CVB52" i="1" s="1"/>
  <c r="CTM53" i="1"/>
  <c r="CVB53" i="1" s="1"/>
  <c r="CTM54" i="1"/>
  <c r="CVB54" i="1" s="1"/>
  <c r="CTM55" i="1"/>
  <c r="CVB55" i="1" s="1"/>
  <c r="CTN9" i="1"/>
  <c r="CTN10" i="1"/>
  <c r="CVC10" i="1" s="1"/>
  <c r="CTN11" i="1"/>
  <c r="CVC11" i="1" s="1"/>
  <c r="CTN12" i="1"/>
  <c r="CVC12" i="1" s="1"/>
  <c r="CTN13" i="1"/>
  <c r="CVC13" i="1" s="1"/>
  <c r="CTN14" i="1"/>
  <c r="CTN15" i="1"/>
  <c r="CVC15" i="1" s="1"/>
  <c r="CTN16" i="1"/>
  <c r="CVC16" i="1" s="1"/>
  <c r="CTN17" i="1"/>
  <c r="CTN18" i="1"/>
  <c r="CTN19" i="1"/>
  <c r="CVC19" i="1" s="1"/>
  <c r="CTN20" i="1"/>
  <c r="CVC20" i="1" s="1"/>
  <c r="CTN21" i="1"/>
  <c r="CVC21" i="1" s="1"/>
  <c r="CTN22" i="1"/>
  <c r="CVC22" i="1" s="1"/>
  <c r="CTN23" i="1"/>
  <c r="CVC23" i="1" s="1"/>
  <c r="CTN24" i="1"/>
  <c r="CVC24" i="1" s="1"/>
  <c r="CTN25" i="1"/>
  <c r="CVC25" i="1" s="1"/>
  <c r="CTN26" i="1"/>
  <c r="CTN27" i="1"/>
  <c r="CVC27" i="1" s="1"/>
  <c r="CTN28" i="1"/>
  <c r="CVC28" i="1" s="1"/>
  <c r="CTN29" i="1"/>
  <c r="CVC29" i="1" s="1"/>
  <c r="CTN30" i="1"/>
  <c r="CTN31" i="1"/>
  <c r="CVC31" i="1" s="1"/>
  <c r="CTN32" i="1"/>
  <c r="CVC32" i="1" s="1"/>
  <c r="CTN33" i="1"/>
  <c r="CTN34" i="1"/>
  <c r="CVC34" i="1" s="1"/>
  <c r="CTN35" i="1"/>
  <c r="CVC35" i="1" s="1"/>
  <c r="CTN36" i="1"/>
  <c r="CVC36" i="1" s="1"/>
  <c r="CTN37" i="1"/>
  <c r="CVC37" i="1" s="1"/>
  <c r="CTN38" i="1"/>
  <c r="CTN39" i="1"/>
  <c r="CVC39" i="1" s="1"/>
  <c r="CTN40" i="1"/>
  <c r="CVC40" i="1" s="1"/>
  <c r="CTN41" i="1"/>
  <c r="CTN42" i="1"/>
  <c r="CTN43" i="1"/>
  <c r="CVC43" i="1" s="1"/>
  <c r="CTN44" i="1"/>
  <c r="CVC44" i="1" s="1"/>
  <c r="CTN45" i="1"/>
  <c r="CVC45" i="1" s="1"/>
  <c r="CTN46" i="1"/>
  <c r="CVC46" i="1" s="1"/>
  <c r="CTN47" i="1"/>
  <c r="CVC47" i="1" s="1"/>
  <c r="CTN48" i="1"/>
  <c r="CVC48" i="1" s="1"/>
  <c r="CTN49" i="1"/>
  <c r="CTN50" i="1"/>
  <c r="CVC50" i="1" s="1"/>
  <c r="CTN51" i="1"/>
  <c r="CVC51" i="1" s="1"/>
  <c r="CTN52" i="1"/>
  <c r="CVC52" i="1" s="1"/>
  <c r="CTN53" i="1"/>
  <c r="CVC53" i="1" s="1"/>
  <c r="CTN54" i="1"/>
  <c r="CTN55" i="1"/>
  <c r="CVC55" i="1" s="1"/>
  <c r="CTO9" i="1"/>
  <c r="CVD9" i="1" s="1"/>
  <c r="CTO10" i="1"/>
  <c r="CTO11" i="1"/>
  <c r="CTO12" i="1"/>
  <c r="CVD12" i="1" s="1"/>
  <c r="CTO13" i="1"/>
  <c r="CVD13" i="1" s="1"/>
  <c r="CTO14" i="1"/>
  <c r="CVD14" i="1" s="1"/>
  <c r="CTO15" i="1"/>
  <c r="CVD15" i="1" s="1"/>
  <c r="CTO16" i="1"/>
  <c r="CVD16" i="1" s="1"/>
  <c r="CTO17" i="1"/>
  <c r="CVD17" i="1" s="1"/>
  <c r="CTO18" i="1"/>
  <c r="CTO19" i="1"/>
  <c r="CTO20" i="1"/>
  <c r="CVD20" i="1" s="1"/>
  <c r="CTO21" i="1"/>
  <c r="CVD21" i="1" s="1"/>
  <c r="CTO22" i="1"/>
  <c r="CVD22" i="1" s="1"/>
  <c r="CTO23" i="1"/>
  <c r="CTO24" i="1"/>
  <c r="CVD24" i="1" s="1"/>
  <c r="CTO25" i="1"/>
  <c r="CVD25" i="1" s="1"/>
  <c r="CTO26" i="1"/>
  <c r="CTO27" i="1"/>
  <c r="CTO28" i="1"/>
  <c r="CVD28" i="1" s="1"/>
  <c r="CTO29" i="1"/>
  <c r="CVD29" i="1" s="1"/>
  <c r="CTO30" i="1"/>
  <c r="CVD30" i="1" s="1"/>
  <c r="CTO31" i="1"/>
  <c r="CTO32" i="1"/>
  <c r="CVD32" i="1" s="1"/>
  <c r="CTO33" i="1"/>
  <c r="CVD33" i="1" s="1"/>
  <c r="CTO34" i="1"/>
  <c r="CTO35" i="1"/>
  <c r="CTO36" i="1"/>
  <c r="CVD36" i="1" s="1"/>
  <c r="CTO37" i="1"/>
  <c r="CVD37" i="1" s="1"/>
  <c r="CTO38" i="1"/>
  <c r="CVD38" i="1" s="1"/>
  <c r="CTO39" i="1"/>
  <c r="CVD39" i="1" s="1"/>
  <c r="CTO40" i="1"/>
  <c r="CVD40" i="1" s="1"/>
  <c r="CTO41" i="1"/>
  <c r="CVD41" i="1" s="1"/>
  <c r="CTO42" i="1"/>
  <c r="CTO43" i="1"/>
  <c r="CTO44" i="1"/>
  <c r="CVD44" i="1" s="1"/>
  <c r="CTO45" i="1"/>
  <c r="CVD45" i="1" s="1"/>
  <c r="CTO46" i="1"/>
  <c r="CVD46" i="1" s="1"/>
  <c r="CTO47" i="1"/>
  <c r="CTO48" i="1"/>
  <c r="CVD48" i="1" s="1"/>
  <c r="CTO49" i="1"/>
  <c r="CVD49" i="1" s="1"/>
  <c r="CTO50" i="1"/>
  <c r="CTO51" i="1"/>
  <c r="CTO52" i="1"/>
  <c r="CVD52" i="1" s="1"/>
  <c r="CTO53" i="1"/>
  <c r="CVD53" i="1" s="1"/>
  <c r="CTO54" i="1"/>
  <c r="CVD54" i="1" s="1"/>
  <c r="CTO55" i="1"/>
  <c r="CVD55" i="1" s="1"/>
  <c r="CTP9" i="1"/>
  <c r="CVE9" i="1" s="1"/>
  <c r="CTP10" i="1"/>
  <c r="CVE10" i="1" s="1"/>
  <c r="CTP11" i="1"/>
  <c r="CVE11" i="1" s="1"/>
  <c r="CTP12" i="1"/>
  <c r="CTP13" i="1"/>
  <c r="CVE13" i="1" s="1"/>
  <c r="CTP14" i="1"/>
  <c r="CVE14" i="1" s="1"/>
  <c r="CTP15" i="1"/>
  <c r="CVE15" i="1" s="1"/>
  <c r="CTP16" i="1"/>
  <c r="CTP17" i="1"/>
  <c r="CVE17" i="1" s="1"/>
  <c r="CTP18" i="1"/>
  <c r="CVE18" i="1" s="1"/>
  <c r="CTP19" i="1"/>
  <c r="CVE19" i="1" s="1"/>
  <c r="CTP20" i="1"/>
  <c r="CTP21" i="1"/>
  <c r="CVE21" i="1" s="1"/>
  <c r="CTP22" i="1"/>
  <c r="CVE22" i="1" s="1"/>
  <c r="CTP23" i="1"/>
  <c r="CVE23" i="1" s="1"/>
  <c r="CTP24" i="1"/>
  <c r="CVE24" i="1" s="1"/>
  <c r="CTP25" i="1"/>
  <c r="CVE25" i="1" s="1"/>
  <c r="CTP26" i="1"/>
  <c r="CVE26" i="1" s="1"/>
  <c r="CTP27" i="1"/>
  <c r="CTP28" i="1"/>
  <c r="CVE28" i="1" s="1"/>
  <c r="CTP29" i="1"/>
  <c r="CVE29" i="1" s="1"/>
  <c r="CTP30" i="1"/>
  <c r="CVE30" i="1" s="1"/>
  <c r="CTP31" i="1"/>
  <c r="CVE31" i="1" s="1"/>
  <c r="CTP32" i="1"/>
  <c r="CVE32" i="1" s="1"/>
  <c r="CTP33" i="1"/>
  <c r="CVE33" i="1" s="1"/>
  <c r="CTP34" i="1"/>
  <c r="CVE34" i="1" s="1"/>
  <c r="CTP35" i="1"/>
  <c r="CTP36" i="1"/>
  <c r="CTP37" i="1"/>
  <c r="CVE37" i="1" s="1"/>
  <c r="CTP38" i="1"/>
  <c r="CVE38" i="1" s="1"/>
  <c r="CTP39" i="1"/>
  <c r="CVE39" i="1" s="1"/>
  <c r="CTP40" i="1"/>
  <c r="CVE40" i="1" s="1"/>
  <c r="CTP41" i="1"/>
  <c r="CVE41" i="1" s="1"/>
  <c r="CTP42" i="1"/>
  <c r="CVE42" i="1" s="1"/>
  <c r="CTP43" i="1"/>
  <c r="CTP44" i="1"/>
  <c r="CTP45" i="1"/>
  <c r="CVE45" i="1" s="1"/>
  <c r="CTP46" i="1"/>
  <c r="CVE46" i="1" s="1"/>
  <c r="CTP47" i="1"/>
  <c r="CVE47" i="1" s="1"/>
  <c r="CTP48" i="1"/>
  <c r="CTP49" i="1"/>
  <c r="CVE49" i="1" s="1"/>
  <c r="CTP50" i="1"/>
  <c r="CVE50" i="1" s="1"/>
  <c r="CTP51" i="1"/>
  <c r="CTP52" i="1"/>
  <c r="CVE52" i="1" s="1"/>
  <c r="CTP53" i="1"/>
  <c r="CVE53" i="1" s="1"/>
  <c r="CTP54" i="1"/>
  <c r="CVE54" i="1" s="1"/>
  <c r="CTP55" i="1"/>
  <c r="CVE55" i="1" s="1"/>
  <c r="CTQ9" i="1"/>
  <c r="CVF9" i="1" s="1"/>
  <c r="CTQ10" i="1"/>
  <c r="CVF10" i="1" s="1"/>
  <c r="CTQ11" i="1"/>
  <c r="CVF11" i="1" s="1"/>
  <c r="CTQ12" i="1"/>
  <c r="CTQ13" i="1"/>
  <c r="CVF13" i="1" s="1"/>
  <c r="CTQ14" i="1"/>
  <c r="CVF14" i="1" s="1"/>
  <c r="CTQ15" i="1"/>
  <c r="CVF15" i="1" s="1"/>
  <c r="CTQ16" i="1"/>
  <c r="CVF16" i="1" s="1"/>
  <c r="CTQ17" i="1"/>
  <c r="CVF17" i="1" s="1"/>
  <c r="CTQ18" i="1"/>
  <c r="CVF18" i="1" s="1"/>
  <c r="CTQ19" i="1"/>
  <c r="CVF19" i="1" s="1"/>
  <c r="CTQ20" i="1"/>
  <c r="CTQ21" i="1"/>
  <c r="CTQ22" i="1"/>
  <c r="CVF22" i="1" s="1"/>
  <c r="CTQ23" i="1"/>
  <c r="CVF23" i="1" s="1"/>
  <c r="CTQ24" i="1"/>
  <c r="CVF24" i="1" s="1"/>
  <c r="CTQ25" i="1"/>
  <c r="CVF25" i="1" s="1"/>
  <c r="CTQ26" i="1"/>
  <c r="CVF26" i="1" s="1"/>
  <c r="CTQ27" i="1"/>
  <c r="CVF27" i="1" s="1"/>
  <c r="CTQ28" i="1"/>
  <c r="CTQ29" i="1"/>
  <c r="CVF29" i="1" s="1"/>
  <c r="CTQ30" i="1"/>
  <c r="CVF30" i="1" s="1"/>
  <c r="CTQ31" i="1"/>
  <c r="CVF31" i="1" s="1"/>
  <c r="CTQ32" i="1"/>
  <c r="CVF32" i="1" s="1"/>
  <c r="CTQ33" i="1"/>
  <c r="CTQ34" i="1"/>
  <c r="CVF34" i="1" s="1"/>
  <c r="CTQ35" i="1"/>
  <c r="CVF35" i="1" s="1"/>
  <c r="CTQ36" i="1"/>
  <c r="CTQ37" i="1"/>
  <c r="CVF37" i="1" s="1"/>
  <c r="CTQ38" i="1"/>
  <c r="CVF38" i="1" s="1"/>
  <c r="CTQ39" i="1"/>
  <c r="CVF39" i="1" s="1"/>
  <c r="CTQ40" i="1"/>
  <c r="CVF40" i="1" s="1"/>
  <c r="CTQ41" i="1"/>
  <c r="CVF41" i="1" s="1"/>
  <c r="CTQ42" i="1"/>
  <c r="CVF42" i="1" s="1"/>
  <c r="CTQ43" i="1"/>
  <c r="CVF43" i="1" s="1"/>
  <c r="CTQ44" i="1"/>
  <c r="CVF44" i="1" s="1"/>
  <c r="CTQ45" i="1"/>
  <c r="CVF45" i="1" s="1"/>
  <c r="CTQ46" i="1"/>
  <c r="CVF46" i="1" s="1"/>
  <c r="CTQ47" i="1"/>
  <c r="CVF47" i="1" s="1"/>
  <c r="CTQ48" i="1"/>
  <c r="CVF48" i="1" s="1"/>
  <c r="CTQ49" i="1"/>
  <c r="CTQ50" i="1"/>
  <c r="CVF50" i="1" s="1"/>
  <c r="CTQ51" i="1"/>
  <c r="CVF51" i="1" s="1"/>
  <c r="CTQ52" i="1"/>
  <c r="CTQ53" i="1"/>
  <c r="CTQ54" i="1"/>
  <c r="CVF54" i="1" s="1"/>
  <c r="CTQ55" i="1"/>
  <c r="CVF55" i="1" s="1"/>
  <c r="CTR9" i="1"/>
  <c r="CVG9" i="1" s="1"/>
  <c r="CTR10" i="1"/>
  <c r="CVG10" i="1" s="1"/>
  <c r="CTR11" i="1"/>
  <c r="CVG11" i="1" s="1"/>
  <c r="CTR12" i="1"/>
  <c r="CVG12" i="1" s="1"/>
  <c r="CTR13" i="1"/>
  <c r="CTR14" i="1"/>
  <c r="CVG14" i="1" s="1"/>
  <c r="CTR15" i="1"/>
  <c r="CVG15" i="1" s="1"/>
  <c r="CTR16" i="1"/>
  <c r="CVG16" i="1" s="1"/>
  <c r="CTR17" i="1"/>
  <c r="CVG17" i="1" s="1"/>
  <c r="CTR18" i="1"/>
  <c r="CVG18" i="1" s="1"/>
  <c r="CTR19" i="1"/>
  <c r="CVG19" i="1" s="1"/>
  <c r="CTR20" i="1"/>
  <c r="CVG20" i="1" s="1"/>
  <c r="CTR21" i="1"/>
  <c r="CTR22" i="1"/>
  <c r="CTR23" i="1"/>
  <c r="CVG23" i="1" s="1"/>
  <c r="CTR24" i="1"/>
  <c r="CVG24" i="1" s="1"/>
  <c r="CTR25" i="1"/>
  <c r="CVG25" i="1" s="1"/>
  <c r="CTR26" i="1"/>
  <c r="CVG26" i="1" s="1"/>
  <c r="CTR27" i="1"/>
  <c r="CVG27" i="1" s="1"/>
  <c r="CTR28" i="1"/>
  <c r="CVG28" i="1" s="1"/>
  <c r="CTR29" i="1"/>
  <c r="CTR30" i="1"/>
  <c r="CTR31" i="1"/>
  <c r="CVG31" i="1" s="1"/>
  <c r="CTR32" i="1"/>
  <c r="CVG32" i="1" s="1"/>
  <c r="CTR33" i="1"/>
  <c r="CVG33" i="1" s="1"/>
  <c r="CTR34" i="1"/>
  <c r="CTR35" i="1"/>
  <c r="CVG35" i="1" s="1"/>
  <c r="CTR36" i="1"/>
  <c r="CVG36" i="1" s="1"/>
  <c r="CTR37" i="1"/>
  <c r="CTR38" i="1"/>
  <c r="CVG38" i="1" s="1"/>
  <c r="CTR39" i="1"/>
  <c r="CVG39" i="1" s="1"/>
  <c r="CTR40" i="1"/>
  <c r="CVG40" i="1" s="1"/>
  <c r="CTR41" i="1"/>
  <c r="CVG41" i="1" s="1"/>
  <c r="CTR42" i="1"/>
  <c r="CVG42" i="1" s="1"/>
  <c r="CTR43" i="1"/>
  <c r="CVG43" i="1" s="1"/>
  <c r="CTR44" i="1"/>
  <c r="CVG44" i="1" s="1"/>
  <c r="CTR45" i="1"/>
  <c r="CTR46" i="1"/>
  <c r="CTR47" i="1"/>
  <c r="CVG47" i="1" s="1"/>
  <c r="CTR48" i="1"/>
  <c r="CVG48" i="1" s="1"/>
  <c r="CTR49" i="1"/>
  <c r="CVG49" i="1" s="1"/>
  <c r="CTR50" i="1"/>
  <c r="CTR51" i="1"/>
  <c r="CVG51" i="1" s="1"/>
  <c r="CTR52" i="1"/>
  <c r="CVG52" i="1" s="1"/>
  <c r="CTR53" i="1"/>
  <c r="CTR54" i="1"/>
  <c r="CTR55" i="1"/>
  <c r="CVG55" i="1" s="1"/>
  <c r="CTS9" i="1"/>
  <c r="CVH9" i="1" s="1"/>
  <c r="CTS10" i="1"/>
  <c r="CVH10" i="1" s="1"/>
  <c r="CTS11" i="1"/>
  <c r="CVH11" i="1" s="1"/>
  <c r="CTS12" i="1"/>
  <c r="CVH12" i="1" s="1"/>
  <c r="CTS13" i="1"/>
  <c r="CVH13" i="1" s="1"/>
  <c r="CTS14" i="1"/>
  <c r="CVH14" i="1" s="1"/>
  <c r="CTS15" i="1"/>
  <c r="CVH15" i="1" s="1"/>
  <c r="CTS16" i="1"/>
  <c r="CVH16" i="1" s="1"/>
  <c r="CTS17" i="1"/>
  <c r="CVH17" i="1" s="1"/>
  <c r="CTS18" i="1"/>
  <c r="CVH18" i="1" s="1"/>
  <c r="CTS19" i="1"/>
  <c r="CVH19" i="1" s="1"/>
  <c r="CTS20" i="1"/>
  <c r="CVH20" i="1" s="1"/>
  <c r="CTS21" i="1"/>
  <c r="CVH21" i="1" s="1"/>
  <c r="CTS22" i="1"/>
  <c r="CTS23" i="1"/>
  <c r="CVH23" i="1" s="1"/>
  <c r="CTS24" i="1"/>
  <c r="CVH24" i="1" s="1"/>
  <c r="CTS25" i="1"/>
  <c r="CVH25" i="1" s="1"/>
  <c r="CTS26" i="1"/>
  <c r="CVH26" i="1" s="1"/>
  <c r="CTS27" i="1"/>
  <c r="CVH27" i="1" s="1"/>
  <c r="CTS28" i="1"/>
  <c r="CVH28" i="1" s="1"/>
  <c r="CTS29" i="1"/>
  <c r="CVH29" i="1" s="1"/>
  <c r="CTS30" i="1"/>
  <c r="CTS31" i="1"/>
  <c r="CTS32" i="1"/>
  <c r="CVH32" i="1" s="1"/>
  <c r="CTS33" i="1"/>
  <c r="CVH33" i="1" s="1"/>
  <c r="CTS34" i="1"/>
  <c r="CVH34" i="1" s="1"/>
  <c r="CTS35" i="1"/>
  <c r="CVH35" i="1" s="1"/>
  <c r="CTS36" i="1"/>
  <c r="CVH36" i="1" s="1"/>
  <c r="CTS37" i="1"/>
  <c r="CVH37" i="1" s="1"/>
  <c r="CTS38" i="1"/>
  <c r="CTS39" i="1"/>
  <c r="CVH39" i="1" s="1"/>
  <c r="CTS40" i="1"/>
  <c r="CVH40" i="1" s="1"/>
  <c r="CTS41" i="1"/>
  <c r="CVH41" i="1" s="1"/>
  <c r="CTS42" i="1"/>
  <c r="CVH42" i="1" s="1"/>
  <c r="CTS43" i="1"/>
  <c r="CTS44" i="1"/>
  <c r="CVH44" i="1" s="1"/>
  <c r="CTS45" i="1"/>
  <c r="CVH45" i="1" s="1"/>
  <c r="CTS46" i="1"/>
  <c r="CTS47" i="1"/>
  <c r="CVH47" i="1" s="1"/>
  <c r="CTS48" i="1"/>
  <c r="CVH48" i="1" s="1"/>
  <c r="CTS49" i="1"/>
  <c r="CVH49" i="1" s="1"/>
  <c r="CTS50" i="1"/>
  <c r="CVH50" i="1" s="1"/>
  <c r="CTS51" i="1"/>
  <c r="CVH51" i="1" s="1"/>
  <c r="CTS52" i="1"/>
  <c r="CVH52" i="1" s="1"/>
  <c r="CTS53" i="1"/>
  <c r="CVH53" i="1" s="1"/>
  <c r="CTS54" i="1"/>
  <c r="CTS55" i="1"/>
  <c r="CTT9" i="1"/>
  <c r="CVI9" i="1" s="1"/>
  <c r="CTT10" i="1"/>
  <c r="CVI10" i="1" s="1"/>
  <c r="CTT11" i="1"/>
  <c r="CVI11" i="1" s="1"/>
  <c r="CTT12" i="1"/>
  <c r="CTT13" i="1"/>
  <c r="CVI13" i="1" s="1"/>
  <c r="CTT14" i="1"/>
  <c r="CVI14" i="1" s="1"/>
  <c r="CTT15" i="1"/>
  <c r="CTT16" i="1"/>
  <c r="CTT17" i="1"/>
  <c r="CVI17" i="1" s="1"/>
  <c r="CTT18" i="1"/>
  <c r="CVI18" i="1" s="1"/>
  <c r="CTT19" i="1"/>
  <c r="CVI19" i="1" s="1"/>
  <c r="CTT20" i="1"/>
  <c r="CVI20" i="1" s="1"/>
  <c r="CTT21" i="1"/>
  <c r="CVI21" i="1" s="1"/>
  <c r="CTT22" i="1"/>
  <c r="CVI22" i="1" s="1"/>
  <c r="CTT23" i="1"/>
  <c r="CTT24" i="1"/>
  <c r="CTT25" i="1"/>
  <c r="CVI25" i="1" s="1"/>
  <c r="CTT26" i="1"/>
  <c r="CVI26" i="1" s="1"/>
  <c r="CTT27" i="1"/>
  <c r="CVI27" i="1" s="1"/>
  <c r="CTT28" i="1"/>
  <c r="CVI28" i="1" s="1"/>
  <c r="CTT29" i="1"/>
  <c r="CVI29" i="1" s="1"/>
  <c r="CTT30" i="1"/>
  <c r="CVI30" i="1" s="1"/>
  <c r="CTT31" i="1"/>
  <c r="CTT32" i="1"/>
  <c r="CTT33" i="1"/>
  <c r="CVI33" i="1" s="1"/>
  <c r="CTT34" i="1"/>
  <c r="CVI34" i="1" s="1"/>
  <c r="CTT35" i="1"/>
  <c r="CVI35" i="1" s="1"/>
  <c r="CTT36" i="1"/>
  <c r="CTT37" i="1"/>
  <c r="CVI37" i="1" s="1"/>
  <c r="CTT38" i="1"/>
  <c r="CVI38" i="1" s="1"/>
  <c r="CTT39" i="1"/>
  <c r="CTT40" i="1"/>
  <c r="CTT41" i="1"/>
  <c r="CVI41" i="1" s="1"/>
  <c r="CTT42" i="1"/>
  <c r="CVI42" i="1" s="1"/>
  <c r="CTT43" i="1"/>
  <c r="CVI43" i="1" s="1"/>
  <c r="CTT44" i="1"/>
  <c r="CVI44" i="1" s="1"/>
  <c r="CTT45" i="1"/>
  <c r="CVI45" i="1" s="1"/>
  <c r="CTT46" i="1"/>
  <c r="CVI46" i="1" s="1"/>
  <c r="CTT47" i="1"/>
  <c r="CTT48" i="1"/>
  <c r="CTT49" i="1"/>
  <c r="CVI49" i="1" s="1"/>
  <c r="CTT50" i="1"/>
  <c r="CVI50" i="1" s="1"/>
  <c r="CTT51" i="1"/>
  <c r="CVI51" i="1" s="1"/>
  <c r="CTT52" i="1"/>
  <c r="CVI52" i="1" s="1"/>
  <c r="CTT53" i="1"/>
  <c r="CVI53" i="1" s="1"/>
  <c r="CTT54" i="1"/>
  <c r="CVI54" i="1" s="1"/>
  <c r="CTT55" i="1"/>
  <c r="CTU9" i="1"/>
  <c r="CTU10" i="1"/>
  <c r="CVJ10" i="1" s="1"/>
  <c r="CTU11" i="1"/>
  <c r="CVJ11" i="1" s="1"/>
  <c r="CTU12" i="1"/>
  <c r="CVJ12" i="1" s="1"/>
  <c r="CTU13" i="1"/>
  <c r="CVJ13" i="1" s="1"/>
  <c r="CTU14" i="1"/>
  <c r="CVJ14" i="1" s="1"/>
  <c r="CTU15" i="1"/>
  <c r="CVJ15" i="1" s="1"/>
  <c r="CTU16" i="1"/>
  <c r="CVJ16" i="1" s="1"/>
  <c r="CTU17" i="1"/>
  <c r="CVJ17" i="1" s="1"/>
  <c r="CTU18" i="1"/>
  <c r="CVJ18" i="1" s="1"/>
  <c r="CTU19" i="1"/>
  <c r="CVJ19" i="1" s="1"/>
  <c r="CTU20" i="1"/>
  <c r="CVJ20" i="1" s="1"/>
  <c r="CTU21" i="1"/>
  <c r="CTU22" i="1"/>
  <c r="CVJ22" i="1" s="1"/>
  <c r="CTU23" i="1"/>
  <c r="CVJ23" i="1" s="1"/>
  <c r="CTU24" i="1"/>
  <c r="CTU25" i="1"/>
  <c r="CVJ25" i="1" s="1"/>
  <c r="CTU26" i="1"/>
  <c r="CVJ26" i="1" s="1"/>
  <c r="CTU27" i="1"/>
  <c r="CVJ27" i="1" s="1"/>
  <c r="CTU28" i="1"/>
  <c r="CVJ28" i="1" s="1"/>
  <c r="CTU29" i="1"/>
  <c r="CVJ29" i="1" s="1"/>
  <c r="CTU30" i="1"/>
  <c r="CVJ30" i="1" s="1"/>
  <c r="CTU31" i="1"/>
  <c r="CVJ31" i="1" s="1"/>
  <c r="CTU32" i="1"/>
  <c r="CTU33" i="1"/>
  <c r="CVJ33" i="1" s="1"/>
  <c r="CTU34" i="1"/>
  <c r="CVJ34" i="1" s="1"/>
  <c r="CTU35" i="1"/>
  <c r="CVJ35" i="1" s="1"/>
  <c r="CTU36" i="1"/>
  <c r="CVJ36" i="1" s="1"/>
  <c r="CTU37" i="1"/>
  <c r="CVJ37" i="1" s="1"/>
  <c r="CTU38" i="1"/>
  <c r="CVJ38" i="1" s="1"/>
  <c r="CTU39" i="1"/>
  <c r="CVJ39" i="1" s="1"/>
  <c r="CTU40" i="1"/>
  <c r="CTU41" i="1"/>
  <c r="CVJ41" i="1" s="1"/>
  <c r="CTU42" i="1"/>
  <c r="CVJ42" i="1" s="1"/>
  <c r="CTU43" i="1"/>
  <c r="CVJ43" i="1" s="1"/>
  <c r="CTU44" i="1"/>
  <c r="CVJ44" i="1" s="1"/>
  <c r="CTU45" i="1"/>
  <c r="CVJ45" i="1" s="1"/>
  <c r="CTU46" i="1"/>
  <c r="CVJ46" i="1" s="1"/>
  <c r="CTU47" i="1"/>
  <c r="CVJ47" i="1" s="1"/>
  <c r="CTU48" i="1"/>
  <c r="CVJ48" i="1" s="1"/>
  <c r="CTU49" i="1"/>
  <c r="CVJ49" i="1" s="1"/>
  <c r="CTU50" i="1"/>
  <c r="CVJ50" i="1" s="1"/>
  <c r="CTU51" i="1"/>
  <c r="CVJ51" i="1" s="1"/>
  <c r="CTU52" i="1"/>
  <c r="CVJ52" i="1" s="1"/>
  <c r="CTU53" i="1"/>
  <c r="CVJ53" i="1" s="1"/>
  <c r="CTU54" i="1"/>
  <c r="CVJ54" i="1" s="1"/>
  <c r="CTU55" i="1"/>
  <c r="CVJ55" i="1" s="1"/>
  <c r="CTV9" i="1"/>
  <c r="CVK9" i="1" s="1"/>
  <c r="CTV10" i="1"/>
  <c r="CTV11" i="1"/>
  <c r="CVK11" i="1" s="1"/>
  <c r="CTV12" i="1"/>
  <c r="CVK12" i="1" s="1"/>
  <c r="CTV13" i="1"/>
  <c r="CVK13" i="1" s="1"/>
  <c r="CTV14" i="1"/>
  <c r="CVK14" i="1" s="1"/>
  <c r="CTV15" i="1"/>
  <c r="CVK15" i="1" s="1"/>
  <c r="CTV16" i="1"/>
  <c r="CVK16" i="1" s="1"/>
  <c r="CTV17" i="1"/>
  <c r="CTV18" i="1"/>
  <c r="CVK18" i="1" s="1"/>
  <c r="CTV19" i="1"/>
  <c r="CVK19" i="1" s="1"/>
  <c r="CTV20" i="1"/>
  <c r="CVK20" i="1" s="1"/>
  <c r="CTV21" i="1"/>
  <c r="CVK21" i="1" s="1"/>
  <c r="CTV22" i="1"/>
  <c r="CTV23" i="1"/>
  <c r="CVK23" i="1" s="1"/>
  <c r="CTV24" i="1"/>
  <c r="CVK24" i="1" s="1"/>
  <c r="CTV25" i="1"/>
  <c r="CTV26" i="1"/>
  <c r="CVK26" i="1" s="1"/>
  <c r="CTV27" i="1"/>
  <c r="CVK27" i="1" s="1"/>
  <c r="CTV28" i="1"/>
  <c r="CVK28" i="1" s="1"/>
  <c r="CTV29" i="1"/>
  <c r="CVK29" i="1" s="1"/>
  <c r="CTV30" i="1"/>
  <c r="CVK30" i="1" s="1"/>
  <c r="CTV31" i="1"/>
  <c r="CVK31" i="1" s="1"/>
  <c r="CTV32" i="1"/>
  <c r="CVK32" i="1" s="1"/>
  <c r="CTV33" i="1"/>
  <c r="CTV34" i="1"/>
  <c r="CVK34" i="1" s="1"/>
  <c r="CTV35" i="1"/>
  <c r="CVK35" i="1" s="1"/>
  <c r="CTV36" i="1"/>
  <c r="CVK36" i="1" s="1"/>
  <c r="CTV37" i="1"/>
  <c r="CVK37" i="1" s="1"/>
  <c r="CTV38" i="1"/>
  <c r="CTV39" i="1"/>
  <c r="CVK39" i="1" s="1"/>
  <c r="CTV40" i="1"/>
  <c r="CVK40" i="1" s="1"/>
  <c r="CTV41" i="1"/>
  <c r="CTV42" i="1"/>
  <c r="CVK42" i="1" s="1"/>
  <c r="CTV43" i="1"/>
  <c r="CVK43" i="1" s="1"/>
  <c r="CTV44" i="1"/>
  <c r="CVK44" i="1" s="1"/>
  <c r="CTV45" i="1"/>
  <c r="CVK45" i="1" s="1"/>
  <c r="CTV46" i="1"/>
  <c r="CVK46" i="1" s="1"/>
  <c r="CTV47" i="1"/>
  <c r="CVK47" i="1" s="1"/>
  <c r="CTV48" i="1"/>
  <c r="CVK48" i="1" s="1"/>
  <c r="CTV49" i="1"/>
  <c r="CVK49" i="1" s="1"/>
  <c r="CTV50" i="1"/>
  <c r="CVK50" i="1" s="1"/>
  <c r="CTV51" i="1"/>
  <c r="CVK51" i="1" s="1"/>
  <c r="CTV52" i="1"/>
  <c r="CVK52" i="1" s="1"/>
  <c r="CTV53" i="1"/>
  <c r="CVK53" i="1" s="1"/>
  <c r="CTV54" i="1"/>
  <c r="CVK54" i="1" s="1"/>
  <c r="CTV55" i="1"/>
  <c r="CVK55" i="1" s="1"/>
  <c r="CTW9" i="1"/>
  <c r="CVL9" i="1" s="1"/>
  <c r="CTW10" i="1"/>
  <c r="CTW11" i="1"/>
  <c r="CVL11" i="1" s="1"/>
  <c r="CTW12" i="1"/>
  <c r="CVL12" i="1" s="1"/>
  <c r="CTW13" i="1"/>
  <c r="CVL13" i="1" s="1"/>
  <c r="CTW14" i="1"/>
  <c r="CVL14" i="1" s="1"/>
  <c r="CTW15" i="1"/>
  <c r="CVL15" i="1" s="1"/>
  <c r="CTW16" i="1"/>
  <c r="CVL16" i="1" s="1"/>
  <c r="CTW17" i="1"/>
  <c r="CVL17" i="1" s="1"/>
  <c r="CTW18" i="1"/>
  <c r="CTW19" i="1"/>
  <c r="CVL19" i="1" s="1"/>
  <c r="CTW20" i="1"/>
  <c r="CVL20" i="1" s="1"/>
  <c r="CTW21" i="1"/>
  <c r="CVL21" i="1" s="1"/>
  <c r="CTW22" i="1"/>
  <c r="CVL22" i="1" s="1"/>
  <c r="CTW23" i="1"/>
  <c r="CVL23" i="1" s="1"/>
  <c r="CTW24" i="1"/>
  <c r="CVL24" i="1" s="1"/>
  <c r="CTW25" i="1"/>
  <c r="CVL25" i="1" s="1"/>
  <c r="CTW26" i="1"/>
  <c r="CVL26" i="1" s="1"/>
  <c r="CTW27" i="1"/>
  <c r="CTW28" i="1"/>
  <c r="CVL28" i="1" s="1"/>
  <c r="CTW29" i="1"/>
  <c r="CVL29" i="1" s="1"/>
  <c r="CTW30" i="1"/>
  <c r="CVL30" i="1" s="1"/>
  <c r="CTW31" i="1"/>
  <c r="CVL31" i="1" s="1"/>
  <c r="CTW32" i="1"/>
  <c r="CVL32" i="1" s="1"/>
  <c r="CTW33" i="1"/>
  <c r="CVL33" i="1" s="1"/>
  <c r="CTW34" i="1"/>
  <c r="CTW35" i="1"/>
  <c r="CVL35" i="1" s="1"/>
  <c r="CTW36" i="1"/>
  <c r="CVL36" i="1" s="1"/>
  <c r="CTW37" i="1"/>
  <c r="CVL37" i="1" s="1"/>
  <c r="CTW38" i="1"/>
  <c r="CVL38" i="1" s="1"/>
  <c r="CTW39" i="1"/>
  <c r="CVL39" i="1" s="1"/>
  <c r="CTW40" i="1"/>
  <c r="CVL40" i="1" s="1"/>
  <c r="CTW41" i="1"/>
  <c r="CVL41" i="1" s="1"/>
  <c r="CTW42" i="1"/>
  <c r="CVL42" i="1" s="1"/>
  <c r="CTW43" i="1"/>
  <c r="CTW44" i="1"/>
  <c r="CVL44" i="1" s="1"/>
  <c r="CTW45" i="1"/>
  <c r="CVL45" i="1" s="1"/>
  <c r="CTW46" i="1"/>
  <c r="CVL46" i="1" s="1"/>
  <c r="CTW47" i="1"/>
  <c r="CVL47" i="1" s="1"/>
  <c r="CTW48" i="1"/>
  <c r="CVL48" i="1" s="1"/>
  <c r="CTW49" i="1"/>
  <c r="CVL49" i="1" s="1"/>
  <c r="CTW50" i="1"/>
  <c r="CTW51" i="1"/>
  <c r="CVL51" i="1" s="1"/>
  <c r="CTW52" i="1"/>
  <c r="CVL52" i="1" s="1"/>
  <c r="CTW53" i="1"/>
  <c r="CVL53" i="1" s="1"/>
  <c r="CTW54" i="1"/>
  <c r="CVL54" i="1" s="1"/>
  <c r="CTW55" i="1"/>
  <c r="CVL55" i="1" s="1"/>
  <c r="CTX9" i="1"/>
  <c r="CVM9" i="1" s="1"/>
  <c r="CTX10" i="1"/>
  <c r="CVM10" i="1" s="1"/>
  <c r="CTX11" i="1"/>
  <c r="CTX12" i="1"/>
  <c r="CVM12" i="1" s="1"/>
  <c r="CTX13" i="1"/>
  <c r="CVM13" i="1" s="1"/>
  <c r="CTX14" i="1"/>
  <c r="CVM14" i="1" s="1"/>
  <c r="CTX15" i="1"/>
  <c r="CVM15" i="1" s="1"/>
  <c r="CTX16" i="1"/>
  <c r="CVM16" i="1" s="1"/>
  <c r="CTX17" i="1"/>
  <c r="CVM17" i="1" s="1"/>
  <c r="CTX18" i="1"/>
  <c r="CVM18" i="1" s="1"/>
  <c r="CTX19" i="1"/>
  <c r="CVM19" i="1" s="1"/>
  <c r="CTX20" i="1"/>
  <c r="CVM20" i="1" s="1"/>
  <c r="CTX21" i="1"/>
  <c r="CVM21" i="1" s="1"/>
  <c r="CTX22" i="1"/>
  <c r="CVM22" i="1" s="1"/>
  <c r="CTX23" i="1"/>
  <c r="CVM23" i="1" s="1"/>
  <c r="CTX24" i="1"/>
  <c r="CVM24" i="1" s="1"/>
  <c r="CTX25" i="1"/>
  <c r="CVM25" i="1" s="1"/>
  <c r="CTX26" i="1"/>
  <c r="CVM26" i="1" s="1"/>
  <c r="CTX27" i="1"/>
  <c r="CVM27" i="1" s="1"/>
  <c r="CTX28" i="1"/>
  <c r="CTX29" i="1"/>
  <c r="CVM29" i="1" s="1"/>
  <c r="CTX30" i="1"/>
  <c r="CVM30" i="1" s="1"/>
  <c r="CTX31" i="1"/>
  <c r="CVM31" i="1" s="1"/>
  <c r="CTX32" i="1"/>
  <c r="CVM32" i="1" s="1"/>
  <c r="CTX33" i="1"/>
  <c r="CVM33" i="1" s="1"/>
  <c r="CTX34" i="1"/>
  <c r="CVM34" i="1" s="1"/>
  <c r="CTX35" i="1"/>
  <c r="CVM35" i="1" s="1"/>
  <c r="CTX36" i="1"/>
  <c r="CVM36" i="1" s="1"/>
  <c r="CTX37" i="1"/>
  <c r="CVM37" i="1" s="1"/>
  <c r="CTX38" i="1"/>
  <c r="CVM38" i="1" s="1"/>
  <c r="CTX39" i="1"/>
  <c r="CVM39" i="1" s="1"/>
  <c r="CTX40" i="1"/>
  <c r="CVM40" i="1" s="1"/>
  <c r="CTX41" i="1"/>
  <c r="CVM41" i="1" s="1"/>
  <c r="CTX42" i="1"/>
  <c r="CVM42" i="1" s="1"/>
  <c r="CTX43" i="1"/>
  <c r="CVM43" i="1" s="1"/>
  <c r="CTX44" i="1"/>
  <c r="CVM44" i="1" s="1"/>
  <c r="CTX45" i="1"/>
  <c r="CVM45" i="1" s="1"/>
  <c r="CTX46" i="1"/>
  <c r="CVM46" i="1" s="1"/>
  <c r="CTX47" i="1"/>
  <c r="CVM47" i="1" s="1"/>
  <c r="CTX48" i="1"/>
  <c r="CVM48" i="1" s="1"/>
  <c r="CTX49" i="1"/>
  <c r="CVM49" i="1" s="1"/>
  <c r="CTX50" i="1"/>
  <c r="CVM50" i="1" s="1"/>
  <c r="CTX51" i="1"/>
  <c r="CTX52" i="1"/>
  <c r="CVM52" i="1" s="1"/>
  <c r="CTX53" i="1"/>
  <c r="CVM53" i="1" s="1"/>
  <c r="CTX54" i="1"/>
  <c r="CVM54" i="1" s="1"/>
  <c r="CTX55" i="1"/>
  <c r="CVM55" i="1" s="1"/>
  <c r="CTY9" i="1"/>
  <c r="CVN9" i="1" s="1"/>
  <c r="CTY10" i="1"/>
  <c r="CVN10" i="1" s="1"/>
  <c r="CTY11" i="1"/>
  <c r="CVN11" i="1" s="1"/>
  <c r="CTY12" i="1"/>
  <c r="CTY13" i="1"/>
  <c r="CVN13" i="1" s="1"/>
  <c r="CTY14" i="1"/>
  <c r="CVN14" i="1" s="1"/>
  <c r="CTY15" i="1"/>
  <c r="CVN15" i="1" s="1"/>
  <c r="CTY16" i="1"/>
  <c r="CVN16" i="1" s="1"/>
  <c r="CTY17" i="1"/>
  <c r="CTY18" i="1"/>
  <c r="CVN18" i="1" s="1"/>
  <c r="CTY19" i="1"/>
  <c r="CVN19" i="1" s="1"/>
  <c r="CTY20" i="1"/>
  <c r="CVN20" i="1" s="1"/>
  <c r="CTY21" i="1"/>
  <c r="CVN21" i="1" s="1"/>
  <c r="CTY22" i="1"/>
  <c r="CVN22" i="1" s="1"/>
  <c r="CTY23" i="1"/>
  <c r="CVN23" i="1" s="1"/>
  <c r="CTY24" i="1"/>
  <c r="CVN24" i="1" s="1"/>
  <c r="CTY25" i="1"/>
  <c r="CVN25" i="1" s="1"/>
  <c r="CTY26" i="1"/>
  <c r="CVN26" i="1" s="1"/>
  <c r="CTY27" i="1"/>
  <c r="CVN27" i="1" s="1"/>
  <c r="CTY28" i="1"/>
  <c r="CVN28" i="1" s="1"/>
  <c r="CTY29" i="1"/>
  <c r="CVN29" i="1" s="1"/>
  <c r="CTY30" i="1"/>
  <c r="CVN30" i="1" s="1"/>
  <c r="CTY31" i="1"/>
  <c r="CVN31" i="1" s="1"/>
  <c r="CTY32" i="1"/>
  <c r="CVN32" i="1" s="1"/>
  <c r="CTY33" i="1"/>
  <c r="CVN33" i="1" s="1"/>
  <c r="CTY34" i="1"/>
  <c r="CVN34" i="1" s="1"/>
  <c r="CTY35" i="1"/>
  <c r="CVN35" i="1" s="1"/>
  <c r="CTY36" i="1"/>
  <c r="CTY37" i="1"/>
  <c r="CVN37" i="1" s="1"/>
  <c r="CTY38" i="1"/>
  <c r="CVN38" i="1" s="1"/>
  <c r="CTY39" i="1"/>
  <c r="CVN39" i="1" s="1"/>
  <c r="CTY40" i="1"/>
  <c r="CVN40" i="1" s="1"/>
  <c r="CTY41" i="1"/>
  <c r="CVN41" i="1" s="1"/>
  <c r="CTY42" i="1"/>
  <c r="CVN42" i="1" s="1"/>
  <c r="CTY43" i="1"/>
  <c r="CVN43" i="1" s="1"/>
  <c r="CTY44" i="1"/>
  <c r="CTY45" i="1"/>
  <c r="CVN45" i="1" s="1"/>
  <c r="CTY46" i="1"/>
  <c r="CVN46" i="1" s="1"/>
  <c r="CTY47" i="1"/>
  <c r="CVN47" i="1" s="1"/>
  <c r="CTY48" i="1"/>
  <c r="CVN48" i="1" s="1"/>
  <c r="CTY49" i="1"/>
  <c r="CVN49" i="1" s="1"/>
  <c r="CTY50" i="1"/>
  <c r="CVN50" i="1" s="1"/>
  <c r="CTY51" i="1"/>
  <c r="CVN51" i="1" s="1"/>
  <c r="CTY52" i="1"/>
  <c r="CVN52" i="1" s="1"/>
  <c r="CTY53" i="1"/>
  <c r="CVN53" i="1" s="1"/>
  <c r="CTY54" i="1"/>
  <c r="CVN54" i="1" s="1"/>
  <c r="CTY55" i="1"/>
  <c r="CVN55" i="1" s="1"/>
  <c r="CTZ9" i="1"/>
  <c r="CTZ10" i="1"/>
  <c r="CTZ11" i="1"/>
  <c r="CTZ12" i="1"/>
  <c r="CTZ13" i="1"/>
  <c r="CTZ14" i="1"/>
  <c r="CTZ15" i="1"/>
  <c r="CTZ16" i="1"/>
  <c r="CTZ17" i="1"/>
  <c r="CTZ18" i="1"/>
  <c r="CTZ19" i="1"/>
  <c r="CTZ20" i="1"/>
  <c r="CTZ21" i="1"/>
  <c r="CTZ22" i="1"/>
  <c r="CTZ23" i="1"/>
  <c r="CTZ24" i="1"/>
  <c r="CTZ25" i="1"/>
  <c r="CTZ26" i="1"/>
  <c r="CTZ27" i="1"/>
  <c r="CTZ28" i="1"/>
  <c r="CTZ29" i="1"/>
  <c r="CTZ30" i="1"/>
  <c r="CTZ31" i="1"/>
  <c r="CTZ32" i="1"/>
  <c r="CTZ33" i="1"/>
  <c r="CTZ34" i="1"/>
  <c r="CTZ35" i="1"/>
  <c r="CTZ36" i="1"/>
  <c r="CTZ37" i="1"/>
  <c r="CTZ38" i="1"/>
  <c r="CTZ39" i="1"/>
  <c r="CTZ40" i="1"/>
  <c r="CTZ41" i="1"/>
  <c r="CTZ42" i="1"/>
  <c r="CTZ43" i="1"/>
  <c r="CTZ44" i="1"/>
  <c r="CTZ45" i="1"/>
  <c r="CTZ46" i="1"/>
  <c r="CTZ47" i="1"/>
  <c r="CTZ48" i="1"/>
  <c r="CTZ49" i="1"/>
  <c r="CTZ50" i="1"/>
  <c r="CTZ51" i="1"/>
  <c r="CTZ52" i="1"/>
  <c r="CTZ53" i="1"/>
  <c r="CTZ54" i="1"/>
  <c r="CTZ55" i="1"/>
  <c r="CUA10" i="1"/>
  <c r="CUA11" i="1"/>
  <c r="CUA13" i="1"/>
  <c r="CUA14" i="1"/>
  <c r="CUA15" i="1"/>
  <c r="CUA26" i="1"/>
  <c r="CUA27" i="1"/>
  <c r="CUA29" i="1"/>
  <c r="CUA37" i="1"/>
  <c r="CUA38" i="1"/>
  <c r="CUA42" i="1"/>
  <c r="CUA43" i="1"/>
  <c r="CUA45" i="1"/>
  <c r="CUA46" i="1"/>
  <c r="CUA53" i="1"/>
  <c r="CUB11" i="1"/>
  <c r="CUB12" i="1"/>
  <c r="CUB14" i="1"/>
  <c r="CUB15" i="1"/>
  <c r="CUB22" i="1"/>
  <c r="CUB23" i="1"/>
  <c r="CUB27" i="1"/>
  <c r="CUB30" i="1"/>
  <c r="CUB31" i="1"/>
  <c r="CUB38" i="1"/>
  <c r="CUB39" i="1"/>
  <c r="CUB43" i="1"/>
  <c r="CUB44" i="1"/>
  <c r="CUB46" i="1"/>
  <c r="CUB54" i="1"/>
  <c r="CUB55" i="1"/>
  <c r="CUC12" i="1"/>
  <c r="CUC13" i="1"/>
  <c r="CUC15" i="1"/>
  <c r="CUC16" i="1"/>
  <c r="CUC23" i="1"/>
  <c r="CUC28" i="1"/>
  <c r="CUC29" i="1"/>
  <c r="CUC31" i="1"/>
  <c r="CUC32" i="1"/>
  <c r="CUC39" i="1"/>
  <c r="CUC40" i="1"/>
  <c r="CUC44" i="1"/>
  <c r="CUC47" i="1"/>
  <c r="CUC48" i="1"/>
  <c r="CUC55" i="1"/>
  <c r="CUD9" i="1"/>
  <c r="CUD13" i="1"/>
  <c r="CUD14" i="1"/>
  <c r="CUD16" i="1"/>
  <c r="CUD22" i="1"/>
  <c r="CUD24" i="1"/>
  <c r="CUD25" i="1"/>
  <c r="CUD29" i="1"/>
  <c r="CUD30" i="1"/>
  <c r="CUD32" i="1"/>
  <c r="CUD38" i="1"/>
  <c r="CUD40" i="1"/>
  <c r="CUD45" i="1"/>
  <c r="CUD46" i="1"/>
  <c r="CUD48" i="1"/>
  <c r="CUD49" i="1"/>
  <c r="CUE9" i="1"/>
  <c r="CUE10" i="1"/>
  <c r="CUE14" i="1"/>
  <c r="CUE15" i="1"/>
  <c r="CUE17" i="1"/>
  <c r="CUE18" i="1"/>
  <c r="CUE23" i="1"/>
  <c r="CUE25" i="1"/>
  <c r="CUE26" i="1"/>
  <c r="CUE30" i="1"/>
  <c r="CUE33" i="1"/>
  <c r="CUE34" i="1"/>
  <c r="CUE38" i="1"/>
  <c r="CUE41" i="1"/>
  <c r="CUE46" i="1"/>
  <c r="CUE49" i="1"/>
  <c r="CUF11" i="1"/>
  <c r="CUF15" i="1"/>
  <c r="CUF18" i="1"/>
  <c r="CUF19" i="1"/>
  <c r="CUF23" i="1"/>
  <c r="CUF26" i="1"/>
  <c r="CUF27" i="1"/>
  <c r="CUF34" i="1"/>
  <c r="CUF35" i="1"/>
  <c r="CUF39" i="1"/>
  <c r="CUF42" i="1"/>
  <c r="CUF43" i="1"/>
  <c r="CUF47" i="1"/>
  <c r="CUF50" i="1"/>
  <c r="CUF51" i="1"/>
  <c r="CUF55" i="1"/>
  <c r="CUG11" i="1"/>
  <c r="CUG12" i="1"/>
  <c r="CUG16" i="1"/>
  <c r="CUG19" i="1"/>
  <c r="CUG20" i="1"/>
  <c r="CUG24" i="1"/>
  <c r="CUG25" i="1"/>
  <c r="CUG27" i="1"/>
  <c r="CUG28" i="1"/>
  <c r="CUG32" i="1"/>
  <c r="CUG35" i="1"/>
  <c r="CUG36" i="1"/>
  <c r="CUG40" i="1"/>
  <c r="CUG41" i="1"/>
  <c r="CUG43" i="1"/>
  <c r="CUG44" i="1"/>
  <c r="CUG48" i="1"/>
  <c r="CUG51" i="1"/>
  <c r="CUG52" i="1"/>
  <c r="CUH10" i="1"/>
  <c r="CUH12" i="1"/>
  <c r="CUH13" i="1"/>
  <c r="CUH17" i="1"/>
  <c r="CUH20" i="1"/>
  <c r="CUH21" i="1"/>
  <c r="CUH28" i="1"/>
  <c r="CUH29" i="1"/>
  <c r="CUH33" i="1"/>
  <c r="CUH36" i="1"/>
  <c r="CUH37" i="1"/>
  <c r="CUH41" i="1"/>
  <c r="CUH45" i="1"/>
  <c r="CUH49" i="1"/>
  <c r="CUH52" i="1"/>
  <c r="CUH53" i="1"/>
  <c r="CUI10" i="1"/>
  <c r="CUI13" i="1"/>
  <c r="CUI14" i="1"/>
  <c r="CUI18" i="1"/>
  <c r="CUI21" i="1"/>
  <c r="CUI26" i="1"/>
  <c r="CUI27" i="1"/>
  <c r="CUI29" i="1"/>
  <c r="CUI30" i="1"/>
  <c r="CUI37" i="1"/>
  <c r="CUI38" i="1"/>
  <c r="CUI42" i="1"/>
  <c r="CUI45" i="1"/>
  <c r="CUI46" i="1"/>
  <c r="CUJ11" i="1"/>
  <c r="CUJ12" i="1"/>
  <c r="CUJ14" i="1"/>
  <c r="CUJ15" i="1"/>
  <c r="CUJ19" i="1"/>
  <c r="CUJ22" i="1"/>
  <c r="CUJ23" i="1"/>
  <c r="CUJ27" i="1"/>
  <c r="CUJ28" i="1"/>
  <c r="CUJ30" i="1"/>
  <c r="CUJ31" i="1"/>
  <c r="CUJ35" i="1"/>
  <c r="CUJ38" i="1"/>
  <c r="CUJ39" i="1"/>
  <c r="CUJ44" i="1"/>
  <c r="CUJ46" i="1"/>
  <c r="CUJ47" i="1"/>
  <c r="CUJ51" i="1"/>
  <c r="CUJ52" i="1"/>
  <c r="CUJ54" i="1"/>
  <c r="CUJ55" i="1"/>
  <c r="CUK12" i="1"/>
  <c r="CUK15" i="1"/>
  <c r="CUK16" i="1"/>
  <c r="CUK20" i="1"/>
  <c r="CUK23" i="1"/>
  <c r="CUK24" i="1"/>
  <c r="CUK28" i="1"/>
  <c r="CUK31" i="1"/>
  <c r="CUK32" i="1"/>
  <c r="CUK36" i="1"/>
  <c r="CUK37" i="1"/>
  <c r="CUK39" i="1"/>
  <c r="CUK40" i="1"/>
  <c r="CUK44" i="1"/>
  <c r="CUK47" i="1"/>
  <c r="CUK48" i="1"/>
  <c r="CUK52" i="1"/>
  <c r="CUK53" i="1"/>
  <c r="CUK55" i="1"/>
  <c r="CUL9" i="1"/>
  <c r="CUL13" i="1"/>
  <c r="CUL16" i="1"/>
  <c r="CUL17" i="1"/>
  <c r="CUL21" i="1"/>
  <c r="CUL24" i="1"/>
  <c r="CUL25" i="1"/>
  <c r="CUL29" i="1"/>
  <c r="CUL32" i="1"/>
  <c r="CUL33" i="1"/>
  <c r="CUL37" i="1"/>
  <c r="CUL38" i="1"/>
  <c r="CUL40" i="1"/>
  <c r="CUL41" i="1"/>
  <c r="CUL45" i="1"/>
  <c r="CUL46" i="1"/>
  <c r="CUL48" i="1"/>
  <c r="CUL49" i="1"/>
  <c r="CUL53" i="1"/>
  <c r="CUM14" i="1"/>
  <c r="CUM15" i="1"/>
  <c r="CUM17" i="1"/>
  <c r="CUM18" i="1"/>
  <c r="CUM22" i="1"/>
  <c r="CUM26" i="1"/>
  <c r="CUM30" i="1"/>
  <c r="CUM33" i="1"/>
  <c r="CUM34" i="1"/>
  <c r="CUM38" i="1"/>
  <c r="CUM42" i="1"/>
  <c r="CUM46" i="1"/>
  <c r="CUM47" i="1"/>
  <c r="CUM49" i="1"/>
  <c r="CUM54" i="1"/>
  <c r="CUN11" i="1"/>
  <c r="CUN15" i="1"/>
  <c r="CUN16" i="1"/>
  <c r="CUN18" i="1"/>
  <c r="CUN19" i="1"/>
  <c r="CUN23" i="1"/>
  <c r="CUN31" i="1"/>
  <c r="CUN32" i="1"/>
  <c r="CUN34" i="1"/>
  <c r="CUN35" i="1"/>
  <c r="CUN39" i="1"/>
  <c r="CUN43" i="1"/>
  <c r="CUN47" i="1"/>
  <c r="CUN50" i="1"/>
  <c r="CUN51" i="1"/>
  <c r="CUN55" i="1"/>
  <c r="CUO12" i="1"/>
  <c r="CUO16" i="1"/>
  <c r="CUO17" i="1"/>
  <c r="CUO19" i="1"/>
  <c r="CUO24" i="1"/>
  <c r="CUO28" i="1"/>
  <c r="CUO32" i="1"/>
  <c r="CUO33" i="1"/>
  <c r="CUO35" i="1"/>
  <c r="CUO36" i="1"/>
  <c r="CUO40" i="1"/>
  <c r="CUO48" i="1"/>
  <c r="CUO51" i="1"/>
  <c r="CUO52" i="1"/>
  <c r="CUP9" i="1"/>
  <c r="CUP13" i="1"/>
  <c r="CUP17" i="1"/>
  <c r="CUP20" i="1"/>
  <c r="CUP21" i="1"/>
  <c r="CUP25" i="1"/>
  <c r="CUP29" i="1"/>
  <c r="CUP33" i="1"/>
  <c r="CUP34" i="1"/>
  <c r="CUP36" i="1"/>
  <c r="CUP45" i="1"/>
  <c r="CUP49" i="1"/>
  <c r="CUP52" i="1"/>
  <c r="CUP53" i="1"/>
  <c r="CUQ10" i="1"/>
  <c r="CUQ13" i="1"/>
  <c r="CUQ21" i="1"/>
  <c r="CUQ22" i="1"/>
  <c r="CUQ26" i="1"/>
  <c r="CUQ29" i="1"/>
  <c r="CUQ30" i="1"/>
  <c r="CUQ34" i="1"/>
  <c r="CUQ37" i="1"/>
  <c r="CUQ42" i="1"/>
  <c r="CUQ45" i="1"/>
  <c r="CUQ50" i="1"/>
  <c r="CUQ53" i="1"/>
  <c r="CUQ54" i="1"/>
  <c r="CUR15" i="1"/>
  <c r="CUR19" i="1"/>
  <c r="CUR22" i="1"/>
  <c r="CUR23" i="1"/>
  <c r="CUR27" i="1"/>
  <c r="CUR30" i="1"/>
  <c r="CUR31" i="1"/>
  <c r="CUR38" i="1"/>
  <c r="CUR39" i="1"/>
  <c r="CUR46" i="1"/>
  <c r="CUR47" i="1"/>
  <c r="CUR51" i="1"/>
  <c r="CUR54" i="1"/>
  <c r="CUR55" i="1"/>
  <c r="CUS12" i="1"/>
  <c r="CUS15" i="1"/>
  <c r="CUS23" i="1"/>
  <c r="CUS32" i="1"/>
  <c r="CUS36" i="1"/>
  <c r="CUS39" i="1"/>
  <c r="CUS40" i="1"/>
  <c r="CUS44" i="1"/>
  <c r="CUS47" i="1"/>
  <c r="CUS48" i="1"/>
  <c r="CUS55" i="1"/>
  <c r="CUT9" i="1"/>
  <c r="CUT13" i="1"/>
  <c r="CUT16" i="1"/>
  <c r="CUT17" i="1"/>
  <c r="CUT21" i="1"/>
  <c r="CUT24" i="1"/>
  <c r="CUT25" i="1"/>
  <c r="CUT32" i="1"/>
  <c r="CUT33" i="1"/>
  <c r="CUT37" i="1"/>
  <c r="CUT40" i="1"/>
  <c r="CUT41" i="1"/>
  <c r="CUT53" i="1"/>
  <c r="CUU9" i="1"/>
  <c r="CUU17" i="1"/>
  <c r="CUU18" i="1"/>
  <c r="CUU25" i="1"/>
  <c r="CUU30" i="1"/>
  <c r="CUU33" i="1"/>
  <c r="CUU38" i="1"/>
  <c r="CUU41" i="1"/>
  <c r="CUU42" i="1"/>
  <c r="CUU49" i="1"/>
  <c r="CUU54" i="1"/>
  <c r="CUV10" i="1"/>
  <c r="CUV19" i="1"/>
  <c r="CUV23" i="1"/>
  <c r="CUV26" i="1"/>
  <c r="CUV27" i="1"/>
  <c r="CUV34" i="1"/>
  <c r="CUV35" i="1"/>
  <c r="CUV42" i="1"/>
  <c r="CUV43" i="1"/>
  <c r="CUV47" i="1"/>
  <c r="CUV50" i="1"/>
  <c r="CUV51" i="1"/>
  <c r="CUW11" i="1"/>
  <c r="CUW12" i="1"/>
  <c r="CUW19" i="1"/>
  <c r="CUW20" i="1"/>
  <c r="CUW24" i="1"/>
  <c r="CUW27" i="1"/>
  <c r="CUW28" i="1"/>
  <c r="CUW43" i="1"/>
  <c r="CUW48" i="1"/>
  <c r="CUW51" i="1"/>
  <c r="CUW52" i="1"/>
  <c r="CUX12" i="1"/>
  <c r="CUX17" i="1"/>
  <c r="CUX20" i="1"/>
  <c r="CUX28" i="1"/>
  <c r="CUX29" i="1"/>
  <c r="CUX36" i="1"/>
  <c r="CUX41" i="1"/>
  <c r="CUX44" i="1"/>
  <c r="CUX53" i="1"/>
  <c r="CUY10" i="1"/>
  <c r="CUY13" i="1"/>
  <c r="CUY14" i="1"/>
  <c r="CUY18" i="1"/>
  <c r="CUY21" i="1"/>
  <c r="CUY22" i="1"/>
  <c r="CUY29" i="1"/>
  <c r="CUY30" i="1"/>
  <c r="CUY34" i="1"/>
  <c r="CUY37" i="1"/>
  <c r="CUY38" i="1"/>
  <c r="CUY42" i="1"/>
  <c r="CUY45" i="1"/>
  <c r="CUY46" i="1"/>
  <c r="CUY53" i="1"/>
  <c r="CUY54" i="1"/>
  <c r="CUZ11" i="1"/>
  <c r="CUZ14" i="1"/>
  <c r="CUZ22" i="1"/>
  <c r="CUZ23" i="1"/>
  <c r="CUZ27" i="1"/>
  <c r="CUZ30" i="1"/>
  <c r="CUZ31" i="1"/>
  <c r="CUZ35" i="1"/>
  <c r="CUZ38" i="1"/>
  <c r="CUZ46" i="1"/>
  <c r="CUZ47" i="1"/>
  <c r="CUZ51" i="1"/>
  <c r="CUZ54" i="1"/>
  <c r="CUZ55" i="1"/>
  <c r="CVA16" i="1"/>
  <c r="CVA20" i="1"/>
  <c r="CVA23" i="1"/>
  <c r="CVA28" i="1"/>
  <c r="CVA31" i="1"/>
  <c r="CVA32" i="1"/>
  <c r="CVA39" i="1"/>
  <c r="CVA40" i="1"/>
  <c r="CVA44" i="1"/>
  <c r="CVA47" i="1"/>
  <c r="CVA52" i="1"/>
  <c r="CVA55" i="1"/>
  <c r="CVB9" i="1"/>
  <c r="CVB16" i="1"/>
  <c r="CVB17" i="1"/>
  <c r="CVB21" i="1"/>
  <c r="CVB24" i="1"/>
  <c r="CVB33" i="1"/>
  <c r="CVB37" i="1"/>
  <c r="CVB40" i="1"/>
  <c r="CVB41" i="1"/>
  <c r="CVB45" i="1"/>
  <c r="CVB48" i="1"/>
  <c r="CVC9" i="1"/>
  <c r="CVC14" i="1"/>
  <c r="CVC17" i="1"/>
  <c r="CVC18" i="1"/>
  <c r="CVC26" i="1"/>
  <c r="CVC30" i="1"/>
  <c r="CVC33" i="1"/>
  <c r="CVC38" i="1"/>
  <c r="CVC41" i="1"/>
  <c r="CVC42" i="1"/>
  <c r="CVC49" i="1"/>
  <c r="CVC54" i="1"/>
  <c r="CVD10" i="1"/>
  <c r="CVD11" i="1"/>
  <c r="CVD18" i="1"/>
  <c r="CVD19" i="1"/>
  <c r="CVD23" i="1"/>
  <c r="CVD26" i="1"/>
  <c r="CVD27" i="1"/>
  <c r="CVD31" i="1"/>
  <c r="CVD34" i="1"/>
  <c r="CVD35" i="1"/>
  <c r="CVD42" i="1"/>
  <c r="CVD43" i="1"/>
  <c r="CVD47" i="1"/>
  <c r="CVD50" i="1"/>
  <c r="CVD51" i="1"/>
  <c r="CVE12" i="1"/>
  <c r="CVE16" i="1"/>
  <c r="CVE20" i="1"/>
  <c r="CVE27" i="1"/>
  <c r="CVE35" i="1"/>
  <c r="CVE36" i="1"/>
  <c r="CVE43" i="1"/>
  <c r="CVE44" i="1"/>
  <c r="CVE48" i="1"/>
  <c r="CVE51" i="1"/>
  <c r="CVF12" i="1"/>
  <c r="CVF20" i="1"/>
  <c r="CVF21" i="1"/>
  <c r="CVF28" i="1"/>
  <c r="CVF33" i="1"/>
  <c r="CVF36" i="1"/>
  <c r="CVF49" i="1"/>
  <c r="CVF52" i="1"/>
  <c r="CVF53" i="1"/>
  <c r="CVG13" i="1"/>
  <c r="CVG21" i="1"/>
  <c r="CVG22" i="1"/>
  <c r="CVG29" i="1"/>
  <c r="CVG30" i="1"/>
  <c r="CVG34" i="1"/>
  <c r="CVG37" i="1"/>
  <c r="CVG45" i="1"/>
  <c r="CVG46" i="1"/>
  <c r="CVG50" i="1"/>
  <c r="CVG53" i="1"/>
  <c r="CVG54" i="1"/>
  <c r="CVH22" i="1"/>
  <c r="CVH30" i="1"/>
  <c r="CVH31" i="1"/>
  <c r="CVH38" i="1"/>
  <c r="CVH43" i="1"/>
  <c r="CVH46" i="1"/>
  <c r="CVH54" i="1"/>
  <c r="CVH55" i="1"/>
  <c r="CVI12" i="1"/>
  <c r="CVI15" i="1"/>
  <c r="CVI16" i="1"/>
  <c r="CVI23" i="1"/>
  <c r="CVI24" i="1"/>
  <c r="CVI31" i="1"/>
  <c r="CVI32" i="1"/>
  <c r="CVI36" i="1"/>
  <c r="CVI39" i="1"/>
  <c r="CVI40" i="1"/>
  <c r="CVI47" i="1"/>
  <c r="CVI48" i="1"/>
  <c r="CVI55" i="1"/>
  <c r="CVJ9" i="1"/>
  <c r="CVJ21" i="1"/>
  <c r="CVJ24" i="1"/>
  <c r="CVJ32" i="1"/>
  <c r="CVJ40" i="1"/>
  <c r="CVK10" i="1"/>
  <c r="CVK17" i="1"/>
  <c r="CVK22" i="1"/>
  <c r="CVK25" i="1"/>
  <c r="CVK33" i="1"/>
  <c r="CVK38" i="1"/>
  <c r="CVK41" i="1"/>
  <c r="CVL10" i="1"/>
  <c r="CVL18" i="1"/>
  <c r="CVL27" i="1"/>
  <c r="CVL34" i="1"/>
  <c r="CVL43" i="1"/>
  <c r="CVL50" i="1"/>
  <c r="CVM11" i="1"/>
  <c r="CVM28" i="1"/>
  <c r="CVM51" i="1"/>
  <c r="CVN12" i="1"/>
  <c r="CVN17" i="1"/>
  <c r="CVN36" i="1"/>
  <c r="CVN44" i="1"/>
  <c r="CVO9" i="1"/>
  <c r="CVP9" i="1" s="1"/>
  <c r="CVO10" i="1"/>
  <c r="CVP10" i="1" s="1"/>
  <c r="CVO11" i="1"/>
  <c r="CVP11" i="1" s="1"/>
  <c r="CVO12" i="1"/>
  <c r="CVP12" i="1" s="1"/>
  <c r="CVO13" i="1"/>
  <c r="CVP13" i="1" s="1"/>
  <c r="CVO14" i="1"/>
  <c r="CVP14" i="1" s="1"/>
  <c r="CVO15" i="1"/>
  <c r="CVP15" i="1" s="1"/>
  <c r="CVO16" i="1"/>
  <c r="CVO17" i="1"/>
  <c r="CVP17" i="1" s="1"/>
  <c r="CVO18" i="1"/>
  <c r="CVP18" i="1" s="1"/>
  <c r="CVO19" i="1"/>
  <c r="CVP19" i="1" s="1"/>
  <c r="CVO20" i="1"/>
  <c r="CVP20" i="1" s="1"/>
  <c r="CVO21" i="1"/>
  <c r="CVP21" i="1" s="1"/>
  <c r="CVO22" i="1"/>
  <c r="CVP22" i="1" s="1"/>
  <c r="CVO23" i="1"/>
  <c r="CVP23" i="1" s="1"/>
  <c r="CVO24" i="1"/>
  <c r="CVP24" i="1" s="1"/>
  <c r="CVO25" i="1"/>
  <c r="CVP25" i="1" s="1"/>
  <c r="CVO26" i="1"/>
  <c r="CVP26" i="1" s="1"/>
  <c r="CVO27" i="1"/>
  <c r="CVP27" i="1" s="1"/>
  <c r="CVO28" i="1"/>
  <c r="CVP28" i="1" s="1"/>
  <c r="CVO29" i="1"/>
  <c r="CVP29" i="1" s="1"/>
  <c r="CVO30" i="1"/>
  <c r="CVP30" i="1" s="1"/>
  <c r="CVO31" i="1"/>
  <c r="CVP31" i="1" s="1"/>
  <c r="CVO32" i="1"/>
  <c r="CVO33" i="1"/>
  <c r="CVP33" i="1" s="1"/>
  <c r="CVO34" i="1"/>
  <c r="CVP34" i="1" s="1"/>
  <c r="CVO35" i="1"/>
  <c r="CVP35" i="1" s="1"/>
  <c r="CVO36" i="1"/>
  <c r="CVP36" i="1" s="1"/>
  <c r="CVO37" i="1"/>
  <c r="CVP37" i="1" s="1"/>
  <c r="CVO38" i="1"/>
  <c r="CVP38" i="1" s="1"/>
  <c r="CVO39" i="1"/>
  <c r="CVP39" i="1" s="1"/>
  <c r="CVO40" i="1"/>
  <c r="CVP40" i="1" s="1"/>
  <c r="CVO41" i="1"/>
  <c r="CVP41" i="1" s="1"/>
  <c r="CVO42" i="1"/>
  <c r="CVP42" i="1" s="1"/>
  <c r="CVO43" i="1"/>
  <c r="CVP43" i="1" s="1"/>
  <c r="CVO44" i="1"/>
  <c r="CVP44" i="1" s="1"/>
  <c r="CVO45" i="1"/>
  <c r="CVP45" i="1" s="1"/>
  <c r="CVO46" i="1"/>
  <c r="CVP46" i="1" s="1"/>
  <c r="CVO47" i="1"/>
  <c r="CVP47" i="1" s="1"/>
  <c r="CVO48" i="1"/>
  <c r="CVP48" i="1" s="1"/>
  <c r="CVO49" i="1"/>
  <c r="CVP49" i="1" s="1"/>
  <c r="CVO50" i="1"/>
  <c r="CVP50" i="1" s="1"/>
  <c r="CVO51" i="1"/>
  <c r="CVP51" i="1" s="1"/>
  <c r="CVO52" i="1"/>
  <c r="CVP52" i="1" s="1"/>
  <c r="CVO53" i="1"/>
  <c r="CVP53" i="1" s="1"/>
  <c r="CVO54" i="1"/>
  <c r="CVP54" i="1" s="1"/>
  <c r="CVO55" i="1"/>
  <c r="CVP55" i="1" s="1"/>
  <c r="CVP16" i="1"/>
  <c r="CVP32" i="1"/>
  <c r="H54" i="1" l="1"/>
  <c r="H14" i="1"/>
  <c r="H45" i="1"/>
  <c r="H13" i="1"/>
  <c r="H12" i="1"/>
  <c r="H50" i="1"/>
  <c r="H42" i="1"/>
  <c r="H10" i="1"/>
  <c r="H31" i="1"/>
  <c r="H48" i="1"/>
  <c r="H40" i="1"/>
  <c r="H32" i="1"/>
  <c r="H55" i="1"/>
  <c r="H49" i="1"/>
  <c r="H25" i="1"/>
  <c r="H17" i="1"/>
  <c r="CUN41" i="1"/>
  <c r="J41" i="1"/>
  <c r="H41" i="1" s="1"/>
  <c r="CUN33" i="1"/>
  <c r="J33" i="1"/>
  <c r="CUM24" i="1"/>
  <c r="I24" i="1"/>
  <c r="CUM16" i="1"/>
  <c r="I16" i="1"/>
  <c r="I50" i="1"/>
  <c r="I42" i="1"/>
  <c r="I34" i="1"/>
  <c r="I26" i="1"/>
  <c r="I18" i="1"/>
  <c r="I10" i="1"/>
  <c r="J48" i="1"/>
  <c r="K48" i="1" s="1"/>
  <c r="J40" i="1"/>
  <c r="K40" i="1" s="1"/>
  <c r="J32" i="1"/>
  <c r="K32" i="1" s="1"/>
  <c r="J24" i="1"/>
  <c r="K24" i="1" s="1"/>
  <c r="J16" i="1"/>
  <c r="J25" i="1"/>
  <c r="K25" i="1" s="1"/>
  <c r="J55" i="1"/>
  <c r="K55" i="1" s="1"/>
  <c r="J47" i="1"/>
  <c r="K47" i="1" s="1"/>
  <c r="J39" i="1"/>
  <c r="K39" i="1" s="1"/>
  <c r="J31" i="1"/>
  <c r="K31" i="1" s="1"/>
  <c r="J23" i="1"/>
  <c r="K23" i="1" s="1"/>
  <c r="J15" i="1"/>
  <c r="K15" i="1" s="1"/>
  <c r="J17" i="1"/>
  <c r="K17" i="1" s="1"/>
  <c r="J54" i="1"/>
  <c r="K54" i="1" s="1"/>
  <c r="J46" i="1"/>
  <c r="K46" i="1" s="1"/>
  <c r="J38" i="1"/>
  <c r="K38" i="1" s="1"/>
  <c r="J30" i="1"/>
  <c r="K30" i="1" s="1"/>
  <c r="J22" i="1"/>
  <c r="K22" i="1" s="1"/>
  <c r="J14" i="1"/>
  <c r="K14" i="1" s="1"/>
  <c r="J9" i="1"/>
  <c r="K9" i="1" s="1"/>
  <c r="I53" i="1"/>
  <c r="I45" i="1"/>
  <c r="I37" i="1"/>
  <c r="I29" i="1"/>
  <c r="I21" i="1"/>
  <c r="I13" i="1"/>
  <c r="I48" i="1"/>
  <c r="J53" i="1"/>
  <c r="H53" i="1" s="1"/>
  <c r="CUB53" i="1"/>
  <c r="J45" i="1"/>
  <c r="K45" i="1" s="1"/>
  <c r="CUB45" i="1"/>
  <c r="J37" i="1"/>
  <c r="H37" i="1" s="1"/>
  <c r="CUB37" i="1"/>
  <c r="J29" i="1"/>
  <c r="CUB29" i="1"/>
  <c r="J21" i="1"/>
  <c r="H21" i="1" s="1"/>
  <c r="CUB21" i="1"/>
  <c r="J13" i="1"/>
  <c r="K13" i="1" s="1"/>
  <c r="CUB13" i="1"/>
  <c r="J52" i="1"/>
  <c r="H52" i="1" s="1"/>
  <c r="I52" i="1"/>
  <c r="CUA52" i="1"/>
  <c r="J44" i="1"/>
  <c r="H44" i="1" s="1"/>
  <c r="I44" i="1"/>
  <c r="CUA44" i="1"/>
  <c r="J36" i="1"/>
  <c r="I36" i="1"/>
  <c r="CUA36" i="1"/>
  <c r="J28" i="1"/>
  <c r="I28" i="1"/>
  <c r="CUA28" i="1"/>
  <c r="J20" i="1"/>
  <c r="H20" i="1" s="1"/>
  <c r="I20" i="1"/>
  <c r="CUA20" i="1"/>
  <c r="J12" i="1"/>
  <c r="K12" i="1" s="1"/>
  <c r="I12" i="1"/>
  <c r="CUA12" i="1"/>
  <c r="I40" i="1"/>
  <c r="J51" i="1"/>
  <c r="K51" i="1" s="1"/>
  <c r="J43" i="1"/>
  <c r="K43" i="1" s="1"/>
  <c r="J35" i="1"/>
  <c r="K35" i="1" s="1"/>
  <c r="J27" i="1"/>
  <c r="K27" i="1" s="1"/>
  <c r="J19" i="1"/>
  <c r="K19" i="1" s="1"/>
  <c r="J11" i="1"/>
  <c r="K11" i="1" s="1"/>
  <c r="J49" i="1"/>
  <c r="K49" i="1" s="1"/>
  <c r="I32" i="1"/>
  <c r="J50" i="1"/>
  <c r="K50" i="1" s="1"/>
  <c r="J42" i="1"/>
  <c r="K42" i="1" s="1"/>
  <c r="J34" i="1"/>
  <c r="K34" i="1" s="1"/>
  <c r="J26" i="1"/>
  <c r="K26" i="1" s="1"/>
  <c r="J18" i="1"/>
  <c r="K18" i="1" s="1"/>
  <c r="J10" i="1"/>
  <c r="K10" i="1" s="1"/>
  <c r="I49" i="1"/>
  <c r="I41" i="1"/>
  <c r="I33" i="1"/>
  <c r="I25" i="1"/>
  <c r="I17" i="1"/>
  <c r="I9" i="1"/>
  <c r="I55" i="1"/>
  <c r="I47" i="1"/>
  <c r="I39" i="1"/>
  <c r="I31" i="1"/>
  <c r="I23" i="1"/>
  <c r="I15" i="1"/>
  <c r="I54" i="1"/>
  <c r="I46" i="1"/>
  <c r="I38" i="1"/>
  <c r="I30" i="1"/>
  <c r="I22" i="1"/>
  <c r="I14" i="1"/>
  <c r="I51" i="1"/>
  <c r="I43" i="1"/>
  <c r="I35" i="1"/>
  <c r="I27" i="1"/>
  <c r="I19" i="1"/>
  <c r="I11" i="1"/>
  <c r="A2" i="8"/>
  <c r="K16" i="1" l="1"/>
  <c r="K33" i="1"/>
  <c r="K28" i="1"/>
  <c r="K29" i="1"/>
  <c r="K36" i="1"/>
  <c r="H18" i="1"/>
  <c r="H47" i="1"/>
  <c r="H46" i="1"/>
  <c r="H9" i="1"/>
  <c r="K44" i="1"/>
  <c r="H39" i="1"/>
  <c r="H19" i="1"/>
  <c r="H36" i="1"/>
  <c r="H22" i="1"/>
  <c r="K52" i="1"/>
  <c r="K37" i="1"/>
  <c r="H16" i="1"/>
  <c r="H26" i="1"/>
  <c r="H43" i="1"/>
  <c r="H30" i="1"/>
  <c r="H27" i="1"/>
  <c r="H35" i="1"/>
  <c r="H33" i="1"/>
  <c r="H24" i="1"/>
  <c r="H34" i="1"/>
  <c r="H51" i="1"/>
  <c r="H38" i="1"/>
  <c r="H29" i="1"/>
  <c r="K20" i="1"/>
  <c r="K21" i="1"/>
  <c r="K53" i="1"/>
  <c r="K41" i="1"/>
  <c r="H23" i="1"/>
  <c r="H11" i="1"/>
  <c r="H28" i="1"/>
  <c r="H15" i="1"/>
  <c r="CSM6" i="1"/>
  <c r="CUB6" i="1" s="1"/>
  <c r="CSN6" i="1"/>
  <c r="CUC6" i="1" s="1"/>
  <c r="CSO6" i="1"/>
  <c r="CUD6" i="1" s="1"/>
  <c r="CSP6" i="1"/>
  <c r="CUE6" i="1" s="1"/>
  <c r="CSQ6" i="1"/>
  <c r="CUF6" i="1" s="1"/>
  <c r="CSR6" i="1"/>
  <c r="CUG6" i="1" s="1"/>
  <c r="CSS6" i="1"/>
  <c r="CUH6" i="1" s="1"/>
  <c r="CST6" i="1"/>
  <c r="CUI6" i="1" s="1"/>
  <c r="CSU6" i="1"/>
  <c r="CUJ6" i="1" s="1"/>
  <c r="CSV6" i="1"/>
  <c r="CUK6" i="1" s="1"/>
  <c r="CSW6" i="1"/>
  <c r="CUL6" i="1" s="1"/>
  <c r="CSX6" i="1"/>
  <c r="CUM6" i="1" s="1"/>
  <c r="CSY6" i="1"/>
  <c r="CUN6" i="1" s="1"/>
  <c r="CSZ6" i="1"/>
  <c r="CUO6" i="1" s="1"/>
  <c r="CTA6" i="1"/>
  <c r="CUP6" i="1" s="1"/>
  <c r="CTB6" i="1"/>
  <c r="CUQ6" i="1" s="1"/>
  <c r="CTC6" i="1"/>
  <c r="CUR6" i="1" s="1"/>
  <c r="CTD6" i="1"/>
  <c r="CUS6" i="1" s="1"/>
  <c r="CTE6" i="1"/>
  <c r="CUT6" i="1" s="1"/>
  <c r="CTF6" i="1"/>
  <c r="CUU6" i="1" s="1"/>
  <c r="CTG6" i="1"/>
  <c r="CUV6" i="1" s="1"/>
  <c r="CTH6" i="1"/>
  <c r="CUW6" i="1" s="1"/>
  <c r="CTI6" i="1"/>
  <c r="CUX6" i="1" s="1"/>
  <c r="CTJ6" i="1"/>
  <c r="CUY6" i="1" s="1"/>
  <c r="CTK6" i="1"/>
  <c r="CUZ6" i="1" s="1"/>
  <c r="CTL6" i="1"/>
  <c r="CVA6" i="1" s="1"/>
  <c r="CTM6" i="1"/>
  <c r="CVB6" i="1" s="1"/>
  <c r="CTN6" i="1"/>
  <c r="CVC6" i="1" s="1"/>
  <c r="CTO6" i="1"/>
  <c r="CVD6" i="1" s="1"/>
  <c r="CTP6" i="1"/>
  <c r="CVE6" i="1" s="1"/>
  <c r="CTQ6" i="1"/>
  <c r="CVF6" i="1" s="1"/>
  <c r="CTR6" i="1"/>
  <c r="CVG6" i="1" s="1"/>
  <c r="CTS6" i="1"/>
  <c r="CVH6" i="1" s="1"/>
  <c r="CTT6" i="1"/>
  <c r="CVI6" i="1" s="1"/>
  <c r="CTU6" i="1"/>
  <c r="CVJ6" i="1" s="1"/>
  <c r="CTV6" i="1"/>
  <c r="CVK6" i="1" s="1"/>
  <c r="CTW6" i="1"/>
  <c r="CVL6" i="1" s="1"/>
  <c r="CTX6" i="1"/>
  <c r="CVM6" i="1" s="1"/>
  <c r="CTY6" i="1"/>
  <c r="CVN6" i="1" s="1"/>
  <c r="CSM7" i="1"/>
  <c r="CUB7" i="1" s="1"/>
  <c r="CSN7" i="1"/>
  <c r="CUC7" i="1" s="1"/>
  <c r="CSO7" i="1"/>
  <c r="CUD7" i="1" s="1"/>
  <c r="CSP7" i="1"/>
  <c r="CUE7" i="1" s="1"/>
  <c r="CSQ7" i="1"/>
  <c r="CUF7" i="1" s="1"/>
  <c r="CSR7" i="1"/>
  <c r="CUG7" i="1" s="1"/>
  <c r="CSS7" i="1"/>
  <c r="CUH7" i="1" s="1"/>
  <c r="CST7" i="1"/>
  <c r="CUI7" i="1" s="1"/>
  <c r="CSU7" i="1"/>
  <c r="CUJ7" i="1" s="1"/>
  <c r="CSV7" i="1"/>
  <c r="CUK7" i="1" s="1"/>
  <c r="CSW7" i="1"/>
  <c r="CUL7" i="1" s="1"/>
  <c r="CSX7" i="1"/>
  <c r="CUM7" i="1" s="1"/>
  <c r="CSY7" i="1"/>
  <c r="CUN7" i="1" s="1"/>
  <c r="CSZ7" i="1"/>
  <c r="CUO7" i="1" s="1"/>
  <c r="CTA7" i="1"/>
  <c r="CUP7" i="1" s="1"/>
  <c r="CTB7" i="1"/>
  <c r="CUQ7" i="1" s="1"/>
  <c r="CTC7" i="1"/>
  <c r="CUR7" i="1" s="1"/>
  <c r="CTD7" i="1"/>
  <c r="CUS7" i="1" s="1"/>
  <c r="CTE7" i="1"/>
  <c r="CUT7" i="1" s="1"/>
  <c r="CTF7" i="1"/>
  <c r="CUU7" i="1" s="1"/>
  <c r="CTG7" i="1"/>
  <c r="CUV7" i="1" s="1"/>
  <c r="CTH7" i="1"/>
  <c r="CUW7" i="1" s="1"/>
  <c r="CTI7" i="1"/>
  <c r="CUX7" i="1" s="1"/>
  <c r="CTJ7" i="1"/>
  <c r="CUY7" i="1" s="1"/>
  <c r="CTK7" i="1"/>
  <c r="CUZ7" i="1" s="1"/>
  <c r="CTL7" i="1"/>
  <c r="CVA7" i="1" s="1"/>
  <c r="CTM7" i="1"/>
  <c r="CVB7" i="1" s="1"/>
  <c r="CTN7" i="1"/>
  <c r="CVC7" i="1" s="1"/>
  <c r="CTO7" i="1"/>
  <c r="CVD7" i="1" s="1"/>
  <c r="CTP7" i="1"/>
  <c r="CVE7" i="1" s="1"/>
  <c r="CTQ7" i="1"/>
  <c r="CVF7" i="1" s="1"/>
  <c r="CTR7" i="1"/>
  <c r="CVG7" i="1" s="1"/>
  <c r="CTS7" i="1"/>
  <c r="CVH7" i="1" s="1"/>
  <c r="CTT7" i="1"/>
  <c r="CVI7" i="1" s="1"/>
  <c r="CTU7" i="1"/>
  <c r="CVJ7" i="1" s="1"/>
  <c r="CTV7" i="1"/>
  <c r="CVK7" i="1" s="1"/>
  <c r="CTW7" i="1"/>
  <c r="CVL7" i="1" s="1"/>
  <c r="CTX7" i="1"/>
  <c r="CVM7" i="1" s="1"/>
  <c r="CTY7" i="1"/>
  <c r="CVN7" i="1" s="1"/>
  <c r="CSM8" i="1"/>
  <c r="CUB8" i="1" s="1"/>
  <c r="CSN8" i="1"/>
  <c r="CUC8" i="1" s="1"/>
  <c r="CSO8" i="1"/>
  <c r="CUD8" i="1" s="1"/>
  <c r="CSP8" i="1"/>
  <c r="CUE8" i="1" s="1"/>
  <c r="CSQ8" i="1"/>
  <c r="CUF8" i="1" s="1"/>
  <c r="CSR8" i="1"/>
  <c r="CUG8" i="1" s="1"/>
  <c r="CSS8" i="1"/>
  <c r="CUH8" i="1" s="1"/>
  <c r="CST8" i="1"/>
  <c r="CUI8" i="1" s="1"/>
  <c r="CSU8" i="1"/>
  <c r="CUJ8" i="1" s="1"/>
  <c r="CSV8" i="1"/>
  <c r="CUK8" i="1" s="1"/>
  <c r="CSW8" i="1"/>
  <c r="CUL8" i="1" s="1"/>
  <c r="CSX8" i="1"/>
  <c r="CUM8" i="1" s="1"/>
  <c r="CSY8" i="1"/>
  <c r="CUN8" i="1" s="1"/>
  <c r="CSZ8" i="1"/>
  <c r="CUO8" i="1" s="1"/>
  <c r="CTA8" i="1"/>
  <c r="CUP8" i="1" s="1"/>
  <c r="CTB8" i="1"/>
  <c r="CUQ8" i="1" s="1"/>
  <c r="CTC8" i="1"/>
  <c r="CUR8" i="1" s="1"/>
  <c r="CTD8" i="1"/>
  <c r="CUS8" i="1" s="1"/>
  <c r="CTE8" i="1"/>
  <c r="CUT8" i="1" s="1"/>
  <c r="CTF8" i="1"/>
  <c r="CUU8" i="1" s="1"/>
  <c r="CTG8" i="1"/>
  <c r="CUV8" i="1" s="1"/>
  <c r="CTH8" i="1"/>
  <c r="CUW8" i="1" s="1"/>
  <c r="CTI8" i="1"/>
  <c r="CUX8" i="1" s="1"/>
  <c r="CTJ8" i="1"/>
  <c r="CUY8" i="1" s="1"/>
  <c r="CTK8" i="1"/>
  <c r="CUZ8" i="1" s="1"/>
  <c r="CTL8" i="1"/>
  <c r="CVA8" i="1" s="1"/>
  <c r="CTM8" i="1"/>
  <c r="CVB8" i="1" s="1"/>
  <c r="CTN8" i="1"/>
  <c r="CVC8" i="1" s="1"/>
  <c r="CTO8" i="1"/>
  <c r="CVD8" i="1" s="1"/>
  <c r="CTP8" i="1"/>
  <c r="CVE8" i="1" s="1"/>
  <c r="CTQ8" i="1"/>
  <c r="CVF8" i="1" s="1"/>
  <c r="CTR8" i="1"/>
  <c r="CVG8" i="1" s="1"/>
  <c r="CTS8" i="1"/>
  <c r="CVH8" i="1" s="1"/>
  <c r="CTT8" i="1"/>
  <c r="CVI8" i="1" s="1"/>
  <c r="CTU8" i="1"/>
  <c r="CVJ8" i="1" s="1"/>
  <c r="CTV8" i="1"/>
  <c r="CVK8" i="1" s="1"/>
  <c r="CTW8" i="1"/>
  <c r="CVL8" i="1" s="1"/>
  <c r="CTX8" i="1"/>
  <c r="CVM8" i="1" s="1"/>
  <c r="CTY8" i="1"/>
  <c r="CVN8" i="1" s="1"/>
  <c r="CSL7" i="1"/>
  <c r="CSL8" i="1"/>
  <c r="CSL6" i="1"/>
  <c r="CSK8" i="1"/>
  <c r="CTZ8" i="1"/>
  <c r="CVO8" i="1"/>
  <c r="CVP8" i="1" s="1"/>
  <c r="CSK7" i="1"/>
  <c r="CTZ7" i="1"/>
  <c r="CVO7" i="1"/>
  <c r="CVP7" i="1" s="1"/>
  <c r="BA1" i="1"/>
  <c r="I7" i="1" l="1"/>
  <c r="I6" i="1"/>
  <c r="CUA8" i="1"/>
  <c r="I8" i="1"/>
  <c r="CUA7" i="1"/>
  <c r="J8" i="1"/>
  <c r="J7" i="1"/>
  <c r="CVO6" i="1"/>
  <c r="CVP6" i="1" s="1"/>
  <c r="K7" i="1" l="1"/>
  <c r="K8" i="1"/>
  <c r="H7" i="1"/>
  <c r="H8" i="1"/>
  <c r="CUA6" i="1"/>
  <c r="CTZ6" i="1"/>
  <c r="T10" i="2" l="1"/>
  <c r="U10" i="2"/>
  <c r="U3" i="2"/>
  <c r="T3" i="2"/>
  <c r="CSK6" i="1"/>
  <c r="D3" i="2" l="1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C10" i="2" l="1"/>
  <c r="CSJ4" i="1" l="1"/>
  <c r="CSI4" i="1"/>
  <c r="CSH4" i="1"/>
  <c r="CSG4" i="1"/>
  <c r="CSF4" i="1"/>
  <c r="CSE4" i="1"/>
  <c r="CSD4" i="1"/>
  <c r="CSC4" i="1"/>
  <c r="CSB4" i="1"/>
  <c r="CSA4" i="1"/>
  <c r="CRZ4" i="1"/>
  <c r="CRY4" i="1"/>
  <c r="CRX4" i="1"/>
  <c r="CRW4" i="1"/>
  <c r="CRV4" i="1"/>
  <c r="CRU4" i="1"/>
  <c r="CRT4" i="1"/>
  <c r="CRS4" i="1"/>
  <c r="CRR4" i="1"/>
  <c r="CRQ4" i="1"/>
  <c r="CRP4" i="1"/>
  <c r="CRO4" i="1"/>
  <c r="CRN4" i="1"/>
  <c r="CRM4" i="1"/>
  <c r="CRL4" i="1"/>
  <c r="CRK4" i="1"/>
  <c r="CRJ4" i="1"/>
  <c r="CRI4" i="1"/>
  <c r="CRH4" i="1"/>
  <c r="CRG4" i="1"/>
  <c r="CRF4" i="1"/>
  <c r="CSJ3" i="1" s="1"/>
  <c r="CRE4" i="1"/>
  <c r="CRD4" i="1"/>
  <c r="CRC4" i="1"/>
  <c r="CRB4" i="1"/>
  <c r="CRA4" i="1"/>
  <c r="CQZ4" i="1"/>
  <c r="CQY4" i="1"/>
  <c r="CQX4" i="1"/>
  <c r="CQW4" i="1"/>
  <c r="CQV4" i="1"/>
  <c r="CQU4" i="1"/>
  <c r="CQT4" i="1"/>
  <c r="CQS4" i="1"/>
  <c r="CQR4" i="1"/>
  <c r="CQQ4" i="1"/>
  <c r="CQP4" i="1"/>
  <c r="CQO4" i="1"/>
  <c r="CQN4" i="1"/>
  <c r="CQM4" i="1"/>
  <c r="CQL4" i="1"/>
  <c r="CQK4" i="1"/>
  <c r="CQJ4" i="1"/>
  <c r="CQI4" i="1"/>
  <c r="CQH4" i="1"/>
  <c r="CQG4" i="1"/>
  <c r="CQF4" i="1"/>
  <c r="CQE4" i="1"/>
  <c r="CQD4" i="1"/>
  <c r="CQC4" i="1"/>
  <c r="CQB4" i="1"/>
  <c r="CQA4" i="1"/>
  <c r="CQY3" i="1" s="1"/>
  <c r="CPZ4" i="1"/>
  <c r="CPY4" i="1"/>
  <c r="CPX4" i="1"/>
  <c r="CPW4" i="1"/>
  <c r="CPV4" i="1"/>
  <c r="CPU4" i="1"/>
  <c r="CPT4" i="1"/>
  <c r="CPS4" i="1"/>
  <c r="CPR4" i="1"/>
  <c r="CPQ4" i="1"/>
  <c r="CPP4" i="1"/>
  <c r="CPO4" i="1"/>
  <c r="CPN4" i="1"/>
  <c r="CPM4" i="1"/>
  <c r="CPL4" i="1"/>
  <c r="CPK4" i="1"/>
  <c r="CPJ4" i="1"/>
  <c r="CPI4" i="1"/>
  <c r="CPH4" i="1"/>
  <c r="CPG4" i="1"/>
  <c r="CPF4" i="1"/>
  <c r="CPE4" i="1"/>
  <c r="CPD4" i="1"/>
  <c r="CPC4" i="1"/>
  <c r="CPB4" i="1"/>
  <c r="CPA4" i="1"/>
  <c r="COZ4" i="1"/>
  <c r="COY4" i="1"/>
  <c r="COX4" i="1"/>
  <c r="COW4" i="1"/>
  <c r="COV4" i="1"/>
  <c r="CPS3" i="1" s="1"/>
  <c r="COU4" i="1"/>
  <c r="COT4" i="1"/>
  <c r="COS4" i="1"/>
  <c r="COR4" i="1"/>
  <c r="COQ4" i="1"/>
  <c r="COP4" i="1"/>
  <c r="COO4" i="1"/>
  <c r="CON4" i="1"/>
  <c r="COM4" i="1"/>
  <c r="COL4" i="1"/>
  <c r="COK4" i="1"/>
  <c r="COJ4" i="1"/>
  <c r="COI4" i="1"/>
  <c r="COH4" i="1"/>
  <c r="COG4" i="1"/>
  <c r="COF4" i="1"/>
  <c r="COE4" i="1"/>
  <c r="COD4" i="1"/>
  <c r="COC4" i="1"/>
  <c r="COB4" i="1"/>
  <c r="COA4" i="1"/>
  <c r="CNZ4" i="1"/>
  <c r="CNY4" i="1"/>
  <c r="CNX4" i="1"/>
  <c r="CNW4" i="1"/>
  <c r="CNV4" i="1"/>
  <c r="CNU4" i="1"/>
  <c r="CNT4" i="1"/>
  <c r="CNS4" i="1"/>
  <c r="CNR4" i="1"/>
  <c r="CNQ4" i="1"/>
  <c r="COR3" i="1" s="1"/>
  <c r="CNP4" i="1"/>
  <c r="CNO4" i="1"/>
  <c r="CNN4" i="1"/>
  <c r="CNM4" i="1"/>
  <c r="CNL4" i="1"/>
  <c r="CNK4" i="1"/>
  <c r="CNJ4" i="1"/>
  <c r="CNI4" i="1"/>
  <c r="CNH4" i="1"/>
  <c r="CNG4" i="1"/>
  <c r="CNF4" i="1"/>
  <c r="CNE4" i="1"/>
  <c r="CND4" i="1"/>
  <c r="CNC4" i="1"/>
  <c r="CNB4" i="1"/>
  <c r="CNA4" i="1"/>
  <c r="CMZ4" i="1"/>
  <c r="CMY4" i="1"/>
  <c r="CMX4" i="1"/>
  <c r="CMW4" i="1"/>
  <c r="CMV4" i="1"/>
  <c r="CMU4" i="1"/>
  <c r="CMT4" i="1"/>
  <c r="CMS4" i="1"/>
  <c r="CMR4" i="1"/>
  <c r="CMQ4" i="1"/>
  <c r="CMP4" i="1"/>
  <c r="CMO4" i="1"/>
  <c r="CMN4" i="1"/>
  <c r="CMM4" i="1"/>
  <c r="CML4" i="1"/>
  <c r="CNC3" i="1" s="1"/>
  <c r="CMK4" i="1"/>
  <c r="CMJ4" i="1"/>
  <c r="CMI4" i="1"/>
  <c r="CMH4" i="1"/>
  <c r="CMG4" i="1"/>
  <c r="CMF4" i="1"/>
  <c r="CME4" i="1"/>
  <c r="CMD4" i="1"/>
  <c r="CMC4" i="1"/>
  <c r="CMB4" i="1"/>
  <c r="CMA4" i="1"/>
  <c r="CLZ4" i="1"/>
  <c r="CLY4" i="1"/>
  <c r="CLX4" i="1"/>
  <c r="CLW4" i="1"/>
  <c r="CLV4" i="1"/>
  <c r="CLU4" i="1"/>
  <c r="CLT4" i="1"/>
  <c r="CLS4" i="1"/>
  <c r="CLR4" i="1"/>
  <c r="CLQ4" i="1"/>
  <c r="CLP4" i="1"/>
  <c r="CLO4" i="1"/>
  <c r="CLN4" i="1"/>
  <c r="CLM4" i="1"/>
  <c r="CLL4" i="1"/>
  <c r="CLK4" i="1"/>
  <c r="CLJ4" i="1"/>
  <c r="CLI4" i="1"/>
  <c r="CLH4" i="1"/>
  <c r="CLG4" i="1"/>
  <c r="CLF4" i="1"/>
  <c r="CLE4" i="1"/>
  <c r="CLD4" i="1"/>
  <c r="CLC4" i="1"/>
  <c r="CLB4" i="1"/>
  <c r="CLA4" i="1"/>
  <c r="CKZ4" i="1"/>
  <c r="CKY4" i="1"/>
  <c r="CKX4" i="1"/>
  <c r="CKW4" i="1"/>
  <c r="CKV4" i="1"/>
  <c r="CKU4" i="1"/>
  <c r="CKT4" i="1"/>
  <c r="CKS4" i="1"/>
  <c r="CKR4" i="1"/>
  <c r="CKQ4" i="1"/>
  <c r="CKP4" i="1"/>
  <c r="CKO4" i="1"/>
  <c r="CKN4" i="1"/>
  <c r="CKM4" i="1"/>
  <c r="CKL4" i="1"/>
  <c r="CKK4" i="1"/>
  <c r="CKJ4" i="1"/>
  <c r="CKI4" i="1"/>
  <c r="CKH4" i="1"/>
  <c r="CKG4" i="1"/>
  <c r="CKF4" i="1"/>
  <c r="CKE4" i="1"/>
  <c r="CKD4" i="1"/>
  <c r="CKC4" i="1"/>
  <c r="CKB4" i="1"/>
  <c r="CLB3" i="1" s="1"/>
  <c r="CKA4" i="1"/>
  <c r="CJZ4" i="1"/>
  <c r="CJY4" i="1"/>
  <c r="CJX4" i="1"/>
  <c r="CJW4" i="1"/>
  <c r="CJV4" i="1"/>
  <c r="CJU4" i="1"/>
  <c r="CJT4" i="1"/>
  <c r="CJS4" i="1"/>
  <c r="CJR4" i="1"/>
  <c r="CJQ4" i="1"/>
  <c r="CJP4" i="1"/>
  <c r="CJO4" i="1"/>
  <c r="CJN4" i="1"/>
  <c r="CJM4" i="1"/>
  <c r="CJL4" i="1"/>
  <c r="CJK4" i="1"/>
  <c r="CJJ4" i="1"/>
  <c r="CJI4" i="1"/>
  <c r="CJH4" i="1"/>
  <c r="CJG4" i="1"/>
  <c r="CJF4" i="1"/>
  <c r="CJE4" i="1"/>
  <c r="CJD4" i="1"/>
  <c r="CJC4" i="1"/>
  <c r="CJB4" i="1"/>
  <c r="CJA4" i="1"/>
  <c r="CIZ4" i="1"/>
  <c r="CIY4" i="1"/>
  <c r="CIX4" i="1"/>
  <c r="CIW4" i="1"/>
  <c r="CJV3" i="1" s="1"/>
  <c r="CIV4" i="1"/>
  <c r="CIU4" i="1"/>
  <c r="CIT4" i="1"/>
  <c r="CIS4" i="1"/>
  <c r="CIR4" i="1"/>
  <c r="CIQ4" i="1"/>
  <c r="CIP4" i="1"/>
  <c r="CIO4" i="1"/>
  <c r="CIN4" i="1"/>
  <c r="CIM4" i="1"/>
  <c r="CIL4" i="1"/>
  <c r="CIK4" i="1"/>
  <c r="CIJ4" i="1"/>
  <c r="CII4" i="1"/>
  <c r="CIH4" i="1"/>
  <c r="CIG4" i="1"/>
  <c r="CIF4" i="1"/>
  <c r="CIE4" i="1"/>
  <c r="CID4" i="1"/>
  <c r="CIC4" i="1"/>
  <c r="CIB4" i="1"/>
  <c r="CIA4" i="1"/>
  <c r="CHZ4" i="1"/>
  <c r="CHY4" i="1"/>
  <c r="CHX4" i="1"/>
  <c r="CHW4" i="1"/>
  <c r="CHV4" i="1"/>
  <c r="CHU4" i="1"/>
  <c r="CHT4" i="1"/>
  <c r="CHS4" i="1"/>
  <c r="CHR4" i="1"/>
  <c r="CIP3" i="1" s="1"/>
  <c r="CHQ4" i="1"/>
  <c r="CHP4" i="1"/>
  <c r="CHO4" i="1"/>
  <c r="CHN4" i="1"/>
  <c r="CHM4" i="1"/>
  <c r="CHL4" i="1"/>
  <c r="CHK4" i="1"/>
  <c r="CHJ4" i="1"/>
  <c r="CHI4" i="1"/>
  <c r="CHH4" i="1"/>
  <c r="CHG4" i="1"/>
  <c r="CHF4" i="1"/>
  <c r="CHE4" i="1"/>
  <c r="CHD4" i="1"/>
  <c r="CHC4" i="1"/>
  <c r="CHB4" i="1"/>
  <c r="CHA4" i="1"/>
  <c r="CGZ4" i="1"/>
  <c r="CGY4" i="1"/>
  <c r="CGX4" i="1"/>
  <c r="CGW4" i="1"/>
  <c r="CGV4" i="1"/>
  <c r="CGU4" i="1"/>
  <c r="CGT4" i="1"/>
  <c r="CGS4" i="1"/>
  <c r="CGR4" i="1"/>
  <c r="CGQ4" i="1"/>
  <c r="CGP4" i="1"/>
  <c r="CGO4" i="1"/>
  <c r="CGN4" i="1"/>
  <c r="CGM4" i="1"/>
  <c r="CGL4" i="1"/>
  <c r="CGK4" i="1"/>
  <c r="CGJ4" i="1"/>
  <c r="CGI4" i="1"/>
  <c r="CGH4" i="1"/>
  <c r="CGG4" i="1"/>
  <c r="CGF4" i="1"/>
  <c r="CGE4" i="1"/>
  <c r="CGD4" i="1"/>
  <c r="CGC4" i="1"/>
  <c r="CGB4" i="1"/>
  <c r="CGA4" i="1"/>
  <c r="CFZ4" i="1"/>
  <c r="CFY4" i="1"/>
  <c r="CFX4" i="1"/>
  <c r="CFW4" i="1"/>
  <c r="CFV4" i="1"/>
  <c r="CFU4" i="1"/>
  <c r="CFT4" i="1"/>
  <c r="CFS4" i="1"/>
  <c r="CFR4" i="1"/>
  <c r="CFQ4" i="1"/>
  <c r="CFP4" i="1"/>
  <c r="CFO4" i="1"/>
  <c r="CFN4" i="1"/>
  <c r="CFM4" i="1"/>
  <c r="CFL4" i="1"/>
  <c r="CFK4" i="1"/>
  <c r="CFJ4" i="1"/>
  <c r="CFI4" i="1"/>
  <c r="CFH4" i="1"/>
  <c r="CFG4" i="1"/>
  <c r="CFF4" i="1"/>
  <c r="CFE4" i="1"/>
  <c r="CFD4" i="1"/>
  <c r="CFC4" i="1"/>
  <c r="CFB4" i="1"/>
  <c r="CFA4" i="1"/>
  <c r="CEZ4" i="1"/>
  <c r="CEY4" i="1"/>
  <c r="CEX4" i="1"/>
  <c r="CEW4" i="1"/>
  <c r="CEV4" i="1"/>
  <c r="CEU4" i="1"/>
  <c r="CET4" i="1"/>
  <c r="CES4" i="1"/>
  <c r="CER4" i="1"/>
  <c r="CEQ4" i="1"/>
  <c r="CEP4" i="1"/>
  <c r="CEO4" i="1"/>
  <c r="CEN4" i="1"/>
  <c r="CEM4" i="1"/>
  <c r="CEL4" i="1"/>
  <c r="CEK4" i="1"/>
  <c r="CEJ4" i="1"/>
  <c r="CEI4" i="1"/>
  <c r="CEH4" i="1"/>
  <c r="CEG4" i="1"/>
  <c r="CEF4" i="1"/>
  <c r="CEE4" i="1"/>
  <c r="CED4" i="1"/>
  <c r="CEC4" i="1"/>
  <c r="CFF3" i="1" s="1"/>
  <c r="CEB4" i="1"/>
  <c r="CEA4" i="1"/>
  <c r="CDZ4" i="1"/>
  <c r="CDY4" i="1"/>
  <c r="CDX4" i="1"/>
  <c r="CDW4" i="1"/>
  <c r="CDV4" i="1"/>
  <c r="CDU4" i="1"/>
  <c r="CDT4" i="1"/>
  <c r="CDS4" i="1"/>
  <c r="CDR4" i="1"/>
  <c r="CDQ4" i="1"/>
  <c r="CDP4" i="1"/>
  <c r="CDO4" i="1"/>
  <c r="CDN4" i="1"/>
  <c r="CDM4" i="1"/>
  <c r="CDL4" i="1"/>
  <c r="CDK4" i="1"/>
  <c r="CDJ4" i="1"/>
  <c r="CDI4" i="1"/>
  <c r="CDH4" i="1"/>
  <c r="CDG4" i="1"/>
  <c r="CDF4" i="1"/>
  <c r="CDE4" i="1"/>
  <c r="CDD4" i="1"/>
  <c r="CDC4" i="1"/>
  <c r="CDB4" i="1"/>
  <c r="CDA4" i="1"/>
  <c r="CCZ4" i="1"/>
  <c r="CCY4" i="1"/>
  <c r="CCX4" i="1"/>
  <c r="CDK3" i="1" s="1"/>
  <c r="CCW4" i="1"/>
  <c r="CCV4" i="1"/>
  <c r="CCU4" i="1"/>
  <c r="CCT4" i="1"/>
  <c r="CCS4" i="1"/>
  <c r="CCR4" i="1"/>
  <c r="CCQ4" i="1"/>
  <c r="CCP4" i="1"/>
  <c r="CCO4" i="1"/>
  <c r="CCN4" i="1"/>
  <c r="CCM4" i="1"/>
  <c r="CCL4" i="1"/>
  <c r="CCK4" i="1"/>
  <c r="CCJ4" i="1"/>
  <c r="CCI4" i="1"/>
  <c r="CCH4" i="1"/>
  <c r="CCG4" i="1"/>
  <c r="CCF4" i="1"/>
  <c r="CCE4" i="1"/>
  <c r="CCD4" i="1"/>
  <c r="CCC4" i="1"/>
  <c r="CCB4" i="1"/>
  <c r="CCA4" i="1"/>
  <c r="CBZ4" i="1"/>
  <c r="CBY4" i="1"/>
  <c r="CBX4" i="1"/>
  <c r="CBW4" i="1"/>
  <c r="CBV4" i="1"/>
  <c r="CBU4" i="1"/>
  <c r="CBT4" i="1"/>
  <c r="CBS4" i="1"/>
  <c r="CCS3" i="1" s="1"/>
  <c r="CBR4" i="1"/>
  <c r="CBQ4" i="1"/>
  <c r="CBP4" i="1"/>
  <c r="CBO4" i="1"/>
  <c r="CBN4" i="1"/>
  <c r="CBM4" i="1"/>
  <c r="CBL4" i="1"/>
  <c r="CBK4" i="1"/>
  <c r="CBJ4" i="1"/>
  <c r="CBI4" i="1"/>
  <c r="CBH4" i="1"/>
  <c r="CBG4" i="1"/>
  <c r="CBF4" i="1"/>
  <c r="CBE4" i="1"/>
  <c r="CBD4" i="1"/>
  <c r="CBC4" i="1"/>
  <c r="CBB4" i="1"/>
  <c r="CBA4" i="1"/>
  <c r="CAZ4" i="1"/>
  <c r="CAY4" i="1"/>
  <c r="CAX4" i="1"/>
  <c r="CAW4" i="1"/>
  <c r="CAV4" i="1"/>
  <c r="CAU4" i="1"/>
  <c r="CAT4" i="1"/>
  <c r="CAS4" i="1"/>
  <c r="CAR4" i="1"/>
  <c r="CAQ4" i="1"/>
  <c r="CAP4" i="1"/>
  <c r="CAO4" i="1"/>
  <c r="CAN4" i="1"/>
  <c r="CAM4" i="1"/>
  <c r="CAL4" i="1"/>
  <c r="CAK4" i="1"/>
  <c r="CAJ4" i="1"/>
  <c r="CAI4" i="1"/>
  <c r="CAH4" i="1"/>
  <c r="CAG4" i="1"/>
  <c r="CAF4" i="1"/>
  <c r="CAE4" i="1"/>
  <c r="CAD4" i="1"/>
  <c r="CAC4" i="1"/>
  <c r="CAB4" i="1"/>
  <c r="CAA4" i="1"/>
  <c r="BZZ4" i="1"/>
  <c r="BZY4" i="1"/>
  <c r="BZX4" i="1"/>
  <c r="BZW4" i="1"/>
  <c r="BZV4" i="1"/>
  <c r="BZU4" i="1"/>
  <c r="BZT4" i="1"/>
  <c r="BZS4" i="1"/>
  <c r="BZR4" i="1"/>
  <c r="BZQ4" i="1"/>
  <c r="BZP4" i="1"/>
  <c r="BZO4" i="1"/>
  <c r="BZN4" i="1"/>
  <c r="BZM4" i="1"/>
  <c r="BZL4" i="1"/>
  <c r="BZK4" i="1"/>
  <c r="BZJ4" i="1"/>
  <c r="BZI4" i="1"/>
  <c r="CAH3" i="1" s="1"/>
  <c r="BZH4" i="1"/>
  <c r="BZG4" i="1"/>
  <c r="BZF4" i="1"/>
  <c r="BZE4" i="1"/>
  <c r="BZD4" i="1"/>
  <c r="BZC4" i="1"/>
  <c r="BZB4" i="1"/>
  <c r="BZA4" i="1"/>
  <c r="BYZ4" i="1"/>
  <c r="BYY4" i="1"/>
  <c r="BYX4" i="1"/>
  <c r="BYW4" i="1"/>
  <c r="BYV4" i="1"/>
  <c r="BYU4" i="1"/>
  <c r="BYT4" i="1"/>
  <c r="BYS4" i="1"/>
  <c r="BYR4" i="1"/>
  <c r="BYQ4" i="1"/>
  <c r="BYP4" i="1"/>
  <c r="BYO4" i="1"/>
  <c r="BYN4" i="1"/>
  <c r="BYM4" i="1"/>
  <c r="BYL4" i="1"/>
  <c r="BYK4" i="1"/>
  <c r="BYJ4" i="1"/>
  <c r="BYI4" i="1"/>
  <c r="BYH4" i="1"/>
  <c r="BYG4" i="1"/>
  <c r="BYF4" i="1"/>
  <c r="BYE4" i="1"/>
  <c r="BYD4" i="1"/>
  <c r="BZE3" i="1" s="1"/>
  <c r="BYC4" i="1"/>
  <c r="BYB4" i="1"/>
  <c r="BYA4" i="1"/>
  <c r="BXZ4" i="1"/>
  <c r="BXY4" i="1"/>
  <c r="BXX4" i="1"/>
  <c r="BXW4" i="1"/>
  <c r="BXV4" i="1"/>
  <c r="BXU4" i="1"/>
  <c r="BXT4" i="1"/>
  <c r="BXS4" i="1"/>
  <c r="BXR4" i="1"/>
  <c r="BXQ4" i="1"/>
  <c r="BXP4" i="1"/>
  <c r="BXO4" i="1"/>
  <c r="BXN4" i="1"/>
  <c r="BXM4" i="1"/>
  <c r="BXL4" i="1"/>
  <c r="BXK4" i="1"/>
  <c r="BXJ4" i="1"/>
  <c r="BXI4" i="1"/>
  <c r="BXH4" i="1"/>
  <c r="BXG4" i="1"/>
  <c r="BXF4" i="1"/>
  <c r="BXE4" i="1"/>
  <c r="BXD4" i="1"/>
  <c r="BXC4" i="1"/>
  <c r="BXB4" i="1"/>
  <c r="BXA4" i="1"/>
  <c r="BWZ4" i="1"/>
  <c r="BWY4" i="1"/>
  <c r="BXY3" i="1" s="1"/>
  <c r="BWX4" i="1"/>
  <c r="BWW4" i="1"/>
  <c r="BWV4" i="1"/>
  <c r="BWU4" i="1"/>
  <c r="BWT4" i="1"/>
  <c r="BWS4" i="1"/>
  <c r="BWR4" i="1"/>
  <c r="BWQ4" i="1"/>
  <c r="BWP4" i="1"/>
  <c r="BWO4" i="1"/>
  <c r="BWN4" i="1"/>
  <c r="BWM4" i="1"/>
  <c r="BWL4" i="1"/>
  <c r="BWK4" i="1"/>
  <c r="BWJ4" i="1"/>
  <c r="BWI4" i="1"/>
  <c r="BWH4" i="1"/>
  <c r="BWG4" i="1"/>
  <c r="BWF4" i="1"/>
  <c r="BWE4" i="1"/>
  <c r="BWD4" i="1"/>
  <c r="BWC4" i="1"/>
  <c r="BWB4" i="1"/>
  <c r="BWA4" i="1"/>
  <c r="BVZ4" i="1"/>
  <c r="BVY4" i="1"/>
  <c r="BVX4" i="1"/>
  <c r="BVW4" i="1"/>
  <c r="BVV4" i="1"/>
  <c r="BVU4" i="1"/>
  <c r="BVT4" i="1"/>
  <c r="BWQ3" i="1" s="1"/>
  <c r="BVS4" i="1"/>
  <c r="BVR4" i="1"/>
  <c r="BVQ4" i="1"/>
  <c r="BVP4" i="1"/>
  <c r="BVO4" i="1"/>
  <c r="BVN4" i="1"/>
  <c r="BVM4" i="1"/>
  <c r="BVL4" i="1"/>
  <c r="BVK4" i="1"/>
  <c r="BVJ4" i="1"/>
  <c r="BVI4" i="1"/>
  <c r="BVH4" i="1"/>
  <c r="BVG4" i="1"/>
  <c r="BVF4" i="1"/>
  <c r="BVE4" i="1"/>
  <c r="BVD4" i="1"/>
  <c r="BVC4" i="1"/>
  <c r="BVB4" i="1"/>
  <c r="BVA4" i="1"/>
  <c r="BUZ4" i="1"/>
  <c r="BUY4" i="1"/>
  <c r="BUX4" i="1"/>
  <c r="BUW4" i="1"/>
  <c r="BUV4" i="1"/>
  <c r="BUU4" i="1"/>
  <c r="BUT4" i="1"/>
  <c r="BUS4" i="1"/>
  <c r="BUR4" i="1"/>
  <c r="BUQ4" i="1"/>
  <c r="BUP4" i="1"/>
  <c r="BUO4" i="1"/>
  <c r="BVS3" i="1" s="1"/>
  <c r="BUN4" i="1"/>
  <c r="BUM4" i="1"/>
  <c r="BUL4" i="1"/>
  <c r="BUK4" i="1"/>
  <c r="BUJ4" i="1"/>
  <c r="BUI4" i="1"/>
  <c r="BUH4" i="1"/>
  <c r="BUG4" i="1"/>
  <c r="BUF4" i="1"/>
  <c r="BUE4" i="1"/>
  <c r="BUD4" i="1"/>
  <c r="BUC4" i="1"/>
  <c r="BUB4" i="1"/>
  <c r="BUA4" i="1"/>
  <c r="BTZ4" i="1"/>
  <c r="BTY4" i="1"/>
  <c r="BTX4" i="1"/>
  <c r="BTW4" i="1"/>
  <c r="BTV4" i="1"/>
  <c r="BTU4" i="1"/>
  <c r="BTT4" i="1"/>
  <c r="BTS4" i="1"/>
  <c r="BTR4" i="1"/>
  <c r="BTQ4" i="1"/>
  <c r="BTP4" i="1"/>
  <c r="BTO4" i="1"/>
  <c r="BTN4" i="1"/>
  <c r="BTM4" i="1"/>
  <c r="BTL4" i="1"/>
  <c r="BTK4" i="1"/>
  <c r="BTJ4" i="1"/>
  <c r="BTI4" i="1"/>
  <c r="BTH4" i="1"/>
  <c r="BTG4" i="1"/>
  <c r="BTF4" i="1"/>
  <c r="BTE4" i="1"/>
  <c r="BTD4" i="1"/>
  <c r="BTC4" i="1"/>
  <c r="BTB4" i="1"/>
  <c r="BTA4" i="1"/>
  <c r="BSZ4" i="1"/>
  <c r="BSY4" i="1"/>
  <c r="BSX4" i="1"/>
  <c r="BSW4" i="1"/>
  <c r="BSV4" i="1"/>
  <c r="BSU4" i="1"/>
  <c r="BST4" i="1"/>
  <c r="BSS4" i="1"/>
  <c r="BSR4" i="1"/>
  <c r="BSQ4" i="1"/>
  <c r="BSP4" i="1"/>
  <c r="BSO4" i="1"/>
  <c r="BSN4" i="1"/>
  <c r="BSM4" i="1"/>
  <c r="BSL4" i="1"/>
  <c r="BSK4" i="1"/>
  <c r="BSJ4" i="1"/>
  <c r="BSI4" i="1"/>
  <c r="BSH4" i="1"/>
  <c r="BSG4" i="1"/>
  <c r="BSF4" i="1"/>
  <c r="BSE4" i="1"/>
  <c r="BSD4" i="1"/>
  <c r="BSC4" i="1"/>
  <c r="BSB4" i="1"/>
  <c r="BSA4" i="1"/>
  <c r="BRZ4" i="1"/>
  <c r="BRY4" i="1"/>
  <c r="BRX4" i="1"/>
  <c r="BRW4" i="1"/>
  <c r="BRV4" i="1"/>
  <c r="BRU4" i="1"/>
  <c r="BRT4" i="1"/>
  <c r="BRS4" i="1"/>
  <c r="BRR4" i="1"/>
  <c r="BRQ4" i="1"/>
  <c r="BRP4" i="1"/>
  <c r="BRO4" i="1"/>
  <c r="BRN4" i="1"/>
  <c r="BRM4" i="1"/>
  <c r="BRL4" i="1"/>
  <c r="BRK4" i="1"/>
  <c r="BRJ4" i="1"/>
  <c r="BRI4" i="1"/>
  <c r="BRH4" i="1"/>
  <c r="BRG4" i="1"/>
  <c r="BRF4" i="1"/>
  <c r="BRE4" i="1"/>
  <c r="BRD4" i="1"/>
  <c r="BRC4" i="1"/>
  <c r="BRB4" i="1"/>
  <c r="BRA4" i="1"/>
  <c r="BQZ4" i="1"/>
  <c r="BSD3" i="1" s="1"/>
  <c r="BQY4" i="1"/>
  <c r="BQX4" i="1"/>
  <c r="BQW4" i="1"/>
  <c r="BQV4" i="1"/>
  <c r="BQU4" i="1"/>
  <c r="BQT4" i="1"/>
  <c r="BQS4" i="1"/>
  <c r="BQR4" i="1"/>
  <c r="BQQ4" i="1"/>
  <c r="BQP4" i="1"/>
  <c r="BQO4" i="1"/>
  <c r="BQN4" i="1"/>
  <c r="BQM4" i="1"/>
  <c r="BQL4" i="1"/>
  <c r="BQK4" i="1"/>
  <c r="BQJ4" i="1"/>
  <c r="BQI4" i="1"/>
  <c r="BQH4" i="1"/>
  <c r="BQG4" i="1"/>
  <c r="BQF4" i="1"/>
  <c r="BQE4" i="1"/>
  <c r="BQD4" i="1"/>
  <c r="BQC4" i="1"/>
  <c r="BQB4" i="1"/>
  <c r="BQA4" i="1"/>
  <c r="BPZ4" i="1"/>
  <c r="BPY4" i="1"/>
  <c r="BPX4" i="1"/>
  <c r="BPW4" i="1"/>
  <c r="BPV4" i="1"/>
  <c r="BPU4" i="1"/>
  <c r="BQP3" i="1" s="1"/>
  <c r="BPT4" i="1"/>
  <c r="BPS4" i="1"/>
  <c r="BPR4" i="1"/>
  <c r="BPQ4" i="1"/>
  <c r="BPP4" i="1"/>
  <c r="BPO4" i="1"/>
  <c r="BPN4" i="1"/>
  <c r="BPM4" i="1"/>
  <c r="BPL4" i="1"/>
  <c r="BPK4" i="1"/>
  <c r="BPJ4" i="1"/>
  <c r="BPI4" i="1"/>
  <c r="BPH4" i="1"/>
  <c r="BPG4" i="1"/>
  <c r="BPF4" i="1"/>
  <c r="BPE4" i="1"/>
  <c r="BPD4" i="1"/>
  <c r="BPC4" i="1"/>
  <c r="BPB4" i="1"/>
  <c r="BPA4" i="1"/>
  <c r="BOZ4" i="1"/>
  <c r="BOY4" i="1"/>
  <c r="BOX4" i="1"/>
  <c r="BOW4" i="1"/>
  <c r="BOV4" i="1"/>
  <c r="BOU4" i="1"/>
  <c r="BOT4" i="1"/>
  <c r="BOS4" i="1"/>
  <c r="BOR4" i="1"/>
  <c r="BOQ4" i="1"/>
  <c r="BOP4" i="1"/>
  <c r="BPQ3" i="1" s="1"/>
  <c r="BOO4" i="1"/>
  <c r="BON4" i="1"/>
  <c r="BOM4" i="1"/>
  <c r="BOL4" i="1"/>
  <c r="BOK4" i="1"/>
  <c r="BOJ4" i="1"/>
  <c r="BOI4" i="1"/>
  <c r="BOH4" i="1"/>
  <c r="BOG4" i="1"/>
  <c r="BOF4" i="1"/>
  <c r="BOE4" i="1"/>
  <c r="BOD4" i="1"/>
  <c r="BOC4" i="1"/>
  <c r="BOB4" i="1"/>
  <c r="BOA4" i="1"/>
  <c r="BNZ4" i="1"/>
  <c r="BNY4" i="1"/>
  <c r="BNX4" i="1"/>
  <c r="BNW4" i="1"/>
  <c r="BNV4" i="1"/>
  <c r="BNU4" i="1"/>
  <c r="BNT4" i="1"/>
  <c r="BNS4" i="1"/>
  <c r="BNR4" i="1"/>
  <c r="BNQ4" i="1"/>
  <c r="BNP4" i="1"/>
  <c r="BNO4" i="1"/>
  <c r="BNN4" i="1"/>
  <c r="BNM4" i="1"/>
  <c r="BNL4" i="1"/>
  <c r="BNK4" i="1"/>
  <c r="BOO3" i="1" s="1"/>
  <c r="BNJ4" i="1"/>
  <c r="BNI4" i="1"/>
  <c r="BNH4" i="1"/>
  <c r="BNG4" i="1"/>
  <c r="BNF4" i="1"/>
  <c r="BNE4" i="1"/>
  <c r="BND4" i="1"/>
  <c r="BNC4" i="1"/>
  <c r="BNB4" i="1"/>
  <c r="BNA4" i="1"/>
  <c r="BMZ4" i="1"/>
  <c r="BMY4" i="1"/>
  <c r="BMX4" i="1"/>
  <c r="BMW4" i="1"/>
  <c r="BMV4" i="1"/>
  <c r="BMU4" i="1"/>
  <c r="BMT4" i="1"/>
  <c r="BMS4" i="1"/>
  <c r="BMR4" i="1"/>
  <c r="BMQ4" i="1"/>
  <c r="BMP4" i="1"/>
  <c r="BMO4" i="1"/>
  <c r="BMN4" i="1"/>
  <c r="BMM4" i="1"/>
  <c r="BML4" i="1"/>
  <c r="BMK4" i="1"/>
  <c r="BMJ4" i="1"/>
  <c r="BMI4" i="1"/>
  <c r="BMH4" i="1"/>
  <c r="BMG4" i="1"/>
  <c r="BMF4" i="1"/>
  <c r="BME4" i="1"/>
  <c r="BMD4" i="1"/>
  <c r="BMC4" i="1"/>
  <c r="BMB4" i="1"/>
  <c r="BMA4" i="1"/>
  <c r="BLZ4" i="1"/>
  <c r="BLY4" i="1"/>
  <c r="BLX4" i="1"/>
  <c r="BLW4" i="1"/>
  <c r="BLV4" i="1"/>
  <c r="BLU4" i="1"/>
  <c r="BLT4" i="1"/>
  <c r="BLS4" i="1"/>
  <c r="BLR4" i="1"/>
  <c r="BLQ4" i="1"/>
  <c r="BLP4" i="1"/>
  <c r="BLO4" i="1"/>
  <c r="BLN4" i="1"/>
  <c r="BLM4" i="1"/>
  <c r="BLL4" i="1"/>
  <c r="BLK4" i="1"/>
  <c r="BLJ4" i="1"/>
  <c r="BLI4" i="1"/>
  <c r="BLH4" i="1"/>
  <c r="BLG4" i="1"/>
  <c r="BLF4" i="1"/>
  <c r="BLE4" i="1"/>
  <c r="BLD4" i="1"/>
  <c r="BLC4" i="1"/>
  <c r="BLB4" i="1"/>
  <c r="BLA4" i="1"/>
  <c r="BMD3" i="1" s="1"/>
  <c r="BKZ4" i="1"/>
  <c r="BKY4" i="1"/>
  <c r="BKX4" i="1"/>
  <c r="BKW4" i="1"/>
  <c r="BKV4" i="1"/>
  <c r="BKU4" i="1"/>
  <c r="BKT4" i="1"/>
  <c r="BKS4" i="1"/>
  <c r="BKR4" i="1"/>
  <c r="BKQ4" i="1"/>
  <c r="BKP4" i="1"/>
  <c r="BKO4" i="1"/>
  <c r="BKN4" i="1"/>
  <c r="BKM4" i="1"/>
  <c r="BKL4" i="1"/>
  <c r="BKK4" i="1"/>
  <c r="BKJ4" i="1"/>
  <c r="BKI4" i="1"/>
  <c r="BKH4" i="1"/>
  <c r="BKG4" i="1"/>
  <c r="BKF4" i="1"/>
  <c r="BKE4" i="1"/>
  <c r="BKD4" i="1"/>
  <c r="BKC4" i="1"/>
  <c r="BKB4" i="1"/>
  <c r="BKA4" i="1"/>
  <c r="BJZ4" i="1"/>
  <c r="BJY4" i="1"/>
  <c r="BJX4" i="1"/>
  <c r="BJW4" i="1"/>
  <c r="BJV4" i="1"/>
  <c r="BJU4" i="1"/>
  <c r="BJT4" i="1"/>
  <c r="BJS4" i="1"/>
  <c r="BJR4" i="1"/>
  <c r="BJQ4" i="1"/>
  <c r="BJP4" i="1"/>
  <c r="BJO4" i="1"/>
  <c r="BJN4" i="1"/>
  <c r="BJM4" i="1"/>
  <c r="BJL4" i="1"/>
  <c r="BJK4" i="1"/>
  <c r="BJJ4" i="1"/>
  <c r="BJI4" i="1"/>
  <c r="BJH4" i="1"/>
  <c r="BJG4" i="1"/>
  <c r="BJF4" i="1"/>
  <c r="BJE4" i="1"/>
  <c r="BJD4" i="1"/>
  <c r="BJC4" i="1"/>
  <c r="BJB4" i="1"/>
  <c r="BJA4" i="1"/>
  <c r="BIZ4" i="1"/>
  <c r="BIY4" i="1"/>
  <c r="BIX4" i="1"/>
  <c r="BIW4" i="1"/>
  <c r="BIV4" i="1"/>
  <c r="BIU4" i="1"/>
  <c r="BIT4" i="1"/>
  <c r="BIS4" i="1"/>
  <c r="BIR4" i="1"/>
  <c r="BIQ4" i="1"/>
  <c r="BJT3" i="1" s="1"/>
  <c r="BIP4" i="1"/>
  <c r="BIO4" i="1"/>
  <c r="BIN4" i="1"/>
  <c r="BIM4" i="1"/>
  <c r="BIL4" i="1"/>
  <c r="BIK4" i="1"/>
  <c r="BIJ4" i="1"/>
  <c r="BII4" i="1"/>
  <c r="BIH4" i="1"/>
  <c r="BIG4" i="1"/>
  <c r="BIF4" i="1"/>
  <c r="BIE4" i="1"/>
  <c r="BID4" i="1"/>
  <c r="BIC4" i="1"/>
  <c r="BIB4" i="1"/>
  <c r="BIA4" i="1"/>
  <c r="BHZ4" i="1"/>
  <c r="BHY4" i="1"/>
  <c r="BHX4" i="1"/>
  <c r="BHW4" i="1"/>
  <c r="BHV4" i="1"/>
  <c r="BHU4" i="1"/>
  <c r="BHT4" i="1"/>
  <c r="BHS4" i="1"/>
  <c r="BHR4" i="1"/>
  <c r="BHQ4" i="1"/>
  <c r="BHP4" i="1"/>
  <c r="BHO4" i="1"/>
  <c r="BHN4" i="1"/>
  <c r="BHM4" i="1"/>
  <c r="BHL4" i="1"/>
  <c r="BIM3" i="1" s="1"/>
  <c r="BHK4" i="1"/>
  <c r="BHJ4" i="1"/>
  <c r="BHI4" i="1"/>
  <c r="BHH4" i="1"/>
  <c r="BHG4" i="1"/>
  <c r="BHF4" i="1"/>
  <c r="BHE4" i="1"/>
  <c r="BHD4" i="1"/>
  <c r="BHC4" i="1"/>
  <c r="BHB4" i="1"/>
  <c r="BHA4" i="1"/>
  <c r="BGZ4" i="1"/>
  <c r="BGY4" i="1"/>
  <c r="BGX4" i="1"/>
  <c r="BGW4" i="1"/>
  <c r="BGV4" i="1"/>
  <c r="BGU4" i="1"/>
  <c r="BGT4" i="1"/>
  <c r="BGS4" i="1"/>
  <c r="BGR4" i="1"/>
  <c r="BGQ4" i="1"/>
  <c r="BGP4" i="1"/>
  <c r="BGO4" i="1"/>
  <c r="BGN4" i="1"/>
  <c r="BGM4" i="1"/>
  <c r="BGL4" i="1"/>
  <c r="BGK4" i="1"/>
  <c r="BGJ4" i="1"/>
  <c r="BGI4" i="1"/>
  <c r="BGH4" i="1"/>
  <c r="BGG4" i="1"/>
  <c r="BGF4" i="1"/>
  <c r="BGE4" i="1"/>
  <c r="BGD4" i="1"/>
  <c r="BGC4" i="1"/>
  <c r="BGB4" i="1"/>
  <c r="BGA4" i="1"/>
  <c r="BFZ4" i="1"/>
  <c r="BFY4" i="1"/>
  <c r="BFX4" i="1"/>
  <c r="BFW4" i="1"/>
  <c r="BFV4" i="1"/>
  <c r="BFU4" i="1"/>
  <c r="BFT4" i="1"/>
  <c r="BFS4" i="1"/>
  <c r="BFR4" i="1"/>
  <c r="BFQ4" i="1"/>
  <c r="BFP4" i="1"/>
  <c r="BFO4" i="1"/>
  <c r="BFN4" i="1"/>
  <c r="BFM4" i="1"/>
  <c r="BFL4" i="1"/>
  <c r="BFK4" i="1"/>
  <c r="BFJ4" i="1"/>
  <c r="BFI4" i="1"/>
  <c r="BFH4" i="1"/>
  <c r="BFG4" i="1"/>
  <c r="BFF4" i="1"/>
  <c r="BFE4" i="1"/>
  <c r="BFD4" i="1"/>
  <c r="BFC4" i="1"/>
  <c r="BFB4" i="1"/>
  <c r="BGD3" i="1" s="1"/>
  <c r="BFA4" i="1"/>
  <c r="BEZ4" i="1"/>
  <c r="BEY4" i="1"/>
  <c r="BEX4" i="1"/>
  <c r="BEW4" i="1"/>
  <c r="BEV4" i="1"/>
  <c r="BEU4" i="1"/>
  <c r="BET4" i="1"/>
  <c r="BES4" i="1"/>
  <c r="BER4" i="1"/>
  <c r="BEQ4" i="1"/>
  <c r="BEP4" i="1"/>
  <c r="BEO4" i="1"/>
  <c r="BEN4" i="1"/>
  <c r="BEM4" i="1"/>
  <c r="BEL4" i="1"/>
  <c r="BEK4" i="1"/>
  <c r="BEJ4" i="1"/>
  <c r="BEI4" i="1"/>
  <c r="BEH4" i="1"/>
  <c r="BEG4" i="1"/>
  <c r="BEF4" i="1"/>
  <c r="BEE4" i="1"/>
  <c r="BED4" i="1"/>
  <c r="BEC4" i="1"/>
  <c r="BEB4" i="1"/>
  <c r="BEA4" i="1"/>
  <c r="BDZ4" i="1"/>
  <c r="BDY4" i="1"/>
  <c r="BDX4" i="1"/>
  <c r="BDW4" i="1"/>
  <c r="BEZ3" i="1" s="1"/>
  <c r="BDV4" i="1"/>
  <c r="BDU4" i="1"/>
  <c r="BDT4" i="1"/>
  <c r="BDS4" i="1"/>
  <c r="BDR4" i="1"/>
  <c r="BDQ4" i="1"/>
  <c r="BDP4" i="1"/>
  <c r="BDO4" i="1"/>
  <c r="BDN4" i="1"/>
  <c r="BDM4" i="1"/>
  <c r="BDL4" i="1"/>
  <c r="BDK4" i="1"/>
  <c r="BDJ4" i="1"/>
  <c r="BDI4" i="1"/>
  <c r="BDH4" i="1"/>
  <c r="BDG4" i="1"/>
  <c r="BDF4" i="1"/>
  <c r="BDE4" i="1"/>
  <c r="BDD4" i="1"/>
  <c r="BDC4" i="1"/>
  <c r="BDB4" i="1"/>
  <c r="BDA4" i="1"/>
  <c r="BCZ4" i="1"/>
  <c r="BCY4" i="1"/>
  <c r="BCX4" i="1"/>
  <c r="BCW4" i="1"/>
  <c r="BCV4" i="1"/>
  <c r="BCU4" i="1"/>
  <c r="BCT4" i="1"/>
  <c r="BCS4" i="1"/>
  <c r="BCR4" i="1"/>
  <c r="BDT3" i="1" s="1"/>
  <c r="BCQ4" i="1"/>
  <c r="BCP4" i="1"/>
  <c r="BCO4" i="1"/>
  <c r="BCN4" i="1"/>
  <c r="BCM4" i="1"/>
  <c r="BCL4" i="1"/>
  <c r="BCK4" i="1"/>
  <c r="BCJ4" i="1"/>
  <c r="BCI4" i="1"/>
  <c r="BCH4" i="1"/>
  <c r="BCG4" i="1"/>
  <c r="BCF4" i="1"/>
  <c r="BCE4" i="1"/>
  <c r="BCD4" i="1"/>
  <c r="BCC4" i="1"/>
  <c r="BCB4" i="1"/>
  <c r="BCA4" i="1"/>
  <c r="BBZ4" i="1"/>
  <c r="BBY4" i="1"/>
  <c r="BBX4" i="1"/>
  <c r="BBW4" i="1"/>
  <c r="BBV4" i="1"/>
  <c r="BBU4" i="1"/>
  <c r="BBT4" i="1"/>
  <c r="BBS4" i="1"/>
  <c r="BBR4" i="1"/>
  <c r="BBQ4" i="1"/>
  <c r="BBP4" i="1"/>
  <c r="BBO4" i="1"/>
  <c r="BBN4" i="1"/>
  <c r="BBM4" i="1"/>
  <c r="BCO3" i="1" s="1"/>
  <c r="BBL4" i="1"/>
  <c r="BBK4" i="1"/>
  <c r="BBJ4" i="1"/>
  <c r="BBI4" i="1"/>
  <c r="BBH4" i="1"/>
  <c r="BBG4" i="1"/>
  <c r="BBF4" i="1"/>
  <c r="BBE4" i="1"/>
  <c r="BBD4" i="1"/>
  <c r="BBC4" i="1"/>
  <c r="BBB4" i="1"/>
  <c r="BBA4" i="1"/>
  <c r="BAZ4" i="1"/>
  <c r="BAY4" i="1"/>
  <c r="BAX4" i="1"/>
  <c r="BAW4" i="1"/>
  <c r="BAV4" i="1"/>
  <c r="BAU4" i="1"/>
  <c r="BAT4" i="1"/>
  <c r="BAS4" i="1"/>
  <c r="BAR4" i="1"/>
  <c r="BAQ4" i="1"/>
  <c r="BAP4" i="1"/>
  <c r="BAO4" i="1"/>
  <c r="BAN4" i="1"/>
  <c r="BAM4" i="1"/>
  <c r="BAL4" i="1"/>
  <c r="BAK4" i="1"/>
  <c r="BAJ4" i="1"/>
  <c r="BAI4" i="1"/>
  <c r="BAH4" i="1"/>
  <c r="BBF3" i="1" s="1"/>
  <c r="BAG4" i="1"/>
  <c r="BAF4" i="1"/>
  <c r="BAE4" i="1"/>
  <c r="BAD4" i="1"/>
  <c r="BAC4" i="1"/>
  <c r="BAB4" i="1"/>
  <c r="BAA4" i="1"/>
  <c r="AZZ4" i="1"/>
  <c r="AZY4" i="1"/>
  <c r="AZX4" i="1"/>
  <c r="AZW4" i="1"/>
  <c r="AZV4" i="1"/>
  <c r="AZU4" i="1"/>
  <c r="AZT4" i="1"/>
  <c r="AZS4" i="1"/>
  <c r="AZR4" i="1"/>
  <c r="AZQ4" i="1"/>
  <c r="AZP4" i="1"/>
  <c r="AZO4" i="1"/>
  <c r="AZN4" i="1"/>
  <c r="AZM4" i="1"/>
  <c r="AZL4" i="1"/>
  <c r="AZK4" i="1"/>
  <c r="AZJ4" i="1"/>
  <c r="AZI4" i="1"/>
  <c r="AZH4" i="1"/>
  <c r="AZG4" i="1"/>
  <c r="AZF4" i="1"/>
  <c r="AZE4" i="1"/>
  <c r="AZD4" i="1"/>
  <c r="AZC4" i="1"/>
  <c r="BAE3" i="1" s="1"/>
  <c r="AZB4" i="1"/>
  <c r="AZA4" i="1"/>
  <c r="AYZ4" i="1"/>
  <c r="AYY4" i="1"/>
  <c r="AYX4" i="1"/>
  <c r="AYW4" i="1"/>
  <c r="AYV4" i="1"/>
  <c r="AYU4" i="1"/>
  <c r="AYT4" i="1"/>
  <c r="AYS4" i="1"/>
  <c r="AYR4" i="1"/>
  <c r="AYQ4" i="1"/>
  <c r="AYP4" i="1"/>
  <c r="AYO4" i="1"/>
  <c r="AYN4" i="1"/>
  <c r="AYM4" i="1"/>
  <c r="AYL4" i="1"/>
  <c r="AYK4" i="1"/>
  <c r="AYJ4" i="1"/>
  <c r="AYI4" i="1"/>
  <c r="AYH4" i="1"/>
  <c r="AYG4" i="1"/>
  <c r="AYF4" i="1"/>
  <c r="AYE4" i="1"/>
  <c r="AYD4" i="1"/>
  <c r="AYC4" i="1"/>
  <c r="AYB4" i="1"/>
  <c r="AYA4" i="1"/>
  <c r="AXZ4" i="1"/>
  <c r="AXY4" i="1"/>
  <c r="AXX4" i="1"/>
  <c r="AZA3" i="1" s="1"/>
  <c r="AXW4" i="1"/>
  <c r="AXV4" i="1"/>
  <c r="AXU4" i="1"/>
  <c r="AXT4" i="1"/>
  <c r="AXS4" i="1"/>
  <c r="AXR4" i="1"/>
  <c r="AXQ4" i="1"/>
  <c r="AXP4" i="1"/>
  <c r="AXO4" i="1"/>
  <c r="AXN4" i="1"/>
  <c r="AXM4" i="1"/>
  <c r="AXL4" i="1"/>
  <c r="AXK4" i="1"/>
  <c r="AXJ4" i="1"/>
  <c r="AXI4" i="1"/>
  <c r="AXH4" i="1"/>
  <c r="AXG4" i="1"/>
  <c r="AXF4" i="1"/>
  <c r="AXE4" i="1"/>
  <c r="AXD4" i="1"/>
  <c r="AXC4" i="1"/>
  <c r="AXB4" i="1"/>
  <c r="AXA4" i="1"/>
  <c r="AWZ4" i="1"/>
  <c r="AWY4" i="1"/>
  <c r="AWX4" i="1"/>
  <c r="AWW4" i="1"/>
  <c r="AWV4" i="1"/>
  <c r="AWU4" i="1"/>
  <c r="AWT4" i="1"/>
  <c r="AWS4" i="1"/>
  <c r="AWX3" i="1" s="1"/>
  <c r="CRA3" i="1"/>
  <c r="CQS3" i="1"/>
  <c r="CQK3" i="1"/>
  <c r="CQC3" i="1"/>
  <c r="CPW3" i="1"/>
  <c r="CPU3" i="1"/>
  <c r="CPT3" i="1"/>
  <c r="CPO3" i="1"/>
  <c r="CPM3" i="1"/>
  <c r="CPL3" i="1"/>
  <c r="CPG3" i="1"/>
  <c r="CPE3" i="1"/>
  <c r="CPD3" i="1"/>
  <c r="COY3" i="1"/>
  <c r="COW3" i="1"/>
  <c r="COO3" i="1"/>
  <c r="COG3" i="1"/>
  <c r="CNY3" i="1"/>
  <c r="CMK3" i="1"/>
  <c r="CMJ3" i="1"/>
  <c r="CMI3" i="1"/>
  <c r="CMH3" i="1"/>
  <c r="CMG3" i="1"/>
  <c r="CMF3" i="1"/>
  <c r="CME3" i="1"/>
  <c r="CMD3" i="1"/>
  <c r="CMC3" i="1"/>
  <c r="CMB3" i="1"/>
  <c r="CMA3" i="1"/>
  <c r="CLZ3" i="1"/>
  <c r="CLY3" i="1"/>
  <c r="CLX3" i="1"/>
  <c r="CLW3" i="1"/>
  <c r="CLV3" i="1"/>
  <c r="CLU3" i="1"/>
  <c r="CLT3" i="1"/>
  <c r="CLS3" i="1"/>
  <c r="CLR3" i="1"/>
  <c r="CLQ3" i="1"/>
  <c r="CLP3" i="1"/>
  <c r="CLO3" i="1"/>
  <c r="CLN3" i="1"/>
  <c r="CLM3" i="1"/>
  <c r="CLL3" i="1"/>
  <c r="CLK3" i="1"/>
  <c r="CLJ3" i="1"/>
  <c r="CLI3" i="1"/>
  <c r="CLH3" i="1"/>
  <c r="CLD3" i="1"/>
  <c r="CKV3" i="1"/>
  <c r="CKN3" i="1"/>
  <c r="CKF3" i="1"/>
  <c r="CHQ3" i="1"/>
  <c r="CHP3" i="1"/>
  <c r="CHO3" i="1"/>
  <c r="CHN3" i="1"/>
  <c r="CHM3" i="1"/>
  <c r="CHL3" i="1"/>
  <c r="CHK3" i="1"/>
  <c r="CHJ3" i="1"/>
  <c r="CHI3" i="1"/>
  <c r="CHH3" i="1"/>
  <c r="CHG3" i="1"/>
  <c r="CHF3" i="1"/>
  <c r="CHE3" i="1"/>
  <c r="CHD3" i="1"/>
  <c r="CHC3" i="1"/>
  <c r="CHB3" i="1"/>
  <c r="CHA3" i="1"/>
  <c r="CGZ3" i="1"/>
  <c r="CGY3" i="1"/>
  <c r="CGX3" i="1"/>
  <c r="CGW3" i="1"/>
  <c r="CGV3" i="1"/>
  <c r="CGU3" i="1"/>
  <c r="CGT3" i="1"/>
  <c r="CGS3" i="1"/>
  <c r="CGR3" i="1"/>
  <c r="CGQ3" i="1"/>
  <c r="CGP3" i="1"/>
  <c r="CGO3" i="1"/>
  <c r="CGN3" i="1"/>
  <c r="CGL3" i="1"/>
  <c r="CGK3" i="1"/>
  <c r="CGJ3" i="1"/>
  <c r="CGI3" i="1"/>
  <c r="CGH3" i="1"/>
  <c r="CGG3" i="1"/>
  <c r="CGF3" i="1"/>
  <c r="CGE3" i="1"/>
  <c r="CGD3" i="1"/>
  <c r="CGC3" i="1"/>
  <c r="CGB3" i="1"/>
  <c r="CGA3" i="1"/>
  <c r="CFZ3" i="1"/>
  <c r="CFY3" i="1"/>
  <c r="CFX3" i="1"/>
  <c r="CFW3" i="1"/>
  <c r="CFV3" i="1"/>
  <c r="CFU3" i="1"/>
  <c r="CFT3" i="1"/>
  <c r="CFS3" i="1"/>
  <c r="CFR3" i="1"/>
  <c r="CFQ3" i="1"/>
  <c r="CFP3" i="1"/>
  <c r="CFO3" i="1"/>
  <c r="CFN3" i="1"/>
  <c r="CFM3" i="1"/>
  <c r="CFL3" i="1"/>
  <c r="CFK3" i="1"/>
  <c r="CFJ3" i="1"/>
  <c r="CFI3" i="1"/>
  <c r="CFC3" i="1"/>
  <c r="CEU3" i="1"/>
  <c r="CEM3" i="1"/>
  <c r="CEE3" i="1"/>
  <c r="CDS3" i="1"/>
  <c r="CCU3" i="1"/>
  <c r="CCR3" i="1"/>
  <c r="CCQ3" i="1"/>
  <c r="CCM3" i="1"/>
  <c r="CCJ3" i="1"/>
  <c r="CCI3" i="1"/>
  <c r="CCE3" i="1"/>
  <c r="CCB3" i="1"/>
  <c r="CCA3" i="1"/>
  <c r="CBW3" i="1"/>
  <c r="CBT3" i="1"/>
  <c r="CBR3" i="1"/>
  <c r="CBQ3" i="1"/>
  <c r="CBP3" i="1"/>
  <c r="CBO3" i="1"/>
  <c r="CBN3" i="1"/>
  <c r="CBM3" i="1"/>
  <c r="CBL3" i="1"/>
  <c r="CBK3" i="1"/>
  <c r="CBJ3" i="1"/>
  <c r="CBI3" i="1"/>
  <c r="CBH3" i="1"/>
  <c r="CBG3" i="1"/>
  <c r="CBF3" i="1"/>
  <c r="CBE3" i="1"/>
  <c r="CBD3" i="1"/>
  <c r="CBC3" i="1"/>
  <c r="CBB3" i="1"/>
  <c r="CBA3" i="1"/>
  <c r="CAZ3" i="1"/>
  <c r="CAY3" i="1"/>
  <c r="CAX3" i="1"/>
  <c r="CAW3" i="1"/>
  <c r="CAV3" i="1"/>
  <c r="CAU3" i="1"/>
  <c r="CAT3" i="1"/>
  <c r="CAS3" i="1"/>
  <c r="CAR3" i="1"/>
  <c r="CAQ3" i="1"/>
  <c r="CAP3" i="1"/>
  <c r="CAO3" i="1"/>
  <c r="BYJ3" i="1"/>
  <c r="BYA3" i="1"/>
  <c r="BXC3" i="1"/>
  <c r="BWX3" i="1"/>
  <c r="BWW3" i="1"/>
  <c r="BWS3" i="1"/>
  <c r="BWP3" i="1"/>
  <c r="BWO3" i="1"/>
  <c r="BWK3" i="1"/>
  <c r="BWH3" i="1"/>
  <c r="BWG3" i="1"/>
  <c r="BWC3" i="1"/>
  <c r="BVZ3" i="1"/>
  <c r="BVY3" i="1"/>
  <c r="BVU3" i="1"/>
  <c r="BVD3" i="1"/>
  <c r="BTI3" i="1"/>
  <c r="BTH3" i="1"/>
  <c r="BTG3" i="1"/>
  <c r="BTF3" i="1"/>
  <c r="BTE3" i="1"/>
  <c r="BTD3" i="1"/>
  <c r="BTC3" i="1"/>
  <c r="BTB3" i="1"/>
  <c r="BTA3" i="1"/>
  <c r="BSZ3" i="1"/>
  <c r="BSY3" i="1"/>
  <c r="BSX3" i="1"/>
  <c r="BSW3" i="1"/>
  <c r="BSV3" i="1"/>
  <c r="BSU3" i="1"/>
  <c r="BST3" i="1"/>
  <c r="BSS3" i="1"/>
  <c r="BSR3" i="1"/>
  <c r="BSQ3" i="1"/>
  <c r="BSP3" i="1"/>
  <c r="BSO3" i="1"/>
  <c r="BSN3" i="1"/>
  <c r="BSM3" i="1"/>
  <c r="BSL3" i="1"/>
  <c r="BSK3" i="1"/>
  <c r="BSJ3" i="1"/>
  <c r="BSI3" i="1"/>
  <c r="BSH3" i="1"/>
  <c r="BSG3" i="1"/>
  <c r="BSF3" i="1"/>
  <c r="BRP3" i="1"/>
  <c r="BRE3" i="1"/>
  <c r="BPC3" i="1"/>
  <c r="BOL3" i="1"/>
  <c r="BOJ3" i="1"/>
  <c r="BOA3" i="1"/>
  <c r="BNZ3" i="1"/>
  <c r="BNP3" i="1"/>
  <c r="BNO3" i="1"/>
  <c r="BNJ3" i="1"/>
  <c r="BNI3" i="1"/>
  <c r="BNH3" i="1"/>
  <c r="BNG3" i="1"/>
  <c r="BNF3" i="1"/>
  <c r="BNE3" i="1"/>
  <c r="BND3" i="1"/>
  <c r="BNC3" i="1"/>
  <c r="BNB3" i="1"/>
  <c r="BNA3" i="1"/>
  <c r="BMZ3" i="1"/>
  <c r="BMY3" i="1"/>
  <c r="BMX3" i="1"/>
  <c r="BMW3" i="1"/>
  <c r="BMV3" i="1"/>
  <c r="BMU3" i="1"/>
  <c r="BMT3" i="1"/>
  <c r="BMS3" i="1"/>
  <c r="BMR3" i="1"/>
  <c r="BMQ3" i="1"/>
  <c r="BMP3" i="1"/>
  <c r="BMO3" i="1"/>
  <c r="BMN3" i="1"/>
  <c r="BMM3" i="1"/>
  <c r="BML3" i="1"/>
  <c r="BMK3" i="1"/>
  <c r="BMJ3" i="1"/>
  <c r="BMI3" i="1"/>
  <c r="BMH3" i="1"/>
  <c r="BMG3" i="1"/>
  <c r="BMB3" i="1"/>
  <c r="BLG3" i="1"/>
  <c r="AWR4" i="1"/>
  <c r="AWQ4" i="1"/>
  <c r="AWP4" i="1"/>
  <c r="AWO4" i="1"/>
  <c r="AWN4" i="1"/>
  <c r="AWM4" i="1"/>
  <c r="AWL4" i="1"/>
  <c r="AWK4" i="1"/>
  <c r="AWJ4" i="1"/>
  <c r="AWI4" i="1"/>
  <c r="AWH4" i="1"/>
  <c r="AWG4" i="1"/>
  <c r="AWF4" i="1"/>
  <c r="AWE4" i="1"/>
  <c r="AWD4" i="1"/>
  <c r="AWC4" i="1"/>
  <c r="AWB4" i="1"/>
  <c r="AWA4" i="1"/>
  <c r="AVZ4" i="1"/>
  <c r="AVY4" i="1"/>
  <c r="AVX4" i="1"/>
  <c r="AVW4" i="1"/>
  <c r="AVV4" i="1"/>
  <c r="AVU4" i="1"/>
  <c r="AVT4" i="1"/>
  <c r="AVS4" i="1"/>
  <c r="AVR4" i="1"/>
  <c r="AVQ4" i="1"/>
  <c r="AVP4" i="1"/>
  <c r="AVO4" i="1"/>
  <c r="AVN4" i="1"/>
  <c r="AWP3" i="1" s="1"/>
  <c r="AVM4" i="1"/>
  <c r="AVL4" i="1"/>
  <c r="AVK4" i="1"/>
  <c r="AVJ4" i="1"/>
  <c r="AVI4" i="1"/>
  <c r="AVH4" i="1"/>
  <c r="AVG4" i="1"/>
  <c r="AVF4" i="1"/>
  <c r="AVE4" i="1"/>
  <c r="AVD4" i="1"/>
  <c r="AVC4" i="1"/>
  <c r="AVB4" i="1"/>
  <c r="AVA4" i="1"/>
  <c r="AUZ4" i="1"/>
  <c r="AUY4" i="1"/>
  <c r="AUX4" i="1"/>
  <c r="AUW4" i="1"/>
  <c r="AUV4" i="1"/>
  <c r="AUU4" i="1"/>
  <c r="AUT4" i="1"/>
  <c r="AUS4" i="1"/>
  <c r="AUR4" i="1"/>
  <c r="AUQ4" i="1"/>
  <c r="AUP4" i="1"/>
  <c r="AUO4" i="1"/>
  <c r="AUN4" i="1"/>
  <c r="AUM4" i="1"/>
  <c r="AUL4" i="1"/>
  <c r="AUK4" i="1"/>
  <c r="AUJ4" i="1"/>
  <c r="AUI4" i="1"/>
  <c r="AUX3" i="1" s="1"/>
  <c r="AUH4" i="1"/>
  <c r="AUG4" i="1"/>
  <c r="AUF4" i="1"/>
  <c r="AUE4" i="1"/>
  <c r="AUD4" i="1"/>
  <c r="AUC4" i="1"/>
  <c r="AUB4" i="1"/>
  <c r="AUA4" i="1"/>
  <c r="ATZ4" i="1"/>
  <c r="ATY4" i="1"/>
  <c r="ATX4" i="1"/>
  <c r="ATW4" i="1"/>
  <c r="ATV4" i="1"/>
  <c r="ATU4" i="1"/>
  <c r="ATT4" i="1"/>
  <c r="ATS4" i="1"/>
  <c r="ATR4" i="1"/>
  <c r="ATQ4" i="1"/>
  <c r="ATP4" i="1"/>
  <c r="ATO4" i="1"/>
  <c r="ATN4" i="1"/>
  <c r="ATM4" i="1"/>
  <c r="ATL4" i="1"/>
  <c r="ATK4" i="1"/>
  <c r="ATJ4" i="1"/>
  <c r="ATI4" i="1"/>
  <c r="ATH4" i="1"/>
  <c r="ATG4" i="1"/>
  <c r="ATF4" i="1"/>
  <c r="ATE4" i="1"/>
  <c r="ATD4" i="1"/>
  <c r="AUH3" i="1" s="1"/>
  <c r="ATC4" i="1"/>
  <c r="ATB4" i="1"/>
  <c r="ATA4" i="1"/>
  <c r="ASZ4" i="1"/>
  <c r="ASY4" i="1"/>
  <c r="ASX4" i="1"/>
  <c r="ASW4" i="1"/>
  <c r="ASV4" i="1"/>
  <c r="ASU4" i="1"/>
  <c r="AST4" i="1"/>
  <c r="ASS4" i="1"/>
  <c r="ASR4" i="1"/>
  <c r="ASQ4" i="1"/>
  <c r="ASP4" i="1"/>
  <c r="ASO4" i="1"/>
  <c r="ASN4" i="1"/>
  <c r="ASM4" i="1"/>
  <c r="ASL4" i="1"/>
  <c r="ASK4" i="1"/>
  <c r="ASJ4" i="1"/>
  <c r="ASI4" i="1"/>
  <c r="ASH4" i="1"/>
  <c r="ASG4" i="1"/>
  <c r="ASF4" i="1"/>
  <c r="ASE4" i="1"/>
  <c r="ASD4" i="1"/>
  <c r="ASC4" i="1"/>
  <c r="ASB4" i="1"/>
  <c r="ASA4" i="1"/>
  <c r="ARZ4" i="1"/>
  <c r="ARY4" i="1"/>
  <c r="ASZ3" i="1" s="1"/>
  <c r="ARX4" i="1"/>
  <c r="ARW4" i="1"/>
  <c r="ARV4" i="1"/>
  <c r="ARU4" i="1"/>
  <c r="ART4" i="1"/>
  <c r="ARS4" i="1"/>
  <c r="ARR4" i="1"/>
  <c r="ARQ4" i="1"/>
  <c r="ARP4" i="1"/>
  <c r="ARO4" i="1"/>
  <c r="ARN4" i="1"/>
  <c r="ARM4" i="1"/>
  <c r="ARL4" i="1"/>
  <c r="ARK4" i="1"/>
  <c r="ARJ4" i="1"/>
  <c r="ARI4" i="1"/>
  <c r="ARH4" i="1"/>
  <c r="ARG4" i="1"/>
  <c r="ARF4" i="1"/>
  <c r="ARE4" i="1"/>
  <c r="ARD4" i="1"/>
  <c r="ARC4" i="1"/>
  <c r="ARB4" i="1"/>
  <c r="ARA4" i="1"/>
  <c r="AQZ4" i="1"/>
  <c r="AQY4" i="1"/>
  <c r="AQX4" i="1"/>
  <c r="AQW4" i="1"/>
  <c r="AQV4" i="1"/>
  <c r="AQU4" i="1"/>
  <c r="AQT4" i="1"/>
  <c r="AQY3" i="1" s="1"/>
  <c r="AQS4" i="1"/>
  <c r="AQR4" i="1"/>
  <c r="AQQ4" i="1"/>
  <c r="AQP4" i="1"/>
  <c r="AQO4" i="1"/>
  <c r="AQN4" i="1"/>
  <c r="AQM4" i="1"/>
  <c r="AQL4" i="1"/>
  <c r="AQK4" i="1"/>
  <c r="AQJ4" i="1"/>
  <c r="AQI4" i="1"/>
  <c r="AQH4" i="1"/>
  <c r="AQG4" i="1"/>
  <c r="AQF4" i="1"/>
  <c r="AQE4" i="1"/>
  <c r="AQD4" i="1"/>
  <c r="AQC4" i="1"/>
  <c r="AQB4" i="1"/>
  <c r="AQA4" i="1"/>
  <c r="APZ4" i="1"/>
  <c r="APY4" i="1"/>
  <c r="APX4" i="1"/>
  <c r="APW4" i="1"/>
  <c r="APV4" i="1"/>
  <c r="APU4" i="1"/>
  <c r="APT4" i="1"/>
  <c r="APS4" i="1"/>
  <c r="APR4" i="1"/>
  <c r="APQ4" i="1"/>
  <c r="APP4" i="1"/>
  <c r="APO4" i="1"/>
  <c r="AQQ3" i="1" s="1"/>
  <c r="APN4" i="1"/>
  <c r="APM4" i="1"/>
  <c r="APL4" i="1"/>
  <c r="APK4" i="1"/>
  <c r="APJ4" i="1"/>
  <c r="API4" i="1"/>
  <c r="APH4" i="1"/>
  <c r="APG4" i="1"/>
  <c r="APF4" i="1"/>
  <c r="APE4" i="1"/>
  <c r="APD4" i="1"/>
  <c r="APC4" i="1"/>
  <c r="APB4" i="1"/>
  <c r="APA4" i="1"/>
  <c r="AOZ4" i="1"/>
  <c r="AOY4" i="1"/>
  <c r="AOX4" i="1"/>
  <c r="AOW4" i="1"/>
  <c r="AOV4" i="1"/>
  <c r="AOU4" i="1"/>
  <c r="AOT4" i="1"/>
  <c r="AOS4" i="1"/>
  <c r="AOR4" i="1"/>
  <c r="AOQ4" i="1"/>
  <c r="AOP4" i="1"/>
  <c r="AOO4" i="1"/>
  <c r="AON4" i="1"/>
  <c r="AOM4" i="1"/>
  <c r="AOL4" i="1"/>
  <c r="AOK4" i="1"/>
  <c r="AOJ4" i="1"/>
  <c r="AOT3" i="1" s="1"/>
  <c r="AOI4" i="1"/>
  <c r="AOH4" i="1"/>
  <c r="AOG4" i="1"/>
  <c r="AOF4" i="1"/>
  <c r="AOE4" i="1"/>
  <c r="AOD4" i="1"/>
  <c r="AOC4" i="1"/>
  <c r="AOB4" i="1"/>
  <c r="AOA4" i="1"/>
  <c r="ANZ4" i="1"/>
  <c r="ANY4" i="1"/>
  <c r="ANX4" i="1"/>
  <c r="ANW4" i="1"/>
  <c r="ANV4" i="1"/>
  <c r="ANU4" i="1"/>
  <c r="ANT4" i="1"/>
  <c r="ANS4" i="1"/>
  <c r="ANR4" i="1"/>
  <c r="ANQ4" i="1"/>
  <c r="ANP4" i="1"/>
  <c r="ANO4" i="1"/>
  <c r="ANN4" i="1"/>
  <c r="ANM4" i="1"/>
  <c r="ANL4" i="1"/>
  <c r="ANK4" i="1"/>
  <c r="ANJ4" i="1"/>
  <c r="ANI4" i="1"/>
  <c r="ANH4" i="1"/>
  <c r="ANG4" i="1"/>
  <c r="ANF4" i="1"/>
  <c r="ANE4" i="1"/>
  <c r="ANV3" i="1" s="1"/>
  <c r="AND4" i="1"/>
  <c r="ANC4" i="1"/>
  <c r="ANB4" i="1"/>
  <c r="ANA4" i="1"/>
  <c r="AMZ4" i="1"/>
  <c r="AMY4" i="1"/>
  <c r="AMX4" i="1"/>
  <c r="AMW4" i="1"/>
  <c r="AMV4" i="1"/>
  <c r="AMU4" i="1"/>
  <c r="AMT4" i="1"/>
  <c r="AMS4" i="1"/>
  <c r="AMR4" i="1"/>
  <c r="AMQ4" i="1"/>
  <c r="AMP4" i="1"/>
  <c r="AMO4" i="1"/>
  <c r="AMN4" i="1"/>
  <c r="AMM4" i="1"/>
  <c r="AML4" i="1"/>
  <c r="AMK4" i="1"/>
  <c r="AMJ4" i="1"/>
  <c r="AMI4" i="1"/>
  <c r="AMH4" i="1"/>
  <c r="AMG4" i="1"/>
  <c r="AMF4" i="1"/>
  <c r="AME4" i="1"/>
  <c r="AMD4" i="1"/>
  <c r="AMC4" i="1"/>
  <c r="AMB4" i="1"/>
  <c r="AMA4" i="1"/>
  <c r="ALZ4" i="1"/>
  <c r="ANA3" i="1" s="1"/>
  <c r="ALY4" i="1"/>
  <c r="ALX4" i="1"/>
  <c r="ALW4" i="1"/>
  <c r="ALV4" i="1"/>
  <c r="ALU4" i="1"/>
  <c r="ALT4" i="1"/>
  <c r="ALS4" i="1"/>
  <c r="ALR4" i="1"/>
  <c r="ALQ4" i="1"/>
  <c r="ALP4" i="1"/>
  <c r="ALO4" i="1"/>
  <c r="ALN4" i="1"/>
  <c r="ALM4" i="1"/>
  <c r="ALL4" i="1"/>
  <c r="ALK4" i="1"/>
  <c r="ALJ4" i="1"/>
  <c r="ALI4" i="1"/>
  <c r="ALH4" i="1"/>
  <c r="ALG4" i="1"/>
  <c r="ALF4" i="1"/>
  <c r="ALE4" i="1"/>
  <c r="ALD4" i="1"/>
  <c r="ALC4" i="1"/>
  <c r="ALB4" i="1"/>
  <c r="ALA4" i="1"/>
  <c r="AKZ4" i="1"/>
  <c r="AKY4" i="1"/>
  <c r="AKX4" i="1"/>
  <c r="AKW4" i="1"/>
  <c r="AKV4" i="1"/>
  <c r="AKU4" i="1"/>
  <c r="ALU3" i="1" s="1"/>
  <c r="AKT4" i="1"/>
  <c r="AKS4" i="1"/>
  <c r="AKR4" i="1"/>
  <c r="AKQ4" i="1"/>
  <c r="AKP4" i="1"/>
  <c r="AKO4" i="1"/>
  <c r="AKN4" i="1"/>
  <c r="AKM4" i="1"/>
  <c r="AKL4" i="1"/>
  <c r="AKK4" i="1"/>
  <c r="AKJ4" i="1"/>
  <c r="AKI4" i="1"/>
  <c r="AKH4" i="1"/>
  <c r="AKG4" i="1"/>
  <c r="AKF4" i="1"/>
  <c r="AKE4" i="1"/>
  <c r="AKD4" i="1"/>
  <c r="AKC4" i="1"/>
  <c r="AKB4" i="1"/>
  <c r="AKA4" i="1"/>
  <c r="AJZ4" i="1"/>
  <c r="AJY4" i="1"/>
  <c r="AJX4" i="1"/>
  <c r="AJW4" i="1"/>
  <c r="AJV4" i="1"/>
  <c r="AJU4" i="1"/>
  <c r="AJT4" i="1"/>
  <c r="AJS4" i="1"/>
  <c r="AJR4" i="1"/>
  <c r="AJQ4" i="1"/>
  <c r="AJP4" i="1"/>
  <c r="AKA3" i="1" s="1"/>
  <c r="AJO4" i="1"/>
  <c r="AJN4" i="1"/>
  <c r="AJM4" i="1"/>
  <c r="AJL4" i="1"/>
  <c r="AJK4" i="1"/>
  <c r="AJJ4" i="1"/>
  <c r="AJI4" i="1"/>
  <c r="AJH4" i="1"/>
  <c r="AJG4" i="1"/>
  <c r="AJF4" i="1"/>
  <c r="AJE4" i="1"/>
  <c r="AJD4" i="1"/>
  <c r="AJC4" i="1"/>
  <c r="AJB4" i="1"/>
  <c r="AJA4" i="1"/>
  <c r="AIZ4" i="1"/>
  <c r="AIY4" i="1"/>
  <c r="AIX4" i="1"/>
  <c r="AIW4" i="1"/>
  <c r="AIV4" i="1"/>
  <c r="AIU4" i="1"/>
  <c r="AIT4" i="1"/>
  <c r="AIS4" i="1"/>
  <c r="AIR4" i="1"/>
  <c r="AIQ4" i="1"/>
  <c r="AIP4" i="1"/>
  <c r="AIO4" i="1"/>
  <c r="AIN4" i="1"/>
  <c r="AIM4" i="1"/>
  <c r="AIL4" i="1"/>
  <c r="AIK4" i="1"/>
  <c r="AJO3" i="1" s="1"/>
  <c r="AIJ4" i="1"/>
  <c r="AII4" i="1"/>
  <c r="AIH4" i="1"/>
  <c r="AIG4" i="1"/>
  <c r="AIF4" i="1"/>
  <c r="AIE4" i="1"/>
  <c r="AID4" i="1"/>
  <c r="AIC4" i="1"/>
  <c r="AIB4" i="1"/>
  <c r="AIA4" i="1"/>
  <c r="AHZ4" i="1"/>
  <c r="AHY4" i="1"/>
  <c r="AHX4" i="1"/>
  <c r="AHW4" i="1"/>
  <c r="AHV4" i="1"/>
  <c r="AHU4" i="1"/>
  <c r="AHT4" i="1"/>
  <c r="AHS4" i="1"/>
  <c r="AHR4" i="1"/>
  <c r="AHQ4" i="1"/>
  <c r="AHP4" i="1"/>
  <c r="AHO4" i="1"/>
  <c r="AHN4" i="1"/>
  <c r="AHM4" i="1"/>
  <c r="AHL4" i="1"/>
  <c r="AHK4" i="1"/>
  <c r="AHJ4" i="1"/>
  <c r="AHI4" i="1"/>
  <c r="AHH4" i="1"/>
  <c r="AHG4" i="1"/>
  <c r="AHF4" i="1"/>
  <c r="AHE4" i="1"/>
  <c r="AHD4" i="1"/>
  <c r="AHC4" i="1"/>
  <c r="AHB4" i="1"/>
  <c r="AHA4" i="1"/>
  <c r="AGZ4" i="1"/>
  <c r="AGY4" i="1"/>
  <c r="AGX4" i="1"/>
  <c r="AGW4" i="1"/>
  <c r="AGV4" i="1"/>
  <c r="AGU4" i="1"/>
  <c r="AGT4" i="1"/>
  <c r="AGS4" i="1"/>
  <c r="AGR4" i="1"/>
  <c r="AGQ4" i="1"/>
  <c r="AGP4" i="1"/>
  <c r="AGO4" i="1"/>
  <c r="AGN4" i="1"/>
  <c r="AGM4" i="1"/>
  <c r="AGL4" i="1"/>
  <c r="AGK4" i="1"/>
  <c r="AGJ4" i="1"/>
  <c r="AGI4" i="1"/>
  <c r="AGH4" i="1"/>
  <c r="AGG4" i="1"/>
  <c r="AGF4" i="1"/>
  <c r="AGE4" i="1"/>
  <c r="AGD4" i="1"/>
  <c r="AGC4" i="1"/>
  <c r="AGB4" i="1"/>
  <c r="AGA4" i="1"/>
  <c r="AGS3" i="1" s="1"/>
  <c r="AFZ4" i="1"/>
  <c r="AFY4" i="1"/>
  <c r="AFX4" i="1"/>
  <c r="AFW4" i="1"/>
  <c r="AFV4" i="1"/>
  <c r="AFU4" i="1"/>
  <c r="AFT4" i="1"/>
  <c r="AFS4" i="1"/>
  <c r="AFR4" i="1"/>
  <c r="AFQ4" i="1"/>
  <c r="AFP4" i="1"/>
  <c r="AFO4" i="1"/>
  <c r="AFN4" i="1"/>
  <c r="AFM4" i="1"/>
  <c r="AFL4" i="1"/>
  <c r="AFK4" i="1"/>
  <c r="AFJ4" i="1"/>
  <c r="AFI4" i="1"/>
  <c r="AFH4" i="1"/>
  <c r="AFG4" i="1"/>
  <c r="AFF4" i="1"/>
  <c r="AFE4" i="1"/>
  <c r="AFD4" i="1"/>
  <c r="AFC4" i="1"/>
  <c r="AFB4" i="1"/>
  <c r="AFA4" i="1"/>
  <c r="AEZ4" i="1"/>
  <c r="AEY4" i="1"/>
  <c r="AEX4" i="1"/>
  <c r="AEW4" i="1"/>
  <c r="AEV4" i="1"/>
  <c r="AFX3" i="1" s="1"/>
  <c r="AEU4" i="1"/>
  <c r="AET4" i="1"/>
  <c r="AES4" i="1"/>
  <c r="AER4" i="1"/>
  <c r="AEQ4" i="1"/>
  <c r="AEP4" i="1"/>
  <c r="AEO4" i="1"/>
  <c r="AEN4" i="1"/>
  <c r="AEM4" i="1"/>
  <c r="AEL4" i="1"/>
  <c r="AEK4" i="1"/>
  <c r="AEJ4" i="1"/>
  <c r="AEI4" i="1"/>
  <c r="AEH4" i="1"/>
  <c r="AEG4" i="1"/>
  <c r="AEF4" i="1"/>
  <c r="AEE4" i="1"/>
  <c r="AED4" i="1"/>
  <c r="AEC4" i="1"/>
  <c r="AEB4" i="1"/>
  <c r="AEA4" i="1"/>
  <c r="ADZ4" i="1"/>
  <c r="ADY4" i="1"/>
  <c r="ADX4" i="1"/>
  <c r="ADW4" i="1"/>
  <c r="ADV4" i="1"/>
  <c r="ADU4" i="1"/>
  <c r="ADT4" i="1"/>
  <c r="ADS4" i="1"/>
  <c r="ADR4" i="1"/>
  <c r="ADQ4" i="1"/>
  <c r="ADP4" i="1"/>
  <c r="ADO4" i="1"/>
  <c r="ADN4" i="1"/>
  <c r="ADM4" i="1"/>
  <c r="ADL4" i="1"/>
  <c r="ADK4" i="1"/>
  <c r="ADJ4" i="1"/>
  <c r="ADI4" i="1"/>
  <c r="ADH4" i="1"/>
  <c r="ADG4" i="1"/>
  <c r="ADF4" i="1"/>
  <c r="ADE4" i="1"/>
  <c r="ADD4" i="1"/>
  <c r="ADC4" i="1"/>
  <c r="ADB4" i="1"/>
  <c r="ADA4" i="1"/>
  <c r="ACZ4" i="1"/>
  <c r="ACY4" i="1"/>
  <c r="ACX4" i="1"/>
  <c r="ACW4" i="1"/>
  <c r="ACV4" i="1"/>
  <c r="ACU4" i="1"/>
  <c r="ACT4" i="1"/>
  <c r="ACS4" i="1"/>
  <c r="ACR4" i="1"/>
  <c r="ACQ4" i="1"/>
  <c r="ACP4" i="1"/>
  <c r="ACO4" i="1"/>
  <c r="ACN4" i="1"/>
  <c r="ACM4" i="1"/>
  <c r="ACL4" i="1"/>
  <c r="ADJ3" i="1" s="1"/>
  <c r="ACK4" i="1"/>
  <c r="ACJ4" i="1"/>
  <c r="ACI4" i="1"/>
  <c r="ACH4" i="1"/>
  <c r="ACG4" i="1"/>
  <c r="ACF4" i="1"/>
  <c r="ACE4" i="1"/>
  <c r="ACD4" i="1"/>
  <c r="ACC4" i="1"/>
  <c r="ACB4" i="1"/>
  <c r="ACA4" i="1"/>
  <c r="ABZ4" i="1"/>
  <c r="ABY4" i="1"/>
  <c r="ABX4" i="1"/>
  <c r="ABW4" i="1"/>
  <c r="ABV4" i="1"/>
  <c r="ABU4" i="1"/>
  <c r="ABT4" i="1"/>
  <c r="ABS4" i="1"/>
  <c r="ABR4" i="1"/>
  <c r="ABQ4" i="1"/>
  <c r="ABP4" i="1"/>
  <c r="ABO4" i="1"/>
  <c r="ABN4" i="1"/>
  <c r="ABM4" i="1"/>
  <c r="ABL4" i="1"/>
  <c r="ABK4" i="1"/>
  <c r="ABJ4" i="1"/>
  <c r="ABI4" i="1"/>
  <c r="ABH4" i="1"/>
  <c r="ABG4" i="1"/>
  <c r="ACK3" i="1" s="1"/>
  <c r="ABF4" i="1"/>
  <c r="ABE4" i="1"/>
  <c r="ABD4" i="1"/>
  <c r="ABC4" i="1"/>
  <c r="ABB4" i="1"/>
  <c r="ABA4" i="1"/>
  <c r="AAZ4" i="1"/>
  <c r="AAY4" i="1"/>
  <c r="AAX4" i="1"/>
  <c r="AAW4" i="1"/>
  <c r="AAV4" i="1"/>
  <c r="AAU4" i="1"/>
  <c r="AAT4" i="1"/>
  <c r="AAS4" i="1"/>
  <c r="AAR4" i="1"/>
  <c r="AAQ4" i="1"/>
  <c r="AAP4" i="1"/>
  <c r="AAO4" i="1"/>
  <c r="AAN4" i="1"/>
  <c r="AAM4" i="1"/>
  <c r="AAL4" i="1"/>
  <c r="AAK4" i="1"/>
  <c r="AAJ4" i="1"/>
  <c r="AAI4" i="1"/>
  <c r="AAH4" i="1"/>
  <c r="AAG4" i="1"/>
  <c r="AAF4" i="1"/>
  <c r="AAE4" i="1"/>
  <c r="AAD4" i="1"/>
  <c r="AAC4" i="1"/>
  <c r="AAB4" i="1"/>
  <c r="ABD3" i="1" s="1"/>
  <c r="AAA4" i="1"/>
  <c r="ZZ4" i="1"/>
  <c r="ZY4" i="1"/>
  <c r="ZX4" i="1"/>
  <c r="ZW4" i="1"/>
  <c r="ZV4" i="1"/>
  <c r="ZU4" i="1"/>
  <c r="ZT4" i="1"/>
  <c r="ZS4" i="1"/>
  <c r="ZR4" i="1"/>
  <c r="ZQ4" i="1"/>
  <c r="ZP4" i="1"/>
  <c r="ZO4" i="1"/>
  <c r="ZN4" i="1"/>
  <c r="ZM4" i="1"/>
  <c r="ZL4" i="1"/>
  <c r="ZK4" i="1"/>
  <c r="ZJ4" i="1"/>
  <c r="ZI4" i="1"/>
  <c r="ZH4" i="1"/>
  <c r="ZG4" i="1"/>
  <c r="ZF4" i="1"/>
  <c r="ZE4" i="1"/>
  <c r="ZD4" i="1"/>
  <c r="ZC4" i="1"/>
  <c r="ZB4" i="1"/>
  <c r="ZA4" i="1"/>
  <c r="YZ4" i="1"/>
  <c r="YY4" i="1"/>
  <c r="YX4" i="1"/>
  <c r="YW4" i="1"/>
  <c r="ZZ3" i="1" s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WS4" i="1"/>
  <c r="WR4" i="1"/>
  <c r="WQ4" i="1"/>
  <c r="WP4" i="1"/>
  <c r="WO4" i="1"/>
  <c r="WN4" i="1"/>
  <c r="WM4" i="1"/>
  <c r="XQ3" i="1" s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VN4" i="1"/>
  <c r="VM4" i="1"/>
  <c r="VL4" i="1"/>
  <c r="VK4" i="1"/>
  <c r="VJ4" i="1"/>
  <c r="VI4" i="1"/>
  <c r="VH4" i="1"/>
  <c r="WL3" i="1" s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UO4" i="1"/>
  <c r="UN4" i="1"/>
  <c r="UM4" i="1"/>
  <c r="UL4" i="1"/>
  <c r="UK4" i="1"/>
  <c r="UJ4" i="1"/>
  <c r="UI4" i="1"/>
  <c r="UH4" i="1"/>
  <c r="UG4" i="1"/>
  <c r="UF4" i="1"/>
  <c r="UE4" i="1"/>
  <c r="UD4" i="1"/>
  <c r="UC4" i="1"/>
  <c r="UB4" i="1"/>
  <c r="UA4" i="1"/>
  <c r="TZ4" i="1"/>
  <c r="TY4" i="1"/>
  <c r="TX4" i="1"/>
  <c r="TW4" i="1"/>
  <c r="TV4" i="1"/>
  <c r="TU4" i="1"/>
  <c r="TT4" i="1"/>
  <c r="TS4" i="1"/>
  <c r="TR4" i="1"/>
  <c r="TQ4" i="1"/>
  <c r="TP4" i="1"/>
  <c r="TO4" i="1"/>
  <c r="TN4" i="1"/>
  <c r="TM4" i="1"/>
  <c r="TL4" i="1"/>
  <c r="TK4" i="1"/>
  <c r="TJ4" i="1"/>
  <c r="TI4" i="1"/>
  <c r="TH4" i="1"/>
  <c r="TG4" i="1"/>
  <c r="TF4" i="1"/>
  <c r="TE4" i="1"/>
  <c r="TD4" i="1"/>
  <c r="TC4" i="1"/>
  <c r="TB4" i="1"/>
  <c r="TA4" i="1"/>
  <c r="SZ4" i="1"/>
  <c r="SY4" i="1"/>
  <c r="SX4" i="1"/>
  <c r="UA3" i="1" s="1"/>
  <c r="SW4" i="1"/>
  <c r="SV4" i="1"/>
  <c r="SU4" i="1"/>
  <c r="ST4" i="1"/>
  <c r="SS4" i="1"/>
  <c r="SR4" i="1"/>
  <c r="SQ4" i="1"/>
  <c r="SP4" i="1"/>
  <c r="SO4" i="1"/>
  <c r="SN4" i="1"/>
  <c r="SM4" i="1"/>
  <c r="SL4" i="1"/>
  <c r="SK4" i="1"/>
  <c r="SJ4" i="1"/>
  <c r="SI4" i="1"/>
  <c r="SH4" i="1"/>
  <c r="SG4" i="1"/>
  <c r="SF4" i="1"/>
  <c r="SE4" i="1"/>
  <c r="SD4" i="1"/>
  <c r="SC4" i="1"/>
  <c r="SB4" i="1"/>
  <c r="SA4" i="1"/>
  <c r="RZ4" i="1"/>
  <c r="RY4" i="1"/>
  <c r="RX4" i="1"/>
  <c r="RW4" i="1"/>
  <c r="RV4" i="1"/>
  <c r="RU4" i="1"/>
  <c r="RT4" i="1"/>
  <c r="RS4" i="1"/>
  <c r="ST3" i="1" s="1"/>
  <c r="RR4" i="1"/>
  <c r="RQ4" i="1"/>
  <c r="RP4" i="1"/>
  <c r="RO4" i="1"/>
  <c r="RN4" i="1"/>
  <c r="RM4" i="1"/>
  <c r="RL4" i="1"/>
  <c r="RK4" i="1"/>
  <c r="RJ4" i="1"/>
  <c r="RI4" i="1"/>
  <c r="RH4" i="1"/>
  <c r="RG4" i="1"/>
  <c r="RF4" i="1"/>
  <c r="RE4" i="1"/>
  <c r="RD4" i="1"/>
  <c r="RC4" i="1"/>
  <c r="RB4" i="1"/>
  <c r="RA4" i="1"/>
  <c r="QZ4" i="1"/>
  <c r="QY4" i="1"/>
  <c r="QX4" i="1"/>
  <c r="QW4" i="1"/>
  <c r="QV4" i="1"/>
  <c r="QU4" i="1"/>
  <c r="QT4" i="1"/>
  <c r="QS4" i="1"/>
  <c r="QR4" i="1"/>
  <c r="QQ4" i="1"/>
  <c r="QP4" i="1"/>
  <c r="QO4" i="1"/>
  <c r="QN4" i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PO4" i="1"/>
  <c r="PN4" i="1"/>
  <c r="PM4" i="1"/>
  <c r="PL4" i="1"/>
  <c r="PK4" i="1"/>
  <c r="PJ4" i="1"/>
  <c r="PI4" i="1"/>
  <c r="QM3" i="1" s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PH3" i="1" s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OB3" i="1" s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MU3" i="1" s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LP3" i="1" s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KJ3" i="1" s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IB3" i="1" s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GV3" i="1" s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FB3" i="1" s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BA4" i="1"/>
  <c r="EO3" i="1" l="1"/>
  <c r="JF3" i="1"/>
  <c r="RQ3" i="1"/>
  <c r="BDB3" i="1"/>
  <c r="BDU3" i="1"/>
  <c r="BJN3" i="1"/>
  <c r="CIR3" i="1"/>
  <c r="BYZ3" i="1"/>
  <c r="CHT3" i="1"/>
  <c r="CRN3" i="1"/>
  <c r="CIB3" i="1"/>
  <c r="CRV3" i="1"/>
  <c r="CIJ3" i="1"/>
  <c r="CSD3" i="1"/>
  <c r="BNN3" i="1"/>
  <c r="BNX3" i="1"/>
  <c r="BOI3" i="1"/>
  <c r="BOZ3" i="1"/>
  <c r="BYH3" i="1"/>
  <c r="BYX3" i="1"/>
  <c r="CHS3" i="1"/>
  <c r="CIA3" i="1"/>
  <c r="CII3" i="1"/>
  <c r="CIQ3" i="1"/>
  <c r="CRM3" i="1"/>
  <c r="CRU3" i="1"/>
  <c r="CSC3" i="1"/>
  <c r="BPF3" i="1"/>
  <c r="BYL3" i="1"/>
  <c r="BZB3" i="1"/>
  <c r="CHU3" i="1"/>
  <c r="CIC3" i="1"/>
  <c r="CIK3" i="1"/>
  <c r="CIS3" i="1"/>
  <c r="CRG3" i="1"/>
  <c r="CRO3" i="1"/>
  <c r="CRW3" i="1"/>
  <c r="CSE3" i="1"/>
  <c r="BNR3" i="1"/>
  <c r="BOB3" i="1"/>
  <c r="BOM3" i="1"/>
  <c r="BPH3" i="1"/>
  <c r="BYN3" i="1"/>
  <c r="BZD3" i="1"/>
  <c r="CHV3" i="1"/>
  <c r="CID3" i="1"/>
  <c r="CIL3" i="1"/>
  <c r="CIT3" i="1"/>
  <c r="CRH3" i="1"/>
  <c r="CRP3" i="1"/>
  <c r="CRX3" i="1"/>
  <c r="CSF3" i="1"/>
  <c r="BNS3" i="1"/>
  <c r="BOD3" i="1"/>
  <c r="BON3" i="1"/>
  <c r="BPK3" i="1"/>
  <c r="BYP3" i="1"/>
  <c r="BZF3" i="1"/>
  <c r="CHW3" i="1"/>
  <c r="CIE3" i="1"/>
  <c r="CIM3" i="1"/>
  <c r="CIU3" i="1"/>
  <c r="CRI3" i="1"/>
  <c r="CRQ3" i="1"/>
  <c r="CRY3" i="1"/>
  <c r="CSG3" i="1"/>
  <c r="BNT3" i="1"/>
  <c r="BOE3" i="1"/>
  <c r="BOR3" i="1"/>
  <c r="BPN3" i="1"/>
  <c r="BYR3" i="1"/>
  <c r="BZH3" i="1"/>
  <c r="CHX3" i="1"/>
  <c r="CIF3" i="1"/>
  <c r="CIN3" i="1"/>
  <c r="CIV3" i="1"/>
  <c r="CRJ3" i="1"/>
  <c r="CRR3" i="1"/>
  <c r="CRZ3" i="1"/>
  <c r="CSH3" i="1"/>
  <c r="BNV3" i="1"/>
  <c r="BOF3" i="1"/>
  <c r="BOU3" i="1"/>
  <c r="BPP3" i="1"/>
  <c r="BYT3" i="1"/>
  <c r="CHY3" i="1"/>
  <c r="CIG3" i="1"/>
  <c r="CIO3" i="1"/>
  <c r="CRK3" i="1"/>
  <c r="CRS3" i="1"/>
  <c r="CSA3" i="1"/>
  <c r="CSI3" i="1"/>
  <c r="BNL3" i="1"/>
  <c r="BNW3" i="1"/>
  <c r="BOH3" i="1"/>
  <c r="BOX3" i="1"/>
  <c r="BPS3" i="1"/>
  <c r="BYF3" i="1"/>
  <c r="BYV3" i="1"/>
  <c r="CHZ3" i="1"/>
  <c r="CIH3" i="1"/>
  <c r="CRL3" i="1"/>
  <c r="CRT3" i="1"/>
  <c r="CSB3" i="1"/>
  <c r="AZF3" i="1"/>
  <c r="AZY3" i="1"/>
  <c r="AZJ3" i="1"/>
  <c r="BAD3" i="1"/>
  <c r="AZN3" i="1"/>
  <c r="BAF3" i="1"/>
  <c r="AZP3" i="1"/>
  <c r="AZQ3" i="1"/>
  <c r="AWO3" i="1"/>
  <c r="AZU3" i="1"/>
  <c r="BIX3" i="1"/>
  <c r="AZD3" i="1"/>
  <c r="AZV3" i="1"/>
  <c r="BJF3" i="1"/>
  <c r="AZI3" i="1"/>
  <c r="BAB3" i="1"/>
  <c r="BLQ3" i="1"/>
  <c r="BUV3" i="1"/>
  <c r="BVL3" i="1"/>
  <c r="CEI3" i="1"/>
  <c r="CEQ3" i="1"/>
  <c r="CEY3" i="1"/>
  <c r="CFG3" i="1"/>
  <c r="CNU3" i="1"/>
  <c r="COC3" i="1"/>
  <c r="COK3" i="1"/>
  <c r="COS3" i="1"/>
  <c r="BLT3" i="1"/>
  <c r="BUX3" i="1"/>
  <c r="BVN3" i="1"/>
  <c r="CEJ3" i="1"/>
  <c r="CER3" i="1"/>
  <c r="CEZ3" i="1"/>
  <c r="CNV3" i="1"/>
  <c r="COD3" i="1"/>
  <c r="COL3" i="1"/>
  <c r="COT3" i="1"/>
  <c r="BLW3" i="1"/>
  <c r="BUZ3" i="1"/>
  <c r="BVP3" i="1"/>
  <c r="CEK3" i="1"/>
  <c r="CES3" i="1"/>
  <c r="CFA3" i="1"/>
  <c r="CNW3" i="1"/>
  <c r="COE3" i="1"/>
  <c r="COM3" i="1"/>
  <c r="COU3" i="1"/>
  <c r="BLD3" i="1"/>
  <c r="BLY3" i="1"/>
  <c r="BVB3" i="1"/>
  <c r="BVR3" i="1"/>
  <c r="CED3" i="1"/>
  <c r="CEL3" i="1"/>
  <c r="CET3" i="1"/>
  <c r="CFB3" i="1"/>
  <c r="CNX3" i="1"/>
  <c r="COF3" i="1"/>
  <c r="CON3" i="1"/>
  <c r="BBP3" i="1"/>
  <c r="BLI3" i="1"/>
  <c r="BME3" i="1"/>
  <c r="BUP3" i="1"/>
  <c r="BVF3" i="1"/>
  <c r="CEF3" i="1"/>
  <c r="CEN3" i="1"/>
  <c r="CEV3" i="1"/>
  <c r="CFD3" i="1"/>
  <c r="CNR3" i="1"/>
  <c r="CNZ3" i="1"/>
  <c r="COH3" i="1"/>
  <c r="COP3" i="1"/>
  <c r="BLL3" i="1"/>
  <c r="BUR3" i="1"/>
  <c r="BVH3" i="1"/>
  <c r="CEG3" i="1"/>
  <c r="CEO3" i="1"/>
  <c r="CEW3" i="1"/>
  <c r="CFE3" i="1"/>
  <c r="CNS3" i="1"/>
  <c r="COA3" i="1"/>
  <c r="COI3" i="1"/>
  <c r="COQ3" i="1"/>
  <c r="BLO3" i="1"/>
  <c r="BUT3" i="1"/>
  <c r="BVJ3" i="1"/>
  <c r="CEH3" i="1"/>
  <c r="CEP3" i="1"/>
  <c r="CEX3" i="1"/>
  <c r="CNT3" i="1"/>
  <c r="COB3" i="1"/>
  <c r="COJ3" i="1"/>
  <c r="ACX3" i="1"/>
  <c r="FG3" i="1"/>
  <c r="BXS3" i="1"/>
  <c r="TJ3" i="1"/>
  <c r="ABF3" i="1"/>
  <c r="BSA3" i="1"/>
  <c r="BXK3" i="1"/>
  <c r="QR3" i="1"/>
  <c r="AMT3" i="1"/>
  <c r="BHM3" i="1"/>
  <c r="QL3" i="1"/>
  <c r="IC3" i="1"/>
  <c r="AIL3" i="1"/>
  <c r="AJB3" i="1"/>
  <c r="ACI3" i="1"/>
  <c r="BRD3" i="1"/>
  <c r="BRO3" i="1"/>
  <c r="BRY3" i="1"/>
  <c r="BXB3" i="1"/>
  <c r="BXJ3" i="1"/>
  <c r="BXR3" i="1"/>
  <c r="BXZ3" i="1"/>
  <c r="CKE3" i="1"/>
  <c r="CKM3" i="1"/>
  <c r="CKU3" i="1"/>
  <c r="CLC3" i="1"/>
  <c r="CQB3" i="1"/>
  <c r="CQJ3" i="1"/>
  <c r="CQR3" i="1"/>
  <c r="CQZ3" i="1"/>
  <c r="BRG3" i="1"/>
  <c r="BRQ3" i="1"/>
  <c r="BSB3" i="1"/>
  <c r="BXD3" i="1"/>
  <c r="BXL3" i="1"/>
  <c r="BXT3" i="1"/>
  <c r="BYB3" i="1"/>
  <c r="CKG3" i="1"/>
  <c r="CKO3" i="1"/>
  <c r="CKW3" i="1"/>
  <c r="CLE3" i="1"/>
  <c r="CQD3" i="1"/>
  <c r="CQL3" i="1"/>
  <c r="CQT3" i="1"/>
  <c r="CRB3" i="1"/>
  <c r="BRH3" i="1"/>
  <c r="BRS3" i="1"/>
  <c r="BSC3" i="1"/>
  <c r="BXE3" i="1"/>
  <c r="BXM3" i="1"/>
  <c r="BXU3" i="1"/>
  <c r="BYC3" i="1"/>
  <c r="CKH3" i="1"/>
  <c r="CKP3" i="1"/>
  <c r="CKX3" i="1"/>
  <c r="CLF3" i="1"/>
  <c r="CQE3" i="1"/>
  <c r="CQM3" i="1"/>
  <c r="CQU3" i="1"/>
  <c r="CRC3" i="1"/>
  <c r="ABI3" i="1"/>
  <c r="BRI3" i="1"/>
  <c r="BRT3" i="1"/>
  <c r="BXF3" i="1"/>
  <c r="BXN3" i="1"/>
  <c r="BXV3" i="1"/>
  <c r="CKI3" i="1"/>
  <c r="CKQ3" i="1"/>
  <c r="CKY3" i="1"/>
  <c r="CQF3" i="1"/>
  <c r="CQN3" i="1"/>
  <c r="CQV3" i="1"/>
  <c r="CRD3" i="1"/>
  <c r="ABQ3" i="1"/>
  <c r="BRK3" i="1"/>
  <c r="BRU3" i="1"/>
  <c r="BXG3" i="1"/>
  <c r="BXO3" i="1"/>
  <c r="BXW3" i="1"/>
  <c r="CKJ3" i="1"/>
  <c r="CKR3" i="1"/>
  <c r="CKZ3" i="1"/>
  <c r="CQG3" i="1"/>
  <c r="CQO3" i="1"/>
  <c r="CQW3" i="1"/>
  <c r="CRE3" i="1"/>
  <c r="ABS3" i="1"/>
  <c r="BRA3" i="1"/>
  <c r="BRL3" i="1"/>
  <c r="BRW3" i="1"/>
  <c r="BWZ3" i="1"/>
  <c r="BXH3" i="1"/>
  <c r="BXP3" i="1"/>
  <c r="BXX3" i="1"/>
  <c r="CKC3" i="1"/>
  <c r="CKK3" i="1"/>
  <c r="CKS3" i="1"/>
  <c r="CLA3" i="1"/>
  <c r="CQH3" i="1"/>
  <c r="CQP3" i="1"/>
  <c r="CQX3" i="1"/>
  <c r="OA3" i="1"/>
  <c r="ABY3" i="1"/>
  <c r="BRC3" i="1"/>
  <c r="BRM3" i="1"/>
  <c r="BRX3" i="1"/>
  <c r="BXA3" i="1"/>
  <c r="BXI3" i="1"/>
  <c r="BXQ3" i="1"/>
  <c r="CKD3" i="1"/>
  <c r="CKL3" i="1"/>
  <c r="CKT3" i="1"/>
  <c r="CQI3" i="1"/>
  <c r="CQQ3" i="1"/>
  <c r="BFE3" i="1"/>
  <c r="ATG3" i="1"/>
  <c r="KK3" i="1"/>
  <c r="PQ3" i="1"/>
  <c r="ABW3" i="1"/>
  <c r="BCY3" i="1"/>
  <c r="BDR3" i="1"/>
  <c r="BIW3" i="1"/>
  <c r="BJE3" i="1"/>
  <c r="BJM3" i="1"/>
  <c r="BJU3" i="1"/>
  <c r="BWB3" i="1"/>
  <c r="BWJ3" i="1"/>
  <c r="BWR3" i="1"/>
  <c r="CBV3" i="1"/>
  <c r="CCD3" i="1"/>
  <c r="CCL3" i="1"/>
  <c r="CCT3" i="1"/>
  <c r="COX3" i="1"/>
  <c r="CPF3" i="1"/>
  <c r="CPN3" i="1"/>
  <c r="CPV3" i="1"/>
  <c r="ABK3" i="1"/>
  <c r="ACA3" i="1"/>
  <c r="BDE3" i="1"/>
  <c r="BEK3" i="1"/>
  <c r="BIY3" i="1"/>
  <c r="BJG3" i="1"/>
  <c r="BJO3" i="1"/>
  <c r="BVV3" i="1"/>
  <c r="BWD3" i="1"/>
  <c r="BWL3" i="1"/>
  <c r="BWT3" i="1"/>
  <c r="CBX3" i="1"/>
  <c r="CCF3" i="1"/>
  <c r="CCN3" i="1"/>
  <c r="CCV3" i="1"/>
  <c r="COZ3" i="1"/>
  <c r="CPH3" i="1"/>
  <c r="CPP3" i="1"/>
  <c r="CPX3" i="1"/>
  <c r="VL3" i="1"/>
  <c r="ABM3" i="1"/>
  <c r="ACD3" i="1"/>
  <c r="BDF3" i="1"/>
  <c r="BIR3" i="1"/>
  <c r="BIZ3" i="1"/>
  <c r="BJH3" i="1"/>
  <c r="BJP3" i="1"/>
  <c r="BVW3" i="1"/>
  <c r="BWE3" i="1"/>
  <c r="BWM3" i="1"/>
  <c r="BWU3" i="1"/>
  <c r="CBY3" i="1"/>
  <c r="CCG3" i="1"/>
  <c r="CCO3" i="1"/>
  <c r="CCW3" i="1"/>
  <c r="CPA3" i="1"/>
  <c r="CPI3" i="1"/>
  <c r="CPQ3" i="1"/>
  <c r="CPY3" i="1"/>
  <c r="SI3" i="1"/>
  <c r="WI3" i="1"/>
  <c r="ABO3" i="1"/>
  <c r="ACG3" i="1"/>
  <c r="BDJ3" i="1"/>
  <c r="BIS3" i="1"/>
  <c r="BJA3" i="1"/>
  <c r="BJI3" i="1"/>
  <c r="BJQ3" i="1"/>
  <c r="BVX3" i="1"/>
  <c r="BWF3" i="1"/>
  <c r="BWN3" i="1"/>
  <c r="BWV3" i="1"/>
  <c r="CBZ3" i="1"/>
  <c r="CCH3" i="1"/>
  <c r="CCP3" i="1"/>
  <c r="CPB3" i="1"/>
  <c r="CPJ3" i="1"/>
  <c r="CPR3" i="1"/>
  <c r="CPZ3" i="1"/>
  <c r="APU3" i="1"/>
  <c r="BDK3" i="1"/>
  <c r="BIT3" i="1"/>
  <c r="BJB3" i="1"/>
  <c r="BJJ3" i="1"/>
  <c r="BJR3" i="1"/>
  <c r="CPC3" i="1"/>
  <c r="CPK3" i="1"/>
  <c r="BCU3" i="1"/>
  <c r="BDM3" i="1"/>
  <c r="BIU3" i="1"/>
  <c r="BJC3" i="1"/>
  <c r="BJK3" i="1"/>
  <c r="BJS3" i="1"/>
  <c r="ABU3" i="1"/>
  <c r="ATU3" i="1"/>
  <c r="BCW3" i="1"/>
  <c r="BDQ3" i="1"/>
  <c r="BIV3" i="1"/>
  <c r="BJD3" i="1"/>
  <c r="BJL3" i="1"/>
  <c r="BWA3" i="1"/>
  <c r="BWI3" i="1"/>
  <c r="CBU3" i="1"/>
  <c r="CCC3" i="1"/>
  <c r="CCK3" i="1"/>
  <c r="ZG3" i="1"/>
  <c r="ADM3" i="1"/>
  <c r="AQB3" i="1"/>
  <c r="ATK3" i="1"/>
  <c r="ATX3" i="1"/>
  <c r="BHU3" i="1"/>
  <c r="DJ3" i="1"/>
  <c r="AQH3" i="1"/>
  <c r="ATM3" i="1"/>
  <c r="AUB3" i="1"/>
  <c r="BIC3" i="1"/>
  <c r="OT3" i="1"/>
  <c r="AQP3" i="1"/>
  <c r="ATQ3" i="1"/>
  <c r="AUF3" i="1"/>
  <c r="AYK3" i="1"/>
  <c r="BIK3" i="1"/>
  <c r="PE3" i="1"/>
  <c r="TT3" i="1"/>
  <c r="VW3" i="1"/>
  <c r="ABH3" i="1"/>
  <c r="ABL3" i="1"/>
  <c r="ABP3" i="1"/>
  <c r="ABT3" i="1"/>
  <c r="ABX3" i="1"/>
  <c r="ACC3" i="1"/>
  <c r="ACH3" i="1"/>
  <c r="AKF3" i="1"/>
  <c r="APR3" i="1"/>
  <c r="AQG3" i="1"/>
  <c r="ATE3" i="1"/>
  <c r="ATL3" i="1"/>
  <c r="ATS3" i="1"/>
  <c r="AUA3" i="1"/>
  <c r="AUG3" i="1"/>
  <c r="BZJ3" i="1"/>
  <c r="CMM3" i="1"/>
  <c r="ALH3" i="1"/>
  <c r="CJF3" i="1"/>
  <c r="OJ3" i="1"/>
  <c r="QA3" i="1"/>
  <c r="SY3" i="1"/>
  <c r="ZT3" i="1"/>
  <c r="ABJ3" i="1"/>
  <c r="ABN3" i="1"/>
  <c r="ABR3" i="1"/>
  <c r="ABV3" i="1"/>
  <c r="ABZ3" i="1"/>
  <c r="ACE3" i="1"/>
  <c r="APZ3" i="1"/>
  <c r="AQN3" i="1"/>
  <c r="ATH3" i="1"/>
  <c r="ATP3" i="1"/>
  <c r="ATW3" i="1"/>
  <c r="AUC3" i="1"/>
  <c r="AZE3" i="1"/>
  <c r="AZL3" i="1"/>
  <c r="AZT3" i="1"/>
  <c r="AZZ3" i="1"/>
  <c r="BAG3" i="1"/>
  <c r="BCT3" i="1"/>
  <c r="BDA3" i="1"/>
  <c r="BDG3" i="1"/>
  <c r="BDO3" i="1"/>
  <c r="BDV3" i="1"/>
  <c r="HA3" i="1"/>
  <c r="OO3" i="1"/>
  <c r="PK3" i="1"/>
  <c r="QG3" i="1"/>
  <c r="TD3" i="1"/>
  <c r="TZ3" i="1"/>
  <c r="ZM3" i="1"/>
  <c r="ADE3" i="1"/>
  <c r="AHD3" i="1"/>
  <c r="ALQ3" i="1"/>
  <c r="BCF3" i="1"/>
  <c r="BFU3" i="1"/>
  <c r="BLC3" i="1"/>
  <c r="BLH3" i="1"/>
  <c r="BLM3" i="1"/>
  <c r="BLS3" i="1"/>
  <c r="BLX3" i="1"/>
  <c r="BMC3" i="1"/>
  <c r="BOT3" i="1"/>
  <c r="BOY3" i="1"/>
  <c r="BPD3" i="1"/>
  <c r="BPJ3" i="1"/>
  <c r="BPO3" i="1"/>
  <c r="BPT3" i="1"/>
  <c r="BUS3" i="1"/>
  <c r="BUW3" i="1"/>
  <c r="BVA3" i="1"/>
  <c r="BVE3" i="1"/>
  <c r="BVI3" i="1"/>
  <c r="BVM3" i="1"/>
  <c r="BVQ3" i="1"/>
  <c r="BYE3" i="1"/>
  <c r="BYI3" i="1"/>
  <c r="BYM3" i="1"/>
  <c r="BYQ3" i="1"/>
  <c r="BYU3" i="1"/>
  <c r="BYY3" i="1"/>
  <c r="BZC3" i="1"/>
  <c r="BZG3" i="1"/>
  <c r="OZ3" i="1"/>
  <c r="PV3" i="1"/>
  <c r="TO3" i="1"/>
  <c r="ZA3" i="1"/>
  <c r="ACQ3" i="1"/>
  <c r="AKX3" i="1"/>
  <c r="BLE3" i="1"/>
  <c r="BLK3" i="1"/>
  <c r="BLP3" i="1"/>
  <c r="BLU3" i="1"/>
  <c r="BMA3" i="1"/>
  <c r="BOQ3" i="1"/>
  <c r="BOV3" i="1"/>
  <c r="BPB3" i="1"/>
  <c r="BPG3" i="1"/>
  <c r="BPL3" i="1"/>
  <c r="BPR3" i="1"/>
  <c r="BUQ3" i="1"/>
  <c r="BUU3" i="1"/>
  <c r="BUY3" i="1"/>
  <c r="BVC3" i="1"/>
  <c r="BVG3" i="1"/>
  <c r="BVK3" i="1"/>
  <c r="BVO3" i="1"/>
  <c r="BYG3" i="1"/>
  <c r="BYK3" i="1"/>
  <c r="BYO3" i="1"/>
  <c r="BYS3" i="1"/>
  <c r="BYW3" i="1"/>
  <c r="BZA3" i="1"/>
  <c r="VN3" i="1"/>
  <c r="VZ3" i="1"/>
  <c r="VO3" i="1"/>
  <c r="WD3" i="1"/>
  <c r="VT3" i="1"/>
  <c r="WH3" i="1"/>
  <c r="HP3" i="1"/>
  <c r="AJU3" i="1"/>
  <c r="AKG3" i="1"/>
  <c r="BZR3" i="1"/>
  <c r="CEA3" i="1"/>
  <c r="HV3" i="1"/>
  <c r="AAK3" i="1"/>
  <c r="AJW3" i="1"/>
  <c r="AKM3" i="1"/>
  <c r="BZZ3" i="1"/>
  <c r="CDC3" i="1"/>
  <c r="XM3" i="1"/>
  <c r="AAV3" i="1"/>
  <c r="ASC3" i="1"/>
  <c r="AVY3" i="1"/>
  <c r="RH3" i="1"/>
  <c r="ZC3" i="1"/>
  <c r="ZH3" i="1"/>
  <c r="ZN3" i="1"/>
  <c r="ZV3" i="1"/>
  <c r="ACS3" i="1"/>
  <c r="ACY3" i="1"/>
  <c r="ADG3" i="1"/>
  <c r="ADN3" i="1"/>
  <c r="AIP3" i="1"/>
  <c r="AJF3" i="1"/>
  <c r="AMD3" i="1"/>
  <c r="AMY3" i="1"/>
  <c r="ASH3" i="1"/>
  <c r="AWC3" i="1"/>
  <c r="YY3" i="1"/>
  <c r="ZD3" i="1"/>
  <c r="ZI3" i="1"/>
  <c r="ZQ3" i="1"/>
  <c r="ZX3" i="1"/>
  <c r="ACM3" i="1"/>
  <c r="ACT3" i="1"/>
  <c r="ADB3" i="1"/>
  <c r="ADI3" i="1"/>
  <c r="ADO3" i="1"/>
  <c r="AIT3" i="1"/>
  <c r="AJJ3" i="1"/>
  <c r="AMI3" i="1"/>
  <c r="ASS3" i="1"/>
  <c r="AVQ3" i="1"/>
  <c r="AWG3" i="1"/>
  <c r="YZ3" i="1"/>
  <c r="ZE3" i="1"/>
  <c r="ZL3" i="1"/>
  <c r="ZR3" i="1"/>
  <c r="ZY3" i="1"/>
  <c r="ACO3" i="1"/>
  <c r="ACW3" i="1"/>
  <c r="ADC3" i="1"/>
  <c r="AIX3" i="1"/>
  <c r="AJN3" i="1"/>
  <c r="AMO3" i="1"/>
  <c r="AVU3" i="1"/>
  <c r="AWK3" i="1"/>
  <c r="HH3" i="1"/>
  <c r="VS3" i="1"/>
  <c r="WB3" i="1"/>
  <c r="WJ3" i="1"/>
  <c r="AFD3" i="1"/>
  <c r="AGN3" i="1"/>
  <c r="WR3" i="1"/>
  <c r="XC3" i="1"/>
  <c r="AFU3" i="1"/>
  <c r="AGC3" i="1"/>
  <c r="APH3" i="1"/>
  <c r="JV3" i="1"/>
  <c r="KQ3" i="1"/>
  <c r="BD3" i="1"/>
  <c r="ANF3" i="1"/>
  <c r="VJ3" i="1"/>
  <c r="VR3" i="1"/>
  <c r="VX3" i="1"/>
  <c r="WE3" i="1"/>
  <c r="YX3" i="1"/>
  <c r="ZB3" i="1"/>
  <c r="ZF3" i="1"/>
  <c r="ZJ3" i="1"/>
  <c r="ZP3" i="1"/>
  <c r="ZU3" i="1"/>
  <c r="AHC3" i="1"/>
  <c r="AGZ3" i="1"/>
  <c r="AGR3" i="1"/>
  <c r="AGJ3" i="1"/>
  <c r="AGB3" i="1"/>
  <c r="AHE3" i="1"/>
  <c r="AGW3" i="1"/>
  <c r="AGO3" i="1"/>
  <c r="AGG3" i="1"/>
  <c r="AKR3" i="1"/>
  <c r="AKK3" i="1"/>
  <c r="AKE3" i="1"/>
  <c r="AJY3" i="1"/>
  <c r="AJT3" i="1"/>
  <c r="AKQ3" i="1"/>
  <c r="AKJ3" i="1"/>
  <c r="AKC3" i="1"/>
  <c r="AJX3" i="1"/>
  <c r="AJS3" i="1"/>
  <c r="DW3" i="1"/>
  <c r="SD3" i="1"/>
  <c r="ADK3" i="1"/>
  <c r="ADF3" i="1"/>
  <c r="ADA3" i="1"/>
  <c r="ACU3" i="1"/>
  <c r="ACP3" i="1"/>
  <c r="AGF3" i="1"/>
  <c r="AGV3" i="1"/>
  <c r="ARS3" i="1"/>
  <c r="ARO3" i="1"/>
  <c r="ARC3" i="1"/>
  <c r="ACJ3" i="1"/>
  <c r="ACF3" i="1"/>
  <c r="ACB3" i="1"/>
  <c r="AGK3" i="1"/>
  <c r="AHA3" i="1"/>
  <c r="AJQ3" i="1"/>
  <c r="AKB3" i="1"/>
  <c r="AKO3" i="1"/>
  <c r="AYR3" i="1"/>
  <c r="BEQ3" i="1"/>
  <c r="BHP3" i="1"/>
  <c r="BHX3" i="1"/>
  <c r="BIF3" i="1"/>
  <c r="BIN3" i="1"/>
  <c r="APP3" i="1"/>
  <c r="APV3" i="1"/>
  <c r="AQC3" i="1"/>
  <c r="AQK3" i="1"/>
  <c r="AQR3" i="1"/>
  <c r="AZB3" i="1"/>
  <c r="BEA3" i="1"/>
  <c r="BEV3" i="1"/>
  <c r="BHQ3" i="1"/>
  <c r="BHY3" i="1"/>
  <c r="BIG3" i="1"/>
  <c r="BIO3" i="1"/>
  <c r="APQ3" i="1"/>
  <c r="APX3" i="1"/>
  <c r="AQF3" i="1"/>
  <c r="AQL3" i="1"/>
  <c r="AQS3" i="1"/>
  <c r="ASX3" i="1"/>
  <c r="ATI3" i="1"/>
  <c r="ATO3" i="1"/>
  <c r="ATT3" i="1"/>
  <c r="ATY3" i="1"/>
  <c r="AUE3" i="1"/>
  <c r="AZH3" i="1"/>
  <c r="AZM3" i="1"/>
  <c r="AZR3" i="1"/>
  <c r="AZX3" i="1"/>
  <c r="BAC3" i="1"/>
  <c r="BCS3" i="1"/>
  <c r="BCX3" i="1"/>
  <c r="BDC3" i="1"/>
  <c r="BDI3" i="1"/>
  <c r="BDN3" i="1"/>
  <c r="BDS3" i="1"/>
  <c r="BEF3" i="1"/>
  <c r="BFA3" i="1"/>
  <c r="BHT3" i="1"/>
  <c r="BIB3" i="1"/>
  <c r="BIJ3" i="1"/>
  <c r="BNM3" i="1"/>
  <c r="BNQ3" i="1"/>
  <c r="BNU3" i="1"/>
  <c r="BNY3" i="1"/>
  <c r="BOC3" i="1"/>
  <c r="BOG3" i="1"/>
  <c r="BOK3" i="1"/>
  <c r="BRB3" i="1"/>
  <c r="BRF3" i="1"/>
  <c r="BRJ3" i="1"/>
  <c r="BRN3" i="1"/>
  <c r="BRR3" i="1"/>
  <c r="BRV3" i="1"/>
  <c r="BRZ3" i="1"/>
  <c r="LG3" i="1"/>
  <c r="KC3" i="1"/>
  <c r="LR3" i="1"/>
  <c r="OH3" i="1"/>
  <c r="OS3" i="1"/>
  <c r="PD3" i="1"/>
  <c r="APT3" i="1"/>
  <c r="APY3" i="1"/>
  <c r="AQD3" i="1"/>
  <c r="AQJ3" i="1"/>
  <c r="AQO3" i="1"/>
  <c r="AYD3" i="1"/>
  <c r="AZG3" i="1"/>
  <c r="AZK3" i="1"/>
  <c r="AZO3" i="1"/>
  <c r="AZS3" i="1"/>
  <c r="AZW3" i="1"/>
  <c r="BAA3" i="1"/>
  <c r="BCV3" i="1"/>
  <c r="BCZ3" i="1"/>
  <c r="BDD3" i="1"/>
  <c r="BDH3" i="1"/>
  <c r="BDL3" i="1"/>
  <c r="BDP3" i="1"/>
  <c r="JP3" i="1"/>
  <c r="LB3" i="1"/>
  <c r="ON3" i="1"/>
  <c r="OX3" i="1"/>
  <c r="HD3" i="1"/>
  <c r="HI3" i="1"/>
  <c r="HQ3" i="1"/>
  <c r="HX3" i="1"/>
  <c r="HE3" i="1"/>
  <c r="HL3" i="1"/>
  <c r="HT3" i="1"/>
  <c r="HY3" i="1"/>
  <c r="JL3" i="1"/>
  <c r="JR3" i="1"/>
  <c r="JZ3" i="1"/>
  <c r="KG3" i="1"/>
  <c r="KN3" i="1"/>
  <c r="LY3" i="1"/>
  <c r="PN3" i="1"/>
  <c r="PS3" i="1"/>
  <c r="PY3" i="1"/>
  <c r="QD3" i="1"/>
  <c r="QI3" i="1"/>
  <c r="SN3" i="1"/>
  <c r="TB3" i="1"/>
  <c r="TG3" i="1"/>
  <c r="TL3" i="1"/>
  <c r="TR3" i="1"/>
  <c r="TW3" i="1"/>
  <c r="UB3" i="1"/>
  <c r="AFE3" i="1"/>
  <c r="ALA3" i="1"/>
  <c r="ALI3" i="1"/>
  <c r="ALT3" i="1"/>
  <c r="AUL3" i="1"/>
  <c r="AXY3" i="1"/>
  <c r="AYF3" i="1"/>
  <c r="AYL3" i="1"/>
  <c r="AYT3" i="1"/>
  <c r="BEB3" i="1"/>
  <c r="BEG3" i="1"/>
  <c r="BEM3" i="1"/>
  <c r="BER3" i="1"/>
  <c r="BEW3" i="1"/>
  <c r="GF3" i="1"/>
  <c r="HF3" i="1"/>
  <c r="HM3" i="1"/>
  <c r="HU3" i="1"/>
  <c r="JM3" i="1"/>
  <c r="JU3" i="1"/>
  <c r="KB3" i="1"/>
  <c r="KH3" i="1"/>
  <c r="PJ3" i="1"/>
  <c r="PO3" i="1"/>
  <c r="PU3" i="1"/>
  <c r="PZ3" i="1"/>
  <c r="QE3" i="1"/>
  <c r="QK3" i="1"/>
  <c r="RX3" i="1"/>
  <c r="TC3" i="1"/>
  <c r="TH3" i="1"/>
  <c r="TN3" i="1"/>
  <c r="TS3" i="1"/>
  <c r="TX3" i="1"/>
  <c r="AFH3" i="1"/>
  <c r="AKV3" i="1"/>
  <c r="ALB3" i="1"/>
  <c r="ALL3" i="1"/>
  <c r="ALX3" i="1"/>
  <c r="ANR3" i="1"/>
  <c r="AVB3" i="1"/>
  <c r="AXZ3" i="1"/>
  <c r="AYG3" i="1"/>
  <c r="AYO3" i="1"/>
  <c r="AYV3" i="1"/>
  <c r="BDX3" i="1"/>
  <c r="BEC3" i="1"/>
  <c r="BEI3" i="1"/>
  <c r="BEN3" i="1"/>
  <c r="BES3" i="1"/>
  <c r="BEY3" i="1"/>
  <c r="BHN3" i="1"/>
  <c r="BHR3" i="1"/>
  <c r="BHV3" i="1"/>
  <c r="BHZ3" i="1"/>
  <c r="BID3" i="1"/>
  <c r="BIH3" i="1"/>
  <c r="BIL3" i="1"/>
  <c r="BIP3" i="1"/>
  <c r="AFT3" i="1"/>
  <c r="AKW3" i="1"/>
  <c r="ALD3" i="1"/>
  <c r="ALP3" i="1"/>
  <c r="ALY3" i="1"/>
  <c r="AOH3" i="1"/>
  <c r="AYB3" i="1"/>
  <c r="AYJ3" i="1"/>
  <c r="AYP3" i="1"/>
  <c r="AYW3" i="1"/>
  <c r="BDY3" i="1"/>
  <c r="BEE3" i="1"/>
  <c r="BEJ3" i="1"/>
  <c r="BEO3" i="1"/>
  <c r="BEU3" i="1"/>
  <c r="BHO3" i="1"/>
  <c r="BHS3" i="1"/>
  <c r="BHW3" i="1"/>
  <c r="BIA3" i="1"/>
  <c r="BIE3" i="1"/>
  <c r="BII3" i="1"/>
  <c r="JQ3" i="1"/>
  <c r="JX3" i="1"/>
  <c r="KF3" i="1"/>
  <c r="KL3" i="1"/>
  <c r="PM3" i="1"/>
  <c r="PR3" i="1"/>
  <c r="PW3" i="1"/>
  <c r="QC3" i="1"/>
  <c r="QH3" i="1"/>
  <c r="SZ3" i="1"/>
  <c r="TF3" i="1"/>
  <c r="TK3" i="1"/>
  <c r="TP3" i="1"/>
  <c r="TV3" i="1"/>
  <c r="JK3" i="1"/>
  <c r="GW3" i="1"/>
  <c r="ME3" i="1"/>
  <c r="WS3" i="1"/>
  <c r="XD3" i="1"/>
  <c r="XO3" i="1"/>
  <c r="AAD3" i="1"/>
  <c r="AAO3" i="1"/>
  <c r="AAZ3" i="1"/>
  <c r="AKT3" i="1"/>
  <c r="AKP3" i="1"/>
  <c r="AKL3" i="1"/>
  <c r="AKH3" i="1"/>
  <c r="AUP3" i="1"/>
  <c r="AVF3" i="1"/>
  <c r="DR3" i="1"/>
  <c r="MO3" i="1"/>
  <c r="WW3" i="1"/>
  <c r="XH3" i="1"/>
  <c r="AAF3" i="1"/>
  <c r="AAP3" i="1"/>
  <c r="ABA3" i="1"/>
  <c r="AFP3" i="1"/>
  <c r="AGD3" i="1"/>
  <c r="AGH3" i="1"/>
  <c r="AGL3" i="1"/>
  <c r="AGP3" i="1"/>
  <c r="AGT3" i="1"/>
  <c r="AGX3" i="1"/>
  <c r="AHB3" i="1"/>
  <c r="AJR3" i="1"/>
  <c r="AJV3" i="1"/>
  <c r="AJZ3" i="1"/>
  <c r="AKD3" i="1"/>
  <c r="AKI3" i="1"/>
  <c r="AKN3" i="1"/>
  <c r="AKS3" i="1"/>
  <c r="AUT3" i="1"/>
  <c r="AVJ3" i="1"/>
  <c r="CR3" i="1"/>
  <c r="WN3" i="1"/>
  <c r="WY3" i="1"/>
  <c r="XI3" i="1"/>
  <c r="AAJ3" i="1"/>
  <c r="AAT3" i="1"/>
  <c r="ABE3" i="1"/>
  <c r="AGE3" i="1"/>
  <c r="AGI3" i="1"/>
  <c r="AGM3" i="1"/>
  <c r="AGQ3" i="1"/>
  <c r="AGU3" i="1"/>
  <c r="AGY3" i="1"/>
  <c r="APN3" i="1"/>
  <c r="AOY3" i="1"/>
  <c r="APF3" i="1"/>
  <c r="AOR3" i="1"/>
  <c r="AOZ3" i="1"/>
  <c r="AOL3" i="1"/>
  <c r="AVK3" i="1"/>
  <c r="AVG3" i="1"/>
  <c r="AVC3" i="1"/>
  <c r="AUY3" i="1"/>
  <c r="AUU3" i="1"/>
  <c r="AUQ3" i="1"/>
  <c r="AUM3" i="1"/>
  <c r="AVM3" i="1"/>
  <c r="AVI3" i="1"/>
  <c r="AVE3" i="1"/>
  <c r="AVA3" i="1"/>
  <c r="AUW3" i="1"/>
  <c r="AUS3" i="1"/>
  <c r="AUO3" i="1"/>
  <c r="AUK3" i="1"/>
  <c r="AVL3" i="1"/>
  <c r="AVH3" i="1"/>
  <c r="AVD3" i="1"/>
  <c r="AUZ3" i="1"/>
  <c r="AUV3" i="1"/>
  <c r="AUR3" i="1"/>
  <c r="AUN3" i="1"/>
  <c r="AUJ3" i="1"/>
  <c r="BBX3" i="1"/>
  <c r="BCN3" i="1"/>
  <c r="BFM3" i="1"/>
  <c r="BGC3" i="1"/>
  <c r="BCB3" i="1"/>
  <c r="BFQ3" i="1"/>
  <c r="APS3" i="1"/>
  <c r="APW3" i="1"/>
  <c r="AQA3" i="1"/>
  <c r="AQE3" i="1"/>
  <c r="AQI3" i="1"/>
  <c r="AQM3" i="1"/>
  <c r="ASN3" i="1"/>
  <c r="ATF3" i="1"/>
  <c r="ATJ3" i="1"/>
  <c r="ATN3" i="1"/>
  <c r="ATR3" i="1"/>
  <c r="ATV3" i="1"/>
  <c r="ATZ3" i="1"/>
  <c r="AUD3" i="1"/>
  <c r="BBT3" i="1"/>
  <c r="BCJ3" i="1"/>
  <c r="BFI3" i="1"/>
  <c r="BFY3" i="1"/>
  <c r="BLB3" i="1"/>
  <c r="BLF3" i="1"/>
  <c r="BLJ3" i="1"/>
  <c r="BLN3" i="1"/>
  <c r="BLR3" i="1"/>
  <c r="BLV3" i="1"/>
  <c r="BLZ3" i="1"/>
  <c r="BOS3" i="1"/>
  <c r="BOW3" i="1"/>
  <c r="BPA3" i="1"/>
  <c r="BPE3" i="1"/>
  <c r="BPI3" i="1"/>
  <c r="BPM3" i="1"/>
  <c r="AER3" i="1"/>
  <c r="AEI3" i="1"/>
  <c r="AES3" i="1"/>
  <c r="AEC3" i="1"/>
  <c r="ADX3" i="1"/>
  <c r="AIH3" i="1"/>
  <c r="AII3" i="1"/>
  <c r="AHS3" i="1"/>
  <c r="AIA3" i="1"/>
  <c r="AIE3" i="1"/>
  <c r="AHO3" i="1"/>
  <c r="AHK3" i="1"/>
  <c r="BHI3" i="1"/>
  <c r="BHE3" i="1"/>
  <c r="BHA3" i="1"/>
  <c r="BGW3" i="1"/>
  <c r="BGS3" i="1"/>
  <c r="BGO3" i="1"/>
  <c r="BGK3" i="1"/>
  <c r="BHH3" i="1"/>
  <c r="BHD3" i="1"/>
  <c r="BGZ3" i="1"/>
  <c r="BGV3" i="1"/>
  <c r="BGR3" i="1"/>
  <c r="BGN3" i="1"/>
  <c r="BGJ3" i="1"/>
  <c r="BHK3" i="1"/>
  <c r="BHC3" i="1"/>
  <c r="BGU3" i="1"/>
  <c r="BGM3" i="1"/>
  <c r="BHJ3" i="1"/>
  <c r="BHB3" i="1"/>
  <c r="BGT3" i="1"/>
  <c r="BGL3" i="1"/>
  <c r="BHG3" i="1"/>
  <c r="BGY3" i="1"/>
  <c r="BGQ3" i="1"/>
  <c r="BGI3" i="1"/>
  <c r="BHF3" i="1"/>
  <c r="BGX3" i="1"/>
  <c r="BGP3" i="1"/>
  <c r="BKX3" i="1"/>
  <c r="BKT3" i="1"/>
  <c r="BKP3" i="1"/>
  <c r="BKL3" i="1"/>
  <c r="BKH3" i="1"/>
  <c r="BKD3" i="1"/>
  <c r="BJZ3" i="1"/>
  <c r="BKW3" i="1"/>
  <c r="BKS3" i="1"/>
  <c r="BKO3" i="1"/>
  <c r="BKK3" i="1"/>
  <c r="BKG3" i="1"/>
  <c r="BKC3" i="1"/>
  <c r="BJY3" i="1"/>
  <c r="BKV3" i="1"/>
  <c r="BKN3" i="1"/>
  <c r="BKF3" i="1"/>
  <c r="BJX3" i="1"/>
  <c r="BKU3" i="1"/>
  <c r="BKM3" i="1"/>
  <c r="BKE3" i="1"/>
  <c r="BJW3" i="1"/>
  <c r="BKZ3" i="1"/>
  <c r="BKR3" i="1"/>
  <c r="BKJ3" i="1"/>
  <c r="BKB3" i="1"/>
  <c r="BKI3" i="1"/>
  <c r="BKA3" i="1"/>
  <c r="BKY3" i="1"/>
  <c r="BQW3" i="1"/>
  <c r="BQS3" i="1"/>
  <c r="BQO3" i="1"/>
  <c r="BQK3" i="1"/>
  <c r="BQG3" i="1"/>
  <c r="BQC3" i="1"/>
  <c r="BPY3" i="1"/>
  <c r="BQV3" i="1"/>
  <c r="BQR3" i="1"/>
  <c r="BQN3" i="1"/>
  <c r="BQJ3" i="1"/>
  <c r="BQF3" i="1"/>
  <c r="BQB3" i="1"/>
  <c r="BPX3" i="1"/>
  <c r="BQU3" i="1"/>
  <c r="BQM3" i="1"/>
  <c r="BQE3" i="1"/>
  <c r="BPW3" i="1"/>
  <c r="BQT3" i="1"/>
  <c r="BQL3" i="1"/>
  <c r="BQD3" i="1"/>
  <c r="BPV3" i="1"/>
  <c r="BQY3" i="1"/>
  <c r="BQQ3" i="1"/>
  <c r="BQI3" i="1"/>
  <c r="BQA3" i="1"/>
  <c r="BQH3" i="1"/>
  <c r="BPZ3" i="1"/>
  <c r="BQX3" i="1"/>
  <c r="ADS3" i="1"/>
  <c r="MS3" i="1"/>
  <c r="MN3" i="1"/>
  <c r="MI3" i="1"/>
  <c r="MC3" i="1"/>
  <c r="LX3" i="1"/>
  <c r="MV3" i="1"/>
  <c r="MK3" i="1"/>
  <c r="MA3" i="1"/>
  <c r="MW3" i="1"/>
  <c r="MR3" i="1"/>
  <c r="MM3" i="1"/>
  <c r="MG3" i="1"/>
  <c r="MB3" i="1"/>
  <c r="LW3" i="1"/>
  <c r="MQ3" i="1"/>
  <c r="MF3" i="1"/>
  <c r="LU3" i="1"/>
  <c r="SR3" i="1"/>
  <c r="SM3" i="1"/>
  <c r="SH3" i="1"/>
  <c r="SB3" i="1"/>
  <c r="RW3" i="1"/>
  <c r="SP3" i="1"/>
  <c r="SE3" i="1"/>
  <c r="RT3" i="1"/>
  <c r="SV3" i="1"/>
  <c r="SQ3" i="1"/>
  <c r="SL3" i="1"/>
  <c r="SF3" i="1"/>
  <c r="SA3" i="1"/>
  <c r="RV3" i="1"/>
  <c r="SU3" i="1"/>
  <c r="SJ3" i="1"/>
  <c r="RZ3" i="1"/>
  <c r="AEN3" i="1"/>
  <c r="AHG3" i="1"/>
  <c r="BKQ3" i="1"/>
  <c r="AXU3" i="1"/>
  <c r="AXQ3" i="1"/>
  <c r="AXM3" i="1"/>
  <c r="AXI3" i="1"/>
  <c r="AXE3" i="1"/>
  <c r="AXA3" i="1"/>
  <c r="AWW3" i="1"/>
  <c r="AXT3" i="1"/>
  <c r="AXP3" i="1"/>
  <c r="AXL3" i="1"/>
  <c r="AXH3" i="1"/>
  <c r="AXD3" i="1"/>
  <c r="AWZ3" i="1"/>
  <c r="AWV3" i="1"/>
  <c r="AXW3" i="1"/>
  <c r="AXS3" i="1"/>
  <c r="AXO3" i="1"/>
  <c r="AXK3" i="1"/>
  <c r="AXG3" i="1"/>
  <c r="AXC3" i="1"/>
  <c r="AWY3" i="1"/>
  <c r="AWU3" i="1"/>
  <c r="AXJ3" i="1"/>
  <c r="AWT3" i="1"/>
  <c r="AXV3" i="1"/>
  <c r="AXF3" i="1"/>
  <c r="AXR3" i="1"/>
  <c r="AXB3" i="1"/>
  <c r="BBJ3" i="1"/>
  <c r="BBE3" i="1"/>
  <c r="BAY3" i="1"/>
  <c r="BAT3" i="1"/>
  <c r="BAO3" i="1"/>
  <c r="BAI3" i="1"/>
  <c r="BBI3" i="1"/>
  <c r="BBC3" i="1"/>
  <c r="BAX3" i="1"/>
  <c r="BAS3" i="1"/>
  <c r="BAM3" i="1"/>
  <c r="BBG3" i="1"/>
  <c r="BBB3" i="1"/>
  <c r="BAW3" i="1"/>
  <c r="BAQ3" i="1"/>
  <c r="BAL3" i="1"/>
  <c r="BBA3" i="1"/>
  <c r="BAP3" i="1"/>
  <c r="BAU3" i="1"/>
  <c r="BBK3" i="1"/>
  <c r="BUL3" i="1"/>
  <c r="BUH3" i="1"/>
  <c r="BUD3" i="1"/>
  <c r="BTZ3" i="1"/>
  <c r="BTV3" i="1"/>
  <c r="BTR3" i="1"/>
  <c r="BTN3" i="1"/>
  <c r="BUK3" i="1"/>
  <c r="BUG3" i="1"/>
  <c r="BUC3" i="1"/>
  <c r="BTY3" i="1"/>
  <c r="BTU3" i="1"/>
  <c r="BTQ3" i="1"/>
  <c r="BTM3" i="1"/>
  <c r="BUN3" i="1"/>
  <c r="BUF3" i="1"/>
  <c r="BTX3" i="1"/>
  <c r="BTP3" i="1"/>
  <c r="BUM3" i="1"/>
  <c r="BUE3" i="1"/>
  <c r="BTW3" i="1"/>
  <c r="BTO3" i="1"/>
  <c r="BUJ3" i="1"/>
  <c r="BUB3" i="1"/>
  <c r="BTT3" i="1"/>
  <c r="BTL3" i="1"/>
  <c r="BUI3" i="1"/>
  <c r="BUA3" i="1"/>
  <c r="BTS3" i="1"/>
  <c r="BAK3" i="1"/>
  <c r="FP3" i="1"/>
  <c r="FR3" i="1"/>
  <c r="EV3" i="1"/>
  <c r="FL3" i="1"/>
  <c r="EQ3" i="1"/>
  <c r="MJ3" i="1"/>
  <c r="AHW3" i="1"/>
  <c r="AXN3" i="1"/>
  <c r="BGH3" i="1"/>
  <c r="BTK3" i="1"/>
  <c r="JN3" i="1"/>
  <c r="JT3" i="1"/>
  <c r="JY3" i="1"/>
  <c r="KD3" i="1"/>
  <c r="KT3" i="1"/>
  <c r="LJ3" i="1"/>
  <c r="OF3" i="1"/>
  <c r="OK3" i="1"/>
  <c r="OP3" i="1"/>
  <c r="OV3" i="1"/>
  <c r="PA3" i="1"/>
  <c r="PF3" i="1"/>
  <c r="LV3" i="1"/>
  <c r="OE3" i="1"/>
  <c r="VK3" i="1"/>
  <c r="VP3" i="1"/>
  <c r="VV3" i="1"/>
  <c r="WA3" i="1"/>
  <c r="WF3" i="1"/>
  <c r="WO3" i="1"/>
  <c r="WU3" i="1"/>
  <c r="WZ3" i="1"/>
  <c r="XE3" i="1"/>
  <c r="XK3" i="1"/>
  <c r="XP3" i="1"/>
  <c r="AAG3" i="1"/>
  <c r="AAL3" i="1"/>
  <c r="AAR3" i="1"/>
  <c r="AAW3" i="1"/>
  <c r="ABB3" i="1"/>
  <c r="AEZ3" i="1"/>
  <c r="AFL3" i="1"/>
  <c r="AKZ3" i="1"/>
  <c r="ALE3" i="1"/>
  <c r="ALM3" i="1"/>
  <c r="APL3" i="1"/>
  <c r="APD3" i="1"/>
  <c r="AOX3" i="1"/>
  <c r="AOP3" i="1"/>
  <c r="APJ3" i="1"/>
  <c r="APB3" i="1"/>
  <c r="AOV3" i="1"/>
  <c r="AON3" i="1"/>
  <c r="KY3" i="1"/>
  <c r="LO3" i="1"/>
  <c r="OG3" i="1"/>
  <c r="OL3" i="1"/>
  <c r="OR3" i="1"/>
  <c r="OW3" i="1"/>
  <c r="PB3" i="1"/>
  <c r="WQ3" i="1"/>
  <c r="WV3" i="1"/>
  <c r="XA3" i="1"/>
  <c r="XG3" i="1"/>
  <c r="XL3" i="1"/>
  <c r="AAC3" i="1"/>
  <c r="AAH3" i="1"/>
  <c r="AAN3" i="1"/>
  <c r="AAS3" i="1"/>
  <c r="AAX3" i="1"/>
  <c r="ALW3" i="1"/>
  <c r="ALS3" i="1"/>
  <c r="ALO3" i="1"/>
  <c r="ALK3" i="1"/>
  <c r="ALG3" i="1"/>
  <c r="ALC3" i="1"/>
  <c r="AKY3" i="1"/>
  <c r="ALV3" i="1"/>
  <c r="ALR3" i="1"/>
  <c r="ALN3" i="1"/>
  <c r="ALJ3" i="1"/>
  <c r="ALF3" i="1"/>
  <c r="AOG3" i="1"/>
  <c r="AOD3" i="1"/>
  <c r="ANN3" i="1"/>
  <c r="ANZ3" i="1"/>
  <c r="ANJ3" i="1"/>
  <c r="ARV3" i="1"/>
  <c r="ARK3" i="1"/>
  <c r="AQU3" i="1"/>
  <c r="ARW3" i="1"/>
  <c r="ARG3" i="1"/>
  <c r="CAK3" i="1"/>
  <c r="CAG3" i="1"/>
  <c r="CAC3" i="1"/>
  <c r="BZY3" i="1"/>
  <c r="BZU3" i="1"/>
  <c r="BZQ3" i="1"/>
  <c r="BZM3" i="1"/>
  <c r="CAJ3" i="1"/>
  <c r="CAF3" i="1"/>
  <c r="CAB3" i="1"/>
  <c r="BZX3" i="1"/>
  <c r="BZT3" i="1"/>
  <c r="BZP3" i="1"/>
  <c r="BZL3" i="1"/>
  <c r="CDZ3" i="1"/>
  <c r="CDV3" i="1"/>
  <c r="CDR3" i="1"/>
  <c r="CDN3" i="1"/>
  <c r="CDJ3" i="1"/>
  <c r="CDF3" i="1"/>
  <c r="CDB3" i="1"/>
  <c r="CDY3" i="1"/>
  <c r="CDU3" i="1"/>
  <c r="CDQ3" i="1"/>
  <c r="CDM3" i="1"/>
  <c r="CDI3" i="1"/>
  <c r="CDE3" i="1"/>
  <c r="CDA3" i="1"/>
  <c r="CJY3" i="1"/>
  <c r="CJU3" i="1"/>
  <c r="CJQ3" i="1"/>
  <c r="CJM3" i="1"/>
  <c r="CJI3" i="1"/>
  <c r="CJE3" i="1"/>
  <c r="CJA3" i="1"/>
  <c r="CJX3" i="1"/>
  <c r="CJT3" i="1"/>
  <c r="CJP3" i="1"/>
  <c r="CJL3" i="1"/>
  <c r="CJH3" i="1"/>
  <c r="CJD3" i="1"/>
  <c r="CIZ3" i="1"/>
  <c r="CKA3" i="1"/>
  <c r="CJW3" i="1"/>
  <c r="CJS3" i="1"/>
  <c r="CJO3" i="1"/>
  <c r="CJK3" i="1"/>
  <c r="CJG3" i="1"/>
  <c r="CJC3" i="1"/>
  <c r="CIY3" i="1"/>
  <c r="CNN3" i="1"/>
  <c r="CNJ3" i="1"/>
  <c r="CNF3" i="1"/>
  <c r="CNB3" i="1"/>
  <c r="CMX3" i="1"/>
  <c r="CMT3" i="1"/>
  <c r="CMP3" i="1"/>
  <c r="CNM3" i="1"/>
  <c r="CNI3" i="1"/>
  <c r="CNE3" i="1"/>
  <c r="CNA3" i="1"/>
  <c r="CMW3" i="1"/>
  <c r="CMS3" i="1"/>
  <c r="CMO3" i="1"/>
  <c r="CNP3" i="1"/>
  <c r="CNL3" i="1"/>
  <c r="CNH3" i="1"/>
  <c r="CND3" i="1"/>
  <c r="CMZ3" i="1"/>
  <c r="CMV3" i="1"/>
  <c r="CMR3" i="1"/>
  <c r="CMN3" i="1"/>
  <c r="BZK3" i="1"/>
  <c r="BZS3" i="1"/>
  <c r="CAA3" i="1"/>
  <c r="CAI3" i="1"/>
  <c r="CDD3" i="1"/>
  <c r="CDL3" i="1"/>
  <c r="CDT3" i="1"/>
  <c r="CEB3" i="1"/>
  <c r="CJJ3" i="1"/>
  <c r="CJZ3" i="1"/>
  <c r="CMQ3" i="1"/>
  <c r="CNG3" i="1"/>
  <c r="BZN3" i="1"/>
  <c r="BZV3" i="1"/>
  <c r="CAD3" i="1"/>
  <c r="CAL3" i="1"/>
  <c r="CCY3" i="1"/>
  <c r="CDG3" i="1"/>
  <c r="CDO3" i="1"/>
  <c r="CDW3" i="1"/>
  <c r="CIX3" i="1"/>
  <c r="CJN3" i="1"/>
  <c r="CMU3" i="1"/>
  <c r="CNK3" i="1"/>
  <c r="BZO3" i="1"/>
  <c r="BZW3" i="1"/>
  <c r="CAE3" i="1"/>
  <c r="CAM3" i="1"/>
  <c r="CCZ3" i="1"/>
  <c r="CDH3" i="1"/>
  <c r="CDP3" i="1"/>
  <c r="CDX3" i="1"/>
  <c r="CJB3" i="1"/>
  <c r="CJR3" i="1"/>
  <c r="CMY3" i="1"/>
  <c r="CNO3" i="1"/>
  <c r="GC3" i="1"/>
  <c r="LZ3" i="1"/>
  <c r="MD3" i="1"/>
  <c r="AYC3" i="1"/>
  <c r="AYH3" i="1"/>
  <c r="AYN3" i="1"/>
  <c r="AYS3" i="1"/>
  <c r="AYX3" i="1"/>
  <c r="CI3" i="1"/>
  <c r="CW3" i="1"/>
  <c r="EH3" i="1"/>
  <c r="AYZ3" i="1"/>
  <c r="CM3" i="1"/>
  <c r="CY3" i="1"/>
  <c r="DL3" i="1"/>
  <c r="EM3" i="1"/>
  <c r="CO3" i="1"/>
  <c r="CZ3" i="1"/>
  <c r="MH3" i="1"/>
  <c r="ML3" i="1"/>
  <c r="MP3" i="1"/>
  <c r="MT3" i="1"/>
  <c r="MX3" i="1"/>
  <c r="OI3" i="1"/>
  <c r="OM3" i="1"/>
  <c r="OQ3" i="1"/>
  <c r="TA3" i="1"/>
  <c r="TE3" i="1"/>
  <c r="TI3" i="1"/>
  <c r="TM3" i="1"/>
  <c r="TQ3" i="1"/>
  <c r="TU3" i="1"/>
  <c r="TY3" i="1"/>
  <c r="ER3" i="1"/>
  <c r="EX3" i="1"/>
  <c r="FC3" i="1"/>
  <c r="FH3" i="1"/>
  <c r="FN3" i="1"/>
  <c r="FS3" i="1"/>
  <c r="AEY3" i="1"/>
  <c r="AFC3" i="1"/>
  <c r="AFG3" i="1"/>
  <c r="AFK3" i="1"/>
  <c r="AFO3" i="1"/>
  <c r="AFS3" i="1"/>
  <c r="AFW3" i="1"/>
  <c r="AOM3" i="1"/>
  <c r="AOQ3" i="1"/>
  <c r="AOU3" i="1"/>
  <c r="APC3" i="1"/>
  <c r="APG3" i="1"/>
  <c r="APK3" i="1"/>
  <c r="ET3" i="1"/>
  <c r="EY3" i="1"/>
  <c r="FD3" i="1"/>
  <c r="FJ3" i="1"/>
  <c r="FO3" i="1"/>
  <c r="FT3" i="1"/>
  <c r="JO3" i="1"/>
  <c r="JS3" i="1"/>
  <c r="JW3" i="1"/>
  <c r="KA3" i="1"/>
  <c r="KE3" i="1"/>
  <c r="KI3" i="1"/>
  <c r="KM3" i="1"/>
  <c r="AYA3" i="1"/>
  <c r="AYE3" i="1"/>
  <c r="AYI3" i="1"/>
  <c r="AYM3" i="1"/>
  <c r="AYQ3" i="1"/>
  <c r="AYU3" i="1"/>
  <c r="AYY3" i="1"/>
  <c r="BAJ3" i="1"/>
  <c r="BAN3" i="1"/>
  <c r="BAR3" i="1"/>
  <c r="BAV3" i="1"/>
  <c r="BAZ3" i="1"/>
  <c r="BBD3" i="1"/>
  <c r="BBH3" i="1"/>
  <c r="BBL3" i="1"/>
  <c r="BDZ3" i="1"/>
  <c r="BED3" i="1"/>
  <c r="BEH3" i="1"/>
  <c r="BEL3" i="1"/>
  <c r="BEP3" i="1"/>
  <c r="BET3" i="1"/>
  <c r="BEX3" i="1"/>
  <c r="EU3" i="1"/>
  <c r="EZ3" i="1"/>
  <c r="FF3" i="1"/>
  <c r="FK3" i="1"/>
  <c r="ES3" i="1"/>
  <c r="EW3" i="1"/>
  <c r="FA3" i="1"/>
  <c r="FE3" i="1"/>
  <c r="FI3" i="1"/>
  <c r="FM3" i="1"/>
  <c r="FQ3" i="1"/>
  <c r="HB3" i="1"/>
  <c r="HJ3" i="1"/>
  <c r="HN3" i="1"/>
  <c r="HR3" i="1"/>
  <c r="HZ3" i="1"/>
  <c r="ID3" i="1"/>
  <c r="IL3" i="1"/>
  <c r="UD3" i="1"/>
  <c r="UH3" i="1"/>
  <c r="YU3" i="1"/>
  <c r="YV3" i="1"/>
  <c r="YF3" i="1"/>
  <c r="XX3" i="1"/>
  <c r="CJ3" i="1"/>
  <c r="CS3" i="1"/>
  <c r="DD3" i="1"/>
  <c r="EB3" i="1"/>
  <c r="GN3" i="1"/>
  <c r="JB3" i="1"/>
  <c r="NG3" i="1"/>
  <c r="QV3" i="1"/>
  <c r="RL3" i="1"/>
  <c r="GO3" i="1"/>
  <c r="NK3" i="1"/>
  <c r="QZ3" i="1"/>
  <c r="RP3" i="1"/>
  <c r="YN3" i="1"/>
  <c r="NW3" i="1"/>
  <c r="RD3" i="1"/>
  <c r="AIN3" i="1"/>
  <c r="AIR3" i="1"/>
  <c r="AIV3" i="1"/>
  <c r="AIZ3" i="1"/>
  <c r="AJD3" i="1"/>
  <c r="AJH3" i="1"/>
  <c r="AJL3" i="1"/>
  <c r="AMA3" i="1"/>
  <c r="AMG3" i="1"/>
  <c r="AML3" i="1"/>
  <c r="AMQ3" i="1"/>
  <c r="AMW3" i="1"/>
  <c r="ANB3" i="1"/>
  <c r="ARZ3" i="1"/>
  <c r="ASF3" i="1"/>
  <c r="ASK3" i="1"/>
  <c r="ASP3" i="1"/>
  <c r="ASV3" i="1"/>
  <c r="ATA3" i="1"/>
  <c r="AVO3" i="1"/>
  <c r="AVS3" i="1"/>
  <c r="AVW3" i="1"/>
  <c r="AWA3" i="1"/>
  <c r="AWE3" i="1"/>
  <c r="AWI3" i="1"/>
  <c r="AWM3" i="1"/>
  <c r="AWQ3" i="1"/>
  <c r="BBN3" i="1"/>
  <c r="BBR3" i="1"/>
  <c r="BBV3" i="1"/>
  <c r="BBZ3" i="1"/>
  <c r="BCD3" i="1"/>
  <c r="BCH3" i="1"/>
  <c r="BCL3" i="1"/>
  <c r="BCP3" i="1"/>
  <c r="BFC3" i="1"/>
  <c r="BFG3" i="1"/>
  <c r="BFK3" i="1"/>
  <c r="BFO3" i="1"/>
  <c r="BFS3" i="1"/>
  <c r="BFW3" i="1"/>
  <c r="BGA3" i="1"/>
  <c r="BGE3" i="1"/>
  <c r="AIO3" i="1"/>
  <c r="AIS3" i="1"/>
  <c r="AIW3" i="1"/>
  <c r="AJA3" i="1"/>
  <c r="AJE3" i="1"/>
  <c r="AJI3" i="1"/>
  <c r="AJM3" i="1"/>
  <c r="AMC3" i="1"/>
  <c r="AMH3" i="1"/>
  <c r="AMM3" i="1"/>
  <c r="AMS3" i="1"/>
  <c r="AMX3" i="1"/>
  <c r="ANC3" i="1"/>
  <c r="ASB3" i="1"/>
  <c r="ASG3" i="1"/>
  <c r="ASL3" i="1"/>
  <c r="ASR3" i="1"/>
  <c r="ASW3" i="1"/>
  <c r="ATB3" i="1"/>
  <c r="AVP3" i="1"/>
  <c r="AVT3" i="1"/>
  <c r="AVX3" i="1"/>
  <c r="AWB3" i="1"/>
  <c r="AWF3" i="1"/>
  <c r="AWJ3" i="1"/>
  <c r="AWN3" i="1"/>
  <c r="AWR3" i="1"/>
  <c r="BBO3" i="1"/>
  <c r="BBS3" i="1"/>
  <c r="BBW3" i="1"/>
  <c r="BCA3" i="1"/>
  <c r="BCE3" i="1"/>
  <c r="BCI3" i="1"/>
  <c r="BCM3" i="1"/>
  <c r="BCQ3" i="1"/>
  <c r="BFD3" i="1"/>
  <c r="BFH3" i="1"/>
  <c r="BFL3" i="1"/>
  <c r="BFP3" i="1"/>
  <c r="BFT3" i="1"/>
  <c r="BFX3" i="1"/>
  <c r="BGB3" i="1"/>
  <c r="BGF3" i="1"/>
  <c r="AIM3" i="1"/>
  <c r="AIQ3" i="1"/>
  <c r="AIU3" i="1"/>
  <c r="AIY3" i="1"/>
  <c r="AJC3" i="1"/>
  <c r="AJG3" i="1"/>
  <c r="AJK3" i="1"/>
  <c r="AME3" i="1"/>
  <c r="AMK3" i="1"/>
  <c r="AMP3" i="1"/>
  <c r="AMU3" i="1"/>
  <c r="ASD3" i="1"/>
  <c r="ASJ3" i="1"/>
  <c r="ASO3" i="1"/>
  <c r="AST3" i="1"/>
  <c r="AVR3" i="1"/>
  <c r="AVV3" i="1"/>
  <c r="AVZ3" i="1"/>
  <c r="AWD3" i="1"/>
  <c r="AWH3" i="1"/>
  <c r="AWL3" i="1"/>
  <c r="BBQ3" i="1"/>
  <c r="BBU3" i="1"/>
  <c r="BBY3" i="1"/>
  <c r="BCC3" i="1"/>
  <c r="BCG3" i="1"/>
  <c r="BCK3" i="1"/>
  <c r="BFF3" i="1"/>
  <c r="BFJ3" i="1"/>
  <c r="BFN3" i="1"/>
  <c r="BFR3" i="1"/>
  <c r="BFV3" i="1"/>
  <c r="BFZ3" i="1"/>
  <c r="BQ3" i="1"/>
  <c r="CG3" i="1"/>
  <c r="CN3" i="1"/>
  <c r="CU3" i="1"/>
  <c r="DC3" i="1"/>
  <c r="DI3" i="1"/>
  <c r="DP3" i="1"/>
  <c r="DV3" i="1"/>
  <c r="EA3" i="1"/>
  <c r="EF3" i="1"/>
  <c r="EL3" i="1"/>
  <c r="IT3" i="1"/>
  <c r="AEW3" i="1"/>
  <c r="AFA3" i="1"/>
  <c r="AFI3" i="1"/>
  <c r="AFM3" i="1"/>
  <c r="AFQ3" i="1"/>
  <c r="AFY3" i="1"/>
  <c r="AMB3" i="1"/>
  <c r="AMF3" i="1"/>
  <c r="AMJ3" i="1"/>
  <c r="AMN3" i="1"/>
  <c r="AMR3" i="1"/>
  <c r="AMV3" i="1"/>
  <c r="AMZ3" i="1"/>
  <c r="AND3" i="1"/>
  <c r="AOK3" i="1"/>
  <c r="AOO3" i="1"/>
  <c r="AOS3" i="1"/>
  <c r="AOW3" i="1"/>
  <c r="APA3" i="1"/>
  <c r="APE3" i="1"/>
  <c r="API3" i="1"/>
  <c r="APM3" i="1"/>
  <c r="ASA3" i="1"/>
  <c r="ASE3" i="1"/>
  <c r="ASI3" i="1"/>
  <c r="ASM3" i="1"/>
  <c r="ASQ3" i="1"/>
  <c r="ASU3" i="1"/>
  <c r="ASY3" i="1"/>
  <c r="ATC3" i="1"/>
  <c r="CC3" i="1"/>
  <c r="BM3" i="1"/>
  <c r="IH3" i="1"/>
  <c r="IX3" i="1"/>
  <c r="OU3" i="1"/>
  <c r="OY3" i="1"/>
  <c r="PC3" i="1"/>
  <c r="PG3" i="1"/>
  <c r="PL3" i="1"/>
  <c r="PP3" i="1"/>
  <c r="PT3" i="1"/>
  <c r="PX3" i="1"/>
  <c r="QB3" i="1"/>
  <c r="QF3" i="1"/>
  <c r="QJ3" i="1"/>
  <c r="RU3" i="1"/>
  <c r="RY3" i="1"/>
  <c r="SC3" i="1"/>
  <c r="SG3" i="1"/>
  <c r="SK3" i="1"/>
  <c r="SO3" i="1"/>
  <c r="SS3" i="1"/>
  <c r="SW3" i="1"/>
  <c r="AEX3" i="1"/>
  <c r="AFB3" i="1"/>
  <c r="AFF3" i="1"/>
  <c r="AFJ3" i="1"/>
  <c r="AFN3" i="1"/>
  <c r="AFR3" i="1"/>
  <c r="AFV3" i="1"/>
  <c r="AFZ3" i="1"/>
  <c r="BY3" i="1"/>
  <c r="BI3" i="1"/>
  <c r="DE3" i="1"/>
  <c r="DN3" i="1"/>
  <c r="DS3" i="1"/>
  <c r="DX3" i="1"/>
  <c r="ED3" i="1"/>
  <c r="EI3" i="1"/>
  <c r="EN3" i="1"/>
  <c r="FX3" i="1"/>
  <c r="GG3" i="1"/>
  <c r="GS3" i="1"/>
  <c r="HC3" i="1"/>
  <c r="HG3" i="1"/>
  <c r="HK3" i="1"/>
  <c r="HO3" i="1"/>
  <c r="HS3" i="1"/>
  <c r="HW3" i="1"/>
  <c r="IA3" i="1"/>
  <c r="KU3" i="1"/>
  <c r="LC3" i="1"/>
  <c r="LK3" i="1"/>
  <c r="LS3" i="1"/>
  <c r="NO3" i="1"/>
  <c r="VI3" i="1"/>
  <c r="VM3" i="1"/>
  <c r="VQ3" i="1"/>
  <c r="VU3" i="1"/>
  <c r="VY3" i="1"/>
  <c r="WC3" i="1"/>
  <c r="WG3" i="1"/>
  <c r="WK3" i="1"/>
  <c r="WP3" i="1"/>
  <c r="WT3" i="1"/>
  <c r="WX3" i="1"/>
  <c r="XB3" i="1"/>
  <c r="XF3" i="1"/>
  <c r="XJ3" i="1"/>
  <c r="XN3" i="1"/>
  <c r="ZK3" i="1"/>
  <c r="ZO3" i="1"/>
  <c r="ZS3" i="1"/>
  <c r="ZW3" i="1"/>
  <c r="AAA3" i="1"/>
  <c r="AAE3" i="1"/>
  <c r="AAI3" i="1"/>
  <c r="AAM3" i="1"/>
  <c r="AAQ3" i="1"/>
  <c r="AAU3" i="1"/>
  <c r="AAY3" i="1"/>
  <c r="ABC3" i="1"/>
  <c r="ACN3" i="1"/>
  <c r="ACR3" i="1"/>
  <c r="ACV3" i="1"/>
  <c r="ACZ3" i="1"/>
  <c r="ADD3" i="1"/>
  <c r="ADH3" i="1"/>
  <c r="ADL3" i="1"/>
  <c r="ADP3" i="1"/>
  <c r="BU3" i="1"/>
  <c r="BE3" i="1"/>
  <c r="DH3" i="1"/>
  <c r="DO3" i="1"/>
  <c r="DT3" i="1"/>
  <c r="DZ3" i="1"/>
  <c r="EE3" i="1"/>
  <c r="EJ3" i="1"/>
  <c r="FY3" i="1"/>
  <c r="GK3" i="1"/>
  <c r="IP3" i="1"/>
  <c r="KP3" i="1"/>
  <c r="KX3" i="1"/>
  <c r="LF3" i="1"/>
  <c r="LN3" i="1"/>
  <c r="NC3" i="1"/>
  <c r="NS3" i="1"/>
  <c r="CE3" i="1"/>
  <c r="CA3" i="1"/>
  <c r="BW3" i="1"/>
  <c r="BS3" i="1"/>
  <c r="BO3" i="1"/>
  <c r="BK3" i="1"/>
  <c r="BG3" i="1"/>
  <c r="BC3" i="1"/>
  <c r="GY3" i="1"/>
  <c r="JI3" i="1"/>
  <c r="KS3" i="1"/>
  <c r="KW3" i="1"/>
  <c r="LA3" i="1"/>
  <c r="LE3" i="1"/>
  <c r="LI3" i="1"/>
  <c r="LM3" i="1"/>
  <c r="LQ3" i="1"/>
  <c r="NA3" i="1"/>
  <c r="NE3" i="1"/>
  <c r="NI3" i="1"/>
  <c r="NM3" i="1"/>
  <c r="NQ3" i="1"/>
  <c r="NU3" i="1"/>
  <c r="NY3" i="1"/>
  <c r="OC3" i="1"/>
  <c r="QP3" i="1"/>
  <c r="QT3" i="1"/>
  <c r="QX3" i="1"/>
  <c r="RB3" i="1"/>
  <c r="RF3" i="1"/>
  <c r="RJ3" i="1"/>
  <c r="RN3" i="1"/>
  <c r="RR3" i="1"/>
  <c r="UX3" i="1"/>
  <c r="XT3" i="1"/>
  <c r="YB3" i="1"/>
  <c r="YJ3" i="1"/>
  <c r="YR3" i="1"/>
  <c r="CD3" i="1"/>
  <c r="BZ3" i="1"/>
  <c r="BV3" i="1"/>
  <c r="BR3" i="1"/>
  <c r="BN3" i="1"/>
  <c r="BJ3" i="1"/>
  <c r="BF3" i="1"/>
  <c r="BB3" i="1"/>
  <c r="CK3" i="1"/>
  <c r="CQ3" i="1"/>
  <c r="CV3" i="1"/>
  <c r="DA3" i="1"/>
  <c r="DG3" i="1"/>
  <c r="FV3" i="1"/>
  <c r="FZ3" i="1"/>
  <c r="GD3" i="1"/>
  <c r="GH3" i="1"/>
  <c r="GL3" i="1"/>
  <c r="GP3" i="1"/>
  <c r="GT3" i="1"/>
  <c r="GX3" i="1"/>
  <c r="NB3" i="1"/>
  <c r="NF3" i="1"/>
  <c r="NJ3" i="1"/>
  <c r="NN3" i="1"/>
  <c r="NR3" i="1"/>
  <c r="NV3" i="1"/>
  <c r="NZ3" i="1"/>
  <c r="QQ3" i="1"/>
  <c r="QU3" i="1"/>
  <c r="QY3" i="1"/>
  <c r="RC3" i="1"/>
  <c r="RG3" i="1"/>
  <c r="RK3" i="1"/>
  <c r="RO3" i="1"/>
  <c r="XW3" i="1"/>
  <c r="YE3" i="1"/>
  <c r="YM3" i="1"/>
  <c r="VE3" i="1"/>
  <c r="VF3" i="1"/>
  <c r="UP3" i="1"/>
  <c r="VB3" i="1"/>
  <c r="UL3" i="1"/>
  <c r="YT3" i="1"/>
  <c r="YP3" i="1"/>
  <c r="YL3" i="1"/>
  <c r="YH3" i="1"/>
  <c r="YD3" i="1"/>
  <c r="XZ3" i="1"/>
  <c r="XV3" i="1"/>
  <c r="YS3" i="1"/>
  <c r="YO3" i="1"/>
  <c r="YK3" i="1"/>
  <c r="YG3" i="1"/>
  <c r="YC3" i="1"/>
  <c r="XY3" i="1"/>
  <c r="XU3" i="1"/>
  <c r="CB3" i="1"/>
  <c r="BX3" i="1"/>
  <c r="BT3" i="1"/>
  <c r="BP3" i="1"/>
  <c r="BL3" i="1"/>
  <c r="BH3" i="1"/>
  <c r="DM3" i="1"/>
  <c r="DQ3" i="1"/>
  <c r="DU3" i="1"/>
  <c r="DY3" i="1"/>
  <c r="EC3" i="1"/>
  <c r="EG3" i="1"/>
  <c r="EK3" i="1"/>
  <c r="GB3" i="1"/>
  <c r="GJ3" i="1"/>
  <c r="GR3" i="1"/>
  <c r="KR3" i="1"/>
  <c r="KV3" i="1"/>
  <c r="KZ3" i="1"/>
  <c r="LD3" i="1"/>
  <c r="LH3" i="1"/>
  <c r="LL3" i="1"/>
  <c r="MZ3" i="1"/>
  <c r="ND3" i="1"/>
  <c r="NH3" i="1"/>
  <c r="NL3" i="1"/>
  <c r="NP3" i="1"/>
  <c r="NT3" i="1"/>
  <c r="NX3" i="1"/>
  <c r="QO3" i="1"/>
  <c r="QS3" i="1"/>
  <c r="QW3" i="1"/>
  <c r="RA3" i="1"/>
  <c r="RE3" i="1"/>
  <c r="RI3" i="1"/>
  <c r="RM3" i="1"/>
  <c r="UT3" i="1"/>
  <c r="XS3" i="1"/>
  <c r="YA3" i="1"/>
  <c r="YI3" i="1"/>
  <c r="YQ3" i="1"/>
  <c r="ADT3" i="1"/>
  <c r="ADY3" i="1"/>
  <c r="AEE3" i="1"/>
  <c r="AEJ3" i="1"/>
  <c r="AEO3" i="1"/>
  <c r="AEU3" i="1"/>
  <c r="AHH3" i="1"/>
  <c r="AHL3" i="1"/>
  <c r="AHP3" i="1"/>
  <c r="AHT3" i="1"/>
  <c r="AHX3" i="1"/>
  <c r="AIB3" i="1"/>
  <c r="AIF3" i="1"/>
  <c r="AIJ3" i="1"/>
  <c r="ADR3" i="1"/>
  <c r="ADV3" i="1"/>
  <c r="ADZ3" i="1"/>
  <c r="AED3" i="1"/>
  <c r="AEH3" i="1"/>
  <c r="AEL3" i="1"/>
  <c r="AEP3" i="1"/>
  <c r="AET3" i="1"/>
  <c r="ANG3" i="1"/>
  <c r="ANK3" i="1"/>
  <c r="ANO3" i="1"/>
  <c r="ANS3" i="1"/>
  <c r="ANW3" i="1"/>
  <c r="AOA3" i="1"/>
  <c r="AOE3" i="1"/>
  <c r="AOI3" i="1"/>
  <c r="AQV3" i="1"/>
  <c r="AQZ3" i="1"/>
  <c r="ARD3" i="1"/>
  <c r="ARH3" i="1"/>
  <c r="ARL3" i="1"/>
  <c r="ARP3" i="1"/>
  <c r="ART3" i="1"/>
  <c r="ARX3" i="1"/>
  <c r="ADU3" i="1"/>
  <c r="AEA3" i="1"/>
  <c r="AEF3" i="1"/>
  <c r="AEK3" i="1"/>
  <c r="AEQ3" i="1"/>
  <c r="AHI3" i="1"/>
  <c r="AHM3" i="1"/>
  <c r="AHQ3" i="1"/>
  <c r="AHU3" i="1"/>
  <c r="AHY3" i="1"/>
  <c r="AIC3" i="1"/>
  <c r="AIG3" i="1"/>
  <c r="ANH3" i="1"/>
  <c r="ANL3" i="1"/>
  <c r="ANP3" i="1"/>
  <c r="ANT3" i="1"/>
  <c r="ANX3" i="1"/>
  <c r="AOB3" i="1"/>
  <c r="AOF3" i="1"/>
  <c r="AQW3" i="1"/>
  <c r="ARA3" i="1"/>
  <c r="ARE3" i="1"/>
  <c r="ARI3" i="1"/>
  <c r="ARM3" i="1"/>
  <c r="ARQ3" i="1"/>
  <c r="ARU3" i="1"/>
  <c r="ADW3" i="1"/>
  <c r="AEB3" i="1"/>
  <c r="AEG3" i="1"/>
  <c r="AEM3" i="1"/>
  <c r="AHJ3" i="1"/>
  <c r="AHN3" i="1"/>
  <c r="AHR3" i="1"/>
  <c r="AHV3" i="1"/>
  <c r="AHZ3" i="1"/>
  <c r="AID3" i="1"/>
  <c r="ANI3" i="1"/>
  <c r="ANM3" i="1"/>
  <c r="ANQ3" i="1"/>
  <c r="ANU3" i="1"/>
  <c r="ANY3" i="1"/>
  <c r="AOC3" i="1"/>
  <c r="AQX3" i="1"/>
  <c r="ARB3" i="1"/>
  <c r="ARF3" i="1"/>
  <c r="ARJ3" i="1"/>
  <c r="ARN3" i="1"/>
  <c r="ARR3" i="1"/>
  <c r="UE3" i="1"/>
  <c r="UI3" i="1"/>
  <c r="UM3" i="1"/>
  <c r="UQ3" i="1"/>
  <c r="UU3" i="1"/>
  <c r="UY3" i="1"/>
  <c r="VC3" i="1"/>
  <c r="VG3" i="1"/>
  <c r="UF3" i="1"/>
  <c r="UJ3" i="1"/>
  <c r="UN3" i="1"/>
  <c r="UR3" i="1"/>
  <c r="UV3" i="1"/>
  <c r="UZ3" i="1"/>
  <c r="VD3" i="1"/>
  <c r="UG3" i="1"/>
  <c r="UK3" i="1"/>
  <c r="UO3" i="1"/>
  <c r="US3" i="1"/>
  <c r="UW3" i="1"/>
  <c r="VA3" i="1"/>
  <c r="II3" i="1"/>
  <c r="IM3" i="1"/>
  <c r="IQ3" i="1"/>
  <c r="IU3" i="1"/>
  <c r="IY3" i="1"/>
  <c r="JC3" i="1"/>
  <c r="JG3" i="1"/>
  <c r="IF3" i="1"/>
  <c r="IJ3" i="1"/>
  <c r="IN3" i="1"/>
  <c r="IR3" i="1"/>
  <c r="IV3" i="1"/>
  <c r="IZ3" i="1"/>
  <c r="JD3" i="1"/>
  <c r="JH3" i="1"/>
  <c r="IG3" i="1"/>
  <c r="IK3" i="1"/>
  <c r="IO3" i="1"/>
  <c r="IS3" i="1"/>
  <c r="IW3" i="1"/>
  <c r="JA3" i="1"/>
  <c r="JE3" i="1"/>
  <c r="FW3" i="1"/>
  <c r="GA3" i="1"/>
  <c r="GE3" i="1"/>
  <c r="GI3" i="1"/>
  <c r="GM3" i="1"/>
  <c r="GQ3" i="1"/>
  <c r="GU3" i="1"/>
  <c r="CH3" i="1"/>
  <c r="CL3" i="1"/>
  <c r="CP3" i="1"/>
  <c r="CT3" i="1"/>
  <c r="CX3" i="1"/>
  <c r="DB3" i="1"/>
  <c r="DF3" i="1"/>
  <c r="E9" i="2" l="1"/>
  <c r="C3" i="2"/>
  <c r="E4" i="2" l="1"/>
  <c r="D4" i="2"/>
  <c r="D9" i="2"/>
  <c r="C9" i="2"/>
  <c r="AX4" i="1"/>
  <c r="AW4" i="1"/>
  <c r="AS4" i="1"/>
  <c r="AO4" i="1"/>
  <c r="AK4" i="1"/>
  <c r="AG4" i="1"/>
  <c r="AC4" i="1"/>
  <c r="Y4" i="1"/>
  <c r="U4" i="1"/>
  <c r="Q4" i="1"/>
  <c r="AZ4" i="1"/>
  <c r="AV4" i="1"/>
  <c r="AR4" i="1"/>
  <c r="AN4" i="1"/>
  <c r="AJ4" i="1"/>
  <c r="AF4" i="1"/>
  <c r="AB4" i="1"/>
  <c r="X4" i="1"/>
  <c r="T4" i="1"/>
  <c r="P4" i="1"/>
  <c r="AY4" i="1"/>
  <c r="AU4" i="1"/>
  <c r="AQ4" i="1"/>
  <c r="AI4" i="1"/>
  <c r="AE4" i="1"/>
  <c r="AA4" i="1"/>
  <c r="W4" i="1"/>
  <c r="S4" i="1"/>
  <c r="O4" i="1"/>
  <c r="AT4" i="1"/>
  <c r="AP4" i="1"/>
  <c r="AL4" i="1"/>
  <c r="AH4" i="1"/>
  <c r="AD4" i="1"/>
  <c r="Z4" i="1"/>
  <c r="V4" i="1"/>
  <c r="R4" i="1"/>
  <c r="N4" i="1"/>
  <c r="M4" i="1"/>
  <c r="C4" i="2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HM1" i="1"/>
  <c r="HN1" i="1"/>
  <c r="HO1" i="1"/>
  <c r="HP1" i="1"/>
  <c r="HQ1" i="1"/>
  <c r="HR1" i="1"/>
  <c r="HS1" i="1"/>
  <c r="HT1" i="1"/>
  <c r="HU1" i="1"/>
  <c r="HV1" i="1"/>
  <c r="HW1" i="1"/>
  <c r="HX1" i="1"/>
  <c r="HY1" i="1"/>
  <c r="HZ1" i="1"/>
  <c r="IA1" i="1"/>
  <c r="IB1" i="1"/>
  <c r="IC1" i="1"/>
  <c r="ID1" i="1"/>
  <c r="IE1" i="1"/>
  <c r="IF1" i="1"/>
  <c r="IG1" i="1"/>
  <c r="IH1" i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JL1" i="1"/>
  <c r="JM1" i="1"/>
  <c r="JN1" i="1"/>
  <c r="JO1" i="1"/>
  <c r="JP1" i="1"/>
  <c r="JQ1" i="1"/>
  <c r="JR1" i="1"/>
  <c r="JS1" i="1"/>
  <c r="JT1" i="1"/>
  <c r="JU1" i="1"/>
  <c r="JV1" i="1"/>
  <c r="JW1" i="1"/>
  <c r="JX1" i="1"/>
  <c r="JY1" i="1"/>
  <c r="JZ1" i="1"/>
  <c r="KA1" i="1"/>
  <c r="KB1" i="1"/>
  <c r="KC1" i="1"/>
  <c r="KD1" i="1"/>
  <c r="KE1" i="1"/>
  <c r="KF1" i="1"/>
  <c r="KG1" i="1"/>
  <c r="KH1" i="1"/>
  <c r="KI1" i="1"/>
  <c r="KJ1" i="1"/>
  <c r="KK1" i="1"/>
  <c r="KL1" i="1"/>
  <c r="KM1" i="1"/>
  <c r="KN1" i="1"/>
  <c r="KO1" i="1"/>
  <c r="KP1" i="1"/>
  <c r="KQ1" i="1"/>
  <c r="KR1" i="1"/>
  <c r="KS1" i="1"/>
  <c r="KT1" i="1"/>
  <c r="KU1" i="1"/>
  <c r="KV1" i="1"/>
  <c r="KW1" i="1"/>
  <c r="KX1" i="1"/>
  <c r="KY1" i="1"/>
  <c r="KZ1" i="1"/>
  <c r="LA1" i="1"/>
  <c r="LB1" i="1"/>
  <c r="LC1" i="1"/>
  <c r="LD1" i="1"/>
  <c r="LE1" i="1"/>
  <c r="LF1" i="1"/>
  <c r="LG1" i="1"/>
  <c r="LH1" i="1"/>
  <c r="LI1" i="1"/>
  <c r="LJ1" i="1"/>
  <c r="LK1" i="1"/>
  <c r="LL1" i="1"/>
  <c r="LM1" i="1"/>
  <c r="LN1" i="1"/>
  <c r="LO1" i="1"/>
  <c r="LP1" i="1"/>
  <c r="LQ1" i="1"/>
  <c r="LR1" i="1"/>
  <c r="LS1" i="1"/>
  <c r="LT1" i="1"/>
  <c r="LU1" i="1"/>
  <c r="LV1" i="1"/>
  <c r="LW1" i="1"/>
  <c r="LX1" i="1"/>
  <c r="LY1" i="1"/>
  <c r="LZ1" i="1"/>
  <c r="MA1" i="1"/>
  <c r="MB1" i="1"/>
  <c r="MC1" i="1"/>
  <c r="MD1" i="1"/>
  <c r="ME1" i="1"/>
  <c r="MF1" i="1"/>
  <c r="MG1" i="1"/>
  <c r="MH1" i="1"/>
  <c r="MI1" i="1"/>
  <c r="MJ1" i="1"/>
  <c r="MK1" i="1"/>
  <c r="ML1" i="1"/>
  <c r="MM1" i="1"/>
  <c r="MN1" i="1"/>
  <c r="MO1" i="1"/>
  <c r="MP1" i="1"/>
  <c r="MQ1" i="1"/>
  <c r="MR1" i="1"/>
  <c r="MS1" i="1"/>
  <c r="MT1" i="1"/>
  <c r="MU1" i="1"/>
  <c r="MV1" i="1"/>
  <c r="MW1" i="1"/>
  <c r="MX1" i="1"/>
  <c r="MY1" i="1"/>
  <c r="MZ1" i="1"/>
  <c r="NA1" i="1"/>
  <c r="NB1" i="1"/>
  <c r="NC1" i="1"/>
  <c r="ND1" i="1"/>
  <c r="NE1" i="1"/>
  <c r="NF1" i="1"/>
  <c r="NG1" i="1"/>
  <c r="NH1" i="1"/>
  <c r="NI1" i="1"/>
  <c r="NJ1" i="1"/>
  <c r="NK1" i="1"/>
  <c r="NL1" i="1"/>
  <c r="NM1" i="1"/>
  <c r="NN1" i="1"/>
  <c r="NO1" i="1"/>
  <c r="NP1" i="1"/>
  <c r="NQ1" i="1"/>
  <c r="NR1" i="1"/>
  <c r="NS1" i="1"/>
  <c r="NT1" i="1"/>
  <c r="NU1" i="1"/>
  <c r="NV1" i="1"/>
  <c r="NW1" i="1"/>
  <c r="NX1" i="1"/>
  <c r="NY1" i="1"/>
  <c r="NZ1" i="1"/>
  <c r="OA1" i="1"/>
  <c r="OB1" i="1"/>
  <c r="OC1" i="1"/>
  <c r="OD1" i="1"/>
  <c r="OE1" i="1"/>
  <c r="OF1" i="1"/>
  <c r="OG1" i="1"/>
  <c r="OH1" i="1"/>
  <c r="OI1" i="1"/>
  <c r="OJ1" i="1"/>
  <c r="OK1" i="1"/>
  <c r="OL1" i="1"/>
  <c r="OM1" i="1"/>
  <c r="ON1" i="1"/>
  <c r="OO1" i="1"/>
  <c r="OP1" i="1"/>
  <c r="OQ1" i="1"/>
  <c r="OR1" i="1"/>
  <c r="OS1" i="1"/>
  <c r="OT1" i="1"/>
  <c r="OU1" i="1"/>
  <c r="OV1" i="1"/>
  <c r="OW1" i="1"/>
  <c r="OX1" i="1"/>
  <c r="OY1" i="1"/>
  <c r="OZ1" i="1"/>
  <c r="PA1" i="1"/>
  <c r="PB1" i="1"/>
  <c r="PC1" i="1"/>
  <c r="PD1" i="1"/>
  <c r="PE1" i="1"/>
  <c r="PF1" i="1"/>
  <c r="PG1" i="1"/>
  <c r="PH1" i="1"/>
  <c r="PI1" i="1"/>
  <c r="PJ1" i="1"/>
  <c r="PK1" i="1"/>
  <c r="PL1" i="1"/>
  <c r="PM1" i="1"/>
  <c r="PN1" i="1"/>
  <c r="PO1" i="1"/>
  <c r="PP1" i="1"/>
  <c r="PQ1" i="1"/>
  <c r="PR1" i="1"/>
  <c r="PS1" i="1"/>
  <c r="PT1" i="1"/>
  <c r="PU1" i="1"/>
  <c r="PV1" i="1"/>
  <c r="PW1" i="1"/>
  <c r="PX1" i="1"/>
  <c r="PY1" i="1"/>
  <c r="PZ1" i="1"/>
  <c r="QA1" i="1"/>
  <c r="QB1" i="1"/>
  <c r="QC1" i="1"/>
  <c r="QD1" i="1"/>
  <c r="QE1" i="1"/>
  <c r="QF1" i="1"/>
  <c r="QG1" i="1"/>
  <c r="QH1" i="1"/>
  <c r="QI1" i="1"/>
  <c r="QJ1" i="1"/>
  <c r="QK1" i="1"/>
  <c r="QL1" i="1"/>
  <c r="QM1" i="1"/>
  <c r="QN1" i="1"/>
  <c r="QO1" i="1"/>
  <c r="QP1" i="1"/>
  <c r="QQ1" i="1"/>
  <c r="QR1" i="1"/>
  <c r="QS1" i="1"/>
  <c r="QT1" i="1"/>
  <c r="QU1" i="1"/>
  <c r="QV1" i="1"/>
  <c r="QW1" i="1"/>
  <c r="QX1" i="1"/>
  <c r="QY1" i="1"/>
  <c r="QZ1" i="1"/>
  <c r="RA1" i="1"/>
  <c r="RB1" i="1"/>
  <c r="RC1" i="1"/>
  <c r="RD1" i="1"/>
  <c r="RE1" i="1"/>
  <c r="RF1" i="1"/>
  <c r="RG1" i="1"/>
  <c r="RH1" i="1"/>
  <c r="RI1" i="1"/>
  <c r="RJ1" i="1"/>
  <c r="RK1" i="1"/>
  <c r="RL1" i="1"/>
  <c r="RM1" i="1"/>
  <c r="RN1" i="1"/>
  <c r="RO1" i="1"/>
  <c r="RP1" i="1"/>
  <c r="RQ1" i="1"/>
  <c r="RR1" i="1"/>
  <c r="RS1" i="1"/>
  <c r="RT1" i="1"/>
  <c r="RU1" i="1"/>
  <c r="RV1" i="1"/>
  <c r="RW1" i="1"/>
  <c r="RX1" i="1"/>
  <c r="RY1" i="1"/>
  <c r="RZ1" i="1"/>
  <c r="SA1" i="1"/>
  <c r="SB1" i="1"/>
  <c r="SC1" i="1"/>
  <c r="SD1" i="1"/>
  <c r="SE1" i="1"/>
  <c r="SF1" i="1"/>
  <c r="SG1" i="1"/>
  <c r="SH1" i="1"/>
  <c r="SI1" i="1"/>
  <c r="SJ1" i="1"/>
  <c r="SK1" i="1"/>
  <c r="SL1" i="1"/>
  <c r="SM1" i="1"/>
  <c r="SN1" i="1"/>
  <c r="SO1" i="1"/>
  <c r="SP1" i="1"/>
  <c r="SQ1" i="1"/>
  <c r="SR1" i="1"/>
  <c r="SS1" i="1"/>
  <c r="ST1" i="1"/>
  <c r="SU1" i="1"/>
  <c r="SV1" i="1"/>
  <c r="SW1" i="1"/>
  <c r="SX1" i="1"/>
  <c r="SY1" i="1"/>
  <c r="SZ1" i="1"/>
  <c r="TA1" i="1"/>
  <c r="TB1" i="1"/>
  <c r="TC1" i="1"/>
  <c r="TD1" i="1"/>
  <c r="TE1" i="1"/>
  <c r="TF1" i="1"/>
  <c r="TG1" i="1"/>
  <c r="TH1" i="1"/>
  <c r="TI1" i="1"/>
  <c r="TJ1" i="1"/>
  <c r="TK1" i="1"/>
  <c r="TL1" i="1"/>
  <c r="TM1" i="1"/>
  <c r="TN1" i="1"/>
  <c r="TO1" i="1"/>
  <c r="TP1" i="1"/>
  <c r="TQ1" i="1"/>
  <c r="TR1" i="1"/>
  <c r="TS1" i="1"/>
  <c r="TT1" i="1"/>
  <c r="TU1" i="1"/>
  <c r="TV1" i="1"/>
  <c r="TW1" i="1"/>
  <c r="TX1" i="1"/>
  <c r="TY1" i="1"/>
  <c r="TZ1" i="1"/>
  <c r="UA1" i="1"/>
  <c r="UB1" i="1"/>
  <c r="UC1" i="1"/>
  <c r="UD1" i="1"/>
  <c r="UE1" i="1"/>
  <c r="UF1" i="1"/>
  <c r="UG1" i="1"/>
  <c r="UH1" i="1"/>
  <c r="UI1" i="1"/>
  <c r="UJ1" i="1"/>
  <c r="UK1" i="1"/>
  <c r="UL1" i="1"/>
  <c r="UM1" i="1"/>
  <c r="UN1" i="1"/>
  <c r="UO1" i="1"/>
  <c r="UP1" i="1"/>
  <c r="UQ1" i="1"/>
  <c r="UR1" i="1"/>
  <c r="US1" i="1"/>
  <c r="UT1" i="1"/>
  <c r="UU1" i="1"/>
  <c r="UV1" i="1"/>
  <c r="UW1" i="1"/>
  <c r="UX1" i="1"/>
  <c r="UY1" i="1"/>
  <c r="UZ1" i="1"/>
  <c r="VA1" i="1"/>
  <c r="VB1" i="1"/>
  <c r="VC1" i="1"/>
  <c r="VD1" i="1"/>
  <c r="VE1" i="1"/>
  <c r="VF1" i="1"/>
  <c r="VG1" i="1"/>
  <c r="VH1" i="1"/>
  <c r="VI1" i="1"/>
  <c r="VJ1" i="1"/>
  <c r="VK1" i="1"/>
  <c r="VL1" i="1"/>
  <c r="VM1" i="1"/>
  <c r="VN1" i="1"/>
  <c r="VO1" i="1"/>
  <c r="VP1" i="1"/>
  <c r="VQ1" i="1"/>
  <c r="VR1" i="1"/>
  <c r="VS1" i="1"/>
  <c r="VT1" i="1"/>
  <c r="VU1" i="1"/>
  <c r="VV1" i="1"/>
  <c r="VW1" i="1"/>
  <c r="VX1" i="1"/>
  <c r="VY1" i="1"/>
  <c r="VZ1" i="1"/>
  <c r="WA1" i="1"/>
  <c r="WB1" i="1"/>
  <c r="WC1" i="1"/>
  <c r="WD1" i="1"/>
  <c r="WE1" i="1"/>
  <c r="WF1" i="1"/>
  <c r="WG1" i="1"/>
  <c r="WH1" i="1"/>
  <c r="WI1" i="1"/>
  <c r="WJ1" i="1"/>
  <c r="WK1" i="1"/>
  <c r="WL1" i="1"/>
  <c r="WM1" i="1"/>
  <c r="WN1" i="1"/>
  <c r="WO1" i="1"/>
  <c r="WP1" i="1"/>
  <c r="WQ1" i="1"/>
  <c r="WR1" i="1"/>
  <c r="WS1" i="1"/>
  <c r="WT1" i="1"/>
  <c r="WU1" i="1"/>
  <c r="WV1" i="1"/>
  <c r="WW1" i="1"/>
  <c r="WX1" i="1"/>
  <c r="WY1" i="1"/>
  <c r="WZ1" i="1"/>
  <c r="XA1" i="1"/>
  <c r="XB1" i="1"/>
  <c r="XC1" i="1"/>
  <c r="XD1" i="1"/>
  <c r="XE1" i="1"/>
  <c r="XF1" i="1"/>
  <c r="XG1" i="1"/>
  <c r="XH1" i="1"/>
  <c r="XI1" i="1"/>
  <c r="XJ1" i="1"/>
  <c r="XK1" i="1"/>
  <c r="XL1" i="1"/>
  <c r="XM1" i="1"/>
  <c r="XN1" i="1"/>
  <c r="XO1" i="1"/>
  <c r="XP1" i="1"/>
  <c r="XQ1" i="1"/>
  <c r="XR1" i="1"/>
  <c r="XS1" i="1"/>
  <c r="XT1" i="1"/>
  <c r="XU1" i="1"/>
  <c r="XV1" i="1"/>
  <c r="XW1" i="1"/>
  <c r="XX1" i="1"/>
  <c r="XY1" i="1"/>
  <c r="XZ1" i="1"/>
  <c r="YA1" i="1"/>
  <c r="YB1" i="1"/>
  <c r="YC1" i="1"/>
  <c r="YD1" i="1"/>
  <c r="YE1" i="1"/>
  <c r="YF1" i="1"/>
  <c r="YG1" i="1"/>
  <c r="YH1" i="1"/>
  <c r="YI1" i="1"/>
  <c r="YJ1" i="1"/>
  <c r="YK1" i="1"/>
  <c r="YL1" i="1"/>
  <c r="YM1" i="1"/>
  <c r="YN1" i="1"/>
  <c r="YO1" i="1"/>
  <c r="YP1" i="1"/>
  <c r="YQ1" i="1"/>
  <c r="YR1" i="1"/>
  <c r="YS1" i="1"/>
  <c r="YT1" i="1"/>
  <c r="YU1" i="1"/>
  <c r="YV1" i="1"/>
  <c r="YW1" i="1"/>
  <c r="YX1" i="1"/>
  <c r="YY1" i="1"/>
  <c r="YZ1" i="1"/>
  <c r="ZA1" i="1"/>
  <c r="ZB1" i="1"/>
  <c r="ZC1" i="1"/>
  <c r="ZD1" i="1"/>
  <c r="ZE1" i="1"/>
  <c r="ZF1" i="1"/>
  <c r="ZG1" i="1"/>
  <c r="ZH1" i="1"/>
  <c r="ZI1" i="1"/>
  <c r="ZJ1" i="1"/>
  <c r="ZK1" i="1"/>
  <c r="ZL1" i="1"/>
  <c r="ZM1" i="1"/>
  <c r="ZN1" i="1"/>
  <c r="ZO1" i="1"/>
  <c r="ZP1" i="1"/>
  <c r="ZQ1" i="1"/>
  <c r="ZR1" i="1"/>
  <c r="ZS1" i="1"/>
  <c r="ZT1" i="1"/>
  <c r="ZU1" i="1"/>
  <c r="ZV1" i="1"/>
  <c r="ZW1" i="1"/>
  <c r="ZX1" i="1"/>
  <c r="ZY1" i="1"/>
  <c r="ZZ1" i="1"/>
  <c r="AAA1" i="1"/>
  <c r="AAB1" i="1"/>
  <c r="AAC1" i="1"/>
  <c r="AAD1" i="1"/>
  <c r="AAE1" i="1"/>
  <c r="AAF1" i="1"/>
  <c r="AAG1" i="1"/>
  <c r="AAH1" i="1"/>
  <c r="AAI1" i="1"/>
  <c r="AAJ1" i="1"/>
  <c r="AAK1" i="1"/>
  <c r="AAL1" i="1"/>
  <c r="AAM1" i="1"/>
  <c r="AAN1" i="1"/>
  <c r="AAO1" i="1"/>
  <c r="AAP1" i="1"/>
  <c r="AAQ1" i="1"/>
  <c r="AAR1" i="1"/>
  <c r="AAS1" i="1"/>
  <c r="AAT1" i="1"/>
  <c r="AAU1" i="1"/>
  <c r="AAV1" i="1"/>
  <c r="AAW1" i="1"/>
  <c r="AAX1" i="1"/>
  <c r="AAY1" i="1"/>
  <c r="AAZ1" i="1"/>
  <c r="ABA1" i="1"/>
  <c r="ABB1" i="1"/>
  <c r="ABC1" i="1"/>
  <c r="ABD1" i="1"/>
  <c r="ABE1" i="1"/>
  <c r="ABF1" i="1"/>
  <c r="ABG1" i="1"/>
  <c r="ABH1" i="1"/>
  <c r="ABI1" i="1"/>
  <c r="ABJ1" i="1"/>
  <c r="ABK1" i="1"/>
  <c r="ABL1" i="1"/>
  <c r="ABM1" i="1"/>
  <c r="ABN1" i="1"/>
  <c r="ABO1" i="1"/>
  <c r="ABP1" i="1"/>
  <c r="ABQ1" i="1"/>
  <c r="ABR1" i="1"/>
  <c r="ABS1" i="1"/>
  <c r="ABT1" i="1"/>
  <c r="ABU1" i="1"/>
  <c r="ABV1" i="1"/>
  <c r="ABW1" i="1"/>
  <c r="ABX1" i="1"/>
  <c r="ABY1" i="1"/>
  <c r="ABZ1" i="1"/>
  <c r="ACA1" i="1"/>
  <c r="ACB1" i="1"/>
  <c r="ACC1" i="1"/>
  <c r="ACD1" i="1"/>
  <c r="ACE1" i="1"/>
  <c r="ACF1" i="1"/>
  <c r="ACG1" i="1"/>
  <c r="ACH1" i="1"/>
  <c r="ACI1" i="1"/>
  <c r="ACJ1" i="1"/>
  <c r="ACK1" i="1"/>
  <c r="ACL1" i="1"/>
  <c r="ACM1" i="1"/>
  <c r="ACN1" i="1"/>
  <c r="ACO1" i="1"/>
  <c r="ACP1" i="1"/>
  <c r="ACQ1" i="1"/>
  <c r="ACR1" i="1"/>
  <c r="ACS1" i="1"/>
  <c r="ACT1" i="1"/>
  <c r="ACU1" i="1"/>
  <c r="ACV1" i="1"/>
  <c r="ACW1" i="1"/>
  <c r="ACX1" i="1"/>
  <c r="ACY1" i="1"/>
  <c r="ACZ1" i="1"/>
  <c r="ADA1" i="1"/>
  <c r="ADB1" i="1"/>
  <c r="ADC1" i="1"/>
  <c r="ADD1" i="1"/>
  <c r="ADE1" i="1"/>
  <c r="ADF1" i="1"/>
  <c r="ADG1" i="1"/>
  <c r="ADH1" i="1"/>
  <c r="ADI1" i="1"/>
  <c r="ADJ1" i="1"/>
  <c r="ADK1" i="1"/>
  <c r="ADL1" i="1"/>
  <c r="ADM1" i="1"/>
  <c r="ADN1" i="1"/>
  <c r="ADO1" i="1"/>
  <c r="ADP1" i="1"/>
  <c r="ADQ1" i="1"/>
  <c r="ADR1" i="1"/>
  <c r="ADS1" i="1"/>
  <c r="ADT1" i="1"/>
  <c r="ADU1" i="1"/>
  <c r="ADV1" i="1"/>
  <c r="ADW1" i="1"/>
  <c r="ADX1" i="1"/>
  <c r="ADY1" i="1"/>
  <c r="ADZ1" i="1"/>
  <c r="AEA1" i="1"/>
  <c r="AEB1" i="1"/>
  <c r="AEC1" i="1"/>
  <c r="AED1" i="1"/>
  <c r="AEE1" i="1"/>
  <c r="AEF1" i="1"/>
  <c r="AEG1" i="1"/>
  <c r="AEH1" i="1"/>
  <c r="AEI1" i="1"/>
  <c r="AEJ1" i="1"/>
  <c r="AEK1" i="1"/>
  <c r="AEL1" i="1"/>
  <c r="AEM1" i="1"/>
  <c r="AEN1" i="1"/>
  <c r="AEO1" i="1"/>
  <c r="AEP1" i="1"/>
  <c r="AEQ1" i="1"/>
  <c r="AER1" i="1"/>
  <c r="AES1" i="1"/>
  <c r="AET1" i="1"/>
  <c r="AEU1" i="1"/>
  <c r="AEV1" i="1"/>
  <c r="AEW1" i="1"/>
  <c r="AEX1" i="1"/>
  <c r="AEY1" i="1"/>
  <c r="AEZ1" i="1"/>
  <c r="AFA1" i="1"/>
  <c r="AFB1" i="1"/>
  <c r="AFC1" i="1"/>
  <c r="AFD1" i="1"/>
  <c r="AFE1" i="1"/>
  <c r="AFF1" i="1"/>
  <c r="AFG1" i="1"/>
  <c r="AFH1" i="1"/>
  <c r="AFI1" i="1"/>
  <c r="AFJ1" i="1"/>
  <c r="AFK1" i="1"/>
  <c r="AFL1" i="1"/>
  <c r="AFM1" i="1"/>
  <c r="AFN1" i="1"/>
  <c r="AFO1" i="1"/>
  <c r="AFP1" i="1"/>
  <c r="AFQ1" i="1"/>
  <c r="AFR1" i="1"/>
  <c r="AFS1" i="1"/>
  <c r="AFT1" i="1"/>
  <c r="AFU1" i="1"/>
  <c r="AFV1" i="1"/>
  <c r="AFW1" i="1"/>
  <c r="AFX1" i="1"/>
  <c r="AFY1" i="1"/>
  <c r="AFZ1" i="1"/>
  <c r="AGA1" i="1"/>
  <c r="AGB1" i="1"/>
  <c r="AGC1" i="1"/>
  <c r="AGD1" i="1"/>
  <c r="AGE1" i="1"/>
  <c r="AGF1" i="1"/>
  <c r="AGG1" i="1"/>
  <c r="AGH1" i="1"/>
  <c r="AGI1" i="1"/>
  <c r="AGJ1" i="1"/>
  <c r="AGK1" i="1"/>
  <c r="AGL1" i="1"/>
  <c r="AGM1" i="1"/>
  <c r="AGN1" i="1"/>
  <c r="AGO1" i="1"/>
  <c r="AGP1" i="1"/>
  <c r="AGQ1" i="1"/>
  <c r="AGR1" i="1"/>
  <c r="AGS1" i="1"/>
  <c r="AGT1" i="1"/>
  <c r="AGU1" i="1"/>
  <c r="AGV1" i="1"/>
  <c r="AGW1" i="1"/>
  <c r="AGX1" i="1"/>
  <c r="AGY1" i="1"/>
  <c r="AGZ1" i="1"/>
  <c r="AHA1" i="1"/>
  <c r="AHB1" i="1"/>
  <c r="AHC1" i="1"/>
  <c r="AHD1" i="1"/>
  <c r="AHE1" i="1"/>
  <c r="AHF1" i="1"/>
  <c r="AHG1" i="1"/>
  <c r="AHH1" i="1"/>
  <c r="AHI1" i="1"/>
  <c r="AHJ1" i="1"/>
  <c r="AHK1" i="1"/>
  <c r="AHL1" i="1"/>
  <c r="AHM1" i="1"/>
  <c r="AHN1" i="1"/>
  <c r="AHO1" i="1"/>
  <c r="AHP1" i="1"/>
  <c r="AHQ1" i="1"/>
  <c r="AHR1" i="1"/>
  <c r="AHS1" i="1"/>
  <c r="AHT1" i="1"/>
  <c r="AHU1" i="1"/>
  <c r="AHV1" i="1"/>
  <c r="AHW1" i="1"/>
  <c r="AHX1" i="1"/>
  <c r="AHY1" i="1"/>
  <c r="AHZ1" i="1"/>
  <c r="AIA1" i="1"/>
  <c r="AIB1" i="1"/>
  <c r="AIC1" i="1"/>
  <c r="AID1" i="1"/>
  <c r="AIE1" i="1"/>
  <c r="AIF1" i="1"/>
  <c r="AIG1" i="1"/>
  <c r="AIH1" i="1"/>
  <c r="AII1" i="1"/>
  <c r="AIJ1" i="1"/>
  <c r="AIK1" i="1"/>
  <c r="AIL1" i="1"/>
  <c r="AIM1" i="1"/>
  <c r="AIN1" i="1"/>
  <c r="AIO1" i="1"/>
  <c r="AIP1" i="1"/>
  <c r="AIQ1" i="1"/>
  <c r="AIR1" i="1"/>
  <c r="AIS1" i="1"/>
  <c r="AIT1" i="1"/>
  <c r="AIU1" i="1"/>
  <c r="AIV1" i="1"/>
  <c r="AIW1" i="1"/>
  <c r="AIX1" i="1"/>
  <c r="AIY1" i="1"/>
  <c r="AIZ1" i="1"/>
  <c r="AJA1" i="1"/>
  <c r="AJB1" i="1"/>
  <c r="AJC1" i="1"/>
  <c r="AJD1" i="1"/>
  <c r="AJE1" i="1"/>
  <c r="AJF1" i="1"/>
  <c r="AJG1" i="1"/>
  <c r="AJH1" i="1"/>
  <c r="AJI1" i="1"/>
  <c r="AJJ1" i="1"/>
  <c r="AJK1" i="1"/>
  <c r="AJL1" i="1"/>
  <c r="AJM1" i="1"/>
  <c r="AJN1" i="1"/>
  <c r="AJO1" i="1"/>
  <c r="AJP1" i="1"/>
  <c r="AJQ1" i="1"/>
  <c r="AJR1" i="1"/>
  <c r="AJS1" i="1"/>
  <c r="AJT1" i="1"/>
  <c r="AJU1" i="1"/>
  <c r="AJV1" i="1"/>
  <c r="AJW1" i="1"/>
  <c r="AJX1" i="1"/>
  <c r="AJY1" i="1"/>
  <c r="AJZ1" i="1"/>
  <c r="AKA1" i="1"/>
  <c r="AKB1" i="1"/>
  <c r="AKC1" i="1"/>
  <c r="AKD1" i="1"/>
  <c r="AKE1" i="1"/>
  <c r="AKF1" i="1"/>
  <c r="AKG1" i="1"/>
  <c r="AKH1" i="1"/>
  <c r="AKI1" i="1"/>
  <c r="AKJ1" i="1"/>
  <c r="AKK1" i="1"/>
  <c r="AKL1" i="1"/>
  <c r="AKM1" i="1"/>
  <c r="AKN1" i="1"/>
  <c r="AKO1" i="1"/>
  <c r="AKP1" i="1"/>
  <c r="AKQ1" i="1"/>
  <c r="AKR1" i="1"/>
  <c r="AKS1" i="1"/>
  <c r="AKT1" i="1"/>
  <c r="AKU1" i="1"/>
  <c r="AKV1" i="1"/>
  <c r="AKW1" i="1"/>
  <c r="AKX1" i="1"/>
  <c r="AKY1" i="1"/>
  <c r="AKZ1" i="1"/>
  <c r="ALA1" i="1"/>
  <c r="ALB1" i="1"/>
  <c r="ALC1" i="1"/>
  <c r="ALD1" i="1"/>
  <c r="ALE1" i="1"/>
  <c r="ALF1" i="1"/>
  <c r="ALG1" i="1"/>
  <c r="ALH1" i="1"/>
  <c r="ALI1" i="1"/>
  <c r="ALJ1" i="1"/>
  <c r="ALK1" i="1"/>
  <c r="ALL1" i="1"/>
  <c r="ALM1" i="1"/>
  <c r="ALN1" i="1"/>
  <c r="ALO1" i="1"/>
  <c r="ALP1" i="1"/>
  <c r="ALQ1" i="1"/>
  <c r="ALR1" i="1"/>
  <c r="ALS1" i="1"/>
  <c r="ALT1" i="1"/>
  <c r="ALU1" i="1"/>
  <c r="ALV1" i="1"/>
  <c r="ALW1" i="1"/>
  <c r="ALX1" i="1"/>
  <c r="ALY1" i="1"/>
  <c r="ALZ1" i="1"/>
  <c r="AMA1" i="1"/>
  <c r="AMB1" i="1"/>
  <c r="AMC1" i="1"/>
  <c r="AMD1" i="1"/>
  <c r="AME1" i="1"/>
  <c r="AMF1" i="1"/>
  <c r="AMG1" i="1"/>
  <c r="AMH1" i="1"/>
  <c r="AMI1" i="1"/>
  <c r="AMJ1" i="1"/>
  <c r="AMK1" i="1"/>
  <c r="AML1" i="1"/>
  <c r="AMM1" i="1"/>
  <c r="AMN1" i="1"/>
  <c r="AMO1" i="1"/>
  <c r="AMP1" i="1"/>
  <c r="AMQ1" i="1"/>
  <c r="AMR1" i="1"/>
  <c r="AMS1" i="1"/>
  <c r="AMT1" i="1"/>
  <c r="AMU1" i="1"/>
  <c r="AMV1" i="1"/>
  <c r="AMW1" i="1"/>
  <c r="AMX1" i="1"/>
  <c r="AMY1" i="1"/>
  <c r="AMZ1" i="1"/>
  <c r="ANA1" i="1"/>
  <c r="ANB1" i="1"/>
  <c r="ANC1" i="1"/>
  <c r="AND1" i="1"/>
  <c r="ANE1" i="1"/>
  <c r="ANF1" i="1"/>
  <c r="ANG1" i="1"/>
  <c r="ANH1" i="1"/>
  <c r="ANI1" i="1"/>
  <c r="ANJ1" i="1"/>
  <c r="ANK1" i="1"/>
  <c r="ANL1" i="1"/>
  <c r="ANM1" i="1"/>
  <c r="ANN1" i="1"/>
  <c r="ANO1" i="1"/>
  <c r="ANP1" i="1"/>
  <c r="ANQ1" i="1"/>
  <c r="ANR1" i="1"/>
  <c r="ANS1" i="1"/>
  <c r="ANT1" i="1"/>
  <c r="ANU1" i="1"/>
  <c r="ANV1" i="1"/>
  <c r="ANW1" i="1"/>
  <c r="ANX1" i="1"/>
  <c r="ANY1" i="1"/>
  <c r="ANZ1" i="1"/>
  <c r="AOA1" i="1"/>
  <c r="AOB1" i="1"/>
  <c r="AOC1" i="1"/>
  <c r="AOD1" i="1"/>
  <c r="AOE1" i="1"/>
  <c r="AOF1" i="1"/>
  <c r="AOG1" i="1"/>
  <c r="AOH1" i="1"/>
  <c r="AOI1" i="1"/>
  <c r="AOJ1" i="1"/>
  <c r="AOK1" i="1"/>
  <c r="AOL1" i="1"/>
  <c r="AOM1" i="1"/>
  <c r="AON1" i="1"/>
  <c r="AOO1" i="1"/>
  <c r="AOP1" i="1"/>
  <c r="AOQ1" i="1"/>
  <c r="AOR1" i="1"/>
  <c r="AOS1" i="1"/>
  <c r="AOT1" i="1"/>
  <c r="AOU1" i="1"/>
  <c r="AOV1" i="1"/>
  <c r="AOW1" i="1"/>
  <c r="AOX1" i="1"/>
  <c r="AOY1" i="1"/>
  <c r="AOZ1" i="1"/>
  <c r="APA1" i="1"/>
  <c r="APB1" i="1"/>
  <c r="APC1" i="1"/>
  <c r="APD1" i="1"/>
  <c r="APE1" i="1"/>
  <c r="APF1" i="1"/>
  <c r="APG1" i="1"/>
  <c r="APH1" i="1"/>
  <c r="API1" i="1"/>
  <c r="APJ1" i="1"/>
  <c r="APK1" i="1"/>
  <c r="APL1" i="1"/>
  <c r="APM1" i="1"/>
  <c r="APN1" i="1"/>
  <c r="APO1" i="1"/>
  <c r="APP1" i="1"/>
  <c r="APQ1" i="1"/>
  <c r="APR1" i="1"/>
  <c r="APS1" i="1"/>
  <c r="APT1" i="1"/>
  <c r="APU1" i="1"/>
  <c r="APV1" i="1"/>
  <c r="APW1" i="1"/>
  <c r="APX1" i="1"/>
  <c r="APY1" i="1"/>
  <c r="APZ1" i="1"/>
  <c r="AQA1" i="1"/>
  <c r="AQB1" i="1"/>
  <c r="AQC1" i="1"/>
  <c r="AQD1" i="1"/>
  <c r="AQE1" i="1"/>
  <c r="AQF1" i="1"/>
  <c r="AQG1" i="1"/>
  <c r="AQH1" i="1"/>
  <c r="AQI1" i="1"/>
  <c r="AQJ1" i="1"/>
  <c r="AQK1" i="1"/>
  <c r="AQL1" i="1"/>
  <c r="AQM1" i="1"/>
  <c r="AQN1" i="1"/>
  <c r="AQO1" i="1"/>
  <c r="AQP1" i="1"/>
  <c r="AQQ1" i="1"/>
  <c r="AQR1" i="1"/>
  <c r="AQS1" i="1"/>
  <c r="AQT1" i="1"/>
  <c r="AQU1" i="1"/>
  <c r="AQV1" i="1"/>
  <c r="AQW1" i="1"/>
  <c r="AQX1" i="1"/>
  <c r="AQY1" i="1"/>
  <c r="AQZ1" i="1"/>
  <c r="ARA1" i="1"/>
  <c r="ARB1" i="1"/>
  <c r="ARC1" i="1"/>
  <c r="ARD1" i="1"/>
  <c r="ARE1" i="1"/>
  <c r="ARF1" i="1"/>
  <c r="ARG1" i="1"/>
  <c r="ARH1" i="1"/>
  <c r="ARI1" i="1"/>
  <c r="ARJ1" i="1"/>
  <c r="ARK1" i="1"/>
  <c r="ARL1" i="1"/>
  <c r="ARM1" i="1"/>
  <c r="ARN1" i="1"/>
  <c r="ARO1" i="1"/>
  <c r="ARP1" i="1"/>
  <c r="ARQ1" i="1"/>
  <c r="ARR1" i="1"/>
  <c r="ARS1" i="1"/>
  <c r="ART1" i="1"/>
  <c r="ARU1" i="1"/>
  <c r="ARV1" i="1"/>
  <c r="ARW1" i="1"/>
  <c r="ARX1" i="1"/>
  <c r="ARY1" i="1"/>
  <c r="ARZ1" i="1"/>
  <c r="ASA1" i="1"/>
  <c r="ASB1" i="1"/>
  <c r="ASC1" i="1"/>
  <c r="ASD1" i="1"/>
  <c r="ASE1" i="1"/>
  <c r="ASF1" i="1"/>
  <c r="ASG1" i="1"/>
  <c r="ASH1" i="1"/>
  <c r="ASI1" i="1"/>
  <c r="ASJ1" i="1"/>
  <c r="ASK1" i="1"/>
  <c r="ASL1" i="1"/>
  <c r="ASM1" i="1"/>
  <c r="ASN1" i="1"/>
  <c r="ASO1" i="1"/>
  <c r="ASP1" i="1"/>
  <c r="ASQ1" i="1"/>
  <c r="ASR1" i="1"/>
  <c r="ASS1" i="1"/>
  <c r="AST1" i="1"/>
  <c r="ASU1" i="1"/>
  <c r="ASV1" i="1"/>
  <c r="ASW1" i="1"/>
  <c r="ASX1" i="1"/>
  <c r="ASY1" i="1"/>
  <c r="ASZ1" i="1"/>
  <c r="ATA1" i="1"/>
  <c r="ATB1" i="1"/>
  <c r="ATC1" i="1"/>
  <c r="ATD1" i="1"/>
  <c r="ATE1" i="1"/>
  <c r="ATF1" i="1"/>
  <c r="ATG1" i="1"/>
  <c r="ATH1" i="1"/>
  <c r="ATI1" i="1"/>
  <c r="ATJ1" i="1"/>
  <c r="ATK1" i="1"/>
  <c r="ATL1" i="1"/>
  <c r="ATM1" i="1"/>
  <c r="ATN1" i="1"/>
  <c r="ATO1" i="1"/>
  <c r="ATP1" i="1"/>
  <c r="ATQ1" i="1"/>
  <c r="ATR1" i="1"/>
  <c r="ATS1" i="1"/>
  <c r="ATT1" i="1"/>
  <c r="ATU1" i="1"/>
  <c r="ATV1" i="1"/>
  <c r="ATW1" i="1"/>
  <c r="ATX1" i="1"/>
  <c r="ATY1" i="1"/>
  <c r="ATZ1" i="1"/>
  <c r="AUA1" i="1"/>
  <c r="AUB1" i="1"/>
  <c r="AUC1" i="1"/>
  <c r="AUD1" i="1"/>
  <c r="AUE1" i="1"/>
  <c r="AUF1" i="1"/>
  <c r="AUG1" i="1"/>
  <c r="AUH1" i="1"/>
  <c r="AUI1" i="1"/>
  <c r="AUJ1" i="1"/>
  <c r="AUK1" i="1"/>
  <c r="AUL1" i="1"/>
  <c r="AUM1" i="1"/>
  <c r="AUN1" i="1"/>
  <c r="AUO1" i="1"/>
  <c r="AUP1" i="1"/>
  <c r="AUQ1" i="1"/>
  <c r="AUR1" i="1"/>
  <c r="AUS1" i="1"/>
  <c r="AUT1" i="1"/>
  <c r="AUU1" i="1"/>
  <c r="AUV1" i="1"/>
  <c r="AUW1" i="1"/>
  <c r="AUX1" i="1"/>
  <c r="AUY1" i="1"/>
  <c r="AUZ1" i="1"/>
  <c r="AVA1" i="1"/>
  <c r="AVB1" i="1"/>
  <c r="AVC1" i="1"/>
  <c r="AVD1" i="1"/>
  <c r="AVE1" i="1"/>
  <c r="AVF1" i="1"/>
  <c r="AVG1" i="1"/>
  <c r="AVH1" i="1"/>
  <c r="AVI1" i="1"/>
  <c r="AVJ1" i="1"/>
  <c r="AVK1" i="1"/>
  <c r="AVL1" i="1"/>
  <c r="AVM1" i="1"/>
  <c r="AVN1" i="1"/>
  <c r="AVO1" i="1"/>
  <c r="AVP1" i="1"/>
  <c r="AVQ1" i="1"/>
  <c r="AVR1" i="1"/>
  <c r="AVS1" i="1"/>
  <c r="AVT1" i="1"/>
  <c r="AVU1" i="1"/>
  <c r="AVV1" i="1"/>
  <c r="AVW1" i="1"/>
  <c r="AVX1" i="1"/>
  <c r="AVY1" i="1"/>
  <c r="AVZ1" i="1"/>
  <c r="AWA1" i="1"/>
  <c r="AWB1" i="1"/>
  <c r="AWC1" i="1"/>
  <c r="AWD1" i="1"/>
  <c r="AWE1" i="1"/>
  <c r="AWF1" i="1"/>
  <c r="AWG1" i="1"/>
  <c r="AWH1" i="1"/>
  <c r="AWI1" i="1"/>
  <c r="AWJ1" i="1"/>
  <c r="AWK1" i="1"/>
  <c r="AWL1" i="1"/>
  <c r="AWM1" i="1"/>
  <c r="AWN1" i="1"/>
  <c r="AWO1" i="1"/>
  <c r="AWP1" i="1"/>
  <c r="AWQ1" i="1"/>
  <c r="AWR1" i="1"/>
  <c r="AWS1" i="1"/>
  <c r="AWT1" i="1"/>
  <c r="AWU1" i="1"/>
  <c r="AWV1" i="1"/>
  <c r="AWW1" i="1"/>
  <c r="AWX1" i="1"/>
  <c r="AWY1" i="1"/>
  <c r="AWZ1" i="1"/>
  <c r="AXA1" i="1"/>
  <c r="AXB1" i="1"/>
  <c r="AXC1" i="1"/>
  <c r="AXD1" i="1"/>
  <c r="AXE1" i="1"/>
  <c r="AXF1" i="1"/>
  <c r="AXG1" i="1"/>
  <c r="AXH1" i="1"/>
  <c r="AXI1" i="1"/>
  <c r="AXJ1" i="1"/>
  <c r="AXK1" i="1"/>
  <c r="AXL1" i="1"/>
  <c r="AXM1" i="1"/>
  <c r="AXN1" i="1"/>
  <c r="AXO1" i="1"/>
  <c r="AXP1" i="1"/>
  <c r="AXQ1" i="1"/>
  <c r="AXR1" i="1"/>
  <c r="AXS1" i="1"/>
  <c r="AXT1" i="1"/>
  <c r="AXU1" i="1"/>
  <c r="AXV1" i="1"/>
  <c r="AXW1" i="1"/>
  <c r="AXX1" i="1"/>
  <c r="AXY1" i="1"/>
  <c r="AXZ1" i="1"/>
  <c r="AYA1" i="1"/>
  <c r="AYB1" i="1"/>
  <c r="AYC1" i="1"/>
  <c r="AYD1" i="1"/>
  <c r="AYE1" i="1"/>
  <c r="AYF1" i="1"/>
  <c r="AYG1" i="1"/>
  <c r="AYH1" i="1"/>
  <c r="AYI1" i="1"/>
  <c r="AYJ1" i="1"/>
  <c r="AYK1" i="1"/>
  <c r="AYL1" i="1"/>
  <c r="AYM1" i="1"/>
  <c r="AYN1" i="1"/>
  <c r="AYO1" i="1"/>
  <c r="AYP1" i="1"/>
  <c r="AYQ1" i="1"/>
  <c r="AYR1" i="1"/>
  <c r="AYS1" i="1"/>
  <c r="AYT1" i="1"/>
  <c r="AYU1" i="1"/>
  <c r="AYV1" i="1"/>
  <c r="AYW1" i="1"/>
  <c r="AYX1" i="1"/>
  <c r="AYY1" i="1"/>
  <c r="AYZ1" i="1"/>
  <c r="AZA1" i="1"/>
  <c r="AZB1" i="1"/>
  <c r="AZC1" i="1"/>
  <c r="AZD1" i="1"/>
  <c r="AZE1" i="1"/>
  <c r="AZF1" i="1"/>
  <c r="AZG1" i="1"/>
  <c r="AZH1" i="1"/>
  <c r="AZI1" i="1"/>
  <c r="AZJ1" i="1"/>
  <c r="AZK1" i="1"/>
  <c r="AZL1" i="1"/>
  <c r="AZM1" i="1"/>
  <c r="AZN1" i="1"/>
  <c r="AZO1" i="1"/>
  <c r="AZP1" i="1"/>
  <c r="AZQ1" i="1"/>
  <c r="AZR1" i="1"/>
  <c r="AZS1" i="1"/>
  <c r="AZT1" i="1"/>
  <c r="AZU1" i="1"/>
  <c r="AZV1" i="1"/>
  <c r="AZW1" i="1"/>
  <c r="AZX1" i="1"/>
  <c r="AZY1" i="1"/>
  <c r="AZZ1" i="1"/>
  <c r="BAA1" i="1"/>
  <c r="BAB1" i="1"/>
  <c r="BAC1" i="1"/>
  <c r="BAD1" i="1"/>
  <c r="BAE1" i="1"/>
  <c r="BAF1" i="1"/>
  <c r="BAG1" i="1"/>
  <c r="BAH1" i="1"/>
  <c r="BAI1" i="1"/>
  <c r="BAJ1" i="1"/>
  <c r="BAK1" i="1"/>
  <c r="BAL1" i="1"/>
  <c r="BAM1" i="1"/>
  <c r="BAN1" i="1"/>
  <c r="BAO1" i="1"/>
  <c r="BAP1" i="1"/>
  <c r="BAQ1" i="1"/>
  <c r="BAR1" i="1"/>
  <c r="BAS1" i="1"/>
  <c r="BAT1" i="1"/>
  <c r="BAU1" i="1"/>
  <c r="BAV1" i="1"/>
  <c r="BAW1" i="1"/>
  <c r="BAX1" i="1"/>
  <c r="BAY1" i="1"/>
  <c r="BAZ1" i="1"/>
  <c r="BBA1" i="1"/>
  <c r="BBB1" i="1"/>
  <c r="BBC1" i="1"/>
  <c r="BBD1" i="1"/>
  <c r="BBE1" i="1"/>
  <c r="BBF1" i="1"/>
  <c r="BBG1" i="1"/>
  <c r="BBH1" i="1"/>
  <c r="BBI1" i="1"/>
  <c r="BBJ1" i="1"/>
  <c r="BBK1" i="1"/>
  <c r="BBL1" i="1"/>
  <c r="BBM1" i="1"/>
  <c r="BBN1" i="1"/>
  <c r="BBO1" i="1"/>
  <c r="BBP1" i="1"/>
  <c r="BBQ1" i="1"/>
  <c r="BBR1" i="1"/>
  <c r="BBS1" i="1"/>
  <c r="BBT1" i="1"/>
  <c r="BBU1" i="1"/>
  <c r="BBV1" i="1"/>
  <c r="BBW1" i="1"/>
  <c r="BBX1" i="1"/>
  <c r="BBY1" i="1"/>
  <c r="BBZ1" i="1"/>
  <c r="BCA1" i="1"/>
  <c r="BCB1" i="1"/>
  <c r="BCC1" i="1"/>
  <c r="BCD1" i="1"/>
  <c r="BCE1" i="1"/>
  <c r="BCF1" i="1"/>
  <c r="BCG1" i="1"/>
  <c r="BCH1" i="1"/>
  <c r="BCI1" i="1"/>
  <c r="BCJ1" i="1"/>
  <c r="BCK1" i="1"/>
  <c r="BCL1" i="1"/>
  <c r="BCM1" i="1"/>
  <c r="BCN1" i="1"/>
  <c r="BCO1" i="1"/>
  <c r="BCP1" i="1"/>
  <c r="BCQ1" i="1"/>
  <c r="BCR1" i="1"/>
  <c r="BCS1" i="1"/>
  <c r="BCT1" i="1"/>
  <c r="BCU1" i="1"/>
  <c r="BCV1" i="1"/>
  <c r="BCW1" i="1"/>
  <c r="BCX1" i="1"/>
  <c r="BCY1" i="1"/>
  <c r="BCZ1" i="1"/>
  <c r="BDA1" i="1"/>
  <c r="BDB1" i="1"/>
  <c r="BDC1" i="1"/>
  <c r="BDD1" i="1"/>
  <c r="BDE1" i="1"/>
  <c r="BDF1" i="1"/>
  <c r="BDG1" i="1"/>
  <c r="BDH1" i="1"/>
  <c r="BDI1" i="1"/>
  <c r="BDJ1" i="1"/>
  <c r="BDK1" i="1"/>
  <c r="BDL1" i="1"/>
  <c r="BDM1" i="1"/>
  <c r="BDN1" i="1"/>
  <c r="BDO1" i="1"/>
  <c r="BDP1" i="1"/>
  <c r="BDQ1" i="1"/>
  <c r="BDR1" i="1"/>
  <c r="BDS1" i="1"/>
  <c r="BDT1" i="1"/>
  <c r="BDU1" i="1"/>
  <c r="BDV1" i="1"/>
  <c r="BDW1" i="1"/>
  <c r="BDX1" i="1"/>
  <c r="BDY1" i="1"/>
  <c r="BDZ1" i="1"/>
  <c r="BEA1" i="1"/>
  <c r="BEB1" i="1"/>
  <c r="BEC1" i="1"/>
  <c r="BED1" i="1"/>
  <c r="BEE1" i="1"/>
  <c r="BEF1" i="1"/>
  <c r="BEG1" i="1"/>
  <c r="BEH1" i="1"/>
  <c r="BEI1" i="1"/>
  <c r="BEJ1" i="1"/>
  <c r="BEK1" i="1"/>
  <c r="BEL1" i="1"/>
  <c r="BEM1" i="1"/>
  <c r="BEN1" i="1"/>
  <c r="BEO1" i="1"/>
  <c r="BEP1" i="1"/>
  <c r="BEQ1" i="1"/>
  <c r="BER1" i="1"/>
  <c r="BES1" i="1"/>
  <c r="BET1" i="1"/>
  <c r="BEU1" i="1"/>
  <c r="BEV1" i="1"/>
  <c r="BEW1" i="1"/>
  <c r="BEX1" i="1"/>
  <c r="BEY1" i="1"/>
  <c r="BEZ1" i="1"/>
  <c r="BFA1" i="1"/>
  <c r="BFB1" i="1"/>
  <c r="BFC1" i="1"/>
  <c r="BFD1" i="1"/>
  <c r="BFE1" i="1"/>
  <c r="BFF1" i="1"/>
  <c r="BFG1" i="1"/>
  <c r="BFH1" i="1"/>
  <c r="BFI1" i="1"/>
  <c r="BFJ1" i="1"/>
  <c r="BFK1" i="1"/>
  <c r="BFL1" i="1"/>
  <c r="BFM1" i="1"/>
  <c r="BFN1" i="1"/>
  <c r="BFO1" i="1"/>
  <c r="BFP1" i="1"/>
  <c r="BFQ1" i="1"/>
  <c r="BFR1" i="1"/>
  <c r="BFS1" i="1"/>
  <c r="BFT1" i="1"/>
  <c r="BFU1" i="1"/>
  <c r="BFV1" i="1"/>
  <c r="BFW1" i="1"/>
  <c r="BFX1" i="1"/>
  <c r="BFY1" i="1"/>
  <c r="BFZ1" i="1"/>
  <c r="BGA1" i="1"/>
  <c r="BGB1" i="1"/>
  <c r="BGC1" i="1"/>
  <c r="BGD1" i="1"/>
  <c r="BGE1" i="1"/>
  <c r="BGF1" i="1"/>
  <c r="BGG1" i="1"/>
  <c r="BGH1" i="1"/>
  <c r="BGI1" i="1"/>
  <c r="BGJ1" i="1"/>
  <c r="BGK1" i="1"/>
  <c r="BGL1" i="1"/>
  <c r="BGM1" i="1"/>
  <c r="BGN1" i="1"/>
  <c r="BGO1" i="1"/>
  <c r="BGP1" i="1"/>
  <c r="BGQ1" i="1"/>
  <c r="BGR1" i="1"/>
  <c r="BGS1" i="1"/>
  <c r="BGT1" i="1"/>
  <c r="BGU1" i="1"/>
  <c r="BGV1" i="1"/>
  <c r="BGW1" i="1"/>
  <c r="BGX1" i="1"/>
  <c r="BGY1" i="1"/>
  <c r="BGZ1" i="1"/>
  <c r="BHA1" i="1"/>
  <c r="BHB1" i="1"/>
  <c r="BHC1" i="1"/>
  <c r="BHD1" i="1"/>
  <c r="BHE1" i="1"/>
  <c r="BHF1" i="1"/>
  <c r="BHG1" i="1"/>
  <c r="BHH1" i="1"/>
  <c r="BHI1" i="1"/>
  <c r="BHJ1" i="1"/>
  <c r="BHK1" i="1"/>
  <c r="BHL1" i="1"/>
  <c r="BHM1" i="1"/>
  <c r="BHN1" i="1"/>
  <c r="BHO1" i="1"/>
  <c r="BHP1" i="1"/>
  <c r="BHQ1" i="1"/>
  <c r="BHR1" i="1"/>
  <c r="BHS1" i="1"/>
  <c r="BHT1" i="1"/>
  <c r="BHU1" i="1"/>
  <c r="BHV1" i="1"/>
  <c r="BHW1" i="1"/>
  <c r="BHX1" i="1"/>
  <c r="BHY1" i="1"/>
  <c r="BHZ1" i="1"/>
  <c r="BIA1" i="1"/>
  <c r="BIB1" i="1"/>
  <c r="BIC1" i="1"/>
  <c r="BID1" i="1"/>
  <c r="BIE1" i="1"/>
  <c r="BIF1" i="1"/>
  <c r="BIG1" i="1"/>
  <c r="BIH1" i="1"/>
  <c r="BII1" i="1"/>
  <c r="BIJ1" i="1"/>
  <c r="BIK1" i="1"/>
  <c r="BIL1" i="1"/>
  <c r="BIM1" i="1"/>
  <c r="BIN1" i="1"/>
  <c r="BIO1" i="1"/>
  <c r="BIP1" i="1"/>
  <c r="BIQ1" i="1"/>
  <c r="BIR1" i="1"/>
  <c r="BIS1" i="1"/>
  <c r="BIT1" i="1"/>
  <c r="BIU1" i="1"/>
  <c r="BIV1" i="1"/>
  <c r="BIW1" i="1"/>
  <c r="BIX1" i="1"/>
  <c r="BIY1" i="1"/>
  <c r="BIZ1" i="1"/>
  <c r="BJA1" i="1"/>
  <c r="BJB1" i="1"/>
  <c r="BJC1" i="1"/>
  <c r="BJD1" i="1"/>
  <c r="BJE1" i="1"/>
  <c r="BJF1" i="1"/>
  <c r="BJG1" i="1"/>
  <c r="BJH1" i="1"/>
  <c r="BJI1" i="1"/>
  <c r="BJJ1" i="1"/>
  <c r="BJK1" i="1"/>
  <c r="BJL1" i="1"/>
  <c r="BJM1" i="1"/>
  <c r="BJN1" i="1"/>
  <c r="BJO1" i="1"/>
  <c r="BJP1" i="1"/>
  <c r="BJQ1" i="1"/>
  <c r="BJR1" i="1"/>
  <c r="BJS1" i="1"/>
  <c r="BJT1" i="1"/>
  <c r="BJU1" i="1"/>
  <c r="BJV1" i="1"/>
  <c r="BJW1" i="1"/>
  <c r="BJX1" i="1"/>
  <c r="BJY1" i="1"/>
  <c r="BJZ1" i="1"/>
  <c r="BKA1" i="1"/>
  <c r="BKB1" i="1"/>
  <c r="BKC1" i="1"/>
  <c r="BKD1" i="1"/>
  <c r="BKE1" i="1"/>
  <c r="BKF1" i="1"/>
  <c r="BKG1" i="1"/>
  <c r="BKH1" i="1"/>
  <c r="BKI1" i="1"/>
  <c r="BKJ1" i="1"/>
  <c r="BKK1" i="1"/>
  <c r="BKL1" i="1"/>
  <c r="BKM1" i="1"/>
  <c r="BKN1" i="1"/>
  <c r="BKO1" i="1"/>
  <c r="BKP1" i="1"/>
  <c r="BKQ1" i="1"/>
  <c r="BKR1" i="1"/>
  <c r="BKS1" i="1"/>
  <c r="BKT1" i="1"/>
  <c r="BKU1" i="1"/>
  <c r="BKV1" i="1"/>
  <c r="BKW1" i="1"/>
  <c r="BKX1" i="1"/>
  <c r="BKY1" i="1"/>
  <c r="BKZ1" i="1"/>
  <c r="BLA1" i="1"/>
  <c r="BLB1" i="1"/>
  <c r="BLC1" i="1"/>
  <c r="BLD1" i="1"/>
  <c r="BLE1" i="1"/>
  <c r="BLF1" i="1"/>
  <c r="BLG1" i="1"/>
  <c r="BLH1" i="1"/>
  <c r="BLI1" i="1"/>
  <c r="BLJ1" i="1"/>
  <c r="BLK1" i="1"/>
  <c r="BLL1" i="1"/>
  <c r="BLM1" i="1"/>
  <c r="BLN1" i="1"/>
  <c r="BLO1" i="1"/>
  <c r="BLP1" i="1"/>
  <c r="BLQ1" i="1"/>
  <c r="BLR1" i="1"/>
  <c r="BLS1" i="1"/>
  <c r="BLT1" i="1"/>
  <c r="BLU1" i="1"/>
  <c r="BLV1" i="1"/>
  <c r="BLW1" i="1"/>
  <c r="BLX1" i="1"/>
  <c r="BLY1" i="1"/>
  <c r="BLZ1" i="1"/>
  <c r="BMA1" i="1"/>
  <c r="BMB1" i="1"/>
  <c r="BMC1" i="1"/>
  <c r="BMD1" i="1"/>
  <c r="BME1" i="1"/>
  <c r="BMF1" i="1"/>
  <c r="BMG1" i="1"/>
  <c r="BMH1" i="1"/>
  <c r="BMI1" i="1"/>
  <c r="BMJ1" i="1"/>
  <c r="BMK1" i="1"/>
  <c r="BML1" i="1"/>
  <c r="BMM1" i="1"/>
  <c r="BMN1" i="1"/>
  <c r="BMO1" i="1"/>
  <c r="BMP1" i="1"/>
  <c r="BMQ1" i="1"/>
  <c r="BMR1" i="1"/>
  <c r="BMS1" i="1"/>
  <c r="BMT1" i="1"/>
  <c r="BMU1" i="1"/>
  <c r="BMV1" i="1"/>
  <c r="BMW1" i="1"/>
  <c r="BMX1" i="1"/>
  <c r="BMY1" i="1"/>
  <c r="BMZ1" i="1"/>
  <c r="BNA1" i="1"/>
  <c r="BNB1" i="1"/>
  <c r="BNC1" i="1"/>
  <c r="BND1" i="1"/>
  <c r="BNE1" i="1"/>
  <c r="BNF1" i="1"/>
  <c r="BNG1" i="1"/>
  <c r="BNH1" i="1"/>
  <c r="BNI1" i="1"/>
  <c r="BNJ1" i="1"/>
  <c r="BNK1" i="1"/>
  <c r="BNL1" i="1"/>
  <c r="BNM1" i="1"/>
  <c r="BNN1" i="1"/>
  <c r="BNO1" i="1"/>
  <c r="BNP1" i="1"/>
  <c r="BNQ1" i="1"/>
  <c r="BNR1" i="1"/>
  <c r="BNS1" i="1"/>
  <c r="BNT1" i="1"/>
  <c r="BNU1" i="1"/>
  <c r="BNV1" i="1"/>
  <c r="BNW1" i="1"/>
  <c r="BNX1" i="1"/>
  <c r="BNY1" i="1"/>
  <c r="BNZ1" i="1"/>
  <c r="BOA1" i="1"/>
  <c r="BOB1" i="1"/>
  <c r="BOC1" i="1"/>
  <c r="BOD1" i="1"/>
  <c r="BOE1" i="1"/>
  <c r="BOF1" i="1"/>
  <c r="BOG1" i="1"/>
  <c r="BOH1" i="1"/>
  <c r="BOI1" i="1"/>
  <c r="BOJ1" i="1"/>
  <c r="BOK1" i="1"/>
  <c r="BOL1" i="1"/>
  <c r="BOM1" i="1"/>
  <c r="BON1" i="1"/>
  <c r="BOO1" i="1"/>
  <c r="BOP1" i="1"/>
  <c r="BOQ1" i="1"/>
  <c r="BOR1" i="1"/>
  <c r="BOS1" i="1"/>
  <c r="BOT1" i="1"/>
  <c r="BOU1" i="1"/>
  <c r="BOV1" i="1"/>
  <c r="BOW1" i="1"/>
  <c r="BOX1" i="1"/>
  <c r="BOY1" i="1"/>
  <c r="BOZ1" i="1"/>
  <c r="BPA1" i="1"/>
  <c r="BPB1" i="1"/>
  <c r="BPC1" i="1"/>
  <c r="BPD1" i="1"/>
  <c r="BPE1" i="1"/>
  <c r="BPF1" i="1"/>
  <c r="BPG1" i="1"/>
  <c r="BPH1" i="1"/>
  <c r="BPI1" i="1"/>
  <c r="BPJ1" i="1"/>
  <c r="BPK1" i="1"/>
  <c r="BPL1" i="1"/>
  <c r="BPM1" i="1"/>
  <c r="BPN1" i="1"/>
  <c r="BPO1" i="1"/>
  <c r="BPP1" i="1"/>
  <c r="BPQ1" i="1"/>
  <c r="BPR1" i="1"/>
  <c r="BPS1" i="1"/>
  <c r="BPT1" i="1"/>
  <c r="BPU1" i="1"/>
  <c r="BPV1" i="1"/>
  <c r="BPW1" i="1"/>
  <c r="BPX1" i="1"/>
  <c r="BPY1" i="1"/>
  <c r="BPZ1" i="1"/>
  <c r="BQA1" i="1"/>
  <c r="BQB1" i="1"/>
  <c r="BQC1" i="1"/>
  <c r="BQD1" i="1"/>
  <c r="BQE1" i="1"/>
  <c r="BQF1" i="1"/>
  <c r="BQG1" i="1"/>
  <c r="BQH1" i="1"/>
  <c r="BQI1" i="1"/>
  <c r="BQJ1" i="1"/>
  <c r="BQK1" i="1"/>
  <c r="BQL1" i="1"/>
  <c r="BQM1" i="1"/>
  <c r="BQN1" i="1"/>
  <c r="BQO1" i="1"/>
  <c r="BQP1" i="1"/>
  <c r="BQQ1" i="1"/>
  <c r="BQR1" i="1"/>
  <c r="BQS1" i="1"/>
  <c r="BQT1" i="1"/>
  <c r="BQU1" i="1"/>
  <c r="BQV1" i="1"/>
  <c r="BQW1" i="1"/>
  <c r="BQX1" i="1"/>
  <c r="BQY1" i="1"/>
  <c r="BQZ1" i="1"/>
  <c r="BRA1" i="1"/>
  <c r="BRB1" i="1"/>
  <c r="BRC1" i="1"/>
  <c r="BRD1" i="1"/>
  <c r="BRE1" i="1"/>
  <c r="BRF1" i="1"/>
  <c r="BRG1" i="1"/>
  <c r="BRH1" i="1"/>
  <c r="BRI1" i="1"/>
  <c r="BRJ1" i="1"/>
  <c r="BRK1" i="1"/>
  <c r="BRL1" i="1"/>
  <c r="BRM1" i="1"/>
  <c r="BRN1" i="1"/>
  <c r="BRO1" i="1"/>
  <c r="BRP1" i="1"/>
  <c r="BRQ1" i="1"/>
  <c r="BRR1" i="1"/>
  <c r="BRS1" i="1"/>
  <c r="BRT1" i="1"/>
  <c r="BRU1" i="1"/>
  <c r="BRV1" i="1"/>
  <c r="BRW1" i="1"/>
  <c r="BRX1" i="1"/>
  <c r="BRY1" i="1"/>
  <c r="BRZ1" i="1"/>
  <c r="BSA1" i="1"/>
  <c r="BSB1" i="1"/>
  <c r="BSC1" i="1"/>
  <c r="BSD1" i="1"/>
  <c r="BSE1" i="1"/>
  <c r="BSF1" i="1"/>
  <c r="BSG1" i="1"/>
  <c r="BSH1" i="1"/>
  <c r="BSI1" i="1"/>
  <c r="BSJ1" i="1"/>
  <c r="BSK1" i="1"/>
  <c r="BSL1" i="1"/>
  <c r="BSM1" i="1"/>
  <c r="BSN1" i="1"/>
  <c r="BSO1" i="1"/>
  <c r="BSP1" i="1"/>
  <c r="BSQ1" i="1"/>
  <c r="BSR1" i="1"/>
  <c r="BSS1" i="1"/>
  <c r="BST1" i="1"/>
  <c r="BSU1" i="1"/>
  <c r="BSV1" i="1"/>
  <c r="BSW1" i="1"/>
  <c r="BSX1" i="1"/>
  <c r="BSY1" i="1"/>
  <c r="BSZ1" i="1"/>
  <c r="BTA1" i="1"/>
  <c r="BTB1" i="1"/>
  <c r="BTC1" i="1"/>
  <c r="BTD1" i="1"/>
  <c r="BTE1" i="1"/>
  <c r="BTF1" i="1"/>
  <c r="BTG1" i="1"/>
  <c r="BTH1" i="1"/>
  <c r="BTI1" i="1"/>
  <c r="BTJ1" i="1"/>
  <c r="BTK1" i="1"/>
  <c r="BTL1" i="1"/>
  <c r="BTM1" i="1"/>
  <c r="BTN1" i="1"/>
  <c r="BTO1" i="1"/>
  <c r="BTP1" i="1"/>
  <c r="BTQ1" i="1"/>
  <c r="BTR1" i="1"/>
  <c r="BTS1" i="1"/>
  <c r="BTT1" i="1"/>
  <c r="BTU1" i="1"/>
  <c r="BTV1" i="1"/>
  <c r="BTW1" i="1"/>
  <c r="BTX1" i="1"/>
  <c r="BTY1" i="1"/>
  <c r="BTZ1" i="1"/>
  <c r="BUA1" i="1"/>
  <c r="BUB1" i="1"/>
  <c r="BUC1" i="1"/>
  <c r="BUD1" i="1"/>
  <c r="BUE1" i="1"/>
  <c r="BUF1" i="1"/>
  <c r="BUG1" i="1"/>
  <c r="BUH1" i="1"/>
  <c r="BUI1" i="1"/>
  <c r="BUJ1" i="1"/>
  <c r="BUK1" i="1"/>
  <c r="BUL1" i="1"/>
  <c r="BUM1" i="1"/>
  <c r="BUN1" i="1"/>
  <c r="BUO1" i="1"/>
  <c r="BUP1" i="1"/>
  <c r="BUQ1" i="1"/>
  <c r="BUR1" i="1"/>
  <c r="BUS1" i="1"/>
  <c r="BUT1" i="1"/>
  <c r="BUU1" i="1"/>
  <c r="BUV1" i="1"/>
  <c r="BUW1" i="1"/>
  <c r="BUX1" i="1"/>
  <c r="BUY1" i="1"/>
  <c r="BUZ1" i="1"/>
  <c r="BVA1" i="1"/>
  <c r="BVB1" i="1"/>
  <c r="BVC1" i="1"/>
  <c r="BVD1" i="1"/>
  <c r="BVE1" i="1"/>
  <c r="BVF1" i="1"/>
  <c r="BVG1" i="1"/>
  <c r="BVH1" i="1"/>
  <c r="BVI1" i="1"/>
  <c r="BVJ1" i="1"/>
  <c r="BVK1" i="1"/>
  <c r="BVL1" i="1"/>
  <c r="BVM1" i="1"/>
  <c r="BVN1" i="1"/>
  <c r="BVO1" i="1"/>
  <c r="BVP1" i="1"/>
  <c r="BVQ1" i="1"/>
  <c r="BVR1" i="1"/>
  <c r="BVS1" i="1"/>
  <c r="BVT1" i="1"/>
  <c r="BVU1" i="1"/>
  <c r="BVV1" i="1"/>
  <c r="BVW1" i="1"/>
  <c r="BVX1" i="1"/>
  <c r="BVY1" i="1"/>
  <c r="BVZ1" i="1"/>
  <c r="BWA1" i="1"/>
  <c r="BWB1" i="1"/>
  <c r="BWC1" i="1"/>
  <c r="BWD1" i="1"/>
  <c r="BWE1" i="1"/>
  <c r="BWF1" i="1"/>
  <c r="BWG1" i="1"/>
  <c r="BWH1" i="1"/>
  <c r="BWI1" i="1"/>
  <c r="BWJ1" i="1"/>
  <c r="BWK1" i="1"/>
  <c r="BWL1" i="1"/>
  <c r="BWM1" i="1"/>
  <c r="BWN1" i="1"/>
  <c r="BWO1" i="1"/>
  <c r="BWP1" i="1"/>
  <c r="BWQ1" i="1"/>
  <c r="BWR1" i="1"/>
  <c r="BWS1" i="1"/>
  <c r="BWT1" i="1"/>
  <c r="BWU1" i="1"/>
  <c r="BWV1" i="1"/>
  <c r="BWW1" i="1"/>
  <c r="BWX1" i="1"/>
  <c r="BWY1" i="1"/>
  <c r="BWZ1" i="1"/>
  <c r="BXA1" i="1"/>
  <c r="BXB1" i="1"/>
  <c r="BXC1" i="1"/>
  <c r="BXD1" i="1"/>
  <c r="BXE1" i="1"/>
  <c r="BXF1" i="1"/>
  <c r="BXG1" i="1"/>
  <c r="BXH1" i="1"/>
  <c r="BXI1" i="1"/>
  <c r="BXJ1" i="1"/>
  <c r="BXK1" i="1"/>
  <c r="BXL1" i="1"/>
  <c r="BXM1" i="1"/>
  <c r="BXN1" i="1"/>
  <c r="BXO1" i="1"/>
  <c r="BXP1" i="1"/>
  <c r="BXQ1" i="1"/>
  <c r="BXR1" i="1"/>
  <c r="BXS1" i="1"/>
  <c r="BXT1" i="1"/>
  <c r="BXU1" i="1"/>
  <c r="BXV1" i="1"/>
  <c r="BXW1" i="1"/>
  <c r="BXX1" i="1"/>
  <c r="BXY1" i="1"/>
  <c r="BXZ1" i="1"/>
  <c r="BYA1" i="1"/>
  <c r="BYB1" i="1"/>
  <c r="BYC1" i="1"/>
  <c r="BYD1" i="1"/>
  <c r="BYE1" i="1"/>
  <c r="BYF1" i="1"/>
  <c r="BYG1" i="1"/>
  <c r="BYH1" i="1"/>
  <c r="BYI1" i="1"/>
  <c r="BYJ1" i="1"/>
  <c r="BYK1" i="1"/>
  <c r="BYL1" i="1"/>
  <c r="BYM1" i="1"/>
  <c r="BYN1" i="1"/>
  <c r="BYO1" i="1"/>
  <c r="BYP1" i="1"/>
  <c r="BYQ1" i="1"/>
  <c r="BYR1" i="1"/>
  <c r="BYS1" i="1"/>
  <c r="BYT1" i="1"/>
  <c r="BYU1" i="1"/>
  <c r="BYV1" i="1"/>
  <c r="BYW1" i="1"/>
  <c r="BYX1" i="1"/>
  <c r="BYY1" i="1"/>
  <c r="BYZ1" i="1"/>
  <c r="BZA1" i="1"/>
  <c r="BZB1" i="1"/>
  <c r="BZC1" i="1"/>
  <c r="BZD1" i="1"/>
  <c r="BZE1" i="1"/>
  <c r="BZF1" i="1"/>
  <c r="BZG1" i="1"/>
  <c r="BZH1" i="1"/>
  <c r="BZI1" i="1"/>
  <c r="BZJ1" i="1"/>
  <c r="BZK1" i="1"/>
  <c r="BZL1" i="1"/>
  <c r="BZM1" i="1"/>
  <c r="BZN1" i="1"/>
  <c r="BZO1" i="1"/>
  <c r="BZP1" i="1"/>
  <c r="BZQ1" i="1"/>
  <c r="BZR1" i="1"/>
  <c r="BZS1" i="1"/>
  <c r="BZT1" i="1"/>
  <c r="BZU1" i="1"/>
  <c r="BZV1" i="1"/>
  <c r="BZW1" i="1"/>
  <c r="BZX1" i="1"/>
  <c r="BZY1" i="1"/>
  <c r="BZZ1" i="1"/>
  <c r="CAA1" i="1"/>
  <c r="CAB1" i="1"/>
  <c r="CAC1" i="1"/>
  <c r="CAD1" i="1"/>
  <c r="CAE1" i="1"/>
  <c r="CAF1" i="1"/>
  <c r="CAG1" i="1"/>
  <c r="CAH1" i="1"/>
  <c r="CAI1" i="1"/>
  <c r="CAJ1" i="1"/>
  <c r="CAK1" i="1"/>
  <c r="CAL1" i="1"/>
  <c r="CAM1" i="1"/>
  <c r="CAN1" i="1"/>
  <c r="CAO1" i="1"/>
  <c r="CAP1" i="1"/>
  <c r="CAQ1" i="1"/>
  <c r="CAR1" i="1"/>
  <c r="CAS1" i="1"/>
  <c r="CAT1" i="1"/>
  <c r="CAU1" i="1"/>
  <c r="CAV1" i="1"/>
  <c r="CAW1" i="1"/>
  <c r="CAX1" i="1"/>
  <c r="CAY1" i="1"/>
  <c r="CAZ1" i="1"/>
  <c r="CBA1" i="1"/>
  <c r="CBB1" i="1"/>
  <c r="CBC1" i="1"/>
  <c r="CBD1" i="1"/>
  <c r="CBE1" i="1"/>
  <c r="CBF1" i="1"/>
  <c r="CBG1" i="1"/>
  <c r="CBH1" i="1"/>
  <c r="CBI1" i="1"/>
  <c r="CBJ1" i="1"/>
  <c r="CBK1" i="1"/>
  <c r="CBL1" i="1"/>
  <c r="CBM1" i="1"/>
  <c r="CBN1" i="1"/>
  <c r="CBO1" i="1"/>
  <c r="CBP1" i="1"/>
  <c r="CBQ1" i="1"/>
  <c r="CBR1" i="1"/>
  <c r="CBS1" i="1"/>
  <c r="CBT1" i="1"/>
  <c r="CBU1" i="1"/>
  <c r="CBV1" i="1"/>
  <c r="CBW1" i="1"/>
  <c r="CBX1" i="1"/>
  <c r="CBY1" i="1"/>
  <c r="CBZ1" i="1"/>
  <c r="CCA1" i="1"/>
  <c r="CCB1" i="1"/>
  <c r="CCC1" i="1"/>
  <c r="CCD1" i="1"/>
  <c r="CCE1" i="1"/>
  <c r="CCF1" i="1"/>
  <c r="CCG1" i="1"/>
  <c r="CCH1" i="1"/>
  <c r="CCI1" i="1"/>
  <c r="CCJ1" i="1"/>
  <c r="CCK1" i="1"/>
  <c r="CCL1" i="1"/>
  <c r="CCM1" i="1"/>
  <c r="CCN1" i="1"/>
  <c r="CCO1" i="1"/>
  <c r="CCP1" i="1"/>
  <c r="CCQ1" i="1"/>
  <c r="CCR1" i="1"/>
  <c r="CCS1" i="1"/>
  <c r="CCT1" i="1"/>
  <c r="CCU1" i="1"/>
  <c r="CCV1" i="1"/>
  <c r="CCW1" i="1"/>
  <c r="CCX1" i="1"/>
  <c r="CCY1" i="1"/>
  <c r="CCZ1" i="1"/>
  <c r="CDA1" i="1"/>
  <c r="CDB1" i="1"/>
  <c r="CDC1" i="1"/>
  <c r="CDD1" i="1"/>
  <c r="CDE1" i="1"/>
  <c r="CDF1" i="1"/>
  <c r="CDG1" i="1"/>
  <c r="CDH1" i="1"/>
  <c r="CDI1" i="1"/>
  <c r="CDJ1" i="1"/>
  <c r="CDK1" i="1"/>
  <c r="CDL1" i="1"/>
  <c r="CDM1" i="1"/>
  <c r="CDN1" i="1"/>
  <c r="CDO1" i="1"/>
  <c r="CDP1" i="1"/>
  <c r="CDQ1" i="1"/>
  <c r="CDR1" i="1"/>
  <c r="CDS1" i="1"/>
  <c r="CDT1" i="1"/>
  <c r="CDU1" i="1"/>
  <c r="CDV1" i="1"/>
  <c r="CDW1" i="1"/>
  <c r="CDX1" i="1"/>
  <c r="CDY1" i="1"/>
  <c r="CDZ1" i="1"/>
  <c r="CEA1" i="1"/>
  <c r="CEB1" i="1"/>
  <c r="CEC1" i="1"/>
  <c r="CED1" i="1"/>
  <c r="CEE1" i="1"/>
  <c r="CEF1" i="1"/>
  <c r="CEG1" i="1"/>
  <c r="CEH1" i="1"/>
  <c r="CEI1" i="1"/>
  <c r="CEJ1" i="1"/>
  <c r="CEK1" i="1"/>
  <c r="CEL1" i="1"/>
  <c r="CEM1" i="1"/>
  <c r="CEN1" i="1"/>
  <c r="CEO1" i="1"/>
  <c r="CEP1" i="1"/>
  <c r="CEQ1" i="1"/>
  <c r="CER1" i="1"/>
  <c r="CES1" i="1"/>
  <c r="CET1" i="1"/>
  <c r="CEU1" i="1"/>
  <c r="CEV1" i="1"/>
  <c r="CEW1" i="1"/>
  <c r="CEX1" i="1"/>
  <c r="CEY1" i="1"/>
  <c r="CEZ1" i="1"/>
  <c r="CFA1" i="1"/>
  <c r="CFB1" i="1"/>
  <c r="CFC1" i="1"/>
  <c r="CFD1" i="1"/>
  <c r="CFE1" i="1"/>
  <c r="CFF1" i="1"/>
  <c r="CFG1" i="1"/>
  <c r="CFH1" i="1"/>
  <c r="CFI1" i="1"/>
  <c r="CFJ1" i="1"/>
  <c r="CFK1" i="1"/>
  <c r="CFL1" i="1"/>
  <c r="CFM1" i="1"/>
  <c r="CFN1" i="1"/>
  <c r="CFO1" i="1"/>
  <c r="CFP1" i="1"/>
  <c r="CFQ1" i="1"/>
  <c r="CFR1" i="1"/>
  <c r="CFS1" i="1"/>
  <c r="CFT1" i="1"/>
  <c r="CFU1" i="1"/>
  <c r="CFV1" i="1"/>
  <c r="CFW1" i="1"/>
  <c r="CFX1" i="1"/>
  <c r="CFY1" i="1"/>
  <c r="CFZ1" i="1"/>
  <c r="CGA1" i="1"/>
  <c r="CGB1" i="1"/>
  <c r="CGC1" i="1"/>
  <c r="CGD1" i="1"/>
  <c r="CGE1" i="1"/>
  <c r="CGF1" i="1"/>
  <c r="CGG1" i="1"/>
  <c r="CGH1" i="1"/>
  <c r="CGI1" i="1"/>
  <c r="CGJ1" i="1"/>
  <c r="CGK1" i="1"/>
  <c r="CGL1" i="1"/>
  <c r="CGM1" i="1"/>
  <c r="CGN1" i="1"/>
  <c r="CGO1" i="1"/>
  <c r="CGP1" i="1"/>
  <c r="CGQ1" i="1"/>
  <c r="CGR1" i="1"/>
  <c r="CGS1" i="1"/>
  <c r="CGT1" i="1"/>
  <c r="CGU1" i="1"/>
  <c r="CGV1" i="1"/>
  <c r="CGW1" i="1"/>
  <c r="CGX1" i="1"/>
  <c r="CGY1" i="1"/>
  <c r="CGZ1" i="1"/>
  <c r="CHA1" i="1"/>
  <c r="CHB1" i="1"/>
  <c r="CHC1" i="1"/>
  <c r="CHD1" i="1"/>
  <c r="CHE1" i="1"/>
  <c r="CHF1" i="1"/>
  <c r="CHG1" i="1"/>
  <c r="CHH1" i="1"/>
  <c r="CHI1" i="1"/>
  <c r="CHJ1" i="1"/>
  <c r="CHK1" i="1"/>
  <c r="CHL1" i="1"/>
  <c r="CHM1" i="1"/>
  <c r="CHN1" i="1"/>
  <c r="CHO1" i="1"/>
  <c r="CHP1" i="1"/>
  <c r="CHQ1" i="1"/>
  <c r="CHR1" i="1"/>
  <c r="CHS1" i="1"/>
  <c r="CHT1" i="1"/>
  <c r="CHU1" i="1"/>
  <c r="CHV1" i="1"/>
  <c r="CHW1" i="1"/>
  <c r="CHX1" i="1"/>
  <c r="CHY1" i="1"/>
  <c r="CHZ1" i="1"/>
  <c r="CIA1" i="1"/>
  <c r="CIB1" i="1"/>
  <c r="CIC1" i="1"/>
  <c r="CID1" i="1"/>
  <c r="CIE1" i="1"/>
  <c r="CIF1" i="1"/>
  <c r="CIG1" i="1"/>
  <c r="CIH1" i="1"/>
  <c r="CII1" i="1"/>
  <c r="CIJ1" i="1"/>
  <c r="CIK1" i="1"/>
  <c r="CIL1" i="1"/>
  <c r="CIM1" i="1"/>
  <c r="CIN1" i="1"/>
  <c r="CIO1" i="1"/>
  <c r="CIP1" i="1"/>
  <c r="CIQ1" i="1"/>
  <c r="CIR1" i="1"/>
  <c r="CIS1" i="1"/>
  <c r="CIT1" i="1"/>
  <c r="CIU1" i="1"/>
  <c r="CIV1" i="1"/>
  <c r="CIW1" i="1"/>
  <c r="CIX1" i="1"/>
  <c r="CIY1" i="1"/>
  <c r="CIZ1" i="1"/>
  <c r="CJA1" i="1"/>
  <c r="CJB1" i="1"/>
  <c r="CJC1" i="1"/>
  <c r="CJD1" i="1"/>
  <c r="CJE1" i="1"/>
  <c r="CJF1" i="1"/>
  <c r="CJG1" i="1"/>
  <c r="CJH1" i="1"/>
  <c r="CJI1" i="1"/>
  <c r="CJJ1" i="1"/>
  <c r="CJK1" i="1"/>
  <c r="CJL1" i="1"/>
  <c r="CJM1" i="1"/>
  <c r="CJN1" i="1"/>
  <c r="CJO1" i="1"/>
  <c r="CJP1" i="1"/>
  <c r="CJQ1" i="1"/>
  <c r="CJR1" i="1"/>
  <c r="CJS1" i="1"/>
  <c r="CJT1" i="1"/>
  <c r="CJU1" i="1"/>
  <c r="CJV1" i="1"/>
  <c r="CJW1" i="1"/>
  <c r="CJX1" i="1"/>
  <c r="CJY1" i="1"/>
  <c r="CJZ1" i="1"/>
  <c r="CKA1" i="1"/>
  <c r="CKB1" i="1"/>
  <c r="CKC1" i="1"/>
  <c r="CKD1" i="1"/>
  <c r="CKE1" i="1"/>
  <c r="CKF1" i="1"/>
  <c r="CKG1" i="1"/>
  <c r="CKH1" i="1"/>
  <c r="CKI1" i="1"/>
  <c r="CKJ1" i="1"/>
  <c r="CKK1" i="1"/>
  <c r="CKL1" i="1"/>
  <c r="CKM1" i="1"/>
  <c r="CKN1" i="1"/>
  <c r="CKO1" i="1"/>
  <c r="CKP1" i="1"/>
  <c r="CKQ1" i="1"/>
  <c r="CKR1" i="1"/>
  <c r="CKS1" i="1"/>
  <c r="CKT1" i="1"/>
  <c r="CKU1" i="1"/>
  <c r="CKV1" i="1"/>
  <c r="CKW1" i="1"/>
  <c r="CKX1" i="1"/>
  <c r="CKY1" i="1"/>
  <c r="CKZ1" i="1"/>
  <c r="CLA1" i="1"/>
  <c r="CLB1" i="1"/>
  <c r="CLC1" i="1"/>
  <c r="CLD1" i="1"/>
  <c r="CLE1" i="1"/>
  <c r="CLF1" i="1"/>
  <c r="CLG1" i="1"/>
  <c r="CLH1" i="1"/>
  <c r="CLI1" i="1"/>
  <c r="CLJ1" i="1"/>
  <c r="CLK1" i="1"/>
  <c r="CLL1" i="1"/>
  <c r="CLM1" i="1"/>
  <c r="CLN1" i="1"/>
  <c r="CLO1" i="1"/>
  <c r="CLP1" i="1"/>
  <c r="CLQ1" i="1"/>
  <c r="CLR1" i="1"/>
  <c r="CLS1" i="1"/>
  <c r="CLT1" i="1"/>
  <c r="CLU1" i="1"/>
  <c r="CLV1" i="1"/>
  <c r="CLW1" i="1"/>
  <c r="CLX1" i="1"/>
  <c r="CLY1" i="1"/>
  <c r="CLZ1" i="1"/>
  <c r="CMA1" i="1"/>
  <c r="CMB1" i="1"/>
  <c r="CMC1" i="1"/>
  <c r="CMD1" i="1"/>
  <c r="CME1" i="1"/>
  <c r="CMF1" i="1"/>
  <c r="CMG1" i="1"/>
  <c r="CMH1" i="1"/>
  <c r="CMI1" i="1"/>
  <c r="CMJ1" i="1"/>
  <c r="CMK1" i="1"/>
  <c r="CML1" i="1"/>
  <c r="CMM1" i="1"/>
  <c r="CMN1" i="1"/>
  <c r="CMO1" i="1"/>
  <c r="CMP1" i="1"/>
  <c r="CMQ1" i="1"/>
  <c r="CMR1" i="1"/>
  <c r="CMS1" i="1"/>
  <c r="CMT1" i="1"/>
  <c r="CMU1" i="1"/>
  <c r="CMV1" i="1"/>
  <c r="CMW1" i="1"/>
  <c r="CMX1" i="1"/>
  <c r="CMY1" i="1"/>
  <c r="CMZ1" i="1"/>
  <c r="CNA1" i="1"/>
  <c r="CNB1" i="1"/>
  <c r="CNC1" i="1"/>
  <c r="CND1" i="1"/>
  <c r="CNE1" i="1"/>
  <c r="CNF1" i="1"/>
  <c r="CNG1" i="1"/>
  <c r="CNH1" i="1"/>
  <c r="CNI1" i="1"/>
  <c r="CNJ1" i="1"/>
  <c r="CNK1" i="1"/>
  <c r="CNL1" i="1"/>
  <c r="CNM1" i="1"/>
  <c r="CNN1" i="1"/>
  <c r="CNO1" i="1"/>
  <c r="CNP1" i="1"/>
  <c r="CNQ1" i="1"/>
  <c r="CNR1" i="1"/>
  <c r="CNS1" i="1"/>
  <c r="CNT1" i="1"/>
  <c r="CNU1" i="1"/>
  <c r="CNV1" i="1"/>
  <c r="CNW1" i="1"/>
  <c r="CNX1" i="1"/>
  <c r="CNY1" i="1"/>
  <c r="CNZ1" i="1"/>
  <c r="COA1" i="1"/>
  <c r="COB1" i="1"/>
  <c r="COC1" i="1"/>
  <c r="COD1" i="1"/>
  <c r="COE1" i="1"/>
  <c r="COF1" i="1"/>
  <c r="COG1" i="1"/>
  <c r="COH1" i="1"/>
  <c r="COI1" i="1"/>
  <c r="COJ1" i="1"/>
  <c r="COK1" i="1"/>
  <c r="COL1" i="1"/>
  <c r="COM1" i="1"/>
  <c r="CON1" i="1"/>
  <c r="COO1" i="1"/>
  <c r="COP1" i="1"/>
  <c r="COQ1" i="1"/>
  <c r="COR1" i="1"/>
  <c r="COS1" i="1"/>
  <c r="COT1" i="1"/>
  <c r="COU1" i="1"/>
  <c r="COV1" i="1"/>
  <c r="COW1" i="1"/>
  <c r="COX1" i="1"/>
  <c r="COY1" i="1"/>
  <c r="COZ1" i="1"/>
  <c r="CPA1" i="1"/>
  <c r="CPB1" i="1"/>
  <c r="CPC1" i="1"/>
  <c r="CPD1" i="1"/>
  <c r="CPE1" i="1"/>
  <c r="CPF1" i="1"/>
  <c r="CPG1" i="1"/>
  <c r="CPH1" i="1"/>
  <c r="CPI1" i="1"/>
  <c r="CPJ1" i="1"/>
  <c r="CPK1" i="1"/>
  <c r="CPL1" i="1"/>
  <c r="CPM1" i="1"/>
  <c r="CPN1" i="1"/>
  <c r="CPO1" i="1"/>
  <c r="CPP1" i="1"/>
  <c r="CPQ1" i="1"/>
  <c r="CPR1" i="1"/>
  <c r="CPS1" i="1"/>
  <c r="CPT1" i="1"/>
  <c r="CPU1" i="1"/>
  <c r="CPV1" i="1"/>
  <c r="CPW1" i="1"/>
  <c r="CPX1" i="1"/>
  <c r="CPY1" i="1"/>
  <c r="CPZ1" i="1"/>
  <c r="CQA1" i="1"/>
  <c r="CQB1" i="1"/>
  <c r="CQC1" i="1"/>
  <c r="CQD1" i="1"/>
  <c r="CQE1" i="1"/>
  <c r="CQF1" i="1"/>
  <c r="CQG1" i="1"/>
  <c r="CQH1" i="1"/>
  <c r="CQI1" i="1"/>
  <c r="CQJ1" i="1"/>
  <c r="CQK1" i="1"/>
  <c r="CQL1" i="1"/>
  <c r="CQM1" i="1"/>
  <c r="CQN1" i="1"/>
  <c r="CQO1" i="1"/>
  <c r="CQP1" i="1"/>
  <c r="CQQ1" i="1"/>
  <c r="CQR1" i="1"/>
  <c r="CQS1" i="1"/>
  <c r="CQT1" i="1"/>
  <c r="CQU1" i="1"/>
  <c r="CQV1" i="1"/>
  <c r="CQW1" i="1"/>
  <c r="CQX1" i="1"/>
  <c r="CQY1" i="1"/>
  <c r="CQZ1" i="1"/>
  <c r="CRA1" i="1"/>
  <c r="CRB1" i="1"/>
  <c r="CRC1" i="1"/>
  <c r="CRD1" i="1"/>
  <c r="CRE1" i="1"/>
  <c r="CRF1" i="1"/>
  <c r="CRG1" i="1"/>
  <c r="CRH1" i="1"/>
  <c r="CRI1" i="1"/>
  <c r="CRJ1" i="1"/>
  <c r="CRK1" i="1"/>
  <c r="CRL1" i="1"/>
  <c r="CRM1" i="1"/>
  <c r="CRN1" i="1"/>
  <c r="CRO1" i="1"/>
  <c r="CRP1" i="1"/>
  <c r="CRQ1" i="1"/>
  <c r="CRR1" i="1"/>
  <c r="CRS1" i="1"/>
  <c r="CRT1" i="1"/>
  <c r="CRU1" i="1"/>
  <c r="CRV1" i="1"/>
  <c r="CRW1" i="1"/>
  <c r="CRX1" i="1"/>
  <c r="CRY1" i="1"/>
  <c r="CRZ1" i="1"/>
  <c r="CSA1" i="1"/>
  <c r="CSB1" i="1"/>
  <c r="CSC1" i="1"/>
  <c r="CSD1" i="1"/>
  <c r="CSE1" i="1"/>
  <c r="CSF1" i="1"/>
  <c r="CSG1" i="1"/>
  <c r="CSH1" i="1"/>
  <c r="CSI1" i="1"/>
  <c r="CSJ1" i="1"/>
  <c r="BB1" i="1"/>
  <c r="BC1" i="1"/>
  <c r="BD1" i="1"/>
  <c r="BE1" i="1"/>
  <c r="BF1" i="1"/>
  <c r="BG1" i="1"/>
  <c r="BH1" i="1"/>
  <c r="BI1" i="1"/>
  <c r="BJ1" i="1"/>
  <c r="BK1" i="1"/>
  <c r="N1" i="1" l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M1" i="1"/>
  <c r="Q4" i="2" l="1"/>
  <c r="R4" i="2"/>
  <c r="Q9" i="2"/>
  <c r="L9" i="2" l="1"/>
  <c r="U9" i="2"/>
  <c r="M9" i="2"/>
  <c r="S9" i="2"/>
  <c r="K4" i="2"/>
  <c r="P4" i="2"/>
  <c r="P9" i="2"/>
  <c r="R9" i="2"/>
  <c r="N4" i="2"/>
  <c r="K9" i="2"/>
  <c r="S4" i="2"/>
  <c r="G4" i="2"/>
  <c r="T9" i="2"/>
  <c r="J9" i="2"/>
  <c r="U4" i="2"/>
  <c r="J4" i="2"/>
  <c r="L4" i="2"/>
  <c r="N9" i="2"/>
  <c r="H4" i="2"/>
  <c r="T4" i="2"/>
  <c r="O4" i="2"/>
  <c r="H9" i="2"/>
  <c r="O9" i="2"/>
  <c r="M4" i="2"/>
  <c r="G9" i="2"/>
  <c r="AM4" i="1"/>
  <c r="J6" i="1"/>
  <c r="T5" i="2" l="1"/>
  <c r="P5" i="2"/>
  <c r="G5" i="2"/>
  <c r="K5" i="2"/>
  <c r="I5" i="2"/>
  <c r="S5" i="2"/>
  <c r="J5" i="2"/>
  <c r="Q5" i="2"/>
  <c r="R5" i="2"/>
  <c r="N5" i="2"/>
  <c r="H5" i="2"/>
  <c r="F5" i="2"/>
  <c r="E5" i="2"/>
  <c r="M5" i="2"/>
  <c r="D5" i="2"/>
  <c r="L5" i="2"/>
  <c r="O5" i="2"/>
  <c r="U5" i="2"/>
  <c r="C5" i="2"/>
  <c r="K6" i="1"/>
  <c r="H6" i="1"/>
  <c r="R7" i="2"/>
  <c r="G7" i="2"/>
  <c r="K7" i="2"/>
  <c r="C7" i="2"/>
  <c r="F7" i="2"/>
  <c r="S7" i="2"/>
  <c r="O7" i="2"/>
  <c r="U7" i="2"/>
  <c r="N7" i="2"/>
  <c r="M7" i="2"/>
  <c r="P7" i="2"/>
  <c r="L7" i="2"/>
  <c r="I7" i="2"/>
  <c r="T7" i="2"/>
  <c r="Q7" i="2"/>
  <c r="E7" i="2"/>
  <c r="F9" i="2"/>
  <c r="J7" i="2"/>
  <c r="H7" i="2"/>
  <c r="D7" i="2"/>
  <c r="F4" i="2" l="1"/>
  <c r="I4" i="2"/>
  <c r="N6" i="2"/>
  <c r="I9" i="2"/>
  <c r="S6" i="2"/>
  <c r="R6" i="2"/>
  <c r="I6" i="2"/>
  <c r="L6" i="2"/>
  <c r="H6" i="2"/>
  <c r="T6" i="2"/>
  <c r="J6" i="2"/>
  <c r="C6" i="2"/>
  <c r="M6" i="2"/>
  <c r="F6" i="2"/>
  <c r="K6" i="2"/>
  <c r="D6" i="2"/>
  <c r="G6" i="2"/>
  <c r="E6" i="2"/>
  <c r="Q6" i="2"/>
  <c r="P6" i="2"/>
  <c r="U6" i="2"/>
  <c r="O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Сергей Шашков</author>
  </authors>
  <commentList>
    <comment ref="G4" authorId="0" shapeId="0" xr:uid="{2E7B41D0-0958-4C0A-8D89-1281F163A97E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H4" authorId="0" shapeId="0" xr:uid="{E41EF53B-B74A-46CB-9520-B4FBFC995E36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Оценка доли посещённых занятий
</t>
        </r>
      </text>
    </comment>
    <comment ref="I4" authorId="0" shapeId="0" xr:uid="{E7867362-2737-4EDA-8A3F-F2A4F6CE6FB3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Число пропусков подряд</t>
        </r>
      </text>
    </commen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I5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Количество пропусков подряд</t>
        </r>
      </text>
    </comment>
  </commentList>
</comments>
</file>

<file path=xl/sharedStrings.xml><?xml version="1.0" encoding="utf-8"?>
<sst xmlns="http://schemas.openxmlformats.org/spreadsheetml/2006/main" count="3323" uniqueCount="2999">
  <si>
    <t>Фамилия</t>
  </si>
  <si>
    <t>Имя</t>
  </si>
  <si>
    <t>ID</t>
  </si>
  <si>
    <t>Школа</t>
  </si>
  <si>
    <t>Скрыть</t>
  </si>
  <si>
    <t>Уровень</t>
  </si>
  <si>
    <t>Ауд</t>
  </si>
  <si>
    <t>Раз</t>
  </si>
  <si>
    <t>СрЗ</t>
  </si>
  <si>
    <t>01н.Н</t>
  </si>
  <si>
    <t>01п.Н</t>
  </si>
  <si>
    <t>02н.Н</t>
  </si>
  <si>
    <t>02п.Н</t>
  </si>
  <si>
    <t>03н.Н</t>
  </si>
  <si>
    <t>03п.Н</t>
  </si>
  <si>
    <t>04н.Н</t>
  </si>
  <si>
    <t>04п.Н</t>
  </si>
  <si>
    <t>05н.Н</t>
  </si>
  <si>
    <t>05п.Н</t>
  </si>
  <si>
    <t>06н.Н</t>
  </si>
  <si>
    <t>06п.Н</t>
  </si>
  <si>
    <t>07н.Н</t>
  </si>
  <si>
    <t>07п.Н</t>
  </si>
  <si>
    <t>08н.Н</t>
  </si>
  <si>
    <t>08п.Н</t>
  </si>
  <si>
    <t>10н.Н</t>
  </si>
  <si>
    <t>10п.Н</t>
  </si>
  <si>
    <t>11н.Н</t>
  </si>
  <si>
    <t>11п.Н</t>
  </si>
  <si>
    <t>12н.Н</t>
  </si>
  <si>
    <t>12п.Н</t>
  </si>
  <si>
    <t>13н.Н</t>
  </si>
  <si>
    <t>13п.Н</t>
  </si>
  <si>
    <t>14н.Н</t>
  </si>
  <si>
    <t>14п.Н</t>
  </si>
  <si>
    <t>15н.Н</t>
  </si>
  <si>
    <t>15п.Н</t>
  </si>
  <si>
    <t>16н.Н</t>
  </si>
  <si>
    <t>16п.Н</t>
  </si>
  <si>
    <t>17н.Н</t>
  </si>
  <si>
    <t>17п.Н</t>
  </si>
  <si>
    <t>18н.Н</t>
  </si>
  <si>
    <t>18п.Н</t>
  </si>
  <si>
    <t>19н.Н</t>
  </si>
  <si>
    <t>19п.Н</t>
  </si>
  <si>
    <t>20н.Н</t>
  </si>
  <si>
    <t>20п.Н</t>
  </si>
  <si>
    <t>21н.Н</t>
  </si>
  <si>
    <t>21п.Н</t>
  </si>
  <si>
    <t>22н.Н</t>
  </si>
  <si>
    <t>22п.Н</t>
  </si>
  <si>
    <t>23н.Н</t>
  </si>
  <si>
    <t>23п.Н</t>
  </si>
  <si>
    <t>24н.Н</t>
  </si>
  <si>
    <t>24п.Н</t>
  </si>
  <si>
    <t>25н.Н</t>
  </si>
  <si>
    <t>25п.Н</t>
  </si>
  <si>
    <t>26н.Н</t>
  </si>
  <si>
    <t>26п.Н</t>
  </si>
  <si>
    <t>27н.Н</t>
  </si>
  <si>
    <t>27п.Н</t>
  </si>
  <si>
    <t>28н.Н</t>
  </si>
  <si>
    <t>28п.Н</t>
  </si>
  <si>
    <t>29н.Н</t>
  </si>
  <si>
    <t>29п.Н</t>
  </si>
  <si>
    <t>30н.Н</t>
  </si>
  <si>
    <t>30п.Н</t>
  </si>
  <si>
    <t>31н.Н</t>
  </si>
  <si>
    <t>31п.Н</t>
  </si>
  <si>
    <t>32н.Н</t>
  </si>
  <si>
    <t>32п.Н</t>
  </si>
  <si>
    <t>33н.Н</t>
  </si>
  <si>
    <t>33п.Н</t>
  </si>
  <si>
    <t>34н.Н</t>
  </si>
  <si>
    <t>34п.Н</t>
  </si>
  <si>
    <t>35н.Н</t>
  </si>
  <si>
    <t>35п.Н</t>
  </si>
  <si>
    <t>36н.Н</t>
  </si>
  <si>
    <t>36п.Н</t>
  </si>
  <si>
    <t>37н.Н</t>
  </si>
  <si>
    <t>37п.Н</t>
  </si>
  <si>
    <t>38н.Н</t>
  </si>
  <si>
    <t>38п.Н</t>
  </si>
  <si>
    <t>39н.Н</t>
  </si>
  <si>
    <t>39п.Н</t>
  </si>
  <si>
    <t>40н.Н</t>
  </si>
  <si>
    <t>40п.Н</t>
  </si>
  <si>
    <t>01н.19*</t>
  </si>
  <si>
    <t>01н.20*</t>
  </si>
  <si>
    <t>01н.21*</t>
  </si>
  <si>
    <t>01н.22*</t>
  </si>
  <si>
    <t>01н.23*</t>
  </si>
  <si>
    <t>01н.24*</t>
  </si>
  <si>
    <t>01н.25*</t>
  </si>
  <si>
    <t>01н.26*</t>
  </si>
  <si>
    <t>01н.27*</t>
  </si>
  <si>
    <t>01н.28*</t>
  </si>
  <si>
    <t>01н.29*</t>
  </si>
  <si>
    <t>01н.30*</t>
  </si>
  <si>
    <t>01п.17*</t>
  </si>
  <si>
    <t>01п.18*</t>
  </si>
  <si>
    <t>01п.19*</t>
  </si>
  <si>
    <t>01п.20*</t>
  </si>
  <si>
    <t>01п.21*</t>
  </si>
  <si>
    <t>01п.22*</t>
  </si>
  <si>
    <t>01п.23*</t>
  </si>
  <si>
    <t>01п.24*</t>
  </si>
  <si>
    <t>01п.25*</t>
  </si>
  <si>
    <t>01п.26*</t>
  </si>
  <si>
    <t>01п.27*</t>
  </si>
  <si>
    <t>01п.28*</t>
  </si>
  <si>
    <t>01п.29*</t>
  </si>
  <si>
    <t>01п.30*</t>
  </si>
  <si>
    <t>02н.17*</t>
  </si>
  <si>
    <t>02н.18*</t>
  </si>
  <si>
    <t>02н.19*</t>
  </si>
  <si>
    <t>02н.20*</t>
  </si>
  <si>
    <t>02н.21*</t>
  </si>
  <si>
    <t>02н.22*</t>
  </si>
  <si>
    <t>02н.23*</t>
  </si>
  <si>
    <t>02н.24*</t>
  </si>
  <si>
    <t>02н.25*</t>
  </si>
  <si>
    <t>02н.26*</t>
  </si>
  <si>
    <t>02н.27*</t>
  </si>
  <si>
    <t>02н.28*</t>
  </si>
  <si>
    <t>02н.29*</t>
  </si>
  <si>
    <t>02н.30*</t>
  </si>
  <si>
    <t>02п.17*</t>
  </si>
  <si>
    <t>02п.18*</t>
  </si>
  <si>
    <t>02п.19*</t>
  </si>
  <si>
    <t>02п.20*</t>
  </si>
  <si>
    <t>02п.21*</t>
  </si>
  <si>
    <t>02п.22*</t>
  </si>
  <si>
    <t>02п.23*</t>
  </si>
  <si>
    <t>02п.24*</t>
  </si>
  <si>
    <t>02п.25*</t>
  </si>
  <si>
    <t>02п.26*</t>
  </si>
  <si>
    <t>02п.27*</t>
  </si>
  <si>
    <t>02п.28*</t>
  </si>
  <si>
    <t>02п.29*</t>
  </si>
  <si>
    <t>02п.30*</t>
  </si>
  <si>
    <t>03н.20*</t>
  </si>
  <si>
    <t>03н.21*</t>
  </si>
  <si>
    <t>03н.22*</t>
  </si>
  <si>
    <t>03н.23*</t>
  </si>
  <si>
    <t>03н.24*</t>
  </si>
  <si>
    <t>03н.25*</t>
  </si>
  <si>
    <t>03н.26*</t>
  </si>
  <si>
    <t>03н.27*</t>
  </si>
  <si>
    <t>03н.28*</t>
  </si>
  <si>
    <t>03н.29*</t>
  </si>
  <si>
    <t>03н.30*</t>
  </si>
  <si>
    <t>03п.19*</t>
  </si>
  <si>
    <t>03п.20*</t>
  </si>
  <si>
    <t>03п.21*</t>
  </si>
  <si>
    <t>03п.22*</t>
  </si>
  <si>
    <t>03п.23*</t>
  </si>
  <si>
    <t>03п.24*</t>
  </si>
  <si>
    <t>03п.25*</t>
  </si>
  <si>
    <t>03п.26*</t>
  </si>
  <si>
    <t>03п.27*</t>
  </si>
  <si>
    <t>03п.28*</t>
  </si>
  <si>
    <t>03п.29*</t>
  </si>
  <si>
    <t>03п.30*</t>
  </si>
  <si>
    <t>04н.23*</t>
  </si>
  <si>
    <t>04н.24*</t>
  </si>
  <si>
    <t>04н.25*</t>
  </si>
  <si>
    <t>04н.26*</t>
  </si>
  <si>
    <t>04н.27*</t>
  </si>
  <si>
    <t>04н.28*</t>
  </si>
  <si>
    <t>04н.29*</t>
  </si>
  <si>
    <t>04н.30*</t>
  </si>
  <si>
    <t>04п.23*</t>
  </si>
  <si>
    <t>04п.24*</t>
  </si>
  <si>
    <t>04п.25*</t>
  </si>
  <si>
    <t>04п.26*</t>
  </si>
  <si>
    <t>04п.27*</t>
  </si>
  <si>
    <t>04п.28*</t>
  </si>
  <si>
    <t>04п.29*</t>
  </si>
  <si>
    <t>04п.30*</t>
  </si>
  <si>
    <t>05н.20*</t>
  </si>
  <si>
    <t>05н.21*</t>
  </si>
  <si>
    <t>05н.22*</t>
  </si>
  <si>
    <t>05н.23*</t>
  </si>
  <si>
    <t>05н.24*</t>
  </si>
  <si>
    <t>05н.25*</t>
  </si>
  <si>
    <t>05н.26*</t>
  </si>
  <si>
    <t>05н.27*</t>
  </si>
  <si>
    <t>05н.28*</t>
  </si>
  <si>
    <t>05н.29*</t>
  </si>
  <si>
    <t>05н.30*</t>
  </si>
  <si>
    <t>05п.18*</t>
  </si>
  <si>
    <t>05п.19*</t>
  </si>
  <si>
    <t>05п.20*</t>
  </si>
  <si>
    <t>05п.21*</t>
  </si>
  <si>
    <t>05п.22*</t>
  </si>
  <si>
    <t>05п.23*</t>
  </si>
  <si>
    <t>05п.24*</t>
  </si>
  <si>
    <t>05п.25*</t>
  </si>
  <si>
    <t>05п.26*</t>
  </si>
  <si>
    <t>05п.27*</t>
  </si>
  <si>
    <t>05п.28*</t>
  </si>
  <si>
    <t>05п.29*</t>
  </si>
  <si>
    <t>05п.30*</t>
  </si>
  <si>
    <t>06н.22*</t>
  </si>
  <si>
    <t>06н.23*</t>
  </si>
  <si>
    <t>06н.24*</t>
  </si>
  <si>
    <t>06н.25*</t>
  </si>
  <si>
    <t>06н.26*</t>
  </si>
  <si>
    <t>06н.27*</t>
  </si>
  <si>
    <t>06н.28*</t>
  </si>
  <si>
    <t>06н.29*</t>
  </si>
  <si>
    <t>06н.30*</t>
  </si>
  <si>
    <t>06п.19*</t>
  </si>
  <si>
    <t>06п.20*</t>
  </si>
  <si>
    <t>06п.21*</t>
  </si>
  <si>
    <t>06п.22*</t>
  </si>
  <si>
    <t>06п.23*</t>
  </si>
  <si>
    <t>06п.24*</t>
  </si>
  <si>
    <t>06п.25*</t>
  </si>
  <si>
    <t>06п.26*</t>
  </si>
  <si>
    <t>06п.27*</t>
  </si>
  <si>
    <t>06п.28*</t>
  </si>
  <si>
    <t>06п.29*</t>
  </si>
  <si>
    <t>06п.30*</t>
  </si>
  <si>
    <t>07н.22*</t>
  </si>
  <si>
    <t>07н.23*</t>
  </si>
  <si>
    <t>07н.24*</t>
  </si>
  <si>
    <t>07н.25*</t>
  </si>
  <si>
    <t>07н.26*</t>
  </si>
  <si>
    <t>07н.27*</t>
  </si>
  <si>
    <t>07н.28*</t>
  </si>
  <si>
    <t>07н.29*</t>
  </si>
  <si>
    <t>07н.30*</t>
  </si>
  <si>
    <t>07п.23*</t>
  </si>
  <si>
    <t>07п.24*</t>
  </si>
  <si>
    <t>07п.25*</t>
  </si>
  <si>
    <t>07п.26*</t>
  </si>
  <si>
    <t>07п.27*</t>
  </si>
  <si>
    <t>07п.28*</t>
  </si>
  <si>
    <t>07п.29*</t>
  </si>
  <si>
    <t>07п.30*</t>
  </si>
  <si>
    <t>08н.26*</t>
  </si>
  <si>
    <t>08н.27*</t>
  </si>
  <si>
    <t>08н.28*</t>
  </si>
  <si>
    <t>08н.29*</t>
  </si>
  <si>
    <t>08н.30*</t>
  </si>
  <si>
    <t>08п.17*</t>
  </si>
  <si>
    <t>08п.18*</t>
  </si>
  <si>
    <t>08п.19*</t>
  </si>
  <si>
    <t>08п.20*</t>
  </si>
  <si>
    <t>08п.21*</t>
  </si>
  <si>
    <t>08п.22*</t>
  </si>
  <si>
    <t>08п.23*</t>
  </si>
  <si>
    <t>08п.24*</t>
  </si>
  <si>
    <t>08п.25*</t>
  </si>
  <si>
    <t>08п.26*</t>
  </si>
  <si>
    <t>08п.27*</t>
  </si>
  <si>
    <t>08п.28*</t>
  </si>
  <si>
    <t>08п.29*</t>
  </si>
  <si>
    <t>08п.30*</t>
  </si>
  <si>
    <t>09н.17*</t>
  </si>
  <si>
    <t>09н.18*</t>
  </si>
  <si>
    <t>09н.19*</t>
  </si>
  <si>
    <t>09н.20*</t>
  </si>
  <si>
    <t>09н.21*</t>
  </si>
  <si>
    <t>09н.22*</t>
  </si>
  <si>
    <t>09н.23*</t>
  </si>
  <si>
    <t>09н.24*</t>
  </si>
  <si>
    <t>09н.25*</t>
  </si>
  <si>
    <t>09н.26*</t>
  </si>
  <si>
    <t>09н.27*</t>
  </si>
  <si>
    <t>09н.28*</t>
  </si>
  <si>
    <t>09н.29*</t>
  </si>
  <si>
    <t>09н.30*</t>
  </si>
  <si>
    <t>09п.18*</t>
  </si>
  <si>
    <t>09п.19*</t>
  </si>
  <si>
    <t>09п.20*</t>
  </si>
  <si>
    <t>09п.21*</t>
  </si>
  <si>
    <t>09п.22*</t>
  </si>
  <si>
    <t>09п.23*</t>
  </si>
  <si>
    <t>09п.24*</t>
  </si>
  <si>
    <t>09п.25*</t>
  </si>
  <si>
    <t>09п.26*</t>
  </si>
  <si>
    <t>09п.27*</t>
  </si>
  <si>
    <t>09п.28*</t>
  </si>
  <si>
    <t>09п.29*</t>
  </si>
  <si>
    <t>09п.30*</t>
  </si>
  <si>
    <t>10н.20*</t>
  </si>
  <si>
    <t>10н.21*</t>
  </si>
  <si>
    <t>10н.22*</t>
  </si>
  <si>
    <t>10н.23*</t>
  </si>
  <si>
    <t>10н.24*</t>
  </si>
  <si>
    <t>10н.25*</t>
  </si>
  <si>
    <t>10н.26*</t>
  </si>
  <si>
    <t>10н.27*</t>
  </si>
  <si>
    <t>10н.28*</t>
  </si>
  <si>
    <t>10н.29*</t>
  </si>
  <si>
    <t>10н.30*</t>
  </si>
  <si>
    <t>11н.18*</t>
  </si>
  <si>
    <t>11н.19*</t>
  </si>
  <si>
    <t>11н.20*</t>
  </si>
  <si>
    <t>11н.21*</t>
  </si>
  <si>
    <t>11н.22*</t>
  </si>
  <si>
    <t>11н.23*</t>
  </si>
  <si>
    <t>11н.24*</t>
  </si>
  <si>
    <t>11н.25*</t>
  </si>
  <si>
    <t>11н.26*</t>
  </si>
  <si>
    <t>11н.27*</t>
  </si>
  <si>
    <t>11н.28*</t>
  </si>
  <si>
    <t>11н.29*</t>
  </si>
  <si>
    <t>11н.30*</t>
  </si>
  <si>
    <t>11п.16*</t>
  </si>
  <si>
    <t>11п.17*</t>
  </si>
  <si>
    <t>11п.18*</t>
  </si>
  <si>
    <t>11п.19*</t>
  </si>
  <si>
    <t>11п.20*</t>
  </si>
  <si>
    <t>11п.21*</t>
  </si>
  <si>
    <t>11п.22*</t>
  </si>
  <si>
    <t>11п.23*</t>
  </si>
  <si>
    <t>11п.24*</t>
  </si>
  <si>
    <t>11п.25*</t>
  </si>
  <si>
    <t>11п.26*</t>
  </si>
  <si>
    <t>11п.27*</t>
  </si>
  <si>
    <t>11п.28*</t>
  </si>
  <si>
    <t>11п.29*</t>
  </si>
  <si>
    <t>11п.30*</t>
  </si>
  <si>
    <t>12н.19*</t>
  </si>
  <si>
    <t>12н.20*</t>
  </si>
  <si>
    <t>12н.21*</t>
  </si>
  <si>
    <t>12н.22*</t>
  </si>
  <si>
    <t>12н.23*</t>
  </si>
  <si>
    <t>12н.24*</t>
  </si>
  <si>
    <t>12н.25*</t>
  </si>
  <si>
    <t>12н.26*</t>
  </si>
  <si>
    <t>12н.27*</t>
  </si>
  <si>
    <t>12н.28*</t>
  </si>
  <si>
    <t>12н.29*</t>
  </si>
  <si>
    <t>12н.30*</t>
  </si>
  <si>
    <t>12п.19*</t>
  </si>
  <si>
    <t>12п.20*</t>
  </si>
  <si>
    <t>12п.21*</t>
  </si>
  <si>
    <t>12п.22*</t>
  </si>
  <si>
    <t>12п.23*</t>
  </si>
  <si>
    <t>12п.24*</t>
  </si>
  <si>
    <t>12п.25*</t>
  </si>
  <si>
    <t>12п.26*</t>
  </si>
  <si>
    <t>12п.27*</t>
  </si>
  <si>
    <t>12п.28*</t>
  </si>
  <si>
    <t>12п.29*</t>
  </si>
  <si>
    <t>12п.30*</t>
  </si>
  <si>
    <t>13н.19*</t>
  </si>
  <si>
    <t>13н.20*</t>
  </si>
  <si>
    <t>13н.21*</t>
  </si>
  <si>
    <t>13н.22*</t>
  </si>
  <si>
    <t>13н.23*</t>
  </si>
  <si>
    <t>13н.24*</t>
  </si>
  <si>
    <t>13н.25*</t>
  </si>
  <si>
    <t>13н.26*</t>
  </si>
  <si>
    <t>13н.27*</t>
  </si>
  <si>
    <t>13н.28*</t>
  </si>
  <si>
    <t>13н.29*</t>
  </si>
  <si>
    <t>13н.30*</t>
  </si>
  <si>
    <t>13п.15*</t>
  </si>
  <si>
    <t>13п.16*</t>
  </si>
  <si>
    <t>13п.17*</t>
  </si>
  <si>
    <t>13п.18*</t>
  </si>
  <si>
    <t>13п.19*</t>
  </si>
  <si>
    <t>13п.20*</t>
  </si>
  <si>
    <t>13п.21*</t>
  </si>
  <si>
    <t>13п.22*</t>
  </si>
  <si>
    <t>13п.23*</t>
  </si>
  <si>
    <t>13п.24*</t>
  </si>
  <si>
    <t>13п.25*</t>
  </si>
  <si>
    <t>13п.26*</t>
  </si>
  <si>
    <t>13п.27*</t>
  </si>
  <si>
    <t>13п.28*</t>
  </si>
  <si>
    <t>13п.29*</t>
  </si>
  <si>
    <t>13п.30*</t>
  </si>
  <si>
    <t>14н.20*</t>
  </si>
  <si>
    <t>14н.21*</t>
  </si>
  <si>
    <t>14н.22*</t>
  </si>
  <si>
    <t>14н.23*</t>
  </si>
  <si>
    <t>14н.24*</t>
  </si>
  <si>
    <t>14н.25*</t>
  </si>
  <si>
    <t>14н.26*</t>
  </si>
  <si>
    <t>14н.27*</t>
  </si>
  <si>
    <t>14н.28*</t>
  </si>
  <si>
    <t>14н.29*</t>
  </si>
  <si>
    <t>14н.30*</t>
  </si>
  <si>
    <t>14п.15*</t>
  </si>
  <si>
    <t>14п.16*</t>
  </si>
  <si>
    <t>14п.17*</t>
  </si>
  <si>
    <t>14п.18*</t>
  </si>
  <si>
    <t>14п.19*</t>
  </si>
  <si>
    <t>14п.20*</t>
  </si>
  <si>
    <t>14п.21*</t>
  </si>
  <si>
    <t>14п.22*</t>
  </si>
  <si>
    <t>14п.23*</t>
  </si>
  <si>
    <t>14п.24*</t>
  </si>
  <si>
    <t>14п.25*</t>
  </si>
  <si>
    <t>14п.26*</t>
  </si>
  <si>
    <t>14п.27*</t>
  </si>
  <si>
    <t>14п.28*</t>
  </si>
  <si>
    <t>14п.29*</t>
  </si>
  <si>
    <t>14п.30*</t>
  </si>
  <si>
    <t>15н.14*</t>
  </si>
  <si>
    <t>15н.15*</t>
  </si>
  <si>
    <t>15н.16*</t>
  </si>
  <si>
    <t>15н.17*</t>
  </si>
  <si>
    <t>15н.18*</t>
  </si>
  <si>
    <t>15н.19*</t>
  </si>
  <si>
    <t>15н.20*</t>
  </si>
  <si>
    <t>15н.21*</t>
  </si>
  <si>
    <t>15н.22*</t>
  </si>
  <si>
    <t>15н.23*</t>
  </si>
  <si>
    <t>15н.24*</t>
  </si>
  <si>
    <t>15н.25*</t>
  </si>
  <si>
    <t>15н.26*</t>
  </si>
  <si>
    <t>15н.27*</t>
  </si>
  <si>
    <t>15н.28*</t>
  </si>
  <si>
    <t>15н.29*</t>
  </si>
  <si>
    <t>15н.30*</t>
  </si>
  <si>
    <t>15п.16*</t>
  </si>
  <si>
    <t>15п.17*</t>
  </si>
  <si>
    <t>15п.18*</t>
  </si>
  <si>
    <t>15п.19*</t>
  </si>
  <si>
    <t>15п.20*</t>
  </si>
  <si>
    <t>15п.21*</t>
  </si>
  <si>
    <t>15п.22*</t>
  </si>
  <si>
    <t>15п.23*</t>
  </si>
  <si>
    <t>15п.24*</t>
  </si>
  <si>
    <t>15п.25*</t>
  </si>
  <si>
    <t>15п.26*</t>
  </si>
  <si>
    <t>15п.27*</t>
  </si>
  <si>
    <t>15п.28*</t>
  </si>
  <si>
    <t>15п.29*</t>
  </si>
  <si>
    <t>15п.30*</t>
  </si>
  <si>
    <t>16н.14*</t>
  </si>
  <si>
    <t>16н.15*</t>
  </si>
  <si>
    <t>16н.16*</t>
  </si>
  <si>
    <t>16н.17*</t>
  </si>
  <si>
    <t>16н.18*</t>
  </si>
  <si>
    <t>16н.19*</t>
  </si>
  <si>
    <t>16н.20*</t>
  </si>
  <si>
    <t>16н.21*</t>
  </si>
  <si>
    <t>16н.22*</t>
  </si>
  <si>
    <t>16н.23*</t>
  </si>
  <si>
    <t>16н.24*</t>
  </si>
  <si>
    <t>16н.25*</t>
  </si>
  <si>
    <t>16н.26*</t>
  </si>
  <si>
    <t>16н.27*</t>
  </si>
  <si>
    <t>16н.28*</t>
  </si>
  <si>
    <t>16н.29*</t>
  </si>
  <si>
    <t>16н.30*</t>
  </si>
  <si>
    <t>16п.14*</t>
  </si>
  <si>
    <t>16п.15*</t>
  </si>
  <si>
    <t>16п.16*</t>
  </si>
  <si>
    <t>16п.17*</t>
  </si>
  <si>
    <t>16п.18*</t>
  </si>
  <si>
    <t>16п.19*</t>
  </si>
  <si>
    <t>16п.20*</t>
  </si>
  <si>
    <t>16п.21*</t>
  </si>
  <si>
    <t>16п.22*</t>
  </si>
  <si>
    <t>16п.23*</t>
  </si>
  <si>
    <t>16п.24*</t>
  </si>
  <si>
    <t>16п.25*</t>
  </si>
  <si>
    <t>16п.26*</t>
  </si>
  <si>
    <t>16п.27*</t>
  </si>
  <si>
    <t>16п.28*</t>
  </si>
  <si>
    <t>16п.29*</t>
  </si>
  <si>
    <t>16п.30*</t>
  </si>
  <si>
    <t>17н.13*</t>
  </si>
  <si>
    <t>17н.14*</t>
  </si>
  <si>
    <t>17н.15*</t>
  </si>
  <si>
    <t>17н.16*</t>
  </si>
  <si>
    <t>17н.17*</t>
  </si>
  <si>
    <t>17н.18*</t>
  </si>
  <si>
    <t>17н.19*</t>
  </si>
  <si>
    <t>17н.20*</t>
  </si>
  <si>
    <t>17н.21*</t>
  </si>
  <si>
    <t>17н.22*</t>
  </si>
  <si>
    <t>17н.23*</t>
  </si>
  <si>
    <t>17н.24*</t>
  </si>
  <si>
    <t>17н.25*</t>
  </si>
  <si>
    <t>17н.26*</t>
  </si>
  <si>
    <t>17н.27*</t>
  </si>
  <si>
    <t>17н.28*</t>
  </si>
  <si>
    <t>17н.29*</t>
  </si>
  <si>
    <t>17н.30*</t>
  </si>
  <si>
    <t>17п.14*</t>
  </si>
  <si>
    <t>17п.15*</t>
  </si>
  <si>
    <t>17п.16*</t>
  </si>
  <si>
    <t>17п.17*</t>
  </si>
  <si>
    <t>17п.18*</t>
  </si>
  <si>
    <t>17п.19*</t>
  </si>
  <si>
    <t>17п.20*</t>
  </si>
  <si>
    <t>17п.21*</t>
  </si>
  <si>
    <t>17п.22*</t>
  </si>
  <si>
    <t>17п.23*</t>
  </si>
  <si>
    <t>17п.24*</t>
  </si>
  <si>
    <t>17п.25*</t>
  </si>
  <si>
    <t>17п.26*</t>
  </si>
  <si>
    <t>17п.27*</t>
  </si>
  <si>
    <t>17п.28*</t>
  </si>
  <si>
    <t>17п.29*</t>
  </si>
  <si>
    <t>17п.30*</t>
  </si>
  <si>
    <t>18н.15*</t>
  </si>
  <si>
    <t>18н.16*</t>
  </si>
  <si>
    <t>18н.17*</t>
  </si>
  <si>
    <t>18н.18*</t>
  </si>
  <si>
    <t>18н.19*</t>
  </si>
  <si>
    <t>18н.20*</t>
  </si>
  <si>
    <t>18н.21*</t>
  </si>
  <si>
    <t>18н.22*</t>
  </si>
  <si>
    <t>18н.23*</t>
  </si>
  <si>
    <t>18н.24*</t>
  </si>
  <si>
    <t>18н.25*</t>
  </si>
  <si>
    <t>18н.26*</t>
  </si>
  <si>
    <t>18н.27*</t>
  </si>
  <si>
    <t>18н.28*</t>
  </si>
  <si>
    <t>18н.29*</t>
  </si>
  <si>
    <t>18н.30*</t>
  </si>
  <si>
    <t>18п.16*</t>
  </si>
  <si>
    <t>18п.17*</t>
  </si>
  <si>
    <t>18п.18*</t>
  </si>
  <si>
    <t>18п.19*</t>
  </si>
  <si>
    <t>18п.20*</t>
  </si>
  <si>
    <t>18п.21*</t>
  </si>
  <si>
    <t>18п.22*</t>
  </si>
  <si>
    <t>18п.23*</t>
  </si>
  <si>
    <t>18п.24*</t>
  </si>
  <si>
    <t>18п.25*</t>
  </si>
  <si>
    <t>18п.26*</t>
  </si>
  <si>
    <t>18п.27*</t>
  </si>
  <si>
    <t>18п.28*</t>
  </si>
  <si>
    <t>18п.29*</t>
  </si>
  <si>
    <t>18п.30*</t>
  </si>
  <si>
    <t>19н.14*</t>
  </si>
  <si>
    <t>19н.15*</t>
  </si>
  <si>
    <t>19н.16*</t>
  </si>
  <si>
    <t>19н.17*</t>
  </si>
  <si>
    <t>19н.18*</t>
  </si>
  <si>
    <t>19н.19*</t>
  </si>
  <si>
    <t>19н.20*</t>
  </si>
  <si>
    <t>19н.21*</t>
  </si>
  <si>
    <t>19н.22*</t>
  </si>
  <si>
    <t>19н.23*</t>
  </si>
  <si>
    <t>19н.24*</t>
  </si>
  <si>
    <t>19н.25*</t>
  </si>
  <si>
    <t>19н.26*</t>
  </si>
  <si>
    <t>19н.27*</t>
  </si>
  <si>
    <t>19н.28*</t>
  </si>
  <si>
    <t>19н.29*</t>
  </si>
  <si>
    <t>19н.30*</t>
  </si>
  <si>
    <t>19п.17*</t>
  </si>
  <si>
    <t>19п.18*</t>
  </si>
  <si>
    <t>19п.19*</t>
  </si>
  <si>
    <t>19п.20*</t>
  </si>
  <si>
    <t>19п.21*</t>
  </si>
  <si>
    <t>19п.22*</t>
  </si>
  <si>
    <t>19п.23*</t>
  </si>
  <si>
    <t>19п.24*</t>
  </si>
  <si>
    <t>19п.25*</t>
  </si>
  <si>
    <t>19п.26*</t>
  </si>
  <si>
    <t>19п.27*</t>
  </si>
  <si>
    <t>19п.28*</t>
  </si>
  <si>
    <t>19п.29*</t>
  </si>
  <si>
    <t>19п.30*</t>
  </si>
  <si>
    <t>20н.15*</t>
  </si>
  <si>
    <t>20н.16*</t>
  </si>
  <si>
    <t>20н.17*</t>
  </si>
  <si>
    <t>20н.18*</t>
  </si>
  <si>
    <t>20н.19*</t>
  </si>
  <si>
    <t>20н.20*</t>
  </si>
  <si>
    <t>20н.21*</t>
  </si>
  <si>
    <t>20н.22*</t>
  </si>
  <si>
    <t>20н.23*</t>
  </si>
  <si>
    <t>20н.24*</t>
  </si>
  <si>
    <t>20н.25*</t>
  </si>
  <si>
    <t>20н.26*</t>
  </si>
  <si>
    <t>20н.27*</t>
  </si>
  <si>
    <t>20н.28*</t>
  </si>
  <si>
    <t>20н.29*</t>
  </si>
  <si>
    <t>20н.30*</t>
  </si>
  <si>
    <t>20п.16*</t>
  </si>
  <si>
    <t>20п.17*</t>
  </si>
  <si>
    <t>20п.18*</t>
  </si>
  <si>
    <t>20п.19*</t>
  </si>
  <si>
    <t>20п.20*</t>
  </si>
  <si>
    <t>20п.21*</t>
  </si>
  <si>
    <t>20п.22*</t>
  </si>
  <si>
    <t>20п.23*</t>
  </si>
  <si>
    <t>20п.24*</t>
  </si>
  <si>
    <t>20п.25*</t>
  </si>
  <si>
    <t>20п.26*</t>
  </si>
  <si>
    <t>20п.27*</t>
  </si>
  <si>
    <t>20п.28*</t>
  </si>
  <si>
    <t>20п.29*</t>
  </si>
  <si>
    <t>20п.30*</t>
  </si>
  <si>
    <t>21н.13*</t>
  </si>
  <si>
    <t>21н.14*</t>
  </si>
  <si>
    <t>21н.15*</t>
  </si>
  <si>
    <t>21н.16*</t>
  </si>
  <si>
    <t>21н.17*</t>
  </si>
  <si>
    <t>21н.18*</t>
  </si>
  <si>
    <t>21н.19*</t>
  </si>
  <si>
    <t>21н.20*</t>
  </si>
  <si>
    <t>21н.21*</t>
  </si>
  <si>
    <t>21н.22*</t>
  </si>
  <si>
    <t>21н.23*</t>
  </si>
  <si>
    <t>21н.24*</t>
  </si>
  <si>
    <t>21н.25*</t>
  </si>
  <si>
    <t>21н.26*</t>
  </si>
  <si>
    <t>21н.27*</t>
  </si>
  <si>
    <t>21н.28*</t>
  </si>
  <si>
    <t>21н.29*</t>
  </si>
  <si>
    <t>21н.30*</t>
  </si>
  <si>
    <t>21п.17*</t>
  </si>
  <si>
    <t>21п.18*</t>
  </si>
  <si>
    <t>21п.19*</t>
  </si>
  <si>
    <t>21п.20*</t>
  </si>
  <si>
    <t>21п.21*</t>
  </si>
  <si>
    <t>21п.22*</t>
  </si>
  <si>
    <t>21п.23*</t>
  </si>
  <si>
    <t>21п.24*</t>
  </si>
  <si>
    <t>21п.25*</t>
  </si>
  <si>
    <t>21п.26*</t>
  </si>
  <si>
    <t>21п.27*</t>
  </si>
  <si>
    <t>21п.28*</t>
  </si>
  <si>
    <t>21п.29*</t>
  </si>
  <si>
    <t>21п.30*</t>
  </si>
  <si>
    <t>22н.13*</t>
  </si>
  <si>
    <t>22н.14*</t>
  </si>
  <si>
    <t>22н.15*</t>
  </si>
  <si>
    <t>22н.16*</t>
  </si>
  <si>
    <t>22н.17*</t>
  </si>
  <si>
    <t>22н.18*</t>
  </si>
  <si>
    <t>22н.19*</t>
  </si>
  <si>
    <t>22н.20*</t>
  </si>
  <si>
    <t>22н.21*</t>
  </si>
  <si>
    <t>22н.22*</t>
  </si>
  <si>
    <t>22н.23*</t>
  </si>
  <si>
    <t>22н.24*</t>
  </si>
  <si>
    <t>22н.25*</t>
  </si>
  <si>
    <t>22н.26*</t>
  </si>
  <si>
    <t>22н.27*</t>
  </si>
  <si>
    <t>22н.28*</t>
  </si>
  <si>
    <t>22н.29*</t>
  </si>
  <si>
    <t>22н.30*</t>
  </si>
  <si>
    <t>22п.15*</t>
  </si>
  <si>
    <t>22п.16*</t>
  </si>
  <si>
    <t>22п.17*</t>
  </si>
  <si>
    <t>22п.18*</t>
  </si>
  <si>
    <t>22п.19*</t>
  </si>
  <si>
    <t>22п.20*</t>
  </si>
  <si>
    <t>22п.21*</t>
  </si>
  <si>
    <t>22п.22*</t>
  </si>
  <si>
    <t>22п.23*</t>
  </si>
  <si>
    <t>22п.24*</t>
  </si>
  <si>
    <t>22п.25*</t>
  </si>
  <si>
    <t>22п.26*</t>
  </si>
  <si>
    <t>22п.27*</t>
  </si>
  <si>
    <t>22п.28*</t>
  </si>
  <si>
    <t>22п.29*</t>
  </si>
  <si>
    <t>22п.30*</t>
  </si>
  <si>
    <t>23н.17*</t>
  </si>
  <si>
    <t>23н.18*</t>
  </si>
  <si>
    <t>23н.19*</t>
  </si>
  <si>
    <t>23н.20*</t>
  </si>
  <si>
    <t>23н.21*</t>
  </si>
  <si>
    <t>23н.22*</t>
  </si>
  <si>
    <t>23н.23*</t>
  </si>
  <si>
    <t>23н.24*</t>
  </si>
  <si>
    <t>23н.25*</t>
  </si>
  <si>
    <t>23н.26*</t>
  </si>
  <si>
    <t>23н.27*</t>
  </si>
  <si>
    <t>23н.28*</t>
  </si>
  <si>
    <t>23н.29*</t>
  </si>
  <si>
    <t>23н.30*</t>
  </si>
  <si>
    <t>23п.20*</t>
  </si>
  <si>
    <t>23п.21*</t>
  </si>
  <si>
    <t>23п.22*</t>
  </si>
  <si>
    <t>23п.23*</t>
  </si>
  <si>
    <t>23п.24*</t>
  </si>
  <si>
    <t>23п.25*</t>
  </si>
  <si>
    <t>23п.26*</t>
  </si>
  <si>
    <t>23п.27*</t>
  </si>
  <si>
    <t>23п.28*</t>
  </si>
  <si>
    <t>23п.29*</t>
  </si>
  <si>
    <t>23п.30*</t>
  </si>
  <si>
    <t>24н.21*</t>
  </si>
  <si>
    <t>24н.22*</t>
  </si>
  <si>
    <t>24н.23*</t>
  </si>
  <si>
    <t>24н.24*</t>
  </si>
  <si>
    <t>24н.25*</t>
  </si>
  <si>
    <t>24н.26*</t>
  </si>
  <si>
    <t>24н.27*</t>
  </si>
  <si>
    <t>24н.28*</t>
  </si>
  <si>
    <t>24н.29*</t>
  </si>
  <si>
    <t>24н.30*</t>
  </si>
  <si>
    <t>24п.24*</t>
  </si>
  <si>
    <t>24п.25*</t>
  </si>
  <si>
    <t>24п.26*</t>
  </si>
  <si>
    <t>24п.27*</t>
  </si>
  <si>
    <t>24п.28*</t>
  </si>
  <si>
    <t>24п.29*</t>
  </si>
  <si>
    <t>24п.30*</t>
  </si>
  <si>
    <t>25н.19*</t>
  </si>
  <si>
    <t>25н.20*</t>
  </si>
  <si>
    <t>25н.21*</t>
  </si>
  <si>
    <t>25н.22*</t>
  </si>
  <si>
    <t>25н.23*</t>
  </si>
  <si>
    <t>25н.24*</t>
  </si>
  <si>
    <t>25н.25*</t>
  </si>
  <si>
    <t>25н.26*</t>
  </si>
  <si>
    <t>25н.27*</t>
  </si>
  <si>
    <t>25н.28*</t>
  </si>
  <si>
    <t>25н.29*</t>
  </si>
  <si>
    <t>25н.30*</t>
  </si>
  <si>
    <t>25п.18*</t>
  </si>
  <si>
    <t>25п.19*</t>
  </si>
  <si>
    <t>25п.20*</t>
  </si>
  <si>
    <t>25п.21*</t>
  </si>
  <si>
    <t>25п.22*</t>
  </si>
  <si>
    <t>25п.23*</t>
  </si>
  <si>
    <t>25п.24*</t>
  </si>
  <si>
    <t>25п.25*</t>
  </si>
  <si>
    <t>25п.26*</t>
  </si>
  <si>
    <t>25п.27*</t>
  </si>
  <si>
    <t>25п.28*</t>
  </si>
  <si>
    <t>25п.29*</t>
  </si>
  <si>
    <t>25п.30*</t>
  </si>
  <si>
    <t>26н.27*</t>
  </si>
  <si>
    <t>26н.28*</t>
  </si>
  <si>
    <t>26н.29*</t>
  </si>
  <si>
    <t>26н.30*</t>
  </si>
  <si>
    <t>26п.23*</t>
  </si>
  <si>
    <t>26п.24*</t>
  </si>
  <si>
    <t>26п.25*</t>
  </si>
  <si>
    <t>26п.26*</t>
  </si>
  <si>
    <t>26п.27*</t>
  </si>
  <si>
    <t>26п.28*</t>
  </si>
  <si>
    <t>26п.29*</t>
  </si>
  <si>
    <t>26п.30*</t>
  </si>
  <si>
    <t>27н.26*</t>
  </si>
  <si>
    <t>27н.27*</t>
  </si>
  <si>
    <t>27н.28*</t>
  </si>
  <si>
    <t>27н.29*</t>
  </si>
  <si>
    <t>27н.30*</t>
  </si>
  <si>
    <t>27п.19*</t>
  </si>
  <si>
    <t>27п.20*</t>
  </si>
  <si>
    <t>27п.21*</t>
  </si>
  <si>
    <t>27п.22*</t>
  </si>
  <si>
    <t>27п.23*</t>
  </si>
  <si>
    <t>27п.24*</t>
  </si>
  <si>
    <t>27п.25*</t>
  </si>
  <si>
    <t>27п.26*</t>
  </si>
  <si>
    <t>27п.27*</t>
  </si>
  <si>
    <t>27п.28*</t>
  </si>
  <si>
    <t>27п.29*</t>
  </si>
  <si>
    <t>27п.30*</t>
  </si>
  <si>
    <t>28н.15*</t>
  </si>
  <si>
    <t>28н.16*</t>
  </si>
  <si>
    <t>28н.17*</t>
  </si>
  <si>
    <t>28н.18*</t>
  </si>
  <si>
    <t>28н.19*</t>
  </si>
  <si>
    <t>28н.20*</t>
  </si>
  <si>
    <t>28н.21*</t>
  </si>
  <si>
    <t>28н.22*</t>
  </si>
  <si>
    <t>28н.23*</t>
  </si>
  <si>
    <t>28н.24*</t>
  </si>
  <si>
    <t>28н.25*</t>
  </si>
  <si>
    <t>28н.26*</t>
  </si>
  <si>
    <t>28н.27*</t>
  </si>
  <si>
    <t>28н.28*</t>
  </si>
  <si>
    <t>28н.29*</t>
  </si>
  <si>
    <t>28н.30*</t>
  </si>
  <si>
    <t>28п.18*</t>
  </si>
  <si>
    <t>28п.19*</t>
  </si>
  <si>
    <t>28п.20*</t>
  </si>
  <si>
    <t>28п.21*</t>
  </si>
  <si>
    <t>28п.22*</t>
  </si>
  <si>
    <t>28п.23*</t>
  </si>
  <si>
    <t>28п.24*</t>
  </si>
  <si>
    <t>28п.25*</t>
  </si>
  <si>
    <t>28п.26*</t>
  </si>
  <si>
    <t>28п.27*</t>
  </si>
  <si>
    <t>28п.28*</t>
  </si>
  <si>
    <t>28п.29*</t>
  </si>
  <si>
    <t>28п.30*</t>
  </si>
  <si>
    <t>29н.01*</t>
  </si>
  <si>
    <t>29н.02*</t>
  </si>
  <si>
    <t>29н.03*</t>
  </si>
  <si>
    <t>29н.04*</t>
  </si>
  <si>
    <t>29н.05*</t>
  </si>
  <si>
    <t>29н.06*</t>
  </si>
  <si>
    <t>29н.07*</t>
  </si>
  <si>
    <t>29н.08*</t>
  </si>
  <si>
    <t>29н.09*</t>
  </si>
  <si>
    <t>29н.10*</t>
  </si>
  <si>
    <t>29н.11*</t>
  </si>
  <si>
    <t>29н.12*</t>
  </si>
  <si>
    <t>29н.13*</t>
  </si>
  <si>
    <t>29н.14*</t>
  </si>
  <si>
    <t>29н.15*</t>
  </si>
  <si>
    <t>29н.16*</t>
  </si>
  <si>
    <t>29н.17*</t>
  </si>
  <si>
    <t>29н.18*</t>
  </si>
  <si>
    <t>29н.19*</t>
  </si>
  <si>
    <t>29н.20*</t>
  </si>
  <si>
    <t>29н.21*</t>
  </si>
  <si>
    <t>29н.22*</t>
  </si>
  <si>
    <t>29н.23*</t>
  </si>
  <si>
    <t>29н.24*</t>
  </si>
  <si>
    <t>29н.25*</t>
  </si>
  <si>
    <t>29н.26*</t>
  </si>
  <si>
    <t>29н.27*</t>
  </si>
  <si>
    <t>29н.28*</t>
  </si>
  <si>
    <t>29н.29*</t>
  </si>
  <si>
    <t>29н.30*</t>
  </si>
  <si>
    <t>29п.01*</t>
  </si>
  <si>
    <t>29п.02*</t>
  </si>
  <si>
    <t>29п.03*</t>
  </si>
  <si>
    <t>29п.04*</t>
  </si>
  <si>
    <t>29п.05*</t>
  </si>
  <si>
    <t>29п.06*</t>
  </si>
  <si>
    <t>29п.07*</t>
  </si>
  <si>
    <t>29п.08*</t>
  </si>
  <si>
    <t>29п.09*</t>
  </si>
  <si>
    <t>29п.10*</t>
  </si>
  <si>
    <t>29п.11*</t>
  </si>
  <si>
    <t>29п.12*</t>
  </si>
  <si>
    <t>29п.13*</t>
  </si>
  <si>
    <t>29п.14*</t>
  </si>
  <si>
    <t>29п.15*</t>
  </si>
  <si>
    <t>29п.16*</t>
  </si>
  <si>
    <t>29п.17*</t>
  </si>
  <si>
    <t>29п.18*</t>
  </si>
  <si>
    <t>29п.19*</t>
  </si>
  <si>
    <t>29п.20*</t>
  </si>
  <si>
    <t>29п.21*</t>
  </si>
  <si>
    <t>29п.22*</t>
  </si>
  <si>
    <t>29п.23*</t>
  </si>
  <si>
    <t>29п.24*</t>
  </si>
  <si>
    <t>29п.25*</t>
  </si>
  <si>
    <t>29п.26*</t>
  </si>
  <si>
    <t>29п.27*</t>
  </si>
  <si>
    <t>29п.28*</t>
  </si>
  <si>
    <t>29п.29*</t>
  </si>
  <si>
    <t>29п.30*</t>
  </si>
  <si>
    <t>30н.16*</t>
  </si>
  <si>
    <t>30н.17*</t>
  </si>
  <si>
    <t>30н.18*</t>
  </si>
  <si>
    <t>30н.19*</t>
  </si>
  <si>
    <t>30н.20*</t>
  </si>
  <si>
    <t>30н.21*</t>
  </si>
  <si>
    <t>30н.22*</t>
  </si>
  <si>
    <t>30н.23*</t>
  </si>
  <si>
    <t>30н.24*</t>
  </si>
  <si>
    <t>30н.25*</t>
  </si>
  <si>
    <t>30н.26*</t>
  </si>
  <si>
    <t>30н.27*</t>
  </si>
  <si>
    <t>30н.28*</t>
  </si>
  <si>
    <t>30н.29*</t>
  </si>
  <si>
    <t>30н.30*</t>
  </si>
  <si>
    <t>30п.19*</t>
  </si>
  <si>
    <t>30п.20*</t>
  </si>
  <si>
    <t>30п.21*</t>
  </si>
  <si>
    <t>30п.22*</t>
  </si>
  <si>
    <t>30п.23*</t>
  </si>
  <si>
    <t>30п.24*</t>
  </si>
  <si>
    <t>30п.25*</t>
  </si>
  <si>
    <t>30п.26*</t>
  </si>
  <si>
    <t>30п.27*</t>
  </si>
  <si>
    <t>30п.28*</t>
  </si>
  <si>
    <t>30п.29*</t>
  </si>
  <si>
    <t>30п.30*</t>
  </si>
  <si>
    <t>31н.15*</t>
  </si>
  <si>
    <t>31н.16*</t>
  </si>
  <si>
    <t>31н.17*</t>
  </si>
  <si>
    <t>31н.18*</t>
  </si>
  <si>
    <t>31н.19*</t>
  </si>
  <si>
    <t>31н.20*</t>
  </si>
  <si>
    <t>31н.21*</t>
  </si>
  <si>
    <t>31н.22*</t>
  </si>
  <si>
    <t>31н.23*</t>
  </si>
  <si>
    <t>31н.24*</t>
  </si>
  <si>
    <t>31н.25*</t>
  </si>
  <si>
    <t>31н.26*</t>
  </si>
  <si>
    <t>31н.27*</t>
  </si>
  <si>
    <t>31н.28*</t>
  </si>
  <si>
    <t>31н.29*</t>
  </si>
  <si>
    <t>31н.30*</t>
  </si>
  <si>
    <t>31п.17*</t>
  </si>
  <si>
    <t>31п.18*</t>
  </si>
  <si>
    <t>31п.19*</t>
  </si>
  <si>
    <t>31п.20*</t>
  </si>
  <si>
    <t>31п.21*</t>
  </si>
  <si>
    <t>31п.22*</t>
  </si>
  <si>
    <t>31п.23*</t>
  </si>
  <si>
    <t>31п.24*</t>
  </si>
  <si>
    <t>31п.25*</t>
  </si>
  <si>
    <t>31п.26*</t>
  </si>
  <si>
    <t>31п.27*</t>
  </si>
  <si>
    <t>31п.28*</t>
  </si>
  <si>
    <t>31п.29*</t>
  </si>
  <si>
    <t>31п.30*</t>
  </si>
  <si>
    <t>32н.13*</t>
  </si>
  <si>
    <t>32н.14*</t>
  </si>
  <si>
    <t>32н.15*</t>
  </si>
  <si>
    <t>32н.16*</t>
  </si>
  <si>
    <t>32н.17*</t>
  </si>
  <si>
    <t>32н.18*</t>
  </si>
  <si>
    <t>32н.19*</t>
  </si>
  <si>
    <t>32н.20*</t>
  </si>
  <si>
    <t>32н.21*</t>
  </si>
  <si>
    <t>32н.22*</t>
  </si>
  <si>
    <t>32н.23*</t>
  </si>
  <si>
    <t>32н.24*</t>
  </si>
  <si>
    <t>32н.25*</t>
  </si>
  <si>
    <t>32н.26*</t>
  </si>
  <si>
    <t>32н.27*</t>
  </si>
  <si>
    <t>32н.28*</t>
  </si>
  <si>
    <t>32н.29*</t>
  </si>
  <si>
    <t>32н.30*</t>
  </si>
  <si>
    <t>32п.16*</t>
  </si>
  <si>
    <t>32п.17*</t>
  </si>
  <si>
    <t>32п.18*</t>
  </si>
  <si>
    <t>32п.19*</t>
  </si>
  <si>
    <t>32п.20*</t>
  </si>
  <si>
    <t>32п.21*</t>
  </si>
  <si>
    <t>32п.22*</t>
  </si>
  <si>
    <t>32п.23*</t>
  </si>
  <si>
    <t>32п.24*</t>
  </si>
  <si>
    <t>32п.25*</t>
  </si>
  <si>
    <t>32п.26*</t>
  </si>
  <si>
    <t>32п.27*</t>
  </si>
  <si>
    <t>32п.28*</t>
  </si>
  <si>
    <t>32п.29*</t>
  </si>
  <si>
    <t>32п.30*</t>
  </si>
  <si>
    <t>33н.12*</t>
  </si>
  <si>
    <t>33н.13*</t>
  </si>
  <si>
    <t>33н.14*</t>
  </si>
  <si>
    <t>33н.15*</t>
  </si>
  <si>
    <t>33н.16*</t>
  </si>
  <si>
    <t>33н.17*</t>
  </si>
  <si>
    <t>33н.18*</t>
  </si>
  <si>
    <t>33н.19*</t>
  </si>
  <si>
    <t>33н.20*</t>
  </si>
  <si>
    <t>33н.21*</t>
  </si>
  <si>
    <t>33н.22*</t>
  </si>
  <si>
    <t>33н.23*</t>
  </si>
  <si>
    <t>33н.24*</t>
  </si>
  <si>
    <t>33н.25*</t>
  </si>
  <si>
    <t>33н.26*</t>
  </si>
  <si>
    <t>33н.27*</t>
  </si>
  <si>
    <t>33н.28*</t>
  </si>
  <si>
    <t>33н.29*</t>
  </si>
  <si>
    <t>33н.30*</t>
  </si>
  <si>
    <t>33п.17*</t>
  </si>
  <si>
    <t>33п.18*</t>
  </si>
  <si>
    <t>33п.19*</t>
  </si>
  <si>
    <t>33п.20*</t>
  </si>
  <si>
    <t>33п.21*</t>
  </si>
  <si>
    <t>33п.22*</t>
  </si>
  <si>
    <t>33п.23*</t>
  </si>
  <si>
    <t>33п.24*</t>
  </si>
  <si>
    <t>33п.25*</t>
  </si>
  <si>
    <t>33п.26*</t>
  </si>
  <si>
    <t>33п.27*</t>
  </si>
  <si>
    <t>33п.28*</t>
  </si>
  <si>
    <t>33п.29*</t>
  </si>
  <si>
    <t>33п.30*</t>
  </si>
  <si>
    <t>34н.15*</t>
  </si>
  <si>
    <t>34н.16*</t>
  </si>
  <si>
    <t>34н.17*</t>
  </si>
  <si>
    <t>34н.18*</t>
  </si>
  <si>
    <t>34н.19*</t>
  </si>
  <si>
    <t>34н.20*</t>
  </si>
  <si>
    <t>34н.21*</t>
  </si>
  <si>
    <t>34н.22*</t>
  </si>
  <si>
    <t>34н.23*</t>
  </si>
  <si>
    <t>34н.24*</t>
  </si>
  <si>
    <t>34н.25*</t>
  </si>
  <si>
    <t>34н.26*</t>
  </si>
  <si>
    <t>34н.27*</t>
  </si>
  <si>
    <t>34н.28*</t>
  </si>
  <si>
    <t>34н.29*</t>
  </si>
  <si>
    <t>34н.30*</t>
  </si>
  <si>
    <t>34п.19*</t>
  </si>
  <si>
    <t>34п.20*</t>
  </si>
  <si>
    <t>34п.21*</t>
  </si>
  <si>
    <t>34п.22*</t>
  </si>
  <si>
    <t>34п.23*</t>
  </si>
  <si>
    <t>34п.24*</t>
  </si>
  <si>
    <t>34п.25*</t>
  </si>
  <si>
    <t>34п.26*</t>
  </si>
  <si>
    <t>34п.27*</t>
  </si>
  <si>
    <t>34п.28*</t>
  </si>
  <si>
    <t>34п.29*</t>
  </si>
  <si>
    <t>34п.30*</t>
  </si>
  <si>
    <t>35н.16*</t>
  </si>
  <si>
    <t>35н.17*</t>
  </si>
  <si>
    <t>35н.18*</t>
  </si>
  <si>
    <t>35н.19*</t>
  </si>
  <si>
    <t>35н.20*</t>
  </si>
  <si>
    <t>35н.21*</t>
  </si>
  <si>
    <t>35н.22*</t>
  </si>
  <si>
    <t>35н.23*</t>
  </si>
  <si>
    <t>35н.24*</t>
  </si>
  <si>
    <t>35н.25*</t>
  </si>
  <si>
    <t>35н.26*</t>
  </si>
  <si>
    <t>35н.27*</t>
  </si>
  <si>
    <t>35н.28*</t>
  </si>
  <si>
    <t>35н.29*</t>
  </si>
  <si>
    <t>35н.30*</t>
  </si>
  <si>
    <t>35п.13*</t>
  </si>
  <si>
    <t>35п.14*</t>
  </si>
  <si>
    <t>35п.15*</t>
  </si>
  <si>
    <t>35п.16*</t>
  </si>
  <si>
    <t>35п.17*</t>
  </si>
  <si>
    <t>35п.18*</t>
  </si>
  <si>
    <t>35п.19*</t>
  </si>
  <si>
    <t>35п.20*</t>
  </si>
  <si>
    <t>35п.21*</t>
  </si>
  <si>
    <t>35п.22*</t>
  </si>
  <si>
    <t>35п.23*</t>
  </si>
  <si>
    <t>35п.24*</t>
  </si>
  <si>
    <t>35п.25*</t>
  </si>
  <si>
    <t>35п.26*</t>
  </si>
  <si>
    <t>35п.27*</t>
  </si>
  <si>
    <t>35п.28*</t>
  </si>
  <si>
    <t>35п.29*</t>
  </si>
  <si>
    <t>35п.30*</t>
  </si>
  <si>
    <t>36н.01*</t>
  </si>
  <si>
    <t>36н.02*</t>
  </si>
  <si>
    <t>36н.03*</t>
  </si>
  <si>
    <t>36н.04*</t>
  </si>
  <si>
    <t>36н.05*</t>
  </si>
  <si>
    <t>36н.06*</t>
  </si>
  <si>
    <t>36н.07*</t>
  </si>
  <si>
    <t>36н.08*</t>
  </si>
  <si>
    <t>36н.09*</t>
  </si>
  <si>
    <t>36н.10*</t>
  </si>
  <si>
    <t>36н.11*</t>
  </si>
  <si>
    <t>36н.12*</t>
  </si>
  <si>
    <t>36н.13*</t>
  </si>
  <si>
    <t>36н.14*</t>
  </si>
  <si>
    <t>36н.15*</t>
  </si>
  <si>
    <t>36н.16*</t>
  </si>
  <si>
    <t>36н.17*</t>
  </si>
  <si>
    <t>36н.18*</t>
  </si>
  <si>
    <t>36н.19*</t>
  </si>
  <si>
    <t>36н.20*</t>
  </si>
  <si>
    <t>36н.21*</t>
  </si>
  <si>
    <t>36н.22*</t>
  </si>
  <si>
    <t>36н.23*</t>
  </si>
  <si>
    <t>36н.24*</t>
  </si>
  <si>
    <t>36н.25*</t>
  </si>
  <si>
    <t>36н.26*</t>
  </si>
  <si>
    <t>36н.27*</t>
  </si>
  <si>
    <t>36н.28*</t>
  </si>
  <si>
    <t>36н.29*</t>
  </si>
  <si>
    <t>36н.30*</t>
  </si>
  <si>
    <t>36п.01*</t>
  </si>
  <si>
    <t>36п.02*</t>
  </si>
  <si>
    <t>36п.03*</t>
  </si>
  <si>
    <t>36п.04*</t>
  </si>
  <si>
    <t>36п.05*</t>
  </si>
  <si>
    <t>36п.06*</t>
  </si>
  <si>
    <t>36п.07*</t>
  </si>
  <si>
    <t>36п.08*</t>
  </si>
  <si>
    <t>36п.09*</t>
  </si>
  <si>
    <t>36п.10*</t>
  </si>
  <si>
    <t>36п.11*</t>
  </si>
  <si>
    <t>36п.12*</t>
  </si>
  <si>
    <t>36п.13*</t>
  </si>
  <si>
    <t>36п.14*</t>
  </si>
  <si>
    <t>36п.15*</t>
  </si>
  <si>
    <t>36п.16*</t>
  </si>
  <si>
    <t>36п.17*</t>
  </si>
  <si>
    <t>36п.18*</t>
  </si>
  <si>
    <t>36п.19*</t>
  </si>
  <si>
    <t>36п.20*</t>
  </si>
  <si>
    <t>36п.21*</t>
  </si>
  <si>
    <t>36п.22*</t>
  </si>
  <si>
    <t>36п.23*</t>
  </si>
  <si>
    <t>36п.24*</t>
  </si>
  <si>
    <t>36п.25*</t>
  </si>
  <si>
    <t>36п.26*</t>
  </si>
  <si>
    <t>36п.27*</t>
  </si>
  <si>
    <t>36п.28*</t>
  </si>
  <si>
    <t>36п.29*</t>
  </si>
  <si>
    <t>36п.30*</t>
  </si>
  <si>
    <t>37н.01*</t>
  </si>
  <si>
    <t>37н.02*</t>
  </si>
  <si>
    <t>37н.03*</t>
  </si>
  <si>
    <t>37н.04*</t>
  </si>
  <si>
    <t>37н.05*</t>
  </si>
  <si>
    <t>37н.06*</t>
  </si>
  <si>
    <t>37н.07*</t>
  </si>
  <si>
    <t>37н.08*</t>
  </si>
  <si>
    <t>37н.09*</t>
  </si>
  <si>
    <t>37н.10*</t>
  </si>
  <si>
    <t>37н.11*</t>
  </si>
  <si>
    <t>37н.12*</t>
  </si>
  <si>
    <t>37н.13*</t>
  </si>
  <si>
    <t>37н.14*</t>
  </si>
  <si>
    <t>37н.15*</t>
  </si>
  <si>
    <t>37н.16*</t>
  </si>
  <si>
    <t>37н.17*</t>
  </si>
  <si>
    <t>37н.18*</t>
  </si>
  <si>
    <t>37н.19*</t>
  </si>
  <si>
    <t>37н.20*</t>
  </si>
  <si>
    <t>37н.21*</t>
  </si>
  <si>
    <t>37н.22*</t>
  </si>
  <si>
    <t>37н.23*</t>
  </si>
  <si>
    <t>37н.24*</t>
  </si>
  <si>
    <t>37н.25*</t>
  </si>
  <si>
    <t>37н.26*</t>
  </si>
  <si>
    <t>37н.27*</t>
  </si>
  <si>
    <t>37н.28*</t>
  </si>
  <si>
    <t>37н.29*</t>
  </si>
  <si>
    <t>37н.30*</t>
  </si>
  <si>
    <t>37п.01*</t>
  </si>
  <si>
    <t>37п.02*</t>
  </si>
  <si>
    <t>37п.03*</t>
  </si>
  <si>
    <t>37п.04*</t>
  </si>
  <si>
    <t>37п.05*</t>
  </si>
  <si>
    <t>37п.06*</t>
  </si>
  <si>
    <t>37п.07*</t>
  </si>
  <si>
    <t>37п.08*</t>
  </si>
  <si>
    <t>37п.09*</t>
  </si>
  <si>
    <t>37п.10*</t>
  </si>
  <si>
    <t>37п.11*</t>
  </si>
  <si>
    <t>37п.12*</t>
  </si>
  <si>
    <t>37п.13*</t>
  </si>
  <si>
    <t>37п.14*</t>
  </si>
  <si>
    <t>37п.15*</t>
  </si>
  <si>
    <t>37п.16*</t>
  </si>
  <si>
    <t>37п.17*</t>
  </si>
  <si>
    <t>37п.18*</t>
  </si>
  <si>
    <t>37п.19*</t>
  </si>
  <si>
    <t>37п.20*</t>
  </si>
  <si>
    <t>37п.21*</t>
  </si>
  <si>
    <t>37п.22*</t>
  </si>
  <si>
    <t>37п.23*</t>
  </si>
  <si>
    <t>37п.24*</t>
  </si>
  <si>
    <t>37п.25*</t>
  </si>
  <si>
    <t>37п.26*</t>
  </si>
  <si>
    <t>37п.27*</t>
  </si>
  <si>
    <t>37п.28*</t>
  </si>
  <si>
    <t>37п.29*</t>
  </si>
  <si>
    <t>37п.30*</t>
  </si>
  <si>
    <t>38н.01*</t>
  </si>
  <si>
    <t>38н.02*</t>
  </si>
  <si>
    <t>38н.03*</t>
  </si>
  <si>
    <t>38н.04*</t>
  </si>
  <si>
    <t>38н.05*</t>
  </si>
  <si>
    <t>38н.06*</t>
  </si>
  <si>
    <t>38н.07*</t>
  </si>
  <si>
    <t>38н.08*</t>
  </si>
  <si>
    <t>38н.09*</t>
  </si>
  <si>
    <t>38н.10*</t>
  </si>
  <si>
    <t>38н.11*</t>
  </si>
  <si>
    <t>38н.12*</t>
  </si>
  <si>
    <t>38н.13*</t>
  </si>
  <si>
    <t>38н.14*</t>
  </si>
  <si>
    <t>38н.15*</t>
  </si>
  <si>
    <t>38н.16*</t>
  </si>
  <si>
    <t>38н.17*</t>
  </si>
  <si>
    <t>38н.18*</t>
  </si>
  <si>
    <t>38н.19*</t>
  </si>
  <si>
    <t>38н.20*</t>
  </si>
  <si>
    <t>38н.21*</t>
  </si>
  <si>
    <t>38н.22*</t>
  </si>
  <si>
    <t>38н.23*</t>
  </si>
  <si>
    <t>38н.24*</t>
  </si>
  <si>
    <t>38н.25*</t>
  </si>
  <si>
    <t>38н.26*</t>
  </si>
  <si>
    <t>38н.27*</t>
  </si>
  <si>
    <t>38н.28*</t>
  </si>
  <si>
    <t>38н.29*</t>
  </si>
  <si>
    <t>38н.30*</t>
  </si>
  <si>
    <t>38п.01*</t>
  </si>
  <si>
    <t>38п.02*</t>
  </si>
  <si>
    <t>38п.03*</t>
  </si>
  <si>
    <t>38п.04*</t>
  </si>
  <si>
    <t>38п.05*</t>
  </si>
  <si>
    <t>38п.06*</t>
  </si>
  <si>
    <t>38п.07*</t>
  </si>
  <si>
    <t>38п.08*</t>
  </si>
  <si>
    <t>38п.09*</t>
  </si>
  <si>
    <t>38п.10*</t>
  </si>
  <si>
    <t>38п.11*</t>
  </si>
  <si>
    <t>38п.12*</t>
  </si>
  <si>
    <t>38п.13*</t>
  </si>
  <si>
    <t>38п.14*</t>
  </si>
  <si>
    <t>38п.15*</t>
  </si>
  <si>
    <t>38п.16*</t>
  </si>
  <si>
    <t>38п.17*</t>
  </si>
  <si>
    <t>38п.18*</t>
  </si>
  <si>
    <t>38п.19*</t>
  </si>
  <si>
    <t>38п.20*</t>
  </si>
  <si>
    <t>38п.21*</t>
  </si>
  <si>
    <t>38п.22*</t>
  </si>
  <si>
    <t>38п.23*</t>
  </si>
  <si>
    <t>38п.24*</t>
  </si>
  <si>
    <t>38п.25*</t>
  </si>
  <si>
    <t>38п.26*</t>
  </si>
  <si>
    <t>38п.27*</t>
  </si>
  <si>
    <t>38п.28*</t>
  </si>
  <si>
    <t>38п.29*</t>
  </si>
  <si>
    <t>38п.30*</t>
  </si>
  <si>
    <t>39н.01*</t>
  </si>
  <si>
    <t>39н.02*</t>
  </si>
  <si>
    <t>39н.03*</t>
  </si>
  <si>
    <t>39н.04*</t>
  </si>
  <si>
    <t>39н.05*</t>
  </si>
  <si>
    <t>39н.06*</t>
  </si>
  <si>
    <t>39н.07*</t>
  </si>
  <si>
    <t>39н.08*</t>
  </si>
  <si>
    <t>39н.09*</t>
  </si>
  <si>
    <t>39н.10*</t>
  </si>
  <si>
    <t>39н.11*</t>
  </si>
  <si>
    <t>39н.12*</t>
  </si>
  <si>
    <t>39н.13*</t>
  </si>
  <si>
    <t>39н.14*</t>
  </si>
  <si>
    <t>39н.15*</t>
  </si>
  <si>
    <t>39н.16*</t>
  </si>
  <si>
    <t>39н.17*</t>
  </si>
  <si>
    <t>39н.18*</t>
  </si>
  <si>
    <t>39н.19*</t>
  </si>
  <si>
    <t>39н.20*</t>
  </si>
  <si>
    <t>39н.21*</t>
  </si>
  <si>
    <t>39н.22*</t>
  </si>
  <si>
    <t>39н.23*</t>
  </si>
  <si>
    <t>39н.24*</t>
  </si>
  <si>
    <t>39н.25*</t>
  </si>
  <si>
    <t>39н.26*</t>
  </si>
  <si>
    <t>39н.27*</t>
  </si>
  <si>
    <t>39н.28*</t>
  </si>
  <si>
    <t>39н.29*</t>
  </si>
  <si>
    <t>39н.30*</t>
  </si>
  <si>
    <t>39п.01*</t>
  </si>
  <si>
    <t>39п.02*</t>
  </si>
  <si>
    <t>39п.03*</t>
  </si>
  <si>
    <t>39п.04*</t>
  </si>
  <si>
    <t>39п.05*</t>
  </si>
  <si>
    <t>39п.06*</t>
  </si>
  <si>
    <t>39п.07*</t>
  </si>
  <si>
    <t>39п.08*</t>
  </si>
  <si>
    <t>39п.09*</t>
  </si>
  <si>
    <t>39п.10*</t>
  </si>
  <si>
    <t>39п.11*</t>
  </si>
  <si>
    <t>39п.12*</t>
  </si>
  <si>
    <t>39п.13*</t>
  </si>
  <si>
    <t>39п.14*</t>
  </si>
  <si>
    <t>39п.15*</t>
  </si>
  <si>
    <t>39п.16*</t>
  </si>
  <si>
    <t>39п.17*</t>
  </si>
  <si>
    <t>39п.18*</t>
  </si>
  <si>
    <t>39п.19*</t>
  </si>
  <si>
    <t>39п.20*</t>
  </si>
  <si>
    <t>39п.21*</t>
  </si>
  <si>
    <t>39п.22*</t>
  </si>
  <si>
    <t>39п.23*</t>
  </si>
  <si>
    <t>39п.24*</t>
  </si>
  <si>
    <t>39п.25*</t>
  </si>
  <si>
    <t>39п.26*</t>
  </si>
  <si>
    <t>39п.27*</t>
  </si>
  <si>
    <t>39п.28*</t>
  </si>
  <si>
    <t>39п.29*</t>
  </si>
  <si>
    <t>39п.30*</t>
  </si>
  <si>
    <t>40н.01*</t>
  </si>
  <si>
    <t>40н.02*</t>
  </si>
  <si>
    <t>40н.03*</t>
  </si>
  <si>
    <t>40н.04*</t>
  </si>
  <si>
    <t>40н.05*</t>
  </si>
  <si>
    <t>40н.06*</t>
  </si>
  <si>
    <t>40н.07*</t>
  </si>
  <si>
    <t>40н.08*</t>
  </si>
  <si>
    <t>40н.09*</t>
  </si>
  <si>
    <t>40н.10*</t>
  </si>
  <si>
    <t>40н.11*</t>
  </si>
  <si>
    <t>40н.12*</t>
  </si>
  <si>
    <t>40н.13*</t>
  </si>
  <si>
    <t>40н.14*</t>
  </si>
  <si>
    <t>40н.15*</t>
  </si>
  <si>
    <t>40н.16*</t>
  </si>
  <si>
    <t>40н.17*</t>
  </si>
  <si>
    <t>40н.18*</t>
  </si>
  <si>
    <t>40н.19*</t>
  </si>
  <si>
    <t>40н.20*</t>
  </si>
  <si>
    <t>40н.21*</t>
  </si>
  <si>
    <t>40н.22*</t>
  </si>
  <si>
    <t>40н.23*</t>
  </si>
  <si>
    <t>40н.24*</t>
  </si>
  <si>
    <t>40н.25*</t>
  </si>
  <si>
    <t>40н.26*</t>
  </si>
  <si>
    <t>40н.27*</t>
  </si>
  <si>
    <t>40н.28*</t>
  </si>
  <si>
    <t>40н.29*</t>
  </si>
  <si>
    <t>40н.30*</t>
  </si>
  <si>
    <t>40п.01*</t>
  </si>
  <si>
    <t>40п.02*</t>
  </si>
  <si>
    <t>40п.03*</t>
  </si>
  <si>
    <t>40п.04*</t>
  </si>
  <si>
    <t>40п.05*</t>
  </si>
  <si>
    <t>40п.06*</t>
  </si>
  <si>
    <t>40п.07*</t>
  </si>
  <si>
    <t>40п.08*</t>
  </si>
  <si>
    <t>40п.09*</t>
  </si>
  <si>
    <t>40п.10*</t>
  </si>
  <si>
    <t>40п.11*</t>
  </si>
  <si>
    <t>40п.12*</t>
  </si>
  <si>
    <t>40п.13*</t>
  </si>
  <si>
    <t>40п.14*</t>
  </si>
  <si>
    <t>40п.15*</t>
  </si>
  <si>
    <t>40п.16*</t>
  </si>
  <si>
    <t>40п.17*</t>
  </si>
  <si>
    <t>40п.18*</t>
  </si>
  <si>
    <t>40п.19*</t>
  </si>
  <si>
    <t>40п.20*</t>
  </si>
  <si>
    <t>40п.21*</t>
  </si>
  <si>
    <t>40п.22*</t>
  </si>
  <si>
    <t>40п.23*</t>
  </si>
  <si>
    <t>40п.24*</t>
  </si>
  <si>
    <t>40п.25*</t>
  </si>
  <si>
    <t>40п.26*</t>
  </si>
  <si>
    <t>40п.27*</t>
  </si>
  <si>
    <t>40п.28*</t>
  </si>
  <si>
    <t>40п.29*</t>
  </si>
  <si>
    <t>40п.30*</t>
  </si>
  <si>
    <t>X</t>
  </si>
  <si>
    <t>б01</t>
  </si>
  <si>
    <t>б02</t>
  </si>
  <si>
    <t>б03</t>
  </si>
  <si>
    <t>б04</t>
  </si>
  <si>
    <t>б05</t>
  </si>
  <si>
    <t>б06</t>
  </si>
  <si>
    <t>б07</t>
  </si>
  <si>
    <t>б08</t>
  </si>
  <si>
    <t>б09</t>
  </si>
  <si>
    <t>б10</t>
  </si>
  <si>
    <t>б11</t>
  </si>
  <si>
    <t>б12</t>
  </si>
  <si>
    <t>б13</t>
  </si>
  <si>
    <t>б14</t>
  </si>
  <si>
    <t>б15</t>
  </si>
  <si>
    <t>б16</t>
  </si>
  <si>
    <t>б17</t>
  </si>
  <si>
    <t>б18</t>
  </si>
  <si>
    <t>б19</t>
  </si>
  <si>
    <t>б20</t>
  </si>
  <si>
    <t>б21</t>
  </si>
  <si>
    <t>б22</t>
  </si>
  <si>
    <t>б23</t>
  </si>
  <si>
    <t>б24</t>
  </si>
  <si>
    <t>б25</t>
  </si>
  <si>
    <t>б26</t>
  </si>
  <si>
    <t>б27</t>
  </si>
  <si>
    <t>б28</t>
  </si>
  <si>
    <t>б29</t>
  </si>
  <si>
    <t>б30</t>
  </si>
  <si>
    <t>б31</t>
  </si>
  <si>
    <t>б32</t>
  </si>
  <si>
    <t>б33</t>
  </si>
  <si>
    <t>б34</t>
  </si>
  <si>
    <t>б35</t>
  </si>
  <si>
    <t>б36</t>
  </si>
  <si>
    <t>б37</t>
  </si>
  <si>
    <t>б38</t>
  </si>
  <si>
    <t>б39</t>
  </si>
  <si>
    <t>б40</t>
  </si>
  <si>
    <t>Посещаемость</t>
  </si>
  <si>
    <t>Распределение по аудиториям</t>
  </si>
  <si>
    <t>Посе-
щае-
мость</t>
  </si>
  <si>
    <t>Доля</t>
  </si>
  <si>
    <t>Пр.под.</t>
  </si>
  <si>
    <t>Текущее:</t>
  </si>
  <si>
    <t>П</t>
  </si>
  <si>
    <t>Ауд:</t>
  </si>
  <si>
    <t>Сейчас:</t>
  </si>
  <si>
    <t>Пред.раз:</t>
  </si>
  <si>
    <t>Посещаемость:</t>
  </si>
  <si>
    <t>Два раза назад:</t>
  </si>
  <si>
    <t>Три раза назад:</t>
  </si>
  <si>
    <t>Начинающие:</t>
  </si>
  <si>
    <t>Продолжающие:</t>
  </si>
  <si>
    <t>Букв.
код</t>
  </si>
  <si>
    <t>п</t>
  </si>
  <si>
    <t>н</t>
  </si>
  <si>
    <t>Средн. сила:</t>
  </si>
  <si>
    <t>Средн. ч. задач:</t>
  </si>
  <si>
    <t>Клc</t>
  </si>
  <si>
    <t>А.01</t>
  </si>
  <si>
    <t>А.02</t>
  </si>
  <si>
    <t>А.03</t>
  </si>
  <si>
    <t>А.04</t>
  </si>
  <si>
    <t>А.05</t>
  </si>
  <si>
    <t>А.06</t>
  </si>
  <si>
    <t>А.07</t>
  </si>
  <si>
    <t>А.08</t>
  </si>
  <si>
    <t>А.09</t>
  </si>
  <si>
    <t>А.10</t>
  </si>
  <si>
    <t>А.11</t>
  </si>
  <si>
    <t>А.12</t>
  </si>
  <si>
    <t>А.13</t>
  </si>
  <si>
    <t>А.14</t>
  </si>
  <si>
    <t>А.15</t>
  </si>
  <si>
    <t>А.16</t>
  </si>
  <si>
    <t>А.17</t>
  </si>
  <si>
    <t>А.18</t>
  </si>
  <si>
    <t>А.19</t>
  </si>
  <si>
    <t>А.20</t>
  </si>
  <si>
    <t>А.21</t>
  </si>
  <si>
    <t>А.22</t>
  </si>
  <si>
    <t>А.23</t>
  </si>
  <si>
    <t>А.24</t>
  </si>
  <si>
    <t>А.25</t>
  </si>
  <si>
    <t>А.26</t>
  </si>
  <si>
    <t>А.27</t>
  </si>
  <si>
    <t>А.28</t>
  </si>
  <si>
    <t>А.29</t>
  </si>
  <si>
    <t>А.30</t>
  </si>
  <si>
    <t>А.31</t>
  </si>
  <si>
    <t>А.32</t>
  </si>
  <si>
    <t>А.33</t>
  </si>
  <si>
    <t>А.34</t>
  </si>
  <si>
    <t>А.35</t>
  </si>
  <si>
    <t>А.36</t>
  </si>
  <si>
    <t>А.37</t>
  </si>
  <si>
    <t>А.38</t>
  </si>
  <si>
    <t>А.39</t>
  </si>
  <si>
    <t>А.40</t>
  </si>
  <si>
    <t>Занятие</t>
  </si>
  <si>
    <t>Начинающие</t>
  </si>
  <si>
    <t>Продолжающие</t>
  </si>
  <si>
    <t>Сильные</t>
  </si>
  <si>
    <t>Показ: Начинающие</t>
  </si>
  <si>
    <t>Показ: Продолжающие</t>
  </si>
  <si>
    <t>Показ: Сильные</t>
  </si>
  <si>
    <t>UJ:VN</t>
  </si>
  <si>
    <t>VO:WS</t>
  </si>
  <si>
    <t>XY:ZC</t>
  </si>
  <si>
    <t>AIR:AJV</t>
  </si>
  <si>
    <t>AJW:ALA</t>
  </si>
  <si>
    <t>ALB:AMF</t>
  </si>
  <si>
    <t>AMG:ANK</t>
  </si>
  <si>
    <t>ANL:AOP</t>
  </si>
  <si>
    <t>AOQ:APU</t>
  </si>
  <si>
    <t>APV:AQZ</t>
  </si>
  <si>
    <t>ARA:ASE</t>
  </si>
  <si>
    <t>ASF:ATJ</t>
  </si>
  <si>
    <t>ATK:AUO</t>
  </si>
  <si>
    <t>AUP:AVT</t>
  </si>
  <si>
    <t>AVU:AWY</t>
  </si>
  <si>
    <t>AWZ:AYD</t>
  </si>
  <si>
    <t>AYE:AZI</t>
  </si>
  <si>
    <t>AZJ:BAN</t>
  </si>
  <si>
    <t>BAO:BBS</t>
  </si>
  <si>
    <t>BBT:BCX</t>
  </si>
  <si>
    <t>BCY:BEC</t>
  </si>
  <si>
    <t>BED:BFH</t>
  </si>
  <si>
    <t>BFI:BGM</t>
  </si>
  <si>
    <t>BGN:BHR</t>
  </si>
  <si>
    <t>BHS:BIW</t>
  </si>
  <si>
    <t>BIX:BKB</t>
  </si>
  <si>
    <t>BKC:BLG</t>
  </si>
  <si>
    <t>BLH:BML</t>
  </si>
  <si>
    <t>BMM:BNQ</t>
  </si>
  <si>
    <t>BNR:BOV</t>
  </si>
  <si>
    <t>BOW:BQA</t>
  </si>
  <si>
    <t>BQB:BRF</t>
  </si>
  <si>
    <t>BRG:BSK</t>
  </si>
  <si>
    <t>BSL:BTP</t>
  </si>
  <si>
    <t>BTQ:BUU</t>
  </si>
  <si>
    <t>BUV:BVZ</t>
  </si>
  <si>
    <t>BWA:BXE</t>
  </si>
  <si>
    <t>BXF:BYJ</t>
  </si>
  <si>
    <t>BYK:BZO</t>
  </si>
  <si>
    <t>BZP:CAT</t>
  </si>
  <si>
    <t>CAU:CBY</t>
  </si>
  <si>
    <t>CBZ:CDD</t>
  </si>
  <si>
    <t>CDE:CEI</t>
  </si>
  <si>
    <t>CEJ:CFN</t>
  </si>
  <si>
    <t>CFO:CGS</t>
  </si>
  <si>
    <t>CGT:CHX</t>
  </si>
  <si>
    <t>CHY:CJC</t>
  </si>
  <si>
    <t>CJD:CKH</t>
  </si>
  <si>
    <t>CKI:CLM</t>
  </si>
  <si>
    <t>CLN:CMR</t>
  </si>
  <si>
    <t>CMS:CNW</t>
  </si>
  <si>
    <t>CNX:CPB</t>
  </si>
  <si>
    <t>CPC:CQG</t>
  </si>
  <si>
    <t>CQH:CRL</t>
  </si>
  <si>
    <t>CRM:CSQ</t>
  </si>
  <si>
    <t>Данные в столбцах "Показ: …" используются для корректной работы кнопок "Скрыть/вернуть …" на первом листе.</t>
  </si>
  <si>
    <t>02н.13*</t>
  </si>
  <si>
    <t>02н.14*</t>
  </si>
  <si>
    <t>02н.15*</t>
  </si>
  <si>
    <t>02н.16*</t>
  </si>
  <si>
    <t>02п.13*</t>
  </si>
  <si>
    <t>02п.14*</t>
  </si>
  <si>
    <t>02п.15*</t>
  </si>
  <si>
    <t>02п.16*</t>
  </si>
  <si>
    <t>03н.16*</t>
  </si>
  <si>
    <t>03н.17*</t>
  </si>
  <si>
    <t>03н.18*</t>
  </si>
  <si>
    <t>03н.19*</t>
  </si>
  <si>
    <t>03п.13*</t>
  </si>
  <si>
    <t>03п.14*</t>
  </si>
  <si>
    <t>03п.15*</t>
  </si>
  <si>
    <t>03п.16*</t>
  </si>
  <si>
    <t>03п.17*</t>
  </si>
  <si>
    <t>03п.18*</t>
  </si>
  <si>
    <t>04н.20*</t>
  </si>
  <si>
    <t>04н.21*</t>
  </si>
  <si>
    <t>04н.22*</t>
  </si>
  <si>
    <t>04п.16*</t>
  </si>
  <si>
    <t>04п.17*</t>
  </si>
  <si>
    <t>04п.18*</t>
  </si>
  <si>
    <t>04п.19*</t>
  </si>
  <si>
    <t>04п.20*</t>
  </si>
  <si>
    <t>04п.21*</t>
  </si>
  <si>
    <t>04п.22*</t>
  </si>
  <si>
    <t>05н.13*</t>
  </si>
  <si>
    <t>05н.14*</t>
  </si>
  <si>
    <t>05н.15*</t>
  </si>
  <si>
    <t>05н.16*</t>
  </si>
  <si>
    <t>05н.17*</t>
  </si>
  <si>
    <t>05н.18*</t>
  </si>
  <si>
    <t>05н.19*</t>
  </si>
  <si>
    <t>05п.13*</t>
  </si>
  <si>
    <t>05п.14*</t>
  </si>
  <si>
    <t>05п.15*</t>
  </si>
  <si>
    <t>05п.16*</t>
  </si>
  <si>
    <t>05п.17*</t>
  </si>
  <si>
    <t>06н.15*</t>
  </si>
  <si>
    <t>06н.16*</t>
  </si>
  <si>
    <t>06н.17*</t>
  </si>
  <si>
    <t>06н.18*</t>
  </si>
  <si>
    <t>06н.19*</t>
  </si>
  <si>
    <t>06н.20*</t>
  </si>
  <si>
    <t>06н.21*</t>
  </si>
  <si>
    <t>06п.16*</t>
  </si>
  <si>
    <t>06п.17*</t>
  </si>
  <si>
    <t>06п.18*</t>
  </si>
  <si>
    <t>07н.17*</t>
  </si>
  <si>
    <t>07н.18*</t>
  </si>
  <si>
    <t>07н.19*</t>
  </si>
  <si>
    <t>07н.20*</t>
  </si>
  <si>
    <t>07н.21*</t>
  </si>
  <si>
    <t>07п.13*</t>
  </si>
  <si>
    <t>07п.14*</t>
  </si>
  <si>
    <t>07п.15*</t>
  </si>
  <si>
    <t>07п.16*</t>
  </si>
  <si>
    <t>07п.17*</t>
  </si>
  <si>
    <t>07п.18*</t>
  </si>
  <si>
    <t>07п.19*</t>
  </si>
  <si>
    <t>07п.20*</t>
  </si>
  <si>
    <t>07п.21*</t>
  </si>
  <si>
    <t>07п.22*</t>
  </si>
  <si>
    <t>08н.16*</t>
  </si>
  <si>
    <t>08н.17*</t>
  </si>
  <si>
    <t>08н.18*</t>
  </si>
  <si>
    <t>08н.19*</t>
  </si>
  <si>
    <t>08н.20*</t>
  </si>
  <si>
    <t>08н.21*</t>
  </si>
  <si>
    <t>08н.22*</t>
  </si>
  <si>
    <t>08н.23*</t>
  </si>
  <si>
    <t>08н.24*</t>
  </si>
  <si>
    <t>08н.25*</t>
  </si>
  <si>
    <t>08п.14*</t>
  </si>
  <si>
    <t>08п.15*</t>
  </si>
  <si>
    <t>08п.16*</t>
  </si>
  <si>
    <t>09н.01*</t>
  </si>
  <si>
    <t>09н.02*</t>
  </si>
  <si>
    <t>09н.05*</t>
  </si>
  <si>
    <t>09н.06*</t>
  </si>
  <si>
    <t>09н.07*</t>
  </si>
  <si>
    <t>09н.08*</t>
  </si>
  <si>
    <t>09н.09*</t>
  </si>
  <si>
    <t>09н.10*</t>
  </si>
  <si>
    <t>09н.11*</t>
  </si>
  <si>
    <t>09н.12*</t>
  </si>
  <si>
    <t>09н.16*</t>
  </si>
  <si>
    <t>09п.01*</t>
  </si>
  <si>
    <t>09п.02*</t>
  </si>
  <si>
    <t>09п.03*</t>
  </si>
  <si>
    <t>09п.04*</t>
  </si>
  <si>
    <t>09п.06*</t>
  </si>
  <si>
    <t>09п.07*</t>
  </si>
  <si>
    <t>09п.08*</t>
  </si>
  <si>
    <t>09п.09*</t>
  </si>
  <si>
    <t>09п.10*</t>
  </si>
  <si>
    <t>09п.11*</t>
  </si>
  <si>
    <t>09п.12*</t>
  </si>
  <si>
    <t>09п.13*</t>
  </si>
  <si>
    <t>09п.15*</t>
  </si>
  <si>
    <t>09п.16*</t>
  </si>
  <si>
    <t>09п.17*</t>
  </si>
  <si>
    <t>10н.17*</t>
  </si>
  <si>
    <t>10н.18*</t>
  </si>
  <si>
    <t>10н.19*</t>
  </si>
  <si>
    <t>11п.15*</t>
  </si>
  <si>
    <t>12п.15*</t>
  </si>
  <si>
    <t>12п.16*</t>
  </si>
  <si>
    <t>12п.17*</t>
  </si>
  <si>
    <t>12п.18*</t>
  </si>
  <si>
    <t>14п.14*</t>
  </si>
  <si>
    <t>15н.01*</t>
  </si>
  <si>
    <t>15н.02*</t>
  </si>
  <si>
    <t>15н.03*</t>
  </si>
  <si>
    <t>15н.04*</t>
  </si>
  <si>
    <t>15н.05*</t>
  </si>
  <si>
    <t>15н.06*</t>
  </si>
  <si>
    <t>15н.07*</t>
  </si>
  <si>
    <t>15н.08*</t>
  </si>
  <si>
    <t>15н.09*</t>
  </si>
  <si>
    <t>15н.10*</t>
  </si>
  <si>
    <t>15н.11*</t>
  </si>
  <si>
    <t>15н.12*</t>
  </si>
  <si>
    <t>15н.13*</t>
  </si>
  <si>
    <t>15п.01*</t>
  </si>
  <si>
    <t>15п.02*</t>
  </si>
  <si>
    <t>15п.03*</t>
  </si>
  <si>
    <t>15п.04*</t>
  </si>
  <si>
    <t>15п.05*</t>
  </si>
  <si>
    <t>15п.06*</t>
  </si>
  <si>
    <t>15п.07*</t>
  </si>
  <si>
    <t>15п.08*</t>
  </si>
  <si>
    <t>15п.09*</t>
  </si>
  <si>
    <t>15п.10*</t>
  </si>
  <si>
    <t>15п.11*</t>
  </si>
  <si>
    <t>15п.12*</t>
  </si>
  <si>
    <t>15п.13*</t>
  </si>
  <si>
    <t>15п.14*</t>
  </si>
  <si>
    <t>15п.15*</t>
  </si>
  <si>
    <t>16н.01*</t>
  </si>
  <si>
    <t>16н.02*</t>
  </si>
  <si>
    <t>16н.03*</t>
  </si>
  <si>
    <t>16н.04*</t>
  </si>
  <si>
    <t>16н.05*</t>
  </si>
  <si>
    <t>16н.06*</t>
  </si>
  <si>
    <t>16н.07*</t>
  </si>
  <si>
    <t>16н.08*</t>
  </si>
  <si>
    <t>16н.09*</t>
  </si>
  <si>
    <t>16н.10*</t>
  </si>
  <si>
    <t>16н.11*</t>
  </si>
  <si>
    <t>16н.12*</t>
  </si>
  <si>
    <t>16н.13*</t>
  </si>
  <si>
    <t>16п.01*</t>
  </si>
  <si>
    <t>16п.02*</t>
  </si>
  <si>
    <t>16п.03*</t>
  </si>
  <si>
    <t>16п.04*</t>
  </si>
  <si>
    <t>16п.05*</t>
  </si>
  <si>
    <t>16п.06*</t>
  </si>
  <si>
    <t>16п.07*</t>
  </si>
  <si>
    <t>16п.08*</t>
  </si>
  <si>
    <t>16п.09*</t>
  </si>
  <si>
    <t>16п.10*</t>
  </si>
  <si>
    <t>16п.11*</t>
  </si>
  <si>
    <t>16п.12*</t>
  </si>
  <si>
    <t>16п.13*</t>
  </si>
  <si>
    <t>17н.01*</t>
  </si>
  <si>
    <t>17н.02*</t>
  </si>
  <si>
    <t>17н.03*</t>
  </si>
  <si>
    <t>17н.04*</t>
  </si>
  <si>
    <t>17н.05*</t>
  </si>
  <si>
    <t>17н.06*</t>
  </si>
  <si>
    <t>17н.07*</t>
  </si>
  <si>
    <t>17н.08*</t>
  </si>
  <si>
    <t>17н.09*</t>
  </si>
  <si>
    <t>17н.10*</t>
  </si>
  <si>
    <t>17н.11*</t>
  </si>
  <si>
    <t>17н.12*</t>
  </si>
  <si>
    <t>17п.01*</t>
  </si>
  <si>
    <t>17п.02*</t>
  </si>
  <si>
    <t>17п.03*</t>
  </si>
  <si>
    <t>17п.04*</t>
  </si>
  <si>
    <t>17п.05*</t>
  </si>
  <si>
    <t>17п.06*</t>
  </si>
  <si>
    <t>17п.07*</t>
  </si>
  <si>
    <t>17п.08*</t>
  </si>
  <si>
    <t>17п.09*</t>
  </si>
  <si>
    <t>17п.10*</t>
  </si>
  <si>
    <t>17п.11*</t>
  </si>
  <si>
    <t>17п.12*</t>
  </si>
  <si>
    <t>17п.13*</t>
  </si>
  <si>
    <t>18н.01*</t>
  </si>
  <si>
    <t>18н.02*</t>
  </si>
  <si>
    <t>18н.03*</t>
  </si>
  <si>
    <t>18н.04*</t>
  </si>
  <si>
    <t>18н.05*</t>
  </si>
  <si>
    <t>18н.06*</t>
  </si>
  <si>
    <t>18н.07*</t>
  </si>
  <si>
    <t>18н.08*</t>
  </si>
  <si>
    <t>18н.09*</t>
  </si>
  <si>
    <t>18н.10*</t>
  </si>
  <si>
    <t>18н.11*</t>
  </si>
  <si>
    <t>18н.12*</t>
  </si>
  <si>
    <t>18н.13*</t>
  </si>
  <si>
    <t>18н.14*</t>
  </si>
  <si>
    <t>18п.01*</t>
  </si>
  <si>
    <t>18п.02*</t>
  </si>
  <si>
    <t>18п.03*</t>
  </si>
  <si>
    <t>18п.04*</t>
  </si>
  <si>
    <t>18п.05*</t>
  </si>
  <si>
    <t>18п.06*</t>
  </si>
  <si>
    <t>18п.07*</t>
  </si>
  <si>
    <t>18п.08*</t>
  </si>
  <si>
    <t>18п.09*</t>
  </si>
  <si>
    <t>18п.10*</t>
  </si>
  <si>
    <t>18п.11*</t>
  </si>
  <si>
    <t>18п.12*</t>
  </si>
  <si>
    <t>18п.13*</t>
  </si>
  <si>
    <t>18п.14*</t>
  </si>
  <si>
    <t>18п.15*</t>
  </si>
  <si>
    <t>19н.01*</t>
  </si>
  <si>
    <t>19н.02*</t>
  </si>
  <si>
    <t>19н.03*</t>
  </si>
  <si>
    <t>19н.04*</t>
  </si>
  <si>
    <t>19н.05*</t>
  </si>
  <si>
    <t>19н.06*</t>
  </si>
  <si>
    <t>19н.07*</t>
  </si>
  <si>
    <t>19н.08*</t>
  </si>
  <si>
    <t>19н.09*</t>
  </si>
  <si>
    <t>19н.10*</t>
  </si>
  <si>
    <t>19н.11*</t>
  </si>
  <si>
    <t>19н.12*</t>
  </si>
  <si>
    <t>19н.13*</t>
  </si>
  <si>
    <t>19п.01*</t>
  </si>
  <si>
    <t>19п.02*</t>
  </si>
  <si>
    <t>19п.03*</t>
  </si>
  <si>
    <t>19п.04*</t>
  </si>
  <si>
    <t>19п.05*</t>
  </si>
  <si>
    <t>19п.06*</t>
  </si>
  <si>
    <t>19п.07*</t>
  </si>
  <si>
    <t>19п.08*</t>
  </si>
  <si>
    <t>19п.09*</t>
  </si>
  <si>
    <t>19п.10*</t>
  </si>
  <si>
    <t>19п.11*</t>
  </si>
  <si>
    <t>19п.12*</t>
  </si>
  <si>
    <t>19п.13*</t>
  </si>
  <si>
    <t>19п.14*</t>
  </si>
  <si>
    <t>19п.15*</t>
  </si>
  <si>
    <t>19п.16*</t>
  </si>
  <si>
    <t>20н.01*</t>
  </si>
  <si>
    <t>20н.02*</t>
  </si>
  <si>
    <t>20н.03*</t>
  </si>
  <si>
    <t>20н.04*</t>
  </si>
  <si>
    <t>20н.05*</t>
  </si>
  <si>
    <t>20н.06*</t>
  </si>
  <si>
    <t>20н.07*</t>
  </si>
  <si>
    <t>20н.08*</t>
  </si>
  <si>
    <t>20н.09*</t>
  </si>
  <si>
    <t>20н.10*</t>
  </si>
  <si>
    <t>20н.11*</t>
  </si>
  <si>
    <t>20н.12*</t>
  </si>
  <si>
    <t>20н.13*</t>
  </si>
  <si>
    <t>20н.14*</t>
  </si>
  <si>
    <t>20п.01*</t>
  </si>
  <si>
    <t>20п.02*</t>
  </si>
  <si>
    <t>20п.03*</t>
  </si>
  <si>
    <t>20п.04*</t>
  </si>
  <si>
    <t>20п.05*</t>
  </si>
  <si>
    <t>20п.06*</t>
  </si>
  <si>
    <t>20п.07*</t>
  </si>
  <si>
    <t>20п.08*</t>
  </si>
  <si>
    <t>20п.09*</t>
  </si>
  <si>
    <t>20п.10*</t>
  </si>
  <si>
    <t>20п.11*</t>
  </si>
  <si>
    <t>20п.12*</t>
  </si>
  <si>
    <t>20п.13*</t>
  </si>
  <si>
    <t>20п.14*</t>
  </si>
  <si>
    <t>20п.15*</t>
  </si>
  <si>
    <t>21н.01*</t>
  </si>
  <si>
    <t>21н.02*</t>
  </si>
  <si>
    <t>21н.03*</t>
  </si>
  <si>
    <t>21н.04*</t>
  </si>
  <si>
    <t>21н.05*</t>
  </si>
  <si>
    <t>21н.06*</t>
  </si>
  <si>
    <t>21н.07*</t>
  </si>
  <si>
    <t>21н.08*</t>
  </si>
  <si>
    <t>21н.09*</t>
  </si>
  <si>
    <t>21н.10*</t>
  </si>
  <si>
    <t>21н.11*</t>
  </si>
  <si>
    <t>21н.12*</t>
  </si>
  <si>
    <t>21п.01*</t>
  </si>
  <si>
    <t>21п.02*</t>
  </si>
  <si>
    <t>21п.03*</t>
  </si>
  <si>
    <t>21п.04*</t>
  </si>
  <si>
    <t>21п.05*</t>
  </si>
  <si>
    <t>21п.06*</t>
  </si>
  <si>
    <t>21п.07*</t>
  </si>
  <si>
    <t>21п.08*</t>
  </si>
  <si>
    <t>21п.09*</t>
  </si>
  <si>
    <t>21п.10*</t>
  </si>
  <si>
    <t>21п.11*</t>
  </si>
  <si>
    <t>21п.12*</t>
  </si>
  <si>
    <t>21п.13*</t>
  </si>
  <si>
    <t>21п.14*</t>
  </si>
  <si>
    <t>21п.15*</t>
  </si>
  <si>
    <t>21п.16*</t>
  </si>
  <si>
    <t>22н.01*</t>
  </si>
  <si>
    <t>22н.02*</t>
  </si>
  <si>
    <t>22н.03*</t>
  </si>
  <si>
    <t>22н.04*</t>
  </si>
  <si>
    <t>22н.05*</t>
  </si>
  <si>
    <t>22н.06*</t>
  </si>
  <si>
    <t>22н.07*</t>
  </si>
  <si>
    <t>22н.08*</t>
  </si>
  <si>
    <t>22н.09*</t>
  </si>
  <si>
    <t>22н.10*</t>
  </si>
  <si>
    <t>22н.11*</t>
  </si>
  <si>
    <t>22н.12*</t>
  </si>
  <si>
    <t>22п.01*</t>
  </si>
  <si>
    <t>22п.02*</t>
  </si>
  <si>
    <t>22п.03*</t>
  </si>
  <si>
    <t>22п.04*</t>
  </si>
  <si>
    <t>22п.05*</t>
  </si>
  <si>
    <t>22п.06*</t>
  </si>
  <si>
    <t>22п.07*</t>
  </si>
  <si>
    <t>22п.08*</t>
  </si>
  <si>
    <t>22п.09*</t>
  </si>
  <si>
    <t>22п.10*</t>
  </si>
  <si>
    <t>22п.11*</t>
  </si>
  <si>
    <t>22п.12*</t>
  </si>
  <si>
    <t>22п.13*</t>
  </si>
  <si>
    <t>22п.14*</t>
  </si>
  <si>
    <t>23н.01*</t>
  </si>
  <si>
    <t>23н.02*</t>
  </si>
  <si>
    <t>23н.03*</t>
  </si>
  <si>
    <t>23н.04*</t>
  </si>
  <si>
    <t>23н.05*</t>
  </si>
  <si>
    <t>23н.06*</t>
  </si>
  <si>
    <t>23н.07*</t>
  </si>
  <si>
    <t>23н.08*</t>
  </si>
  <si>
    <t>23н.09*</t>
  </si>
  <si>
    <t>23н.10*</t>
  </si>
  <si>
    <t>23н.11*</t>
  </si>
  <si>
    <t>23н.12*</t>
  </si>
  <si>
    <t>23н.13*</t>
  </si>
  <si>
    <t>23н.14*</t>
  </si>
  <si>
    <t>23н.15*</t>
  </si>
  <si>
    <t>23н.16*</t>
  </si>
  <si>
    <t>23п.01*</t>
  </si>
  <si>
    <t>23п.02*</t>
  </si>
  <si>
    <t>23п.03*</t>
  </si>
  <si>
    <t>23п.04*</t>
  </si>
  <si>
    <t>23п.05*</t>
  </si>
  <si>
    <t>23п.06*</t>
  </si>
  <si>
    <t>23п.07*</t>
  </si>
  <si>
    <t>23п.08*</t>
  </si>
  <si>
    <t>23п.09*</t>
  </si>
  <si>
    <t>23п.10*</t>
  </si>
  <si>
    <t>23п.11*</t>
  </si>
  <si>
    <t>23п.12*</t>
  </si>
  <si>
    <t>23п.13*</t>
  </si>
  <si>
    <t>23п.14*</t>
  </si>
  <si>
    <t>23п.15*</t>
  </si>
  <si>
    <t>23п.16*</t>
  </si>
  <si>
    <t>23п.17*</t>
  </si>
  <si>
    <t>23п.18*</t>
  </si>
  <si>
    <t>23п.19*</t>
  </si>
  <si>
    <t>24н.01*</t>
  </si>
  <si>
    <t>24н.02*</t>
  </si>
  <si>
    <t>24н.03*</t>
  </si>
  <si>
    <t>24н.04*</t>
  </si>
  <si>
    <t>24н.05*</t>
  </si>
  <si>
    <t>24н.06*</t>
  </si>
  <si>
    <t>24н.07*</t>
  </si>
  <si>
    <t>24н.08*</t>
  </si>
  <si>
    <t>24н.09*</t>
  </si>
  <si>
    <t>24н.10*</t>
  </si>
  <si>
    <t>24н.11*</t>
  </si>
  <si>
    <t>24н.12*</t>
  </si>
  <si>
    <t>24н.13*</t>
  </si>
  <si>
    <t>24н.14*</t>
  </si>
  <si>
    <t>24н.15*</t>
  </si>
  <si>
    <t>24н.16*</t>
  </si>
  <si>
    <t>24н.17*</t>
  </si>
  <si>
    <t>24н.18*</t>
  </si>
  <si>
    <t>24н.19*</t>
  </si>
  <si>
    <t>24н.20*</t>
  </si>
  <si>
    <t>24п.01*</t>
  </si>
  <si>
    <t>24п.02*</t>
  </si>
  <si>
    <t>24п.03*</t>
  </si>
  <si>
    <t>24п.04*</t>
  </si>
  <si>
    <t>24п.05*</t>
  </si>
  <si>
    <t>24п.06*</t>
  </si>
  <si>
    <t>24п.07*</t>
  </si>
  <si>
    <t>24п.08*</t>
  </si>
  <si>
    <t>24п.09*</t>
  </si>
  <si>
    <t>24п.10*</t>
  </si>
  <si>
    <t>24п.11*</t>
  </si>
  <si>
    <t>24п.12*</t>
  </si>
  <si>
    <t>24п.13*</t>
  </si>
  <si>
    <t>24п.14*</t>
  </si>
  <si>
    <t>24п.15*</t>
  </si>
  <si>
    <t>24п.16*</t>
  </si>
  <si>
    <t>24п.17*</t>
  </si>
  <si>
    <t>24п.18*</t>
  </si>
  <si>
    <t>24п.19*</t>
  </si>
  <si>
    <t>24п.20*</t>
  </si>
  <si>
    <t>24п.21*</t>
  </si>
  <si>
    <t>24п.22*</t>
  </si>
  <si>
    <t>24п.23*</t>
  </si>
  <si>
    <t>25н.01*</t>
  </si>
  <si>
    <t>25н.02*</t>
  </si>
  <si>
    <t>25н.03*</t>
  </si>
  <si>
    <t>25н.04*</t>
  </si>
  <si>
    <t>25н.05*</t>
  </si>
  <si>
    <t>25н.06*</t>
  </si>
  <si>
    <t>25н.07*</t>
  </si>
  <si>
    <t>25н.08*</t>
  </si>
  <si>
    <t>25н.09*</t>
  </si>
  <si>
    <t>25н.10*</t>
  </si>
  <si>
    <t>25н.11*</t>
  </si>
  <si>
    <t>25н.12*</t>
  </si>
  <si>
    <t>25н.13*</t>
  </si>
  <si>
    <t>25н.14*</t>
  </si>
  <si>
    <t>25н.15*</t>
  </si>
  <si>
    <t>25н.16*</t>
  </si>
  <si>
    <t>25н.17*</t>
  </si>
  <si>
    <t>25н.18*</t>
  </si>
  <si>
    <t>25п.01*</t>
  </si>
  <si>
    <t>25п.02*</t>
  </si>
  <si>
    <t>25п.03*</t>
  </si>
  <si>
    <t>25п.04*</t>
  </si>
  <si>
    <t>25п.05*</t>
  </si>
  <si>
    <t>25п.06*</t>
  </si>
  <si>
    <t>25п.07*</t>
  </si>
  <si>
    <t>25п.08*</t>
  </si>
  <si>
    <t>25п.09*</t>
  </si>
  <si>
    <t>25п.10*</t>
  </si>
  <si>
    <t>25п.11*</t>
  </si>
  <si>
    <t>25п.12*</t>
  </si>
  <si>
    <t>25п.13*</t>
  </si>
  <si>
    <t>25п.14*</t>
  </si>
  <si>
    <t>25п.15*</t>
  </si>
  <si>
    <t>25п.16*</t>
  </si>
  <si>
    <t>25п.17*</t>
  </si>
  <si>
    <t>26н.01*</t>
  </si>
  <si>
    <t>26н.02*</t>
  </si>
  <si>
    <t>26н.03*</t>
  </si>
  <si>
    <t>26н.04*</t>
  </si>
  <si>
    <t>26н.05*</t>
  </si>
  <si>
    <t>26н.06*</t>
  </si>
  <si>
    <t>26н.07*</t>
  </si>
  <si>
    <t>26н.08*</t>
  </si>
  <si>
    <t>26н.09*</t>
  </si>
  <si>
    <t>26н.10*</t>
  </si>
  <si>
    <t>26н.11*</t>
  </si>
  <si>
    <t>26н.12*</t>
  </si>
  <si>
    <t>26н.13*</t>
  </si>
  <si>
    <t>26н.14*</t>
  </si>
  <si>
    <t>26н.15*</t>
  </si>
  <si>
    <t>26н.16*</t>
  </si>
  <si>
    <t>26н.17*</t>
  </si>
  <si>
    <t>26н.18*</t>
  </si>
  <si>
    <t>26н.19*</t>
  </si>
  <si>
    <t>26н.20*</t>
  </si>
  <si>
    <t>26н.21*</t>
  </si>
  <si>
    <t>26н.22*</t>
  </si>
  <si>
    <t>26н.23*</t>
  </si>
  <si>
    <t>26н.24*</t>
  </si>
  <si>
    <t>26н.25*</t>
  </si>
  <si>
    <t>26н.26*</t>
  </si>
  <si>
    <t>26п.01*</t>
  </si>
  <si>
    <t>26п.02*</t>
  </si>
  <si>
    <t>26п.03*</t>
  </si>
  <si>
    <t>26п.04*</t>
  </si>
  <si>
    <t>26п.05*</t>
  </si>
  <si>
    <t>26п.06*</t>
  </si>
  <si>
    <t>26п.07*</t>
  </si>
  <si>
    <t>26п.08*</t>
  </si>
  <si>
    <t>26п.09*</t>
  </si>
  <si>
    <t>26п.10*</t>
  </si>
  <si>
    <t>26п.11*</t>
  </si>
  <si>
    <t>26п.12*</t>
  </si>
  <si>
    <t>26п.13*</t>
  </si>
  <si>
    <t>26п.14*</t>
  </si>
  <si>
    <t>26п.15*</t>
  </si>
  <si>
    <t>26п.16*</t>
  </si>
  <si>
    <t>26п.17*</t>
  </si>
  <si>
    <t>26п.18*</t>
  </si>
  <si>
    <t>26п.19*</t>
  </si>
  <si>
    <t>26п.20*</t>
  </si>
  <si>
    <t>26п.21*</t>
  </si>
  <si>
    <t>26п.22*</t>
  </si>
  <si>
    <t>27н.01*</t>
  </si>
  <si>
    <t>27н.02*</t>
  </si>
  <si>
    <t>27н.03*</t>
  </si>
  <si>
    <t>27н.04*</t>
  </si>
  <si>
    <t>27н.05*</t>
  </si>
  <si>
    <t>27н.06*</t>
  </si>
  <si>
    <t>27н.07*</t>
  </si>
  <si>
    <t>27н.08*</t>
  </si>
  <si>
    <t>27н.09*</t>
  </si>
  <si>
    <t>27н.10*</t>
  </si>
  <si>
    <t>27н.11*</t>
  </si>
  <si>
    <t>27н.12*</t>
  </si>
  <si>
    <t>27н.13*</t>
  </si>
  <si>
    <t>27н.14*</t>
  </si>
  <si>
    <t>27н.15*</t>
  </si>
  <si>
    <t>27н.16*</t>
  </si>
  <si>
    <t>27н.17*</t>
  </si>
  <si>
    <t>27н.18*</t>
  </si>
  <si>
    <t>27н.19*</t>
  </si>
  <si>
    <t>27н.20*</t>
  </si>
  <si>
    <t>27н.21*</t>
  </si>
  <si>
    <t>27н.22*</t>
  </si>
  <si>
    <t>27н.23*</t>
  </si>
  <si>
    <t>27н.24*</t>
  </si>
  <si>
    <t>27н.25*</t>
  </si>
  <si>
    <t>27п.01*</t>
  </si>
  <si>
    <t>27п.02*</t>
  </si>
  <si>
    <t>27п.03*</t>
  </si>
  <si>
    <t>27п.04*</t>
  </si>
  <si>
    <t>27п.05*</t>
  </si>
  <si>
    <t>27п.06*</t>
  </si>
  <si>
    <t>27п.07*</t>
  </si>
  <si>
    <t>27п.08*</t>
  </si>
  <si>
    <t>27п.09*</t>
  </si>
  <si>
    <t>27п.10*</t>
  </si>
  <si>
    <t>27п.11*</t>
  </si>
  <si>
    <t>27п.12*</t>
  </si>
  <si>
    <t>27п.13*</t>
  </si>
  <si>
    <t>27п.14*</t>
  </si>
  <si>
    <t>27п.15*</t>
  </si>
  <si>
    <t>27п.16*</t>
  </si>
  <si>
    <t>27п.17*</t>
  </si>
  <si>
    <t>27п.18*</t>
  </si>
  <si>
    <t>28н.01*</t>
  </si>
  <si>
    <t>28н.02*</t>
  </si>
  <si>
    <t>28н.03*</t>
  </si>
  <si>
    <t>28н.04*</t>
  </si>
  <si>
    <t>28н.05*</t>
  </si>
  <si>
    <t>28н.06*</t>
  </si>
  <si>
    <t>28н.07*</t>
  </si>
  <si>
    <t>28н.08*</t>
  </si>
  <si>
    <t>28н.09*</t>
  </si>
  <si>
    <t>28н.10*</t>
  </si>
  <si>
    <t>28н.11*</t>
  </si>
  <si>
    <t>28н.12*</t>
  </si>
  <si>
    <t>28н.13*</t>
  </si>
  <si>
    <t>28н.14*</t>
  </si>
  <si>
    <t>28п.01*</t>
  </si>
  <si>
    <t>28п.02*</t>
  </si>
  <si>
    <t>28п.03*</t>
  </si>
  <si>
    <t>28п.04*</t>
  </si>
  <si>
    <t>28п.05*</t>
  </si>
  <si>
    <t>28п.06*</t>
  </si>
  <si>
    <t>28п.07*</t>
  </si>
  <si>
    <t>28п.08*</t>
  </si>
  <si>
    <t>28п.09*</t>
  </si>
  <si>
    <t>28п.10*</t>
  </si>
  <si>
    <t>28п.11*</t>
  </si>
  <si>
    <t>28п.12*</t>
  </si>
  <si>
    <t>28п.13*</t>
  </si>
  <si>
    <t>28п.14*</t>
  </si>
  <si>
    <t>28п.15*</t>
  </si>
  <si>
    <t>28п.16*</t>
  </si>
  <si>
    <t>28п.17*</t>
  </si>
  <si>
    <t>30н.01*</t>
  </si>
  <si>
    <t>30н.02*</t>
  </si>
  <si>
    <t>30н.03*</t>
  </si>
  <si>
    <t>30н.04*</t>
  </si>
  <si>
    <t>30н.05*</t>
  </si>
  <si>
    <t>30н.06*</t>
  </si>
  <si>
    <t>30н.07*</t>
  </si>
  <si>
    <t>30н.08*</t>
  </si>
  <si>
    <t>30н.09*</t>
  </si>
  <si>
    <t>30н.10*</t>
  </si>
  <si>
    <t>30н.11*</t>
  </si>
  <si>
    <t>30н.12*</t>
  </si>
  <si>
    <t>30н.13*</t>
  </si>
  <si>
    <t>30н.14*</t>
  </si>
  <si>
    <t>30н.15*</t>
  </si>
  <si>
    <t>30п.01*</t>
  </si>
  <si>
    <t>30п.02*</t>
  </si>
  <si>
    <t>30п.03*</t>
  </si>
  <si>
    <t>30п.04*</t>
  </si>
  <si>
    <t>30п.05*</t>
  </si>
  <si>
    <t>30п.06*</t>
  </si>
  <si>
    <t>30п.07*</t>
  </si>
  <si>
    <t>30п.08*</t>
  </si>
  <si>
    <t>30п.09*</t>
  </si>
  <si>
    <t>30п.10*</t>
  </si>
  <si>
    <t>30п.11*</t>
  </si>
  <si>
    <t>30п.12*</t>
  </si>
  <si>
    <t>30п.13*</t>
  </si>
  <si>
    <t>30п.14*</t>
  </si>
  <si>
    <t>30п.15*</t>
  </si>
  <si>
    <t>30п.16*</t>
  </si>
  <si>
    <t>30п.17*</t>
  </si>
  <si>
    <t>30п.18*</t>
  </si>
  <si>
    <t>31н.01*</t>
  </si>
  <si>
    <t>31н.02*</t>
  </si>
  <si>
    <t>31н.03*</t>
  </si>
  <si>
    <t>31н.04*</t>
  </si>
  <si>
    <t>31н.05*</t>
  </si>
  <si>
    <t>31н.06*</t>
  </si>
  <si>
    <t>31н.07*</t>
  </si>
  <si>
    <t>31н.08*</t>
  </si>
  <si>
    <t>31н.09*</t>
  </si>
  <si>
    <t>31н.10*</t>
  </si>
  <si>
    <t>31н.11*</t>
  </si>
  <si>
    <t>31н.12*</t>
  </si>
  <si>
    <t>31н.13*</t>
  </si>
  <si>
    <t>31н.14*</t>
  </si>
  <si>
    <t>31п.01*</t>
  </si>
  <si>
    <t>31п.02*</t>
  </si>
  <si>
    <t>31п.03*</t>
  </si>
  <si>
    <t>31п.04*</t>
  </si>
  <si>
    <t>31п.05*</t>
  </si>
  <si>
    <t>31п.06*</t>
  </si>
  <si>
    <t>31п.07*</t>
  </si>
  <si>
    <t>31п.08*</t>
  </si>
  <si>
    <t>31п.09*</t>
  </si>
  <si>
    <t>31п.10*</t>
  </si>
  <si>
    <t>31п.11*</t>
  </si>
  <si>
    <t>31п.12*</t>
  </si>
  <si>
    <t>31п.13*</t>
  </si>
  <si>
    <t>31п.14*</t>
  </si>
  <si>
    <t>31п.15*</t>
  </si>
  <si>
    <t>31п.16*</t>
  </si>
  <si>
    <t>32н.01*</t>
  </si>
  <si>
    <t>32н.02*</t>
  </si>
  <si>
    <t>32н.03*</t>
  </si>
  <si>
    <t>32н.04*</t>
  </si>
  <si>
    <t>32н.05*</t>
  </si>
  <si>
    <t>32н.06*</t>
  </si>
  <si>
    <t>32н.07*</t>
  </si>
  <si>
    <t>32н.08*</t>
  </si>
  <si>
    <t>32н.09*</t>
  </si>
  <si>
    <t>32н.10*</t>
  </si>
  <si>
    <t>32н.11*</t>
  </si>
  <si>
    <t>32н.12*</t>
  </si>
  <si>
    <t>32п.01*</t>
  </si>
  <si>
    <t>32п.02*</t>
  </si>
  <si>
    <t>32п.03*</t>
  </si>
  <si>
    <t>32п.04*</t>
  </si>
  <si>
    <t>32п.05*</t>
  </si>
  <si>
    <t>32п.06*</t>
  </si>
  <si>
    <t>32п.07*</t>
  </si>
  <si>
    <t>32п.08*</t>
  </si>
  <si>
    <t>32п.09*</t>
  </si>
  <si>
    <t>32п.10*</t>
  </si>
  <si>
    <t>32п.11*</t>
  </si>
  <si>
    <t>32п.12*</t>
  </si>
  <si>
    <t>32п.13*</t>
  </si>
  <si>
    <t>32п.14*</t>
  </si>
  <si>
    <t>32п.15*</t>
  </si>
  <si>
    <t>33н.01*</t>
  </si>
  <si>
    <t>33н.02*</t>
  </si>
  <si>
    <t>33н.03*</t>
  </si>
  <si>
    <t>33н.04*</t>
  </si>
  <si>
    <t>33н.05*</t>
  </si>
  <si>
    <t>33н.06*</t>
  </si>
  <si>
    <t>33н.07*</t>
  </si>
  <si>
    <t>33н.08*</t>
  </si>
  <si>
    <t>33н.09*</t>
  </si>
  <si>
    <t>33н.10*</t>
  </si>
  <si>
    <t>33н.11*</t>
  </si>
  <si>
    <t>33п.01*</t>
  </si>
  <si>
    <t>33п.02*</t>
  </si>
  <si>
    <t>33п.03*</t>
  </si>
  <si>
    <t>33п.04*</t>
  </si>
  <si>
    <t>33п.05*</t>
  </si>
  <si>
    <t>33п.06*</t>
  </si>
  <si>
    <t>33п.07*</t>
  </si>
  <si>
    <t>33п.08*</t>
  </si>
  <si>
    <t>33п.09*</t>
  </si>
  <si>
    <t>33п.10*</t>
  </si>
  <si>
    <t>33п.11*</t>
  </si>
  <si>
    <t>33п.12*</t>
  </si>
  <si>
    <t>33п.13*</t>
  </si>
  <si>
    <t>33п.14*</t>
  </si>
  <si>
    <t>33п.15*</t>
  </si>
  <si>
    <t>33п.16*</t>
  </si>
  <si>
    <t>34н.01*</t>
  </si>
  <si>
    <t>34н.02*</t>
  </si>
  <si>
    <t>34н.03*</t>
  </si>
  <si>
    <t>34н.04*</t>
  </si>
  <si>
    <t>34н.05*</t>
  </si>
  <si>
    <t>34н.06*</t>
  </si>
  <si>
    <t>34н.07*</t>
  </si>
  <si>
    <t>34н.08*</t>
  </si>
  <si>
    <t>34н.09*</t>
  </si>
  <si>
    <t>34н.10*</t>
  </si>
  <si>
    <t>34н.11*</t>
  </si>
  <si>
    <t>34н.12*</t>
  </si>
  <si>
    <t>34н.13*</t>
  </si>
  <si>
    <t>34н.14*</t>
  </si>
  <si>
    <t>34п.01*</t>
  </si>
  <si>
    <t>34п.02*</t>
  </si>
  <si>
    <t>34п.03*</t>
  </si>
  <si>
    <t>34п.04*</t>
  </si>
  <si>
    <t>34п.05*</t>
  </si>
  <si>
    <t>34п.06*</t>
  </si>
  <si>
    <t>34п.07*</t>
  </si>
  <si>
    <t>34п.08*</t>
  </si>
  <si>
    <t>34п.09*</t>
  </si>
  <si>
    <t>34п.10*</t>
  </si>
  <si>
    <t>34п.11*</t>
  </si>
  <si>
    <t>34п.12*</t>
  </si>
  <si>
    <t>34п.13*</t>
  </si>
  <si>
    <t>34п.14*</t>
  </si>
  <si>
    <t>34п.15*</t>
  </si>
  <si>
    <t>34п.16*</t>
  </si>
  <si>
    <t>34п.17*</t>
  </si>
  <si>
    <t>34п.18*</t>
  </si>
  <si>
    <t>35н.01*</t>
  </si>
  <si>
    <t>35н.02*</t>
  </si>
  <si>
    <t>35н.03*</t>
  </si>
  <si>
    <t>35н.04*</t>
  </si>
  <si>
    <t>35н.05*</t>
  </si>
  <si>
    <t>35н.06*</t>
  </si>
  <si>
    <t>35н.07*</t>
  </si>
  <si>
    <t>35н.08*</t>
  </si>
  <si>
    <t>35н.09*</t>
  </si>
  <si>
    <t>35н.10*</t>
  </si>
  <si>
    <t>35н.11*</t>
  </si>
  <si>
    <t>35н.12*</t>
  </si>
  <si>
    <t>35н.13*</t>
  </si>
  <si>
    <t>35н.14*</t>
  </si>
  <si>
    <t>35н.15*</t>
  </si>
  <si>
    <t>35п.01*</t>
  </si>
  <si>
    <t>35п.02*</t>
  </si>
  <si>
    <t>35п.03*</t>
  </si>
  <si>
    <t>35п.04*</t>
  </si>
  <si>
    <t>35п.05*</t>
  </si>
  <si>
    <t>35п.06*</t>
  </si>
  <si>
    <t>35п.07*</t>
  </si>
  <si>
    <t>35п.08*</t>
  </si>
  <si>
    <t>35п.09*</t>
  </si>
  <si>
    <t>35п.10*</t>
  </si>
  <si>
    <t>35п.11*</t>
  </si>
  <si>
    <t>35п.12*</t>
  </si>
  <si>
    <t>Чубарь</t>
  </si>
  <si>
    <t>Тихонов</t>
  </si>
  <si>
    <t>Шибанов Фёдор</t>
  </si>
  <si>
    <t>Рекунов Иван</t>
  </si>
  <si>
    <t>Лысенок Алёна</t>
  </si>
  <si>
    <t>Смирнова Софья</t>
  </si>
  <si>
    <t>Галицын</t>
  </si>
  <si>
    <t>01п.13*</t>
  </si>
  <si>
    <t>01п.14*</t>
  </si>
  <si>
    <t>01п.15*</t>
  </si>
  <si>
    <t>01п.16*</t>
  </si>
  <si>
    <t>Иванов</t>
  </si>
  <si>
    <t>Результаты</t>
  </si>
  <si>
    <t>б012</t>
  </si>
  <si>
    <t>б022</t>
  </si>
  <si>
    <t>б033</t>
  </si>
  <si>
    <t>б044</t>
  </si>
  <si>
    <t>б055</t>
  </si>
  <si>
    <t>б066</t>
  </si>
  <si>
    <t>б077</t>
  </si>
  <si>
    <t>б088</t>
  </si>
  <si>
    <t>б099</t>
  </si>
  <si>
    <t>б1010</t>
  </si>
  <si>
    <t>б1111</t>
  </si>
  <si>
    <t>б1212</t>
  </si>
  <si>
    <t>б1313</t>
  </si>
  <si>
    <t>б1414</t>
  </si>
  <si>
    <t>б1515</t>
  </si>
  <si>
    <t>б1616</t>
  </si>
  <si>
    <t>б1717</t>
  </si>
  <si>
    <t>б1818</t>
  </si>
  <si>
    <t>б1919</t>
  </si>
  <si>
    <t>б2020</t>
  </si>
  <si>
    <t>б2121</t>
  </si>
  <si>
    <t>б2222</t>
  </si>
  <si>
    <t>б2323</t>
  </si>
  <si>
    <t>б2424</t>
  </si>
  <si>
    <t>б2525</t>
  </si>
  <si>
    <t>б2626</t>
  </si>
  <si>
    <t>б2727</t>
  </si>
  <si>
    <t>б2828</t>
  </si>
  <si>
    <t>б2929</t>
  </si>
  <si>
    <t>б3030</t>
  </si>
  <si>
    <t>б3131</t>
  </si>
  <si>
    <t>б3232</t>
  </si>
  <si>
    <t>б3333</t>
  </si>
  <si>
    <t>б3434</t>
  </si>
  <si>
    <t>б3535</t>
  </si>
  <si>
    <t>б3636</t>
  </si>
  <si>
    <t>б3737</t>
  </si>
  <si>
    <t>б3838</t>
  </si>
  <si>
    <t>б4040</t>
  </si>
  <si>
    <t>Y</t>
  </si>
  <si>
    <t>б3629</t>
  </si>
  <si>
    <t>Поиск</t>
  </si>
  <si>
    <t>Петров</t>
  </si>
  <si>
    <t>00_0001</t>
  </si>
  <si>
    <t>00_0002</t>
  </si>
  <si>
    <t>00_0003</t>
  </si>
  <si>
    <t>л2ш</t>
  </si>
  <si>
    <t>Форматирование</t>
  </si>
  <si>
    <t>Условие</t>
  </si>
  <si>
    <t>Диапазон</t>
  </si>
  <si>
    <t>Комментарий</t>
  </si>
  <si>
    <t>Шкала цветов</t>
  </si>
  <si>
    <t>=$K:$K</t>
  </si>
  <si>
    <t>Индикация среднего числа задач школьника</t>
  </si>
  <si>
    <t>=$J:$J</t>
  </si>
  <si>
    <t>Индикация числа посещений</t>
  </si>
  <si>
    <t>Красная правая граница</t>
  </si>
  <si>
    <t>=ЛЕВСИМВ(BA$1;2)&lt;&gt;ЛЕВСИМВ(BB$1;2)</t>
  </si>
  <si>
    <t>=$BA:$CSJ</t>
  </si>
  <si>
    <t>Разделитель между задачами, но не между пунктами</t>
  </si>
  <si>
    <t>Сделать серым</t>
  </si>
  <si>
    <t>=$F1=1</t>
  </si>
  <si>
    <t>=$A:$L</t>
  </si>
  <si>
    <t>Сделать серым скрытого школьника</t>
  </si>
  <si>
    <t>=$M$4:$AZ$4</t>
  </si>
  <si>
    <t>Индикация числа школьников на занятии в распределении по аудиториям</t>
  </si>
  <si>
    <t>Выделить красным</t>
  </si>
  <si>
    <t>=И(НЕ(ЕПУСТО(A1));СТРОКА(G1)&gt;=6;ЕПУСТО(F1);ЕНД(ПОИСКПОЗ(L1;СМЕЩ(Аудитории!$C$12:$AA$12;ПОИСКПОЗ(G1;Аудитории!$B$13:$B$17;0);0;1;25);0)))</t>
  </si>
  <si>
    <t>=$L:$L;$G:$G</t>
  </si>
  <si>
    <t>Аудитория не назначена или не соответствует уровню школьника</t>
  </si>
  <si>
    <t>Оранжевый</t>
  </si>
  <si>
    <t>=ПСТР(A5;3;1)="н"</t>
  </si>
  <si>
    <t>=$1:$1</t>
  </si>
  <si>
    <t>Выделение столбцов начинающих</t>
  </si>
  <si>
    <t>Голубенький</t>
  </si>
  <si>
    <t>=ПСТР(A5;3;1)="п"</t>
  </si>
  <si>
    <t>Выделение столбцов продолжающих</t>
  </si>
  <si>
    <t>=BA$1="н.Н"</t>
  </si>
  <si>
    <t>Выделение столбца в начале столбца задач начинающих</t>
  </si>
  <si>
    <t>=BA$1="п.Н"</t>
  </si>
  <si>
    <t>=$M:$AZ</t>
  </si>
  <si>
    <t>Сделать серым номер аудитории, если школьник пропустил</t>
  </si>
  <si>
    <t>=И(СТРОКА(M1)&gt;=6;ИЛИ(НЕ(ЕЧИСЛО(CSL1));CSL1&lt;1))</t>
  </si>
  <si>
    <t>Ключ</t>
  </si>
  <si>
    <t>Данные</t>
  </si>
  <si>
    <t>Петр</t>
  </si>
  <si>
    <t>Нашлось!</t>
  </si>
  <si>
    <t>Смирнов</t>
  </si>
  <si>
    <t>Кузнецов</t>
  </si>
  <si>
    <t>Попов</t>
  </si>
  <si>
    <t>Васильев</t>
  </si>
  <si>
    <t>Соколов</t>
  </si>
  <si>
    <t>Михайлов</t>
  </si>
  <si>
    <t>Федоров</t>
  </si>
  <si>
    <t>Морозов</t>
  </si>
  <si>
    <t>Волков</t>
  </si>
  <si>
    <t>Алексеев</t>
  </si>
  <si>
    <t>Семенов</t>
  </si>
  <si>
    <t>Егоров</t>
  </si>
  <si>
    <t>Павлов</t>
  </si>
  <si>
    <t>Козлов</t>
  </si>
  <si>
    <t>Степанов</t>
  </si>
  <si>
    <t>Николаев</t>
  </si>
  <si>
    <t>Орлов</t>
  </si>
  <si>
    <t>Андреев</t>
  </si>
  <si>
    <t>Макаров</t>
  </si>
  <si>
    <t>Никитин</t>
  </si>
  <si>
    <t>Зайцев</t>
  </si>
  <si>
    <t>Соловьев</t>
  </si>
  <si>
    <t>Борисов</t>
  </si>
  <si>
    <t>Яковлев</t>
  </si>
  <si>
    <t>Григорьев</t>
  </si>
  <si>
    <t>Романов</t>
  </si>
  <si>
    <t>Воробьев</t>
  </si>
  <si>
    <t>Сергеев</t>
  </si>
  <si>
    <t>Кузьмин</t>
  </si>
  <si>
    <t>Фролов</t>
  </si>
  <si>
    <t>Александров</t>
  </si>
  <si>
    <t>Дмитриев</t>
  </si>
  <si>
    <t>Королев</t>
  </si>
  <si>
    <t>Гусев</t>
  </si>
  <si>
    <t>Киселев</t>
  </si>
  <si>
    <t>Ильин</t>
  </si>
  <si>
    <t>Максимов</t>
  </si>
  <si>
    <t>Поляков</t>
  </si>
  <si>
    <t>Сорокин</t>
  </si>
  <si>
    <t>Виноградов</t>
  </si>
  <si>
    <t>Ковалев</t>
  </si>
  <si>
    <t>Белов</t>
  </si>
  <si>
    <t>Медведев</t>
  </si>
  <si>
    <t>Антонов</t>
  </si>
  <si>
    <t>Тарасов</t>
  </si>
  <si>
    <t>00_0004</t>
  </si>
  <si>
    <t>00_0005</t>
  </si>
  <si>
    <t>00_0006</t>
  </si>
  <si>
    <t>00_0007</t>
  </si>
  <si>
    <t>00_0008</t>
  </si>
  <si>
    <t>00_0009</t>
  </si>
  <si>
    <t>00_0010</t>
  </si>
  <si>
    <t>00_0011</t>
  </si>
  <si>
    <t>00_0012</t>
  </si>
  <si>
    <t>00_0013</t>
  </si>
  <si>
    <t>00_0014</t>
  </si>
  <si>
    <t>00_0015</t>
  </si>
  <si>
    <t>00_0016</t>
  </si>
  <si>
    <t>00_0017</t>
  </si>
  <si>
    <t>00_0018</t>
  </si>
  <si>
    <t>00_0019</t>
  </si>
  <si>
    <t>00_0020</t>
  </si>
  <si>
    <t>00_0021</t>
  </si>
  <si>
    <t>00_0022</t>
  </si>
  <si>
    <t>00_0023</t>
  </si>
  <si>
    <t>00_0024</t>
  </si>
  <si>
    <t>00_0025</t>
  </si>
  <si>
    <t>00_0026</t>
  </si>
  <si>
    <t>00_0027</t>
  </si>
  <si>
    <t>00_0028</t>
  </si>
  <si>
    <t>00_0029</t>
  </si>
  <si>
    <t>00_0030</t>
  </si>
  <si>
    <t>00_0031</t>
  </si>
  <si>
    <t>00_0032</t>
  </si>
  <si>
    <t>00_0033</t>
  </si>
  <si>
    <t>00_0034</t>
  </si>
  <si>
    <t>00_0035</t>
  </si>
  <si>
    <t>00_0036</t>
  </si>
  <si>
    <t>00_0037</t>
  </si>
  <si>
    <t>00_0038</t>
  </si>
  <si>
    <t>00_0039</t>
  </si>
  <si>
    <t>00_0040</t>
  </si>
  <si>
    <t>00_0041</t>
  </si>
  <si>
    <t>00_0042</t>
  </si>
  <si>
    <t>00_0043</t>
  </si>
  <si>
    <t>00_0044</t>
  </si>
  <si>
    <t>00_0045</t>
  </si>
  <si>
    <t>00_0046</t>
  </si>
  <si>
    <t>00_0047</t>
  </si>
  <si>
    <t>Артём</t>
  </si>
  <si>
    <t>Александр</t>
  </si>
  <si>
    <t>Максим</t>
  </si>
  <si>
    <t>Даниил</t>
  </si>
  <si>
    <t>Дмитрий</t>
  </si>
  <si>
    <t>Кирилл</t>
  </si>
  <si>
    <t>Никита</t>
  </si>
  <si>
    <t>Михаил</t>
  </si>
  <si>
    <t>Матвей</t>
  </si>
  <si>
    <t>Андрей</t>
  </si>
  <si>
    <t>Илья</t>
  </si>
  <si>
    <t>Алексей</t>
  </si>
  <si>
    <t>Роман</t>
  </si>
  <si>
    <t>Сергей</t>
  </si>
  <si>
    <t>Владислав</t>
  </si>
  <si>
    <t>Ярослав</t>
  </si>
  <si>
    <t>Тимофей</t>
  </si>
  <si>
    <t>Арсений</t>
  </si>
  <si>
    <t>Денис</t>
  </si>
  <si>
    <t>Владимир</t>
  </si>
  <si>
    <t>Глеб</t>
  </si>
  <si>
    <t>Константин</t>
  </si>
  <si>
    <t>Богдан</t>
  </si>
  <si>
    <t>Евгений</t>
  </si>
  <si>
    <t>Степан</t>
  </si>
  <si>
    <t>Захар</t>
  </si>
  <si>
    <t>Тимур</t>
  </si>
  <si>
    <t>Марк</t>
  </si>
  <si>
    <t>Семён</t>
  </si>
  <si>
    <t>Фёдор</t>
  </si>
  <si>
    <t>Георгий</t>
  </si>
  <si>
    <t>Лев</t>
  </si>
  <si>
    <t>Антон</t>
  </si>
  <si>
    <t>Руслан</t>
  </si>
  <si>
    <t>Вячеслав</t>
  </si>
  <si>
    <t>Григорий</t>
  </si>
  <si>
    <t>Макар</t>
  </si>
  <si>
    <t>Артур</t>
  </si>
  <si>
    <t>Виктор</t>
  </si>
  <si>
    <t>Станислав</t>
  </si>
  <si>
    <t>Савелий</t>
  </si>
  <si>
    <t>Олег</t>
  </si>
  <si>
    <t>Давид</t>
  </si>
  <si>
    <t>Леонид</t>
  </si>
  <si>
    <t>Павел С.</t>
  </si>
  <si>
    <t>Павел А.</t>
  </si>
  <si>
    <t>Игорь 5кл.</t>
  </si>
  <si>
    <t>Игорь 6кл.</t>
  </si>
  <si>
    <t>Егор 57</t>
  </si>
  <si>
    <t>Егор 179</t>
  </si>
  <si>
    <t>BA:CE</t>
  </si>
  <si>
    <t>CF:DJ</t>
  </si>
  <si>
    <t>DK:EO</t>
  </si>
  <si>
    <t>EP:FT</t>
  </si>
  <si>
    <t>FU:GY</t>
  </si>
  <si>
    <t>GZ:ID</t>
  </si>
  <si>
    <t>IE:JI</t>
  </si>
  <si>
    <t>JJ:KN</t>
  </si>
  <si>
    <t>KO:LS</t>
  </si>
  <si>
    <t>LT:MX</t>
  </si>
  <si>
    <t>MY:OC</t>
  </si>
  <si>
    <t>OD:PH</t>
  </si>
  <si>
    <t>PI:QM</t>
  </si>
  <si>
    <t>QN:RR</t>
  </si>
  <si>
    <t>RS:SW</t>
  </si>
  <si>
    <t>UC:VG</t>
  </si>
  <si>
    <t>VH:WL</t>
  </si>
  <si>
    <t>WM:XQ</t>
  </si>
  <si>
    <t>XR:YV</t>
  </si>
  <si>
    <t>YW:AAA</t>
  </si>
  <si>
    <t>AAB:ABF</t>
  </si>
  <si>
    <t>ABG:ACK</t>
  </si>
  <si>
    <t>ACL:ADP</t>
  </si>
  <si>
    <t>ADQ:AEU</t>
  </si>
  <si>
    <t>AEV:AFZ</t>
  </si>
  <si>
    <t>AGA:AHE</t>
  </si>
  <si>
    <t>AHF:AIJ</t>
  </si>
  <si>
    <t>AIK:AJO</t>
  </si>
  <si>
    <t>AJP:AKT</t>
  </si>
  <si>
    <t>AKU:ALY</t>
  </si>
  <si>
    <t>ALZ:AND</t>
  </si>
  <si>
    <t>ANE:AOI</t>
  </si>
  <si>
    <t>AOJ:APN</t>
  </si>
  <si>
    <t>APO:AQS</t>
  </si>
  <si>
    <t>AQT:ARX</t>
  </si>
  <si>
    <t>ARY:ATC</t>
  </si>
  <si>
    <t>ATD:AUH</t>
  </si>
  <si>
    <t>AUI:AVM</t>
  </si>
  <si>
    <t>AVN:AWR</t>
  </si>
  <si>
    <t>AWS:AXW</t>
  </si>
  <si>
    <t>AXX:AZB</t>
  </si>
  <si>
    <t>AZC:BAG</t>
  </si>
  <si>
    <t>BAH:BBL</t>
  </si>
  <si>
    <t>BBM:BCQ</t>
  </si>
  <si>
    <t>BCR:BDV</t>
  </si>
  <si>
    <t>BDW:BFA</t>
  </si>
  <si>
    <t>BFB:BGF</t>
  </si>
  <si>
    <t>BGG:BHK</t>
  </si>
  <si>
    <t>BHL:BIP</t>
  </si>
  <si>
    <t>BIQ:BJU</t>
  </si>
  <si>
    <t>BJV:BKZ</t>
  </si>
  <si>
    <t>BLA:BME</t>
  </si>
  <si>
    <t>BMF:BNJ</t>
  </si>
  <si>
    <t>BNK:BOO</t>
  </si>
  <si>
    <t>BOP:BPT</t>
  </si>
  <si>
    <t>BPU:BQY</t>
  </si>
  <si>
    <t>BQZ:BSD</t>
  </si>
  <si>
    <t>BSE:BTI</t>
  </si>
  <si>
    <t>BTJ:BUN</t>
  </si>
  <si>
    <t>BUO:BVS</t>
  </si>
  <si>
    <t>BVT:BWX</t>
  </si>
  <si>
    <t>BWY:BYC</t>
  </si>
  <si>
    <t>BYD:BZH</t>
  </si>
  <si>
    <t>BZI:CAM</t>
  </si>
  <si>
    <t>CAN:CBR</t>
  </si>
  <si>
    <t>CBS:CCW</t>
  </si>
  <si>
    <t>CCX:CEB</t>
  </si>
  <si>
    <t>CEC:CFG</t>
  </si>
  <si>
    <t>CFH:CGL</t>
  </si>
  <si>
    <t>CGM:CHQ</t>
  </si>
  <si>
    <t>CHR:CIV</t>
  </si>
  <si>
    <t>CIW:CKA</t>
  </si>
  <si>
    <t>CKB:CLF</t>
  </si>
  <si>
    <t>CLG:CMK</t>
  </si>
  <si>
    <t>CML:CNP</t>
  </si>
  <si>
    <t>CNQ:COU</t>
  </si>
  <si>
    <t>COV:CPZ</t>
  </si>
  <si>
    <t>CQA:CRE</t>
  </si>
  <si>
    <t>CRF:CSJ</t>
  </si>
  <si>
    <t>00_0048</t>
  </si>
  <si>
    <t>00_0049</t>
  </si>
  <si>
    <t>00_0050</t>
  </si>
  <si>
    <t>01н.01</t>
  </si>
  <si>
    <t>01н.02</t>
  </si>
  <si>
    <t>01н.03а</t>
  </si>
  <si>
    <t>01н.03б</t>
  </si>
  <si>
    <t>01н.04</t>
  </si>
  <si>
    <t>01н.05</t>
  </si>
  <si>
    <t>01н.06</t>
  </si>
  <si>
    <t>01н.07</t>
  </si>
  <si>
    <t>01н.08</t>
  </si>
  <si>
    <t>01н.09</t>
  </si>
  <si>
    <t>01н.10</t>
  </si>
  <si>
    <t>01н.11</t>
  </si>
  <si>
    <t>01н.12а</t>
  </si>
  <si>
    <t>01н.12б</t>
  </si>
  <si>
    <t>01н.13</t>
  </si>
  <si>
    <t>01н.14</t>
  </si>
  <si>
    <t>01н.15</t>
  </si>
  <si>
    <t>01н.16</t>
  </si>
  <si>
    <t>01п.01</t>
  </si>
  <si>
    <t>01п.02</t>
  </si>
  <si>
    <t>01п.03</t>
  </si>
  <si>
    <t>01п.04</t>
  </si>
  <si>
    <t>01п.05</t>
  </si>
  <si>
    <t>01п.06</t>
  </si>
  <si>
    <t>01п.07</t>
  </si>
  <si>
    <t>01п.08</t>
  </si>
  <si>
    <t>01п.09</t>
  </si>
  <si>
    <t>01п.10</t>
  </si>
  <si>
    <t>01п.11</t>
  </si>
  <si>
    <t>01п.12</t>
  </si>
  <si>
    <t>02н.01</t>
  </si>
  <si>
    <t>02н.02</t>
  </si>
  <si>
    <t>02н.03</t>
  </si>
  <si>
    <t>02н.04</t>
  </si>
  <si>
    <t>02н.05</t>
  </si>
  <si>
    <t>02н.06</t>
  </si>
  <si>
    <t>02н.07</t>
  </si>
  <si>
    <t>02н.08</t>
  </si>
  <si>
    <t>02н.09</t>
  </si>
  <si>
    <t>02н.10</t>
  </si>
  <si>
    <t>02н.11</t>
  </si>
  <si>
    <t>02н.12</t>
  </si>
  <si>
    <t>02п.01</t>
  </si>
  <si>
    <t>02п.02</t>
  </si>
  <si>
    <t>02п.03</t>
  </si>
  <si>
    <t>02п.04</t>
  </si>
  <si>
    <t>02п.05</t>
  </si>
  <si>
    <t>02п.06</t>
  </si>
  <si>
    <t>02п.07</t>
  </si>
  <si>
    <t>02п.08</t>
  </si>
  <si>
    <t>02п.09</t>
  </si>
  <si>
    <t>02п.10</t>
  </si>
  <si>
    <t>02п.11</t>
  </si>
  <si>
    <t>02п.12</t>
  </si>
  <si>
    <t>03н.01</t>
  </si>
  <si>
    <t>03н.02</t>
  </si>
  <si>
    <t>03н.03</t>
  </si>
  <si>
    <t>03н.04а</t>
  </si>
  <si>
    <t>03н.04б</t>
  </si>
  <si>
    <t>03н.04в</t>
  </si>
  <si>
    <t>03н.04г</t>
  </si>
  <si>
    <t>03н.05</t>
  </si>
  <si>
    <t>03н.06</t>
  </si>
  <si>
    <t>03н.07</t>
  </si>
  <si>
    <t>03н.08</t>
  </si>
  <si>
    <t>03н.09</t>
  </si>
  <si>
    <t>03н.10</t>
  </si>
  <si>
    <t>03н.11</t>
  </si>
  <si>
    <t>03н.12</t>
  </si>
  <si>
    <t>03п.01</t>
  </si>
  <si>
    <t>03п.02</t>
  </si>
  <si>
    <t>03п.03</t>
  </si>
  <si>
    <t>03п.04</t>
  </si>
  <si>
    <t>03п.05</t>
  </si>
  <si>
    <t>03п.06</t>
  </si>
  <si>
    <t>03п.07</t>
  </si>
  <si>
    <t>03п.08</t>
  </si>
  <si>
    <t>03п.09</t>
  </si>
  <si>
    <t>03п.10</t>
  </si>
  <si>
    <t>03п.11</t>
  </si>
  <si>
    <t>03п.12</t>
  </si>
  <si>
    <t>04н.01а</t>
  </si>
  <si>
    <t>04н.01б</t>
  </si>
  <si>
    <t>04н.01в</t>
  </si>
  <si>
    <t>04н.01г</t>
  </si>
  <si>
    <t>04н.01д</t>
  </si>
  <si>
    <t>04н.02</t>
  </si>
  <si>
    <t>04н.03</t>
  </si>
  <si>
    <t>04н.04</t>
  </si>
  <si>
    <t>04н.05а</t>
  </si>
  <si>
    <t>04н.05б</t>
  </si>
  <si>
    <t>04н.06</t>
  </si>
  <si>
    <t>04н.07а</t>
  </si>
  <si>
    <t>04н.07б</t>
  </si>
  <si>
    <t>04н.08</t>
  </si>
  <si>
    <t>04н.09а</t>
  </si>
  <si>
    <t>04н.09б</t>
  </si>
  <si>
    <t>04н.10</t>
  </si>
  <si>
    <t>04н.11</t>
  </si>
  <si>
    <t>04н.12</t>
  </si>
  <si>
    <t>04п.01а</t>
  </si>
  <si>
    <t>04п.01б</t>
  </si>
  <si>
    <t>04п.02а</t>
  </si>
  <si>
    <t>04п.02б</t>
  </si>
  <si>
    <t>04п.03а</t>
  </si>
  <si>
    <t>04п.03б</t>
  </si>
  <si>
    <t>04п.04</t>
  </si>
  <si>
    <t>04п.05</t>
  </si>
  <si>
    <t>04п.06</t>
  </si>
  <si>
    <t>04п.07</t>
  </si>
  <si>
    <t>04п.08</t>
  </si>
  <si>
    <t>04п.09</t>
  </si>
  <si>
    <t>04п.10</t>
  </si>
  <si>
    <t>04п.11</t>
  </si>
  <si>
    <t>04п.12</t>
  </si>
  <si>
    <t>05н.01</t>
  </si>
  <si>
    <t>05н.02</t>
  </si>
  <si>
    <t>05н.03</t>
  </si>
  <si>
    <t>05н.04</t>
  </si>
  <si>
    <t>05н.05</t>
  </si>
  <si>
    <t>05н.06</t>
  </si>
  <si>
    <t>05н.07</t>
  </si>
  <si>
    <t>05н.08</t>
  </si>
  <si>
    <t>05н.09</t>
  </si>
  <si>
    <t>05н.10</t>
  </si>
  <si>
    <t>05н.11</t>
  </si>
  <si>
    <t>05н.12</t>
  </si>
  <si>
    <t>05п.01</t>
  </si>
  <si>
    <t>05п.02</t>
  </si>
  <si>
    <t>05п.03</t>
  </si>
  <si>
    <t>05п.04</t>
  </si>
  <si>
    <t>05п.05</t>
  </si>
  <si>
    <t>05п.06</t>
  </si>
  <si>
    <t>05п.07</t>
  </si>
  <si>
    <t>05п.08</t>
  </si>
  <si>
    <t>05п.09</t>
  </si>
  <si>
    <t>05п.10</t>
  </si>
  <si>
    <t>05п.11</t>
  </si>
  <si>
    <t>05п.12</t>
  </si>
  <si>
    <t>06н.01</t>
  </si>
  <si>
    <t>06н.02</t>
  </si>
  <si>
    <t>06н.03</t>
  </si>
  <si>
    <t>06н.04</t>
  </si>
  <si>
    <t>06н.05</t>
  </si>
  <si>
    <t>06н.06а</t>
  </si>
  <si>
    <t>06н.06б</t>
  </si>
  <si>
    <t>06н.07</t>
  </si>
  <si>
    <t>06н.08а</t>
  </si>
  <si>
    <t>06н.08б</t>
  </si>
  <si>
    <t>06н.09</t>
  </si>
  <si>
    <t>06н.10</t>
  </si>
  <si>
    <t>06н.11</t>
  </si>
  <si>
    <t>06н.12</t>
  </si>
  <si>
    <t>06п.01</t>
  </si>
  <si>
    <t>06п.02</t>
  </si>
  <si>
    <t>06п.03</t>
  </si>
  <si>
    <t>06п.04</t>
  </si>
  <si>
    <t>06п.05</t>
  </si>
  <si>
    <t>06п.06а</t>
  </si>
  <si>
    <t>06п.06б</t>
  </si>
  <si>
    <t>06п.07а</t>
  </si>
  <si>
    <t>06п.07б</t>
  </si>
  <si>
    <t>06п.08а</t>
  </si>
  <si>
    <t>06п.08б</t>
  </si>
  <si>
    <t>06п.09</t>
  </si>
  <si>
    <t>06п.10</t>
  </si>
  <si>
    <t>06п.11</t>
  </si>
  <si>
    <t>06п.12</t>
  </si>
  <si>
    <t>07н.01а</t>
  </si>
  <si>
    <t>07н.01б</t>
  </si>
  <si>
    <t>07н.02</t>
  </si>
  <si>
    <t>07н.03а</t>
  </si>
  <si>
    <t>07н.03б</t>
  </si>
  <si>
    <t>07н.04</t>
  </si>
  <si>
    <t>07н.05</t>
  </si>
  <si>
    <t>07н.06а</t>
  </si>
  <si>
    <t>07н.06б</t>
  </si>
  <si>
    <t>07н.07</t>
  </si>
  <si>
    <t>07н.08а</t>
  </si>
  <si>
    <t>07н.08б</t>
  </si>
  <si>
    <t>07н.09</t>
  </si>
  <si>
    <t>07н.10</t>
  </si>
  <si>
    <t>07н.11</t>
  </si>
  <si>
    <t>07н.12</t>
  </si>
  <si>
    <t>07п.01</t>
  </si>
  <si>
    <t>07п.02</t>
  </si>
  <si>
    <t>07п.03</t>
  </si>
  <si>
    <t>07п.04</t>
  </si>
  <si>
    <t>07п.05</t>
  </si>
  <si>
    <t>07п.06</t>
  </si>
  <si>
    <t>07п.07</t>
  </si>
  <si>
    <t>07п.08</t>
  </si>
  <si>
    <t>07п.09</t>
  </si>
  <si>
    <t>07п.10</t>
  </si>
  <si>
    <t>07п.11</t>
  </si>
  <si>
    <t>07п.12</t>
  </si>
  <si>
    <t>08н.01</t>
  </si>
  <si>
    <t>08н.02</t>
  </si>
  <si>
    <t>08н.03а</t>
  </si>
  <si>
    <t>08н.03б</t>
  </si>
  <si>
    <t>08н.04а</t>
  </si>
  <si>
    <t>08н.04б</t>
  </si>
  <si>
    <t>08н.04в</t>
  </si>
  <si>
    <t>08н.05</t>
  </si>
  <si>
    <t>08н.06</t>
  </si>
  <si>
    <t>08н.07</t>
  </si>
  <si>
    <t>08н.08</t>
  </si>
  <si>
    <t>08н.09</t>
  </si>
  <si>
    <t>08н.10</t>
  </si>
  <si>
    <t>08н.11</t>
  </si>
  <si>
    <t>08н.12</t>
  </si>
  <si>
    <t>08п.01</t>
  </si>
  <si>
    <t>08п.02</t>
  </si>
  <si>
    <t>08п.03</t>
  </si>
  <si>
    <t>08п.05а</t>
  </si>
  <si>
    <t>08п.05б</t>
  </si>
  <si>
    <t>08п.06</t>
  </si>
  <si>
    <t>08п.07</t>
  </si>
  <si>
    <t>08п.08</t>
  </si>
  <si>
    <t>08п.09</t>
  </si>
  <si>
    <t>08п.10</t>
  </si>
  <si>
    <t>08п.11</t>
  </si>
  <si>
    <t>08п.12</t>
  </si>
  <si>
    <t>10н.01</t>
  </si>
  <si>
    <t>10н.02</t>
  </si>
  <si>
    <t>10н.03а</t>
  </si>
  <si>
    <t>10н.03б</t>
  </si>
  <si>
    <t>10н.03в</t>
  </si>
  <si>
    <t>10н.03г</t>
  </si>
  <si>
    <t>10н.04</t>
  </si>
  <si>
    <t>10н.05</t>
  </si>
  <si>
    <t>10н.06</t>
  </si>
  <si>
    <t>10н.07</t>
  </si>
  <si>
    <t>10н.08</t>
  </si>
  <si>
    <t>10н.09</t>
  </si>
  <si>
    <t>10н.10а</t>
  </si>
  <si>
    <t>10н.10б</t>
  </si>
  <si>
    <t>10н.11</t>
  </si>
  <si>
    <t>10н.12</t>
  </si>
  <si>
    <t>10п.01</t>
  </si>
  <si>
    <t>10п.02</t>
  </si>
  <si>
    <t>10п.03</t>
  </si>
  <si>
    <t>10п.04</t>
  </si>
  <si>
    <t>10п.05</t>
  </si>
  <si>
    <t>10п.06</t>
  </si>
  <si>
    <t>10п.07</t>
  </si>
  <si>
    <t>10п.08</t>
  </si>
  <si>
    <t>10п.09а</t>
  </si>
  <si>
    <t>10п.09б</t>
  </si>
  <si>
    <t>10п.10</t>
  </si>
  <si>
    <t>10п.11</t>
  </si>
  <si>
    <t>10п.12</t>
  </si>
  <si>
    <t>10п.14*2</t>
  </si>
  <si>
    <t>10п.15*3</t>
  </si>
  <si>
    <t>10п.16*4</t>
  </si>
  <si>
    <t>10п.17*5</t>
  </si>
  <si>
    <t>10п.18*6</t>
  </si>
  <si>
    <t>10п.19*7</t>
  </si>
  <si>
    <t>10п.20*8</t>
  </si>
  <si>
    <t>10п.21*9</t>
  </si>
  <si>
    <t>10п.22*10</t>
  </si>
  <si>
    <t>10п.23*11</t>
  </si>
  <si>
    <t>10п.24*12</t>
  </si>
  <si>
    <t>10п.25*13</t>
  </si>
  <si>
    <t>10п.26*14</t>
  </si>
  <si>
    <t>10п.27*15</t>
  </si>
  <si>
    <t>10п.28*16</t>
  </si>
  <si>
    <t>10п.29*17</t>
  </si>
  <si>
    <t>10п.30*18</t>
  </si>
  <si>
    <t>11н.01а</t>
  </si>
  <si>
    <t>11н.01б</t>
  </si>
  <si>
    <t>11н.02</t>
  </si>
  <si>
    <t>11н.03</t>
  </si>
  <si>
    <t>11н.04</t>
  </si>
  <si>
    <t>11н.05</t>
  </si>
  <si>
    <t>11н.06а</t>
  </si>
  <si>
    <t>11н.06б</t>
  </si>
  <si>
    <t>11н.07а</t>
  </si>
  <si>
    <t>11н.07б</t>
  </si>
  <si>
    <t>11н.07в</t>
  </si>
  <si>
    <t>11н.08</t>
  </si>
  <si>
    <t>11н.09</t>
  </si>
  <si>
    <t>11н.10а</t>
  </si>
  <si>
    <t>11н.10б</t>
  </si>
  <si>
    <t>11н.11</t>
  </si>
  <si>
    <t>11н.12</t>
  </si>
  <si>
    <t>11п.01</t>
  </si>
  <si>
    <t>11п.02</t>
  </si>
  <si>
    <t>11п.03</t>
  </si>
  <si>
    <t>11п.04</t>
  </si>
  <si>
    <t>11п.05</t>
  </si>
  <si>
    <t>11п.06</t>
  </si>
  <si>
    <t>11п.07а</t>
  </si>
  <si>
    <t>11п.07б</t>
  </si>
  <si>
    <t>11п.07в</t>
  </si>
  <si>
    <t>11п.08</t>
  </si>
  <si>
    <t>11п.09</t>
  </si>
  <si>
    <t>11п.10</t>
  </si>
  <si>
    <t>11п.11</t>
  </si>
  <si>
    <t>11п.12</t>
  </si>
  <si>
    <t>12н.01</t>
  </si>
  <si>
    <t>12н.02а</t>
  </si>
  <si>
    <t>12н.02б</t>
  </si>
  <si>
    <t>12н.03а</t>
  </si>
  <si>
    <t>12н.03б</t>
  </si>
  <si>
    <t>12н.04</t>
  </si>
  <si>
    <t>12н.05</t>
  </si>
  <si>
    <t>12н.06</t>
  </si>
  <si>
    <t>12н.07а</t>
  </si>
  <si>
    <t>12н.07б</t>
  </si>
  <si>
    <t>12н.07в</t>
  </si>
  <si>
    <t>12н.08а</t>
  </si>
  <si>
    <t>12н.08б</t>
  </si>
  <si>
    <t>12н.08в</t>
  </si>
  <si>
    <t>12н.09</t>
  </si>
  <si>
    <t>12н.10</t>
  </si>
  <si>
    <t>12н.11</t>
  </si>
  <si>
    <t>12н.12</t>
  </si>
  <si>
    <t>12п.01а</t>
  </si>
  <si>
    <t>12п.01б</t>
  </si>
  <si>
    <t>12п.02</t>
  </si>
  <si>
    <t>12п.03</t>
  </si>
  <si>
    <t>12п.04</t>
  </si>
  <si>
    <t>12п.05</t>
  </si>
  <si>
    <t>12п.06</t>
  </si>
  <si>
    <t>12п.07</t>
  </si>
  <si>
    <t>12п.08а</t>
  </si>
  <si>
    <t>12п.08б</t>
  </si>
  <si>
    <t>12п.09</t>
  </si>
  <si>
    <t>12п.10</t>
  </si>
  <si>
    <t>12п.11</t>
  </si>
  <si>
    <t>12п.12</t>
  </si>
  <si>
    <t>13н.01</t>
  </si>
  <si>
    <t>13н.02</t>
  </si>
  <si>
    <t>13н.03а</t>
  </si>
  <si>
    <t>13н.03б</t>
  </si>
  <si>
    <t>13н.04а</t>
  </si>
  <si>
    <t>13н.04б</t>
  </si>
  <si>
    <t>13н.05а</t>
  </si>
  <si>
    <t>13н.05б</t>
  </si>
  <si>
    <t>13н.06</t>
  </si>
  <si>
    <t>13н.07</t>
  </si>
  <si>
    <t>13н.08а</t>
  </si>
  <si>
    <t>13н.08б</t>
  </si>
  <si>
    <t>13н.08в</t>
  </si>
  <si>
    <t>13н.09</t>
  </si>
  <si>
    <t>13н.10</t>
  </si>
  <si>
    <t>13н.11а</t>
  </si>
  <si>
    <t>13н.11б</t>
  </si>
  <si>
    <t>13н.12</t>
  </si>
  <si>
    <t>13п.01</t>
  </si>
  <si>
    <t>13п.02а</t>
  </si>
  <si>
    <t>13п.02б</t>
  </si>
  <si>
    <t>13п.03</t>
  </si>
  <si>
    <t>13п.04</t>
  </si>
  <si>
    <t>13п.05</t>
  </si>
  <si>
    <t>13п.06а</t>
  </si>
  <si>
    <t>13п.06б</t>
  </si>
  <si>
    <t>13п.07</t>
  </si>
  <si>
    <t>13п.08</t>
  </si>
  <si>
    <t>13п.09</t>
  </si>
  <si>
    <t>13п.10</t>
  </si>
  <si>
    <t>13п.11</t>
  </si>
  <si>
    <t>13п.12</t>
  </si>
  <si>
    <t>14н.01</t>
  </si>
  <si>
    <t>14н.02</t>
  </si>
  <si>
    <t>14н.03а</t>
  </si>
  <si>
    <t>14н.03б</t>
  </si>
  <si>
    <t>14н.04</t>
  </si>
  <si>
    <t>14н.05а</t>
  </si>
  <si>
    <t>14н.05б</t>
  </si>
  <si>
    <t>14н.05в</t>
  </si>
  <si>
    <t>14н.06</t>
  </si>
  <si>
    <t>14н.07</t>
  </si>
  <si>
    <t>14н.08а</t>
  </si>
  <si>
    <t>14н.08б</t>
  </si>
  <si>
    <t>14н.08в</t>
  </si>
  <si>
    <t>14н.08г</t>
  </si>
  <si>
    <t>14н.08д</t>
  </si>
  <si>
    <t>14н.09</t>
  </si>
  <si>
    <t>14н.10</t>
  </si>
  <si>
    <t>14н.11</t>
  </si>
  <si>
    <t>14н.12</t>
  </si>
  <si>
    <t>14п.01</t>
  </si>
  <si>
    <t>14п.02</t>
  </si>
  <si>
    <t>14п.03</t>
  </si>
  <si>
    <t>14п.04</t>
  </si>
  <si>
    <t>14п.05</t>
  </si>
  <si>
    <t>14п.06</t>
  </si>
  <si>
    <t>14п.07а</t>
  </si>
  <si>
    <t>14п.07б</t>
  </si>
  <si>
    <t>14п.08</t>
  </si>
  <si>
    <t>14п.09</t>
  </si>
  <si>
    <t>14п.10</t>
  </si>
  <si>
    <t>14п.11</t>
  </si>
  <si>
    <t>14п.12</t>
  </si>
  <si>
    <t/>
  </si>
  <si>
    <t>д</t>
  </si>
  <si>
    <t>BA:BS</t>
  </si>
  <si>
    <t>CF:CR</t>
  </si>
  <si>
    <t>DK:DW</t>
  </si>
  <si>
    <t>EP:FB</t>
  </si>
  <si>
    <t>FU:GJ</t>
  </si>
  <si>
    <t>GZ:HL</t>
  </si>
  <si>
    <t>IE:IX</t>
  </si>
  <si>
    <t>JJ:JY</t>
  </si>
  <si>
    <t>KO:LA</t>
  </si>
  <si>
    <t>LT:MF</t>
  </si>
  <si>
    <t>MY:NM</t>
  </si>
  <si>
    <t>OD:OS</t>
  </si>
  <si>
    <t>PI:PY</t>
  </si>
  <si>
    <t>QN:QZ</t>
  </si>
  <si>
    <t>RS:SH</t>
  </si>
  <si>
    <t>SX:TK</t>
  </si>
  <si>
    <t>09н.Н*</t>
  </si>
  <si>
    <t>09н.03а*</t>
  </si>
  <si>
    <t>09н.03б*</t>
  </si>
  <si>
    <t>09н.04а*</t>
  </si>
  <si>
    <t>09н.04б*</t>
  </si>
  <si>
    <t>09н.04в*</t>
  </si>
  <si>
    <t>09п.Н*</t>
  </si>
  <si>
    <t>09п.05а*</t>
  </si>
  <si>
    <t>09п.05б*</t>
  </si>
  <si>
    <t>SX:WL</t>
  </si>
  <si>
    <t>WM:XC</t>
  </si>
  <si>
    <t>YW:ZN</t>
  </si>
  <si>
    <t>AAB:AAP</t>
  </si>
  <si>
    <t>ABG:ABY</t>
  </si>
  <si>
    <t>ACL:ACZ</t>
  </si>
  <si>
    <t>ADQ:AEI</t>
  </si>
  <si>
    <t>AEV:AFJ</t>
  </si>
  <si>
    <t>AGA:AGT</t>
  </si>
  <si>
    <t>AHF:AHS</t>
  </si>
  <si>
    <t>08п.04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</si>
</sst>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sz val="10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6"/>
      <color theme="1"/>
      <name val="Arial Narrow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Arial Narrow"/>
      <family val="2"/>
      <charset val="204"/>
    </font>
    <font>
      <sz val="12"/>
      <color theme="1"/>
      <name val="Arial Narrow"/>
      <family val="2"/>
      <charset val="204"/>
    </font>
    <font>
      <sz val="14"/>
      <color theme="1"/>
      <name val="Arial Narrow"/>
      <family val="2"/>
      <charset val="204"/>
    </font>
    <font>
      <sz val="18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sz val="3"/>
      <color theme="1"/>
      <name val="Arial Narrow"/>
      <family val="2"/>
      <charset val="204"/>
    </font>
    <font>
      <sz val="11"/>
      <color rgb="FF000000"/>
      <name val="Calibri"/>
      <family val="2"/>
      <charset val="204"/>
    </font>
    <font>
      <b/>
      <sz val="8"/>
      <color theme="0"/>
      <name val="Arial Narrow"/>
      <family val="2"/>
      <charset val="204"/>
    </font>
    <font>
      <sz val="8"/>
      <name val="Arial Narrow"/>
      <family val="2"/>
      <charset val="204"/>
    </font>
    <font>
      <sz val="16"/>
      <color theme="1"/>
      <name val="Arial Narrow"/>
      <family val="2"/>
      <charset val="204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0" fillId="5" borderId="0" xfId="0" applyFill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6" xfId="0" applyBorder="1" applyAlignment="1">
      <alignment horizontal="center"/>
    </xf>
    <xf numFmtId="0" fontId="0" fillId="0" borderId="6" xfId="0" applyBorder="1"/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horizontal="center"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0" fillId="0" borderId="0" xfId="0" applyBorder="1"/>
    <xf numFmtId="0" fontId="1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2" fillId="10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5" fillId="0" borderId="0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NumberFormat="1" applyFont="1" applyBorder="1" applyAlignment="1">
      <alignment horizontal="center" vertical="center"/>
    </xf>
    <xf numFmtId="0" fontId="12" fillId="11" borderId="0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1" fillId="11" borderId="0" xfId="0" applyFont="1" applyFill="1" applyBorder="1" applyAlignment="1">
      <alignment horizontal="center" vertical="center"/>
    </xf>
    <xf numFmtId="0" fontId="14" fillId="0" borderId="0" xfId="0" applyFont="1" applyBorder="1"/>
    <xf numFmtId="0" fontId="12" fillId="0" borderId="0" xfId="0" applyFont="1" applyBorder="1" applyAlignment="1">
      <alignment horizontal="center"/>
    </xf>
    <xf numFmtId="0" fontId="12" fillId="8" borderId="0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164" fontId="8" fillId="7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left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/>
    <xf numFmtId="49" fontId="0" fillId="0" borderId="0" xfId="0" applyNumberFormat="1"/>
    <xf numFmtId="0" fontId="6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 vertical="center"/>
    </xf>
    <xf numFmtId="0" fontId="1" fillId="10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7" fillId="3" borderId="0" xfId="0" applyFont="1" applyFill="1" applyBorder="1" applyAlignment="1">
      <alignment horizontal="left"/>
    </xf>
    <xf numFmtId="0" fontId="17" fillId="3" borderId="0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18" fillId="0" borderId="0" xfId="0" applyFont="1" applyFill="1" applyBorder="1" applyAlignment="1" applyProtection="1">
      <alignment horizontal="right"/>
    </xf>
    <xf numFmtId="0" fontId="3" fillId="1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 vertical="center"/>
    </xf>
    <xf numFmtId="0" fontId="3" fillId="11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0" borderId="0" xfId="0" applyNumberFormat="1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1">
    <cellStyle name="Обычный" xfId="0" builtinId="0"/>
  </cellStyles>
  <dxfs count="2634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righ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 patternType="solid">
          <fgColor auto="1"/>
        </patternFill>
      </fill>
      <border>
        <left/>
        <right style="thin">
          <color rgb="FFFF0000"/>
        </right>
        <vertical/>
        <horizontal/>
      </border>
    </dxf>
    <dxf>
      <font>
        <color theme="0" tint="-0.499984740745262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22860</xdr:rowOff>
        </xdr:from>
        <xdr:to>
          <xdr:col>1</xdr:col>
          <xdr:colOff>441960</xdr:colOff>
          <xdr:row>1</xdr:row>
          <xdr:rowOff>274320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7620</xdr:rowOff>
        </xdr:from>
        <xdr:to>
          <xdr:col>1</xdr:col>
          <xdr:colOff>426720</xdr:colOff>
          <xdr:row>2</xdr:row>
          <xdr:rowOff>259080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продолж.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1</xdr:row>
          <xdr:rowOff>22860</xdr:rowOff>
        </xdr:from>
        <xdr:to>
          <xdr:col>4</xdr:col>
          <xdr:colOff>350520</xdr:colOff>
          <xdr:row>1</xdr:row>
          <xdr:rowOff>274320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2</xdr:row>
          <xdr:rowOff>30480</xdr:rowOff>
        </xdr:from>
        <xdr:to>
          <xdr:col>4</xdr:col>
          <xdr:colOff>342900</xdr:colOff>
          <xdr:row>2</xdr:row>
          <xdr:rowOff>259080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Венуть продолж.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5:CVP55" totalsRowShown="0" headerRowDxfId="2624" dataDxfId="2623">
  <autoFilter ref="A5:CVP55" xr:uid="{C3732D91-3EE2-481D-8155-47D0883AE2F4}"/>
  <sortState xmlns:xlrd2="http://schemas.microsoft.com/office/spreadsheetml/2017/richdata2" ref="A6:CVP55">
    <sortCondition ref="C5:C55"/>
  </sortState>
  <tableColumns count="2616">
    <tableColumn id="1" xr3:uid="{00000000-0010-0000-0000-000001000000}" name="Фамилия" dataDxfId="2622"/>
    <tableColumn id="2" xr3:uid="{00000000-0010-0000-0000-000002000000}" name="Имя" dataDxfId="2621"/>
    <tableColumn id="3" xr3:uid="{00000000-0010-0000-0000-000003000000}" name="ID" dataDxfId="2620"/>
    <tableColumn id="4" xr3:uid="{00000000-0010-0000-0000-000004000000}" name="Клc" dataDxfId="2619"/>
    <tableColumn id="5" xr3:uid="{00000000-0010-0000-0000-000005000000}" name="Школа" dataDxfId="2618"/>
    <tableColumn id="6" xr3:uid="{00000000-0010-0000-0000-000006000000}" name="Скрыть" dataDxfId="2617"/>
    <tableColumn id="7" xr3:uid="{00000000-0010-0000-0000-000007000000}" name="Уровень" dataDxfId="2616"/>
    <tableColumn id="3820" xr3:uid="{00000000-0010-0000-0000-0000EC0E0000}" name="Доля" dataDxfId="2615">
      <calculatedColumnFormula>IF(ISNA(MATCH(1,$CSL6:$CTY6,0)),"",(J6+1)/($B$1-MATCH(1,$CSL6:$CTY6,0)+2))</calculatedColumnFormula>
    </tableColumn>
    <tableColumn id="3819" xr3:uid="{00000000-0010-0000-0000-0000EB0E0000}" name="Пр.под." dataDxfId="2614">
      <calculatedColumnFormula>IF(ISNA(MATCH(0,$CSL6:$CTY6,-1)),"",$B$1-MATCH(0,$CSL6:$CTY6,-1))</calculatedColumnFormula>
    </tableColumn>
    <tableColumn id="56" xr3:uid="{00000000-0010-0000-0000-000038000000}" name="Раз" dataDxfId="2613">
      <calculatedColumnFormula>SUM(CSL6:CTY6)</calculatedColumnFormula>
    </tableColumn>
    <tableColumn id="57" xr3:uid="{00000000-0010-0000-0000-000039000000}" name="СрЗ" dataDxfId="2612">
      <calculatedColumnFormula>IF($J6&gt;0,SUM($CUA6:$CVN6)/$J6,"")</calculatedColumnFormula>
    </tableColumn>
    <tableColumn id="9" xr3:uid="{00000000-0010-0000-0000-000009000000}" name="Ауд" dataDxfId="2611"/>
    <tableColumn id="10" xr3:uid="{00000000-0010-0000-0000-00000A000000}" name="А.01" dataDxfId="2610"/>
    <tableColumn id="11" xr3:uid="{00000000-0010-0000-0000-00000B000000}" name="А.02" dataDxfId="2609"/>
    <tableColumn id="12" xr3:uid="{00000000-0010-0000-0000-00000C000000}" name="А.03" dataDxfId="2608"/>
    <tableColumn id="13" xr3:uid="{00000000-0010-0000-0000-00000D000000}" name="А.04" dataDxfId="2607"/>
    <tableColumn id="14" xr3:uid="{00000000-0010-0000-0000-00000E000000}" name="А.05" dataDxfId="2606"/>
    <tableColumn id="15" xr3:uid="{00000000-0010-0000-0000-00000F000000}" name="А.06" dataDxfId="2605"/>
    <tableColumn id="16" xr3:uid="{00000000-0010-0000-0000-000010000000}" name="А.07" dataDxfId="2604"/>
    <tableColumn id="17" xr3:uid="{00000000-0010-0000-0000-000011000000}" name="А.08" dataDxfId="2603"/>
    <tableColumn id="18" xr3:uid="{00000000-0010-0000-0000-000012000000}" name="А.09" dataDxfId="2602"/>
    <tableColumn id="19" xr3:uid="{00000000-0010-0000-0000-000013000000}" name="А.10" dataDxfId="2601"/>
    <tableColumn id="20" xr3:uid="{00000000-0010-0000-0000-000014000000}" name="А.11" dataDxfId="2600"/>
    <tableColumn id="21" xr3:uid="{00000000-0010-0000-0000-000015000000}" name="А.12" dataDxfId="2599"/>
    <tableColumn id="22" xr3:uid="{00000000-0010-0000-0000-000016000000}" name="А.13" dataDxfId="2598"/>
    <tableColumn id="23" xr3:uid="{00000000-0010-0000-0000-000017000000}" name="А.14" dataDxfId="2597"/>
    <tableColumn id="24" xr3:uid="{00000000-0010-0000-0000-000018000000}" name="А.15" dataDxfId="2596"/>
    <tableColumn id="25" xr3:uid="{00000000-0010-0000-0000-000019000000}" name="А.16" dataDxfId="2595"/>
    <tableColumn id="26" xr3:uid="{00000000-0010-0000-0000-00001A000000}" name="А.17" dataDxfId="2594"/>
    <tableColumn id="27" xr3:uid="{00000000-0010-0000-0000-00001B000000}" name="А.18" dataDxfId="2593"/>
    <tableColumn id="28" xr3:uid="{00000000-0010-0000-0000-00001C000000}" name="А.19" dataDxfId="2592"/>
    <tableColumn id="29" xr3:uid="{00000000-0010-0000-0000-00001D000000}" name="А.20" dataDxfId="2591"/>
    <tableColumn id="30" xr3:uid="{00000000-0010-0000-0000-00001E000000}" name="А.21" dataDxfId="2590"/>
    <tableColumn id="31" xr3:uid="{00000000-0010-0000-0000-00001F000000}" name="А.22" dataDxfId="2589"/>
    <tableColumn id="32" xr3:uid="{00000000-0010-0000-0000-000020000000}" name="А.23" dataDxfId="2588"/>
    <tableColumn id="33" xr3:uid="{00000000-0010-0000-0000-000021000000}" name="А.24" dataDxfId="2587"/>
    <tableColumn id="34" xr3:uid="{00000000-0010-0000-0000-000022000000}" name="А.25" dataDxfId="2586"/>
    <tableColumn id="35" xr3:uid="{00000000-0010-0000-0000-000023000000}" name="А.26" dataDxfId="2585"/>
    <tableColumn id="36" xr3:uid="{00000000-0010-0000-0000-000024000000}" name="А.27" dataDxfId="2584"/>
    <tableColumn id="37" xr3:uid="{00000000-0010-0000-0000-000025000000}" name="А.28" dataDxfId="2583"/>
    <tableColumn id="38" xr3:uid="{00000000-0010-0000-0000-000026000000}" name="А.29" dataDxfId="2582"/>
    <tableColumn id="39" xr3:uid="{00000000-0010-0000-0000-000027000000}" name="А.30" dataDxfId="2581"/>
    <tableColumn id="40" xr3:uid="{00000000-0010-0000-0000-000028000000}" name="А.31" dataDxfId="2580"/>
    <tableColumn id="41" xr3:uid="{00000000-0010-0000-0000-000029000000}" name="А.32" dataDxfId="2579"/>
    <tableColumn id="42" xr3:uid="{00000000-0010-0000-0000-00002A000000}" name="А.33" dataDxfId="2578"/>
    <tableColumn id="43" xr3:uid="{00000000-0010-0000-0000-00002B000000}" name="А.34" dataDxfId="2577"/>
    <tableColumn id="44" xr3:uid="{00000000-0010-0000-0000-00002C000000}" name="А.35" dataDxfId="2576"/>
    <tableColumn id="45" xr3:uid="{00000000-0010-0000-0000-00002D000000}" name="А.36" dataDxfId="2575"/>
    <tableColumn id="46" xr3:uid="{00000000-0010-0000-0000-00002E000000}" name="А.37" dataDxfId="2574"/>
    <tableColumn id="47" xr3:uid="{00000000-0010-0000-0000-00002F000000}" name="А.38" dataDxfId="2573"/>
    <tableColumn id="48" xr3:uid="{00000000-0010-0000-0000-000030000000}" name="А.39" dataDxfId="2572"/>
    <tableColumn id="49" xr3:uid="{00000000-0010-0000-0000-000031000000}" name="А.40" dataDxfId="2571"/>
    <tableColumn id="58" xr3:uid="{00000000-0010-0000-0000-00003A000000}" name="01н.Н" dataDxfId="2570"/>
    <tableColumn id="59" xr3:uid="{00000000-0010-0000-0000-00003B000000}" name="01н.01" dataDxfId="2569"/>
    <tableColumn id="60" xr3:uid="{00000000-0010-0000-0000-00003C000000}" name="01н.02" dataDxfId="2568"/>
    <tableColumn id="61" xr3:uid="{00000000-0010-0000-0000-00003D000000}" name="01н.03а" dataDxfId="2567"/>
    <tableColumn id="62" xr3:uid="{00000000-0010-0000-0000-00003E000000}" name="01н.03б" dataDxfId="2566"/>
    <tableColumn id="63" xr3:uid="{00000000-0010-0000-0000-00003F000000}" name="01н.04" dataDxfId="2565"/>
    <tableColumn id="64" xr3:uid="{00000000-0010-0000-0000-000040000000}" name="01н.05" dataDxfId="2564"/>
    <tableColumn id="65" xr3:uid="{00000000-0010-0000-0000-000041000000}" name="01н.06" dataDxfId="2563"/>
    <tableColumn id="66" xr3:uid="{00000000-0010-0000-0000-000042000000}" name="01н.07" dataDxfId="2562"/>
    <tableColumn id="67" xr3:uid="{00000000-0010-0000-0000-000043000000}" name="01н.08" dataDxfId="2561"/>
    <tableColumn id="68" xr3:uid="{00000000-0010-0000-0000-000044000000}" name="01н.09" dataDxfId="2560"/>
    <tableColumn id="69" xr3:uid="{00000000-0010-0000-0000-000045000000}" name="01н.10" dataDxfId="2559"/>
    <tableColumn id="70" xr3:uid="{00000000-0010-0000-0000-000046000000}" name="01н.11" dataDxfId="2558"/>
    <tableColumn id="71" xr3:uid="{00000000-0010-0000-0000-000047000000}" name="01н.12а" dataDxfId="2557"/>
    <tableColumn id="72" xr3:uid="{00000000-0010-0000-0000-000048000000}" name="01н.12б" dataDxfId="2556"/>
    <tableColumn id="73" xr3:uid="{00000000-0010-0000-0000-000049000000}" name="01н.13" dataDxfId="2555"/>
    <tableColumn id="74" xr3:uid="{00000000-0010-0000-0000-00004A000000}" name="01н.14" dataDxfId="2554"/>
    <tableColumn id="75" xr3:uid="{00000000-0010-0000-0000-00004B000000}" name="01н.15" dataDxfId="2553"/>
    <tableColumn id="76" xr3:uid="{00000000-0010-0000-0000-00004C000000}" name="01н.16" dataDxfId="2552"/>
    <tableColumn id="77" xr3:uid="{00000000-0010-0000-0000-00004D000000}" name="01н.19*" dataDxfId="2551"/>
    <tableColumn id="78" xr3:uid="{00000000-0010-0000-0000-00004E000000}" name="01н.20*" dataDxfId="2550"/>
    <tableColumn id="79" xr3:uid="{00000000-0010-0000-0000-00004F000000}" name="01н.21*" dataDxfId="2549"/>
    <tableColumn id="80" xr3:uid="{00000000-0010-0000-0000-000050000000}" name="01н.22*" dataDxfId="2548"/>
    <tableColumn id="81" xr3:uid="{00000000-0010-0000-0000-000051000000}" name="01н.23*" dataDxfId="2547"/>
    <tableColumn id="82" xr3:uid="{00000000-0010-0000-0000-000052000000}" name="01н.24*" dataDxfId="2546"/>
    <tableColumn id="83" xr3:uid="{00000000-0010-0000-0000-000053000000}" name="01н.25*" dataDxfId="2545"/>
    <tableColumn id="84" xr3:uid="{00000000-0010-0000-0000-000054000000}" name="01н.26*" dataDxfId="2544"/>
    <tableColumn id="85" xr3:uid="{00000000-0010-0000-0000-000055000000}" name="01н.27*" dataDxfId="2543"/>
    <tableColumn id="86" xr3:uid="{00000000-0010-0000-0000-000056000000}" name="01н.28*" dataDxfId="2542"/>
    <tableColumn id="87" xr3:uid="{00000000-0010-0000-0000-000057000000}" name="01н.29*" dataDxfId="2541"/>
    <tableColumn id="88" xr3:uid="{00000000-0010-0000-0000-000058000000}" name="01н.30*" dataDxfId="2540"/>
    <tableColumn id="89" xr3:uid="{00000000-0010-0000-0000-000059000000}" name="01п.Н" dataDxfId="2539"/>
    <tableColumn id="90" xr3:uid="{00000000-0010-0000-0000-00005A000000}" name="01п.01" dataDxfId="2538"/>
    <tableColumn id="91" xr3:uid="{00000000-0010-0000-0000-00005B000000}" name="01п.02" dataDxfId="2537"/>
    <tableColumn id="92" xr3:uid="{00000000-0010-0000-0000-00005C000000}" name="01п.03" dataDxfId="2536"/>
    <tableColumn id="93" xr3:uid="{00000000-0010-0000-0000-00005D000000}" name="01п.04" dataDxfId="2535"/>
    <tableColumn id="94" xr3:uid="{00000000-0010-0000-0000-00005E000000}" name="01п.05" dataDxfId="2534"/>
    <tableColumn id="95" xr3:uid="{00000000-0010-0000-0000-00005F000000}" name="01п.06" dataDxfId="2533"/>
    <tableColumn id="96" xr3:uid="{00000000-0010-0000-0000-000060000000}" name="01п.07" dataDxfId="2532"/>
    <tableColumn id="97" xr3:uid="{00000000-0010-0000-0000-000061000000}" name="01п.08" dataDxfId="2531"/>
    <tableColumn id="98" xr3:uid="{00000000-0010-0000-0000-000062000000}" name="01п.09" dataDxfId="2530"/>
    <tableColumn id="99" xr3:uid="{00000000-0010-0000-0000-000063000000}" name="01п.10" dataDxfId="2529"/>
    <tableColumn id="100" xr3:uid="{00000000-0010-0000-0000-000064000000}" name="01п.11" dataDxfId="2528"/>
    <tableColumn id="101" xr3:uid="{00000000-0010-0000-0000-000065000000}" name="01п.12" dataDxfId="2527"/>
    <tableColumn id="102" xr3:uid="{00000000-0010-0000-0000-000066000000}" name="01п.13*" dataDxfId="2526"/>
    <tableColumn id="103" xr3:uid="{00000000-0010-0000-0000-000067000000}" name="01п.14*" dataDxfId="2525"/>
    <tableColumn id="104" xr3:uid="{00000000-0010-0000-0000-000068000000}" name="01п.15*" dataDxfId="2524"/>
    <tableColumn id="105" xr3:uid="{00000000-0010-0000-0000-000069000000}" name="01п.16*" dataDxfId="2523"/>
    <tableColumn id="106" xr3:uid="{00000000-0010-0000-0000-00006A000000}" name="01п.17*" dataDxfId="2522"/>
    <tableColumn id="107" xr3:uid="{00000000-0010-0000-0000-00006B000000}" name="01п.18*" dataDxfId="2521"/>
    <tableColumn id="108" xr3:uid="{00000000-0010-0000-0000-00006C000000}" name="01п.19*" dataDxfId="2520"/>
    <tableColumn id="109" xr3:uid="{00000000-0010-0000-0000-00006D000000}" name="01п.20*" dataDxfId="2519"/>
    <tableColumn id="110" xr3:uid="{00000000-0010-0000-0000-00006E000000}" name="01п.21*" dataDxfId="2518"/>
    <tableColumn id="111" xr3:uid="{00000000-0010-0000-0000-00006F000000}" name="01п.22*" dataDxfId="2517"/>
    <tableColumn id="112" xr3:uid="{00000000-0010-0000-0000-000070000000}" name="01п.23*" dataDxfId="2516"/>
    <tableColumn id="113" xr3:uid="{00000000-0010-0000-0000-000071000000}" name="01п.24*" dataDxfId="2515"/>
    <tableColumn id="114" xr3:uid="{00000000-0010-0000-0000-000072000000}" name="01п.25*" dataDxfId="2514"/>
    <tableColumn id="115" xr3:uid="{00000000-0010-0000-0000-000073000000}" name="01п.26*" dataDxfId="2513"/>
    <tableColumn id="116" xr3:uid="{00000000-0010-0000-0000-000074000000}" name="01п.27*" dataDxfId="2512"/>
    <tableColumn id="117" xr3:uid="{00000000-0010-0000-0000-000075000000}" name="01п.28*" dataDxfId="2511"/>
    <tableColumn id="118" xr3:uid="{00000000-0010-0000-0000-000076000000}" name="01п.29*" dataDxfId="2510"/>
    <tableColumn id="119" xr3:uid="{00000000-0010-0000-0000-000077000000}" name="01п.30*" dataDxfId="2509"/>
    <tableColumn id="151" xr3:uid="{00000000-0010-0000-0000-000097000000}" name="02н.Н" dataDxfId="2508"/>
    <tableColumn id="152" xr3:uid="{00000000-0010-0000-0000-000098000000}" name="02н.01" dataDxfId="2507"/>
    <tableColumn id="153" xr3:uid="{00000000-0010-0000-0000-000099000000}" name="02н.02" dataDxfId="2506"/>
    <tableColumn id="154" xr3:uid="{00000000-0010-0000-0000-00009A000000}" name="02н.03" dataDxfId="2505"/>
    <tableColumn id="155" xr3:uid="{00000000-0010-0000-0000-00009B000000}" name="02н.04" dataDxfId="2504"/>
    <tableColumn id="156" xr3:uid="{00000000-0010-0000-0000-00009C000000}" name="02н.05" dataDxfId="2503"/>
    <tableColumn id="157" xr3:uid="{00000000-0010-0000-0000-00009D000000}" name="02н.06" dataDxfId="2502"/>
    <tableColumn id="158" xr3:uid="{00000000-0010-0000-0000-00009E000000}" name="02н.07" dataDxfId="2501"/>
    <tableColumn id="159" xr3:uid="{00000000-0010-0000-0000-00009F000000}" name="02н.08" dataDxfId="2500"/>
    <tableColumn id="160" xr3:uid="{00000000-0010-0000-0000-0000A0000000}" name="02н.09" dataDxfId="2499"/>
    <tableColumn id="161" xr3:uid="{00000000-0010-0000-0000-0000A1000000}" name="02н.10" dataDxfId="2498"/>
    <tableColumn id="162" xr3:uid="{00000000-0010-0000-0000-0000A2000000}" name="02н.11" dataDxfId="2497"/>
    <tableColumn id="163" xr3:uid="{00000000-0010-0000-0000-0000A3000000}" name="02н.12" dataDxfId="2496"/>
    <tableColumn id="164" xr3:uid="{00000000-0010-0000-0000-0000A4000000}" name="02н.13*" dataDxfId="2495"/>
    <tableColumn id="165" xr3:uid="{00000000-0010-0000-0000-0000A5000000}" name="02н.14*" dataDxfId="2494"/>
    <tableColumn id="166" xr3:uid="{00000000-0010-0000-0000-0000A6000000}" name="02н.15*" dataDxfId="2493"/>
    <tableColumn id="167" xr3:uid="{00000000-0010-0000-0000-0000A7000000}" name="02н.16*" dataDxfId="2492"/>
    <tableColumn id="168" xr3:uid="{00000000-0010-0000-0000-0000A8000000}" name="02н.17*" dataDxfId="2491"/>
    <tableColumn id="169" xr3:uid="{00000000-0010-0000-0000-0000A9000000}" name="02н.18*" dataDxfId="2490"/>
    <tableColumn id="170" xr3:uid="{00000000-0010-0000-0000-0000AA000000}" name="02н.19*" dataDxfId="2489"/>
    <tableColumn id="171" xr3:uid="{00000000-0010-0000-0000-0000AB000000}" name="02н.20*" dataDxfId="2488"/>
    <tableColumn id="172" xr3:uid="{00000000-0010-0000-0000-0000AC000000}" name="02н.21*" dataDxfId="2487"/>
    <tableColumn id="173" xr3:uid="{00000000-0010-0000-0000-0000AD000000}" name="02н.22*" dataDxfId="2486"/>
    <tableColumn id="174" xr3:uid="{00000000-0010-0000-0000-0000AE000000}" name="02н.23*" dataDxfId="2485"/>
    <tableColumn id="175" xr3:uid="{00000000-0010-0000-0000-0000AF000000}" name="02н.24*" dataDxfId="2484"/>
    <tableColumn id="176" xr3:uid="{00000000-0010-0000-0000-0000B0000000}" name="02н.25*" dataDxfId="2483"/>
    <tableColumn id="177" xr3:uid="{00000000-0010-0000-0000-0000B1000000}" name="02н.26*" dataDxfId="2482"/>
    <tableColumn id="178" xr3:uid="{00000000-0010-0000-0000-0000B2000000}" name="02н.27*" dataDxfId="2481"/>
    <tableColumn id="179" xr3:uid="{00000000-0010-0000-0000-0000B3000000}" name="02н.28*" dataDxfId="2480"/>
    <tableColumn id="180" xr3:uid="{00000000-0010-0000-0000-0000B4000000}" name="02н.29*" dataDxfId="2479"/>
    <tableColumn id="181" xr3:uid="{00000000-0010-0000-0000-0000B5000000}" name="02н.30*" dataDxfId="2478"/>
    <tableColumn id="182" xr3:uid="{00000000-0010-0000-0000-0000B6000000}" name="02п.Н" dataDxfId="2477"/>
    <tableColumn id="183" xr3:uid="{00000000-0010-0000-0000-0000B7000000}" name="02п.01" dataDxfId="2476"/>
    <tableColumn id="184" xr3:uid="{00000000-0010-0000-0000-0000B8000000}" name="02п.02" dataDxfId="2475"/>
    <tableColumn id="185" xr3:uid="{00000000-0010-0000-0000-0000B9000000}" name="02п.03" dataDxfId="2474"/>
    <tableColumn id="186" xr3:uid="{00000000-0010-0000-0000-0000BA000000}" name="02п.04" dataDxfId="2473"/>
    <tableColumn id="187" xr3:uid="{00000000-0010-0000-0000-0000BB000000}" name="02п.05" dataDxfId="2472"/>
    <tableColumn id="188" xr3:uid="{00000000-0010-0000-0000-0000BC000000}" name="02п.06" dataDxfId="2471"/>
    <tableColumn id="189" xr3:uid="{00000000-0010-0000-0000-0000BD000000}" name="02п.07" dataDxfId="2470"/>
    <tableColumn id="190" xr3:uid="{00000000-0010-0000-0000-0000BE000000}" name="02п.08" dataDxfId="2469"/>
    <tableColumn id="191" xr3:uid="{00000000-0010-0000-0000-0000BF000000}" name="02п.09" dataDxfId="2468"/>
    <tableColumn id="192" xr3:uid="{00000000-0010-0000-0000-0000C0000000}" name="02п.10" dataDxfId="2467"/>
    <tableColumn id="193" xr3:uid="{00000000-0010-0000-0000-0000C1000000}" name="02п.11" dataDxfId="2466"/>
    <tableColumn id="194" xr3:uid="{00000000-0010-0000-0000-0000C2000000}" name="02п.12" dataDxfId="2465"/>
    <tableColumn id="195" xr3:uid="{00000000-0010-0000-0000-0000C3000000}" name="02п.13*" dataDxfId="2464"/>
    <tableColumn id="196" xr3:uid="{00000000-0010-0000-0000-0000C4000000}" name="02п.14*" dataDxfId="2463"/>
    <tableColumn id="197" xr3:uid="{00000000-0010-0000-0000-0000C5000000}" name="02п.15*" dataDxfId="2462"/>
    <tableColumn id="198" xr3:uid="{00000000-0010-0000-0000-0000C6000000}" name="02п.16*" dataDxfId="2461"/>
    <tableColumn id="199" xr3:uid="{00000000-0010-0000-0000-0000C7000000}" name="02п.17*" dataDxfId="2460"/>
    <tableColumn id="200" xr3:uid="{00000000-0010-0000-0000-0000C8000000}" name="02п.18*" dataDxfId="2459"/>
    <tableColumn id="201" xr3:uid="{00000000-0010-0000-0000-0000C9000000}" name="02п.19*" dataDxfId="2458"/>
    <tableColumn id="202" xr3:uid="{00000000-0010-0000-0000-0000CA000000}" name="02п.20*" dataDxfId="2457"/>
    <tableColumn id="203" xr3:uid="{00000000-0010-0000-0000-0000CB000000}" name="02п.21*" dataDxfId="2456"/>
    <tableColumn id="204" xr3:uid="{00000000-0010-0000-0000-0000CC000000}" name="02п.22*" dataDxfId="2455"/>
    <tableColumn id="205" xr3:uid="{00000000-0010-0000-0000-0000CD000000}" name="02п.23*" dataDxfId="2454"/>
    <tableColumn id="206" xr3:uid="{00000000-0010-0000-0000-0000CE000000}" name="02п.24*" dataDxfId="2453"/>
    <tableColumn id="207" xr3:uid="{00000000-0010-0000-0000-0000CF000000}" name="02п.25*" dataDxfId="2452"/>
    <tableColumn id="208" xr3:uid="{00000000-0010-0000-0000-0000D0000000}" name="02п.26*" dataDxfId="2451"/>
    <tableColumn id="209" xr3:uid="{00000000-0010-0000-0000-0000D1000000}" name="02п.27*" dataDxfId="2450"/>
    <tableColumn id="210" xr3:uid="{00000000-0010-0000-0000-0000D2000000}" name="02п.28*" dataDxfId="2449"/>
    <tableColumn id="211" xr3:uid="{00000000-0010-0000-0000-0000D3000000}" name="02п.29*" dataDxfId="2448"/>
    <tableColumn id="212" xr3:uid="{00000000-0010-0000-0000-0000D4000000}" name="02п.30*" dataDxfId="2447"/>
    <tableColumn id="244" xr3:uid="{00000000-0010-0000-0000-0000F4000000}" name="03н.Н" dataDxfId="2446"/>
    <tableColumn id="245" xr3:uid="{00000000-0010-0000-0000-0000F5000000}" name="03н.01" dataDxfId="2445"/>
    <tableColumn id="246" xr3:uid="{00000000-0010-0000-0000-0000F6000000}" name="03н.02" dataDxfId="2444"/>
    <tableColumn id="247" xr3:uid="{00000000-0010-0000-0000-0000F7000000}" name="03н.03" dataDxfId="2443"/>
    <tableColumn id="248" xr3:uid="{00000000-0010-0000-0000-0000F8000000}" name="03н.04а" dataDxfId="2442"/>
    <tableColumn id="249" xr3:uid="{00000000-0010-0000-0000-0000F9000000}" name="03н.04б" dataDxfId="2441"/>
    <tableColumn id="250" xr3:uid="{00000000-0010-0000-0000-0000FA000000}" name="03н.04в" dataDxfId="2440"/>
    <tableColumn id="251" xr3:uid="{00000000-0010-0000-0000-0000FB000000}" name="03н.04г" dataDxfId="2439"/>
    <tableColumn id="252" xr3:uid="{00000000-0010-0000-0000-0000FC000000}" name="03н.05" dataDxfId="2438"/>
    <tableColumn id="253" xr3:uid="{00000000-0010-0000-0000-0000FD000000}" name="03н.06" dataDxfId="2437"/>
    <tableColumn id="254" xr3:uid="{00000000-0010-0000-0000-0000FE000000}" name="03н.07" dataDxfId="2436"/>
    <tableColumn id="255" xr3:uid="{00000000-0010-0000-0000-0000FF000000}" name="03н.08" dataDxfId="2435"/>
    <tableColumn id="256" xr3:uid="{00000000-0010-0000-0000-000000010000}" name="03н.09" dataDxfId="2434"/>
    <tableColumn id="257" xr3:uid="{00000000-0010-0000-0000-000001010000}" name="03н.10" dataDxfId="2433"/>
    <tableColumn id="258" xr3:uid="{00000000-0010-0000-0000-000002010000}" name="03н.11" dataDxfId="2432"/>
    <tableColumn id="259" xr3:uid="{00000000-0010-0000-0000-000003010000}" name="03н.12" dataDxfId="2431"/>
    <tableColumn id="260" xr3:uid="{00000000-0010-0000-0000-000004010000}" name="03н.16*" dataDxfId="2430"/>
    <tableColumn id="261" xr3:uid="{00000000-0010-0000-0000-000005010000}" name="03н.17*" dataDxfId="2429"/>
    <tableColumn id="262" xr3:uid="{00000000-0010-0000-0000-000006010000}" name="03н.18*" dataDxfId="2428"/>
    <tableColumn id="263" xr3:uid="{00000000-0010-0000-0000-000007010000}" name="03н.19*" dataDxfId="2427"/>
    <tableColumn id="264" xr3:uid="{00000000-0010-0000-0000-000008010000}" name="03н.20*" dataDxfId="2426"/>
    <tableColumn id="265" xr3:uid="{00000000-0010-0000-0000-000009010000}" name="03н.21*" dataDxfId="2425"/>
    <tableColumn id="266" xr3:uid="{00000000-0010-0000-0000-00000A010000}" name="03н.22*" dataDxfId="2424"/>
    <tableColumn id="267" xr3:uid="{00000000-0010-0000-0000-00000B010000}" name="03н.23*" dataDxfId="2423"/>
    <tableColumn id="268" xr3:uid="{00000000-0010-0000-0000-00000C010000}" name="03н.24*" dataDxfId="2422"/>
    <tableColumn id="269" xr3:uid="{00000000-0010-0000-0000-00000D010000}" name="03н.25*" dataDxfId="2421"/>
    <tableColumn id="270" xr3:uid="{00000000-0010-0000-0000-00000E010000}" name="03н.26*" dataDxfId="2420"/>
    <tableColumn id="271" xr3:uid="{00000000-0010-0000-0000-00000F010000}" name="03н.27*" dataDxfId="2419"/>
    <tableColumn id="272" xr3:uid="{00000000-0010-0000-0000-000010010000}" name="03н.28*" dataDxfId="2418"/>
    <tableColumn id="273" xr3:uid="{00000000-0010-0000-0000-000011010000}" name="03н.29*" dataDxfId="2417"/>
    <tableColumn id="274" xr3:uid="{00000000-0010-0000-0000-000012010000}" name="03н.30*" dataDxfId="2416"/>
    <tableColumn id="275" xr3:uid="{00000000-0010-0000-0000-000013010000}" name="03п.Н" dataDxfId="2415"/>
    <tableColumn id="276" xr3:uid="{00000000-0010-0000-0000-000014010000}" name="03п.01" dataDxfId="2414"/>
    <tableColumn id="277" xr3:uid="{00000000-0010-0000-0000-000015010000}" name="03п.02" dataDxfId="2413"/>
    <tableColumn id="278" xr3:uid="{00000000-0010-0000-0000-000016010000}" name="03п.03" dataDxfId="2412"/>
    <tableColumn id="279" xr3:uid="{00000000-0010-0000-0000-000017010000}" name="03п.04" dataDxfId="2411"/>
    <tableColumn id="280" xr3:uid="{00000000-0010-0000-0000-000018010000}" name="03п.05" dataDxfId="2410"/>
    <tableColumn id="281" xr3:uid="{00000000-0010-0000-0000-000019010000}" name="03п.06" dataDxfId="2409"/>
    <tableColumn id="282" xr3:uid="{00000000-0010-0000-0000-00001A010000}" name="03п.07" dataDxfId="2408"/>
    <tableColumn id="283" xr3:uid="{00000000-0010-0000-0000-00001B010000}" name="03п.08" dataDxfId="2407"/>
    <tableColumn id="284" xr3:uid="{00000000-0010-0000-0000-00001C010000}" name="03п.09" dataDxfId="2406"/>
    <tableColumn id="285" xr3:uid="{00000000-0010-0000-0000-00001D010000}" name="03п.10" dataDxfId="2405"/>
    <tableColumn id="286" xr3:uid="{00000000-0010-0000-0000-00001E010000}" name="03п.11" dataDxfId="2404"/>
    <tableColumn id="287" xr3:uid="{00000000-0010-0000-0000-00001F010000}" name="03п.12" dataDxfId="2403"/>
    <tableColumn id="288" xr3:uid="{00000000-0010-0000-0000-000020010000}" name="03п.13*" dataDxfId="2402"/>
    <tableColumn id="289" xr3:uid="{00000000-0010-0000-0000-000021010000}" name="03п.14*" dataDxfId="2401"/>
    <tableColumn id="290" xr3:uid="{00000000-0010-0000-0000-000022010000}" name="03п.15*" dataDxfId="2400"/>
    <tableColumn id="291" xr3:uid="{00000000-0010-0000-0000-000023010000}" name="03п.16*" dataDxfId="2399"/>
    <tableColumn id="292" xr3:uid="{00000000-0010-0000-0000-000024010000}" name="03п.17*" dataDxfId="2398"/>
    <tableColumn id="293" xr3:uid="{00000000-0010-0000-0000-000025010000}" name="03п.18*" dataDxfId="2397"/>
    <tableColumn id="294" xr3:uid="{00000000-0010-0000-0000-000026010000}" name="03п.19*" dataDxfId="2396"/>
    <tableColumn id="295" xr3:uid="{00000000-0010-0000-0000-000027010000}" name="03п.20*" dataDxfId="2395"/>
    <tableColumn id="296" xr3:uid="{00000000-0010-0000-0000-000028010000}" name="03п.21*" dataDxfId="2394"/>
    <tableColumn id="297" xr3:uid="{00000000-0010-0000-0000-000029010000}" name="03п.22*" dataDxfId="2393"/>
    <tableColumn id="298" xr3:uid="{00000000-0010-0000-0000-00002A010000}" name="03п.23*" dataDxfId="2392"/>
    <tableColumn id="299" xr3:uid="{00000000-0010-0000-0000-00002B010000}" name="03п.24*" dataDxfId="2391"/>
    <tableColumn id="300" xr3:uid="{00000000-0010-0000-0000-00002C010000}" name="03п.25*" dataDxfId="2390"/>
    <tableColumn id="301" xr3:uid="{00000000-0010-0000-0000-00002D010000}" name="03п.26*" dataDxfId="2389"/>
    <tableColumn id="302" xr3:uid="{00000000-0010-0000-0000-00002E010000}" name="03п.27*" dataDxfId="2388"/>
    <tableColumn id="303" xr3:uid="{00000000-0010-0000-0000-00002F010000}" name="03п.28*" dataDxfId="2387"/>
    <tableColumn id="304" xr3:uid="{00000000-0010-0000-0000-000030010000}" name="03п.29*" dataDxfId="2386"/>
    <tableColumn id="305" xr3:uid="{00000000-0010-0000-0000-000031010000}" name="03п.30*" dataDxfId="2385"/>
    <tableColumn id="337" xr3:uid="{00000000-0010-0000-0000-000051010000}" name="04н.Н" dataDxfId="2384"/>
    <tableColumn id="338" xr3:uid="{00000000-0010-0000-0000-000052010000}" name="04н.01а" dataDxfId="2383"/>
    <tableColumn id="339" xr3:uid="{00000000-0010-0000-0000-000053010000}" name="04н.01б" dataDxfId="2382"/>
    <tableColumn id="340" xr3:uid="{00000000-0010-0000-0000-000054010000}" name="04н.01в" dataDxfId="2381"/>
    <tableColumn id="341" xr3:uid="{00000000-0010-0000-0000-000055010000}" name="04н.01г" dataDxfId="2380"/>
    <tableColumn id="342" xr3:uid="{00000000-0010-0000-0000-000056010000}" name="04н.01д" dataDxfId="2379"/>
    <tableColumn id="343" xr3:uid="{00000000-0010-0000-0000-000057010000}" name="04н.02" dataDxfId="2378"/>
    <tableColumn id="344" xr3:uid="{00000000-0010-0000-0000-000058010000}" name="04н.03" dataDxfId="2377"/>
    <tableColumn id="345" xr3:uid="{00000000-0010-0000-0000-000059010000}" name="04н.04" dataDxfId="2376"/>
    <tableColumn id="346" xr3:uid="{00000000-0010-0000-0000-00005A010000}" name="04н.05а" dataDxfId="2375"/>
    <tableColumn id="347" xr3:uid="{00000000-0010-0000-0000-00005B010000}" name="04н.05б" dataDxfId="2374"/>
    <tableColumn id="348" xr3:uid="{00000000-0010-0000-0000-00005C010000}" name="04н.06" dataDxfId="2373"/>
    <tableColumn id="349" xr3:uid="{00000000-0010-0000-0000-00005D010000}" name="04н.07а" dataDxfId="2372"/>
    <tableColumn id="350" xr3:uid="{00000000-0010-0000-0000-00005E010000}" name="04н.07б" dataDxfId="2371"/>
    <tableColumn id="351" xr3:uid="{00000000-0010-0000-0000-00005F010000}" name="04н.08" dataDxfId="2370"/>
    <tableColumn id="352" xr3:uid="{00000000-0010-0000-0000-000060010000}" name="04н.09а" dataDxfId="2369"/>
    <tableColumn id="353" xr3:uid="{00000000-0010-0000-0000-000061010000}" name="04н.09б" dataDxfId="2368"/>
    <tableColumn id="354" xr3:uid="{00000000-0010-0000-0000-000062010000}" name="04н.10" dataDxfId="2367"/>
    <tableColumn id="355" xr3:uid="{00000000-0010-0000-0000-000063010000}" name="04н.11" dataDxfId="2366"/>
    <tableColumn id="356" xr3:uid="{00000000-0010-0000-0000-000064010000}" name="04н.12" dataDxfId="2365"/>
    <tableColumn id="357" xr3:uid="{00000000-0010-0000-0000-000065010000}" name="04н.20*" dataDxfId="2364"/>
    <tableColumn id="358" xr3:uid="{00000000-0010-0000-0000-000066010000}" name="04н.21*" dataDxfId="2363"/>
    <tableColumn id="359" xr3:uid="{00000000-0010-0000-0000-000067010000}" name="04н.22*" dataDxfId="2362"/>
    <tableColumn id="360" xr3:uid="{00000000-0010-0000-0000-000068010000}" name="04н.23*" dataDxfId="2361"/>
    <tableColumn id="361" xr3:uid="{00000000-0010-0000-0000-000069010000}" name="04н.24*" dataDxfId="2360"/>
    <tableColumn id="362" xr3:uid="{00000000-0010-0000-0000-00006A010000}" name="04н.25*" dataDxfId="2359"/>
    <tableColumn id="363" xr3:uid="{00000000-0010-0000-0000-00006B010000}" name="04н.26*" dataDxfId="2358"/>
    <tableColumn id="364" xr3:uid="{00000000-0010-0000-0000-00006C010000}" name="04н.27*" dataDxfId="2357"/>
    <tableColumn id="365" xr3:uid="{00000000-0010-0000-0000-00006D010000}" name="04н.28*" dataDxfId="2356"/>
    <tableColumn id="366" xr3:uid="{00000000-0010-0000-0000-00006E010000}" name="04н.29*" dataDxfId="2355"/>
    <tableColumn id="367" xr3:uid="{00000000-0010-0000-0000-00006F010000}" name="04н.30*" dataDxfId="2354"/>
    <tableColumn id="368" xr3:uid="{00000000-0010-0000-0000-000070010000}" name="04п.Н" dataDxfId="2353"/>
    <tableColumn id="369" xr3:uid="{00000000-0010-0000-0000-000071010000}" name="04п.01а" dataDxfId="2352"/>
    <tableColumn id="370" xr3:uid="{00000000-0010-0000-0000-000072010000}" name="04п.01б" dataDxfId="2351"/>
    <tableColumn id="371" xr3:uid="{00000000-0010-0000-0000-000073010000}" name="04п.02а" dataDxfId="2350"/>
    <tableColumn id="372" xr3:uid="{00000000-0010-0000-0000-000074010000}" name="04п.02б" dataDxfId="2349"/>
    <tableColumn id="373" xr3:uid="{00000000-0010-0000-0000-000075010000}" name="04п.03а" dataDxfId="2348"/>
    <tableColumn id="374" xr3:uid="{00000000-0010-0000-0000-000076010000}" name="04п.03б" dataDxfId="2347"/>
    <tableColumn id="375" xr3:uid="{00000000-0010-0000-0000-000077010000}" name="04п.04" dataDxfId="2346"/>
    <tableColumn id="376" xr3:uid="{00000000-0010-0000-0000-000078010000}" name="04п.05" dataDxfId="2345"/>
    <tableColumn id="377" xr3:uid="{00000000-0010-0000-0000-000079010000}" name="04п.06" dataDxfId="2344"/>
    <tableColumn id="378" xr3:uid="{00000000-0010-0000-0000-00007A010000}" name="04п.07" dataDxfId="2343"/>
    <tableColumn id="379" xr3:uid="{00000000-0010-0000-0000-00007B010000}" name="04п.08" dataDxfId="2342"/>
    <tableColumn id="380" xr3:uid="{00000000-0010-0000-0000-00007C010000}" name="04п.09" dataDxfId="2341"/>
    <tableColumn id="381" xr3:uid="{00000000-0010-0000-0000-00007D010000}" name="04п.10" dataDxfId="2340"/>
    <tableColumn id="382" xr3:uid="{00000000-0010-0000-0000-00007E010000}" name="04п.11" dataDxfId="2339"/>
    <tableColumn id="383" xr3:uid="{00000000-0010-0000-0000-00007F010000}" name="04п.12" dataDxfId="2338"/>
    <tableColumn id="384" xr3:uid="{00000000-0010-0000-0000-000080010000}" name="04п.16*" dataDxfId="2337"/>
    <tableColumn id="385" xr3:uid="{00000000-0010-0000-0000-000081010000}" name="04п.17*" dataDxfId="2336"/>
    <tableColumn id="386" xr3:uid="{00000000-0010-0000-0000-000082010000}" name="04п.18*" dataDxfId="2335"/>
    <tableColumn id="387" xr3:uid="{00000000-0010-0000-0000-000083010000}" name="04п.19*" dataDxfId="2334"/>
    <tableColumn id="388" xr3:uid="{00000000-0010-0000-0000-000084010000}" name="04п.20*" dataDxfId="2333"/>
    <tableColumn id="389" xr3:uid="{00000000-0010-0000-0000-000085010000}" name="04п.21*" dataDxfId="2332"/>
    <tableColumn id="390" xr3:uid="{00000000-0010-0000-0000-000086010000}" name="04п.22*" dataDxfId="2331"/>
    <tableColumn id="391" xr3:uid="{00000000-0010-0000-0000-000087010000}" name="04п.23*" dataDxfId="2330"/>
    <tableColumn id="392" xr3:uid="{00000000-0010-0000-0000-000088010000}" name="04п.24*" dataDxfId="2329"/>
    <tableColumn id="393" xr3:uid="{00000000-0010-0000-0000-000089010000}" name="04п.25*" dataDxfId="2328"/>
    <tableColumn id="394" xr3:uid="{00000000-0010-0000-0000-00008A010000}" name="04п.26*" dataDxfId="2327"/>
    <tableColumn id="395" xr3:uid="{00000000-0010-0000-0000-00008B010000}" name="04п.27*" dataDxfId="2326"/>
    <tableColumn id="396" xr3:uid="{00000000-0010-0000-0000-00008C010000}" name="04п.28*" dataDxfId="2325"/>
    <tableColumn id="397" xr3:uid="{00000000-0010-0000-0000-00008D010000}" name="04п.29*" dataDxfId="2324"/>
    <tableColumn id="398" xr3:uid="{00000000-0010-0000-0000-00008E010000}" name="04п.30*" dataDxfId="2323"/>
    <tableColumn id="430" xr3:uid="{00000000-0010-0000-0000-0000AE010000}" name="05н.Н" dataDxfId="2322"/>
    <tableColumn id="431" xr3:uid="{00000000-0010-0000-0000-0000AF010000}" name="05н.01" dataDxfId="2321"/>
    <tableColumn id="432" xr3:uid="{00000000-0010-0000-0000-0000B0010000}" name="05н.02" dataDxfId="2320"/>
    <tableColumn id="433" xr3:uid="{00000000-0010-0000-0000-0000B1010000}" name="05н.03" dataDxfId="2319"/>
    <tableColumn id="434" xr3:uid="{00000000-0010-0000-0000-0000B2010000}" name="05н.04" dataDxfId="2318"/>
    <tableColumn id="435" xr3:uid="{00000000-0010-0000-0000-0000B3010000}" name="05н.05" dataDxfId="2317"/>
    <tableColumn id="436" xr3:uid="{00000000-0010-0000-0000-0000B4010000}" name="05н.06" dataDxfId="2316"/>
    <tableColumn id="437" xr3:uid="{00000000-0010-0000-0000-0000B5010000}" name="05н.07" dataDxfId="2315"/>
    <tableColumn id="438" xr3:uid="{00000000-0010-0000-0000-0000B6010000}" name="05н.08" dataDxfId="2314"/>
    <tableColumn id="439" xr3:uid="{00000000-0010-0000-0000-0000B7010000}" name="05н.09" dataDxfId="2313"/>
    <tableColumn id="440" xr3:uid="{00000000-0010-0000-0000-0000B8010000}" name="05н.10" dataDxfId="2312"/>
    <tableColumn id="441" xr3:uid="{00000000-0010-0000-0000-0000B9010000}" name="05н.11" dataDxfId="2311"/>
    <tableColumn id="442" xr3:uid="{00000000-0010-0000-0000-0000BA010000}" name="05н.12" dataDxfId="2310"/>
    <tableColumn id="443" xr3:uid="{00000000-0010-0000-0000-0000BB010000}" name="05н.13*" dataDxfId="2309"/>
    <tableColumn id="444" xr3:uid="{00000000-0010-0000-0000-0000BC010000}" name="05н.14*" dataDxfId="2308"/>
    <tableColumn id="445" xr3:uid="{00000000-0010-0000-0000-0000BD010000}" name="05н.15*" dataDxfId="2307"/>
    <tableColumn id="446" xr3:uid="{00000000-0010-0000-0000-0000BE010000}" name="05н.16*" dataDxfId="2306"/>
    <tableColumn id="447" xr3:uid="{00000000-0010-0000-0000-0000BF010000}" name="05н.17*" dataDxfId="2305"/>
    <tableColumn id="448" xr3:uid="{00000000-0010-0000-0000-0000C0010000}" name="05н.18*" dataDxfId="2304"/>
    <tableColumn id="449" xr3:uid="{00000000-0010-0000-0000-0000C1010000}" name="05н.19*" dataDxfId="2303"/>
    <tableColumn id="450" xr3:uid="{00000000-0010-0000-0000-0000C2010000}" name="05н.20*" dataDxfId="2302"/>
    <tableColumn id="451" xr3:uid="{00000000-0010-0000-0000-0000C3010000}" name="05н.21*" dataDxfId="2301"/>
    <tableColumn id="452" xr3:uid="{00000000-0010-0000-0000-0000C4010000}" name="05н.22*" dataDxfId="2300"/>
    <tableColumn id="453" xr3:uid="{00000000-0010-0000-0000-0000C5010000}" name="05н.23*" dataDxfId="2299"/>
    <tableColumn id="454" xr3:uid="{00000000-0010-0000-0000-0000C6010000}" name="05н.24*" dataDxfId="2298"/>
    <tableColumn id="455" xr3:uid="{00000000-0010-0000-0000-0000C7010000}" name="05н.25*" dataDxfId="2297"/>
    <tableColumn id="456" xr3:uid="{00000000-0010-0000-0000-0000C8010000}" name="05н.26*" dataDxfId="2296"/>
    <tableColumn id="457" xr3:uid="{00000000-0010-0000-0000-0000C9010000}" name="05н.27*" dataDxfId="2295"/>
    <tableColumn id="458" xr3:uid="{00000000-0010-0000-0000-0000CA010000}" name="05н.28*" dataDxfId="2294"/>
    <tableColumn id="459" xr3:uid="{00000000-0010-0000-0000-0000CB010000}" name="05н.29*" dataDxfId="2293"/>
    <tableColumn id="460" xr3:uid="{00000000-0010-0000-0000-0000CC010000}" name="05н.30*" dataDxfId="2292"/>
    <tableColumn id="461" xr3:uid="{00000000-0010-0000-0000-0000CD010000}" name="05п.Н" dataDxfId="2291"/>
    <tableColumn id="462" xr3:uid="{00000000-0010-0000-0000-0000CE010000}" name="05п.01" dataDxfId="2290"/>
    <tableColumn id="463" xr3:uid="{00000000-0010-0000-0000-0000CF010000}" name="05п.02" dataDxfId="2289"/>
    <tableColumn id="464" xr3:uid="{00000000-0010-0000-0000-0000D0010000}" name="05п.03" dataDxfId="2288"/>
    <tableColumn id="465" xr3:uid="{00000000-0010-0000-0000-0000D1010000}" name="05п.04" dataDxfId="2287"/>
    <tableColumn id="466" xr3:uid="{00000000-0010-0000-0000-0000D2010000}" name="05п.05" dataDxfId="2286"/>
    <tableColumn id="467" xr3:uid="{00000000-0010-0000-0000-0000D3010000}" name="05п.06" dataDxfId="2285"/>
    <tableColumn id="468" xr3:uid="{00000000-0010-0000-0000-0000D4010000}" name="05п.07" dataDxfId="2284"/>
    <tableColumn id="469" xr3:uid="{00000000-0010-0000-0000-0000D5010000}" name="05п.08" dataDxfId="2283"/>
    <tableColumn id="470" xr3:uid="{00000000-0010-0000-0000-0000D6010000}" name="05п.09" dataDxfId="2282"/>
    <tableColumn id="471" xr3:uid="{00000000-0010-0000-0000-0000D7010000}" name="05п.10" dataDxfId="2281"/>
    <tableColumn id="472" xr3:uid="{00000000-0010-0000-0000-0000D8010000}" name="05п.11" dataDxfId="2280"/>
    <tableColumn id="473" xr3:uid="{00000000-0010-0000-0000-0000D9010000}" name="05п.12" dataDxfId="2279"/>
    <tableColumn id="474" xr3:uid="{00000000-0010-0000-0000-0000DA010000}" name="05п.13*" dataDxfId="2278"/>
    <tableColumn id="475" xr3:uid="{00000000-0010-0000-0000-0000DB010000}" name="05п.14*" dataDxfId="2277"/>
    <tableColumn id="476" xr3:uid="{00000000-0010-0000-0000-0000DC010000}" name="05п.15*" dataDxfId="2276"/>
    <tableColumn id="477" xr3:uid="{00000000-0010-0000-0000-0000DD010000}" name="05п.16*" dataDxfId="2275"/>
    <tableColumn id="478" xr3:uid="{00000000-0010-0000-0000-0000DE010000}" name="05п.17*" dataDxfId="2274"/>
    <tableColumn id="479" xr3:uid="{00000000-0010-0000-0000-0000DF010000}" name="05п.18*" dataDxfId="2273"/>
    <tableColumn id="480" xr3:uid="{00000000-0010-0000-0000-0000E0010000}" name="05п.19*" dataDxfId="2272"/>
    <tableColumn id="481" xr3:uid="{00000000-0010-0000-0000-0000E1010000}" name="05п.20*" dataDxfId="2271"/>
    <tableColumn id="482" xr3:uid="{00000000-0010-0000-0000-0000E2010000}" name="05п.21*" dataDxfId="2270"/>
    <tableColumn id="483" xr3:uid="{00000000-0010-0000-0000-0000E3010000}" name="05п.22*" dataDxfId="2269"/>
    <tableColumn id="484" xr3:uid="{00000000-0010-0000-0000-0000E4010000}" name="05п.23*" dataDxfId="2268"/>
    <tableColumn id="485" xr3:uid="{00000000-0010-0000-0000-0000E5010000}" name="05п.24*" dataDxfId="2267"/>
    <tableColumn id="486" xr3:uid="{00000000-0010-0000-0000-0000E6010000}" name="05п.25*" dataDxfId="2266"/>
    <tableColumn id="487" xr3:uid="{00000000-0010-0000-0000-0000E7010000}" name="05п.26*" dataDxfId="2265"/>
    <tableColumn id="488" xr3:uid="{00000000-0010-0000-0000-0000E8010000}" name="05п.27*" dataDxfId="2264"/>
    <tableColumn id="489" xr3:uid="{00000000-0010-0000-0000-0000E9010000}" name="05п.28*" dataDxfId="2263"/>
    <tableColumn id="490" xr3:uid="{00000000-0010-0000-0000-0000EA010000}" name="05п.29*" dataDxfId="2262"/>
    <tableColumn id="491" xr3:uid="{00000000-0010-0000-0000-0000EB010000}" name="05п.30*" dataDxfId="2261"/>
    <tableColumn id="523" xr3:uid="{00000000-0010-0000-0000-00000B020000}" name="06н.Н" dataDxfId="2260"/>
    <tableColumn id="524" xr3:uid="{00000000-0010-0000-0000-00000C020000}" name="06н.01" dataDxfId="2259"/>
    <tableColumn id="525" xr3:uid="{00000000-0010-0000-0000-00000D020000}" name="06н.02" dataDxfId="2258"/>
    <tableColumn id="526" xr3:uid="{00000000-0010-0000-0000-00000E020000}" name="06н.03" dataDxfId="2257"/>
    <tableColumn id="527" xr3:uid="{00000000-0010-0000-0000-00000F020000}" name="06н.04" dataDxfId="2256"/>
    <tableColumn id="528" xr3:uid="{00000000-0010-0000-0000-000010020000}" name="06н.05" dataDxfId="2255"/>
    <tableColumn id="529" xr3:uid="{00000000-0010-0000-0000-000011020000}" name="06н.06а" dataDxfId="2254"/>
    <tableColumn id="530" xr3:uid="{00000000-0010-0000-0000-000012020000}" name="06н.06б" dataDxfId="2253"/>
    <tableColumn id="531" xr3:uid="{00000000-0010-0000-0000-000013020000}" name="06н.07" dataDxfId="2252"/>
    <tableColumn id="532" xr3:uid="{00000000-0010-0000-0000-000014020000}" name="06н.08а" dataDxfId="2251"/>
    <tableColumn id="533" xr3:uid="{00000000-0010-0000-0000-000015020000}" name="06н.08б" dataDxfId="2250"/>
    <tableColumn id="534" xr3:uid="{00000000-0010-0000-0000-000016020000}" name="06н.09" dataDxfId="2249"/>
    <tableColumn id="535" xr3:uid="{00000000-0010-0000-0000-000017020000}" name="06н.10" dataDxfId="2248"/>
    <tableColumn id="536" xr3:uid="{00000000-0010-0000-0000-000018020000}" name="06н.11" dataDxfId="2247"/>
    <tableColumn id="537" xr3:uid="{00000000-0010-0000-0000-000019020000}" name="06н.12" dataDxfId="2246"/>
    <tableColumn id="538" xr3:uid="{00000000-0010-0000-0000-00001A020000}" name="06н.15*" dataDxfId="2245"/>
    <tableColumn id="539" xr3:uid="{00000000-0010-0000-0000-00001B020000}" name="06н.16*" dataDxfId="2244"/>
    <tableColumn id="540" xr3:uid="{00000000-0010-0000-0000-00001C020000}" name="06н.17*" dataDxfId="2243"/>
    <tableColumn id="541" xr3:uid="{00000000-0010-0000-0000-00001D020000}" name="06н.18*" dataDxfId="2242"/>
    <tableColumn id="542" xr3:uid="{00000000-0010-0000-0000-00001E020000}" name="06н.19*" dataDxfId="2241"/>
    <tableColumn id="543" xr3:uid="{00000000-0010-0000-0000-00001F020000}" name="06н.20*" dataDxfId="2240"/>
    <tableColumn id="544" xr3:uid="{00000000-0010-0000-0000-000020020000}" name="06н.21*" dataDxfId="2239"/>
    <tableColumn id="545" xr3:uid="{00000000-0010-0000-0000-000021020000}" name="06н.22*" dataDxfId="2238"/>
    <tableColumn id="546" xr3:uid="{00000000-0010-0000-0000-000022020000}" name="06н.23*" dataDxfId="2237"/>
    <tableColumn id="547" xr3:uid="{00000000-0010-0000-0000-000023020000}" name="06н.24*" dataDxfId="2236"/>
    <tableColumn id="548" xr3:uid="{00000000-0010-0000-0000-000024020000}" name="06н.25*" dataDxfId="2235"/>
    <tableColumn id="549" xr3:uid="{00000000-0010-0000-0000-000025020000}" name="06н.26*" dataDxfId="2234"/>
    <tableColumn id="550" xr3:uid="{00000000-0010-0000-0000-000026020000}" name="06н.27*" dataDxfId="2233"/>
    <tableColumn id="551" xr3:uid="{00000000-0010-0000-0000-000027020000}" name="06н.28*" dataDxfId="2232"/>
    <tableColumn id="552" xr3:uid="{00000000-0010-0000-0000-000028020000}" name="06н.29*" dataDxfId="2231"/>
    <tableColumn id="553" xr3:uid="{00000000-0010-0000-0000-000029020000}" name="06н.30*" dataDxfId="2230"/>
    <tableColumn id="554" xr3:uid="{00000000-0010-0000-0000-00002A020000}" name="06п.Н" dataDxfId="2229"/>
    <tableColumn id="555" xr3:uid="{00000000-0010-0000-0000-00002B020000}" name="06п.01" dataDxfId="2228"/>
    <tableColumn id="556" xr3:uid="{00000000-0010-0000-0000-00002C020000}" name="06п.02" dataDxfId="2227"/>
    <tableColumn id="557" xr3:uid="{00000000-0010-0000-0000-00002D020000}" name="06п.03" dataDxfId="2226"/>
    <tableColumn id="558" xr3:uid="{00000000-0010-0000-0000-00002E020000}" name="06п.04" dataDxfId="2225"/>
    <tableColumn id="559" xr3:uid="{00000000-0010-0000-0000-00002F020000}" name="06п.05" dataDxfId="2224"/>
    <tableColumn id="560" xr3:uid="{00000000-0010-0000-0000-000030020000}" name="06п.06а" dataDxfId="2223"/>
    <tableColumn id="561" xr3:uid="{00000000-0010-0000-0000-000031020000}" name="06п.06б" dataDxfId="2222"/>
    <tableColumn id="562" xr3:uid="{00000000-0010-0000-0000-000032020000}" name="06п.07а" dataDxfId="2221"/>
    <tableColumn id="563" xr3:uid="{00000000-0010-0000-0000-000033020000}" name="06п.07б" dataDxfId="2220"/>
    <tableColumn id="564" xr3:uid="{00000000-0010-0000-0000-000034020000}" name="06п.08а" dataDxfId="2219"/>
    <tableColumn id="565" xr3:uid="{00000000-0010-0000-0000-000035020000}" name="06п.08б" dataDxfId="2218"/>
    <tableColumn id="566" xr3:uid="{00000000-0010-0000-0000-000036020000}" name="06п.09" dataDxfId="2217"/>
    <tableColumn id="567" xr3:uid="{00000000-0010-0000-0000-000037020000}" name="06п.10" dataDxfId="2216"/>
    <tableColumn id="568" xr3:uid="{00000000-0010-0000-0000-000038020000}" name="06п.11" dataDxfId="2215"/>
    <tableColumn id="569" xr3:uid="{00000000-0010-0000-0000-000039020000}" name="06п.12" dataDxfId="2214"/>
    <tableColumn id="570" xr3:uid="{00000000-0010-0000-0000-00003A020000}" name="06п.16*" dataDxfId="2213"/>
    <tableColumn id="571" xr3:uid="{00000000-0010-0000-0000-00003B020000}" name="06п.17*" dataDxfId="2212"/>
    <tableColumn id="572" xr3:uid="{00000000-0010-0000-0000-00003C020000}" name="06п.18*" dataDxfId="2211"/>
    <tableColumn id="573" xr3:uid="{00000000-0010-0000-0000-00003D020000}" name="06п.19*" dataDxfId="2210"/>
    <tableColumn id="574" xr3:uid="{00000000-0010-0000-0000-00003E020000}" name="06п.20*" dataDxfId="2209"/>
    <tableColumn id="575" xr3:uid="{00000000-0010-0000-0000-00003F020000}" name="06п.21*" dataDxfId="2208"/>
    <tableColumn id="576" xr3:uid="{00000000-0010-0000-0000-000040020000}" name="06п.22*" dataDxfId="2207"/>
    <tableColumn id="577" xr3:uid="{00000000-0010-0000-0000-000041020000}" name="06п.23*" dataDxfId="2206"/>
    <tableColumn id="578" xr3:uid="{00000000-0010-0000-0000-000042020000}" name="06п.24*" dataDxfId="2205"/>
    <tableColumn id="579" xr3:uid="{00000000-0010-0000-0000-000043020000}" name="06п.25*" dataDxfId="2204"/>
    <tableColumn id="580" xr3:uid="{00000000-0010-0000-0000-000044020000}" name="06п.26*" dataDxfId="2203"/>
    <tableColumn id="581" xr3:uid="{00000000-0010-0000-0000-000045020000}" name="06п.27*" dataDxfId="2202"/>
    <tableColumn id="582" xr3:uid="{00000000-0010-0000-0000-000046020000}" name="06п.28*" dataDxfId="2201"/>
    <tableColumn id="583" xr3:uid="{00000000-0010-0000-0000-000047020000}" name="06п.29*" dataDxfId="2200"/>
    <tableColumn id="584" xr3:uid="{00000000-0010-0000-0000-000048020000}" name="06п.30*" dataDxfId="2199"/>
    <tableColumn id="616" xr3:uid="{00000000-0010-0000-0000-000068020000}" name="07н.Н" dataDxfId="2198"/>
    <tableColumn id="617" xr3:uid="{00000000-0010-0000-0000-000069020000}" name="07н.01а" dataDxfId="2197"/>
    <tableColumn id="618" xr3:uid="{00000000-0010-0000-0000-00006A020000}" name="07н.01б" dataDxfId="2196"/>
    <tableColumn id="619" xr3:uid="{00000000-0010-0000-0000-00006B020000}" name="07н.02" dataDxfId="2195"/>
    <tableColumn id="620" xr3:uid="{00000000-0010-0000-0000-00006C020000}" name="07н.03а" dataDxfId="2194"/>
    <tableColumn id="621" xr3:uid="{00000000-0010-0000-0000-00006D020000}" name="07н.03б" dataDxfId="2193"/>
    <tableColumn id="622" xr3:uid="{00000000-0010-0000-0000-00006E020000}" name="07н.04" dataDxfId="2192"/>
    <tableColumn id="623" xr3:uid="{00000000-0010-0000-0000-00006F020000}" name="07н.05" dataDxfId="2191"/>
    <tableColumn id="624" xr3:uid="{00000000-0010-0000-0000-000070020000}" name="07н.06а" dataDxfId="2190"/>
    <tableColumn id="625" xr3:uid="{00000000-0010-0000-0000-000071020000}" name="07н.06б" dataDxfId="2189"/>
    <tableColumn id="626" xr3:uid="{00000000-0010-0000-0000-000072020000}" name="07н.07" dataDxfId="2188"/>
    <tableColumn id="627" xr3:uid="{00000000-0010-0000-0000-000073020000}" name="07н.08а" dataDxfId="2187"/>
    <tableColumn id="628" xr3:uid="{00000000-0010-0000-0000-000074020000}" name="07н.08б" dataDxfId="2186"/>
    <tableColumn id="629" xr3:uid="{00000000-0010-0000-0000-000075020000}" name="07н.09" dataDxfId="2185"/>
    <tableColumn id="630" xr3:uid="{00000000-0010-0000-0000-000076020000}" name="07н.10" dataDxfId="2184"/>
    <tableColumn id="631" xr3:uid="{00000000-0010-0000-0000-000077020000}" name="07н.11" dataDxfId="2183"/>
    <tableColumn id="632" xr3:uid="{00000000-0010-0000-0000-000078020000}" name="07н.12" dataDxfId="2182"/>
    <tableColumn id="633" xr3:uid="{00000000-0010-0000-0000-000079020000}" name="07н.17*" dataDxfId="2181"/>
    <tableColumn id="634" xr3:uid="{00000000-0010-0000-0000-00007A020000}" name="07н.18*" dataDxfId="2180"/>
    <tableColumn id="635" xr3:uid="{00000000-0010-0000-0000-00007B020000}" name="07н.19*" dataDxfId="2179"/>
    <tableColumn id="636" xr3:uid="{00000000-0010-0000-0000-00007C020000}" name="07н.20*" dataDxfId="2178"/>
    <tableColumn id="637" xr3:uid="{00000000-0010-0000-0000-00007D020000}" name="07н.21*" dataDxfId="2177"/>
    <tableColumn id="638" xr3:uid="{00000000-0010-0000-0000-00007E020000}" name="07н.22*" dataDxfId="2176"/>
    <tableColumn id="639" xr3:uid="{00000000-0010-0000-0000-00007F020000}" name="07н.23*" dataDxfId="2175"/>
    <tableColumn id="640" xr3:uid="{00000000-0010-0000-0000-000080020000}" name="07н.24*" dataDxfId="2174"/>
    <tableColumn id="641" xr3:uid="{00000000-0010-0000-0000-000081020000}" name="07н.25*" dataDxfId="2173"/>
    <tableColumn id="642" xr3:uid="{00000000-0010-0000-0000-000082020000}" name="07н.26*" dataDxfId="2172"/>
    <tableColumn id="643" xr3:uid="{00000000-0010-0000-0000-000083020000}" name="07н.27*" dataDxfId="2171"/>
    <tableColumn id="644" xr3:uid="{00000000-0010-0000-0000-000084020000}" name="07н.28*" dataDxfId="2170"/>
    <tableColumn id="645" xr3:uid="{00000000-0010-0000-0000-000085020000}" name="07н.29*" dataDxfId="2169"/>
    <tableColumn id="646" xr3:uid="{00000000-0010-0000-0000-000086020000}" name="07н.30*" dataDxfId="2168"/>
    <tableColumn id="647" xr3:uid="{00000000-0010-0000-0000-000087020000}" name="07п.Н" dataDxfId="2167"/>
    <tableColumn id="648" xr3:uid="{00000000-0010-0000-0000-000088020000}" name="07п.01" dataDxfId="2166"/>
    <tableColumn id="649" xr3:uid="{00000000-0010-0000-0000-000089020000}" name="07п.02" dataDxfId="2165"/>
    <tableColumn id="650" xr3:uid="{00000000-0010-0000-0000-00008A020000}" name="07п.03" dataDxfId="2164"/>
    <tableColumn id="651" xr3:uid="{00000000-0010-0000-0000-00008B020000}" name="07п.04" dataDxfId="2163"/>
    <tableColumn id="652" xr3:uid="{00000000-0010-0000-0000-00008C020000}" name="07п.05" dataDxfId="2162"/>
    <tableColumn id="653" xr3:uid="{00000000-0010-0000-0000-00008D020000}" name="07п.06" dataDxfId="2161"/>
    <tableColumn id="654" xr3:uid="{00000000-0010-0000-0000-00008E020000}" name="07п.07" dataDxfId="2160"/>
    <tableColumn id="655" xr3:uid="{00000000-0010-0000-0000-00008F020000}" name="07п.08" dataDxfId="2159"/>
    <tableColumn id="656" xr3:uid="{00000000-0010-0000-0000-000090020000}" name="07п.09" dataDxfId="2158"/>
    <tableColumn id="657" xr3:uid="{00000000-0010-0000-0000-000091020000}" name="07п.10" dataDxfId="2157"/>
    <tableColumn id="658" xr3:uid="{00000000-0010-0000-0000-000092020000}" name="07п.11" dataDxfId="2156"/>
    <tableColumn id="659" xr3:uid="{00000000-0010-0000-0000-000093020000}" name="07п.12" dataDxfId="2155"/>
    <tableColumn id="660" xr3:uid="{00000000-0010-0000-0000-000094020000}" name="07п.13*" dataDxfId="2154"/>
    <tableColumn id="661" xr3:uid="{00000000-0010-0000-0000-000095020000}" name="07п.14*" dataDxfId="2153"/>
    <tableColumn id="662" xr3:uid="{00000000-0010-0000-0000-000096020000}" name="07п.15*" dataDxfId="2152"/>
    <tableColumn id="663" xr3:uid="{00000000-0010-0000-0000-000097020000}" name="07п.16*" dataDxfId="2151"/>
    <tableColumn id="664" xr3:uid="{00000000-0010-0000-0000-000098020000}" name="07п.17*" dataDxfId="2150"/>
    <tableColumn id="665" xr3:uid="{00000000-0010-0000-0000-000099020000}" name="07п.18*" dataDxfId="2149"/>
    <tableColumn id="666" xr3:uid="{00000000-0010-0000-0000-00009A020000}" name="07п.19*" dataDxfId="2148"/>
    <tableColumn id="667" xr3:uid="{00000000-0010-0000-0000-00009B020000}" name="07п.20*" dataDxfId="2147"/>
    <tableColumn id="668" xr3:uid="{00000000-0010-0000-0000-00009C020000}" name="07п.21*" dataDxfId="2146"/>
    <tableColumn id="669" xr3:uid="{00000000-0010-0000-0000-00009D020000}" name="07п.22*" dataDxfId="2145"/>
    <tableColumn id="670" xr3:uid="{00000000-0010-0000-0000-00009E020000}" name="07п.23*" dataDxfId="2144"/>
    <tableColumn id="671" xr3:uid="{00000000-0010-0000-0000-00009F020000}" name="07п.24*" dataDxfId="2143"/>
    <tableColumn id="672" xr3:uid="{00000000-0010-0000-0000-0000A0020000}" name="07п.25*" dataDxfId="2142"/>
    <tableColumn id="673" xr3:uid="{00000000-0010-0000-0000-0000A1020000}" name="07п.26*" dataDxfId="2141"/>
    <tableColumn id="674" xr3:uid="{00000000-0010-0000-0000-0000A2020000}" name="07п.27*" dataDxfId="2140"/>
    <tableColumn id="675" xr3:uid="{00000000-0010-0000-0000-0000A3020000}" name="07п.28*" dataDxfId="2139"/>
    <tableColumn id="676" xr3:uid="{00000000-0010-0000-0000-0000A4020000}" name="07п.29*" dataDxfId="2138"/>
    <tableColumn id="677" xr3:uid="{00000000-0010-0000-0000-0000A5020000}" name="07п.30*" dataDxfId="2137"/>
    <tableColumn id="709" xr3:uid="{00000000-0010-0000-0000-0000C5020000}" name="08н.Н" dataDxfId="2136"/>
    <tableColumn id="710" xr3:uid="{00000000-0010-0000-0000-0000C6020000}" name="08н.01" dataDxfId="2135"/>
    <tableColumn id="711" xr3:uid="{00000000-0010-0000-0000-0000C7020000}" name="08н.02" dataDxfId="2134"/>
    <tableColumn id="712" xr3:uid="{00000000-0010-0000-0000-0000C8020000}" name="08н.03а" dataDxfId="2133"/>
    <tableColumn id="713" xr3:uid="{00000000-0010-0000-0000-0000C9020000}" name="08н.03б" dataDxfId="2132"/>
    <tableColumn id="714" xr3:uid="{00000000-0010-0000-0000-0000CA020000}" name="08н.04а" dataDxfId="2131"/>
    <tableColumn id="715" xr3:uid="{00000000-0010-0000-0000-0000CB020000}" name="08н.04б" dataDxfId="2130"/>
    <tableColumn id="716" xr3:uid="{00000000-0010-0000-0000-0000CC020000}" name="08н.04в" dataDxfId="2129"/>
    <tableColumn id="717" xr3:uid="{00000000-0010-0000-0000-0000CD020000}" name="08н.05" dataDxfId="2128"/>
    <tableColumn id="718" xr3:uid="{00000000-0010-0000-0000-0000CE020000}" name="08н.06" dataDxfId="2127"/>
    <tableColumn id="719" xr3:uid="{00000000-0010-0000-0000-0000CF020000}" name="08н.07" dataDxfId="2126"/>
    <tableColumn id="720" xr3:uid="{00000000-0010-0000-0000-0000D0020000}" name="08н.08" dataDxfId="2125"/>
    <tableColumn id="721" xr3:uid="{00000000-0010-0000-0000-0000D1020000}" name="08н.09" dataDxfId="2124"/>
    <tableColumn id="722" xr3:uid="{00000000-0010-0000-0000-0000D2020000}" name="08н.10" dataDxfId="2123"/>
    <tableColumn id="723" xr3:uid="{00000000-0010-0000-0000-0000D3020000}" name="08н.11" dataDxfId="2122"/>
    <tableColumn id="724" xr3:uid="{00000000-0010-0000-0000-0000D4020000}" name="08н.12" dataDxfId="2121"/>
    <tableColumn id="725" xr3:uid="{00000000-0010-0000-0000-0000D5020000}" name="08н.16*" dataDxfId="2120"/>
    <tableColumn id="726" xr3:uid="{00000000-0010-0000-0000-0000D6020000}" name="08н.17*" dataDxfId="2119"/>
    <tableColumn id="727" xr3:uid="{00000000-0010-0000-0000-0000D7020000}" name="08н.18*" dataDxfId="2118"/>
    <tableColumn id="728" xr3:uid="{00000000-0010-0000-0000-0000D8020000}" name="08н.19*" dataDxfId="2117"/>
    <tableColumn id="729" xr3:uid="{00000000-0010-0000-0000-0000D9020000}" name="08н.20*" dataDxfId="2116"/>
    <tableColumn id="730" xr3:uid="{00000000-0010-0000-0000-0000DA020000}" name="08н.21*" dataDxfId="2115"/>
    <tableColumn id="731" xr3:uid="{00000000-0010-0000-0000-0000DB020000}" name="08н.22*" dataDxfId="2114"/>
    <tableColumn id="732" xr3:uid="{00000000-0010-0000-0000-0000DC020000}" name="08н.23*" dataDxfId="2113"/>
    <tableColumn id="733" xr3:uid="{00000000-0010-0000-0000-0000DD020000}" name="08н.24*" dataDxfId="2112"/>
    <tableColumn id="734" xr3:uid="{00000000-0010-0000-0000-0000DE020000}" name="08н.25*" dataDxfId="2111"/>
    <tableColumn id="735" xr3:uid="{00000000-0010-0000-0000-0000DF020000}" name="08н.26*" dataDxfId="2110"/>
    <tableColumn id="736" xr3:uid="{00000000-0010-0000-0000-0000E0020000}" name="08н.27*" dataDxfId="2109"/>
    <tableColumn id="737" xr3:uid="{00000000-0010-0000-0000-0000E1020000}" name="08н.28*" dataDxfId="2108"/>
    <tableColumn id="738" xr3:uid="{00000000-0010-0000-0000-0000E2020000}" name="08н.29*" dataDxfId="2107"/>
    <tableColumn id="739" xr3:uid="{00000000-0010-0000-0000-0000E3020000}" name="08н.30*" dataDxfId="2106"/>
    <tableColumn id="740" xr3:uid="{00000000-0010-0000-0000-0000E4020000}" name="08п.Н" dataDxfId="2105"/>
    <tableColumn id="741" xr3:uid="{00000000-0010-0000-0000-0000E5020000}" name="08п.01" dataDxfId="2104"/>
    <tableColumn id="742" xr3:uid="{00000000-0010-0000-0000-0000E6020000}" name="08п.02" dataDxfId="2103"/>
    <tableColumn id="743" xr3:uid="{00000000-0010-0000-0000-0000E7020000}" name="08п.03" dataDxfId="2102"/>
    <tableColumn id="744" xr3:uid="{00000000-0010-0000-0000-0000E8020000}" name="08п.04" dataDxfId="2101"/>
    <tableColumn id="745" xr3:uid="{00000000-0010-0000-0000-0000E9020000}" name="08п.05а" dataDxfId="2100"/>
    <tableColumn id="746" xr3:uid="{00000000-0010-0000-0000-0000EA020000}" name="08п.05б" dataDxfId="2099"/>
    <tableColumn id="747" xr3:uid="{00000000-0010-0000-0000-0000EB020000}" name="08п.06" dataDxfId="2098"/>
    <tableColumn id="748" xr3:uid="{00000000-0010-0000-0000-0000EC020000}" name="08п.07" dataDxfId="2097"/>
    <tableColumn id="749" xr3:uid="{00000000-0010-0000-0000-0000ED020000}" name="08п.08" dataDxfId="2096"/>
    <tableColumn id="750" xr3:uid="{00000000-0010-0000-0000-0000EE020000}" name="08п.09" dataDxfId="2095"/>
    <tableColumn id="751" xr3:uid="{00000000-0010-0000-0000-0000EF020000}" name="08п.10" dataDxfId="2094"/>
    <tableColumn id="752" xr3:uid="{00000000-0010-0000-0000-0000F0020000}" name="08п.11" dataDxfId="2093"/>
    <tableColumn id="753" xr3:uid="{00000000-0010-0000-0000-0000F1020000}" name="08п.12" dataDxfId="2092"/>
    <tableColumn id="754" xr3:uid="{00000000-0010-0000-0000-0000F2020000}" name="08п.14*" dataDxfId="2091"/>
    <tableColumn id="755" xr3:uid="{00000000-0010-0000-0000-0000F3020000}" name="08п.15*" dataDxfId="2090"/>
    <tableColumn id="756" xr3:uid="{00000000-0010-0000-0000-0000F4020000}" name="08п.16*" dataDxfId="2089"/>
    <tableColumn id="757" xr3:uid="{00000000-0010-0000-0000-0000F5020000}" name="08п.17*" dataDxfId="2088"/>
    <tableColumn id="758" xr3:uid="{00000000-0010-0000-0000-0000F6020000}" name="08п.18*" dataDxfId="2087"/>
    <tableColumn id="759" xr3:uid="{00000000-0010-0000-0000-0000F7020000}" name="08п.19*" dataDxfId="2086"/>
    <tableColumn id="760" xr3:uid="{00000000-0010-0000-0000-0000F8020000}" name="08п.20*" dataDxfId="2085"/>
    <tableColumn id="761" xr3:uid="{00000000-0010-0000-0000-0000F9020000}" name="08п.21*" dataDxfId="2084"/>
    <tableColumn id="762" xr3:uid="{00000000-0010-0000-0000-0000FA020000}" name="08п.22*" dataDxfId="2083"/>
    <tableColumn id="763" xr3:uid="{00000000-0010-0000-0000-0000FB020000}" name="08п.23*" dataDxfId="2082"/>
    <tableColumn id="764" xr3:uid="{00000000-0010-0000-0000-0000FC020000}" name="08п.24*" dataDxfId="2081"/>
    <tableColumn id="765" xr3:uid="{00000000-0010-0000-0000-0000FD020000}" name="08п.25*" dataDxfId="2080"/>
    <tableColumn id="766" xr3:uid="{00000000-0010-0000-0000-0000FE020000}" name="08п.26*" dataDxfId="2079"/>
    <tableColumn id="767" xr3:uid="{00000000-0010-0000-0000-0000FF020000}" name="08п.27*" dataDxfId="2078"/>
    <tableColumn id="768" xr3:uid="{00000000-0010-0000-0000-000000030000}" name="08п.28*" dataDxfId="2077"/>
    <tableColumn id="769" xr3:uid="{00000000-0010-0000-0000-000001030000}" name="08п.29*" dataDxfId="2076"/>
    <tableColumn id="770" xr3:uid="{00000000-0010-0000-0000-000002030000}" name="08п.30*" dataDxfId="2075"/>
    <tableColumn id="802" xr3:uid="{00000000-0010-0000-0000-000022030000}" name="09н.Н*" dataDxfId="2074"/>
    <tableColumn id="803" xr3:uid="{00000000-0010-0000-0000-000023030000}" name="09н.01*" dataDxfId="2073"/>
    <tableColumn id="804" xr3:uid="{00000000-0010-0000-0000-000024030000}" name="09н.02*" dataDxfId="2072"/>
    <tableColumn id="805" xr3:uid="{00000000-0010-0000-0000-000025030000}" name="09н.03а*" dataDxfId="2071"/>
    <tableColumn id="806" xr3:uid="{00000000-0010-0000-0000-000026030000}" name="09н.03б*" dataDxfId="2070"/>
    <tableColumn id="807" xr3:uid="{00000000-0010-0000-0000-000027030000}" name="09н.04а*" dataDxfId="2069"/>
    <tableColumn id="808" xr3:uid="{00000000-0010-0000-0000-000028030000}" name="09н.04б*" dataDxfId="2068"/>
    <tableColumn id="809" xr3:uid="{00000000-0010-0000-0000-000029030000}" name="09н.04в*" dataDxfId="2067"/>
    <tableColumn id="810" xr3:uid="{00000000-0010-0000-0000-00002A030000}" name="09н.05*" dataDxfId="2066"/>
    <tableColumn id="811" xr3:uid="{00000000-0010-0000-0000-00002B030000}" name="09н.06*" dataDxfId="2065"/>
    <tableColumn id="812" xr3:uid="{00000000-0010-0000-0000-00002C030000}" name="09н.07*" dataDxfId="2064"/>
    <tableColumn id="813" xr3:uid="{00000000-0010-0000-0000-00002D030000}" name="09н.08*" dataDxfId="2063"/>
    <tableColumn id="814" xr3:uid="{00000000-0010-0000-0000-00002E030000}" name="09н.09*" dataDxfId="2062"/>
    <tableColumn id="815" xr3:uid="{00000000-0010-0000-0000-00002F030000}" name="09н.10*" dataDxfId="2061"/>
    <tableColumn id="816" xr3:uid="{00000000-0010-0000-0000-000030030000}" name="09н.11*" dataDxfId="2060"/>
    <tableColumn id="817" xr3:uid="{00000000-0010-0000-0000-000031030000}" name="09н.12*" dataDxfId="2059"/>
    <tableColumn id="818" xr3:uid="{00000000-0010-0000-0000-000032030000}" name="09н.16*" dataDxfId="2058"/>
    <tableColumn id="819" xr3:uid="{00000000-0010-0000-0000-000033030000}" name="09н.17*" dataDxfId="2057"/>
    <tableColumn id="820" xr3:uid="{00000000-0010-0000-0000-000034030000}" name="09н.18*" dataDxfId="2056"/>
    <tableColumn id="821" xr3:uid="{00000000-0010-0000-0000-000035030000}" name="09н.19*" dataDxfId="2055"/>
    <tableColumn id="822" xr3:uid="{00000000-0010-0000-0000-000036030000}" name="09н.20*" dataDxfId="2054"/>
    <tableColumn id="823" xr3:uid="{00000000-0010-0000-0000-000037030000}" name="09н.21*" dataDxfId="2053"/>
    <tableColumn id="824" xr3:uid="{00000000-0010-0000-0000-000038030000}" name="09н.22*" dataDxfId="2052"/>
    <tableColumn id="825" xr3:uid="{00000000-0010-0000-0000-000039030000}" name="09н.23*" dataDxfId="2051"/>
    <tableColumn id="826" xr3:uid="{00000000-0010-0000-0000-00003A030000}" name="09н.24*" dataDxfId="2050"/>
    <tableColumn id="827" xr3:uid="{00000000-0010-0000-0000-00003B030000}" name="09н.25*" dataDxfId="2049"/>
    <tableColumn id="828" xr3:uid="{00000000-0010-0000-0000-00003C030000}" name="09н.26*" dataDxfId="2048"/>
    <tableColumn id="829" xr3:uid="{00000000-0010-0000-0000-00003D030000}" name="09н.27*" dataDxfId="2047"/>
    <tableColumn id="830" xr3:uid="{00000000-0010-0000-0000-00003E030000}" name="09н.28*" dataDxfId="2046"/>
    <tableColumn id="831" xr3:uid="{00000000-0010-0000-0000-00003F030000}" name="09н.29*" dataDxfId="2045"/>
    <tableColumn id="832" xr3:uid="{00000000-0010-0000-0000-000040030000}" name="09н.30*" dataDxfId="2044"/>
    <tableColumn id="833" xr3:uid="{00000000-0010-0000-0000-000041030000}" name="09п.Н*" dataDxfId="2043"/>
    <tableColumn id="834" xr3:uid="{00000000-0010-0000-0000-000042030000}" name="09п.01*" dataDxfId="2042"/>
    <tableColumn id="835" xr3:uid="{00000000-0010-0000-0000-000043030000}" name="09п.02*" dataDxfId="2041"/>
    <tableColumn id="836" xr3:uid="{00000000-0010-0000-0000-000044030000}" name="09п.03*" dataDxfId="2040"/>
    <tableColumn id="837" xr3:uid="{00000000-0010-0000-0000-000045030000}" name="09п.04*" dataDxfId="2039"/>
    <tableColumn id="838" xr3:uid="{00000000-0010-0000-0000-000046030000}" name="09п.05а*" dataDxfId="2038"/>
    <tableColumn id="839" xr3:uid="{00000000-0010-0000-0000-000047030000}" name="09п.05б*" dataDxfId="2037"/>
    <tableColumn id="840" xr3:uid="{00000000-0010-0000-0000-000048030000}" name="09п.06*" dataDxfId="2036"/>
    <tableColumn id="841" xr3:uid="{00000000-0010-0000-0000-000049030000}" name="09п.07*" dataDxfId="2035"/>
    <tableColumn id="842" xr3:uid="{00000000-0010-0000-0000-00004A030000}" name="09п.08*" dataDxfId="2034"/>
    <tableColumn id="843" xr3:uid="{00000000-0010-0000-0000-00004B030000}" name="09п.09*" dataDxfId="2033"/>
    <tableColumn id="844" xr3:uid="{00000000-0010-0000-0000-00004C030000}" name="09п.10*" dataDxfId="2032"/>
    <tableColumn id="845" xr3:uid="{00000000-0010-0000-0000-00004D030000}" name="09п.11*" dataDxfId="2031"/>
    <tableColumn id="846" xr3:uid="{00000000-0010-0000-0000-00004E030000}" name="09п.12*" dataDxfId="2030"/>
    <tableColumn id="847" xr3:uid="{00000000-0010-0000-0000-00004F030000}" name="09п.13*" dataDxfId="2029"/>
    <tableColumn id="848" xr3:uid="{00000000-0010-0000-0000-000050030000}" name="09п.15*" dataDxfId="2028"/>
    <tableColumn id="849" xr3:uid="{00000000-0010-0000-0000-000051030000}" name="09п.16*" dataDxfId="2027"/>
    <tableColumn id="850" xr3:uid="{00000000-0010-0000-0000-000052030000}" name="09п.17*" dataDxfId="2026"/>
    <tableColumn id="851" xr3:uid="{00000000-0010-0000-0000-000053030000}" name="09п.18*" dataDxfId="2025"/>
    <tableColumn id="852" xr3:uid="{00000000-0010-0000-0000-000054030000}" name="09п.19*" dataDxfId="2024"/>
    <tableColumn id="853" xr3:uid="{00000000-0010-0000-0000-000055030000}" name="09п.20*" dataDxfId="2023"/>
    <tableColumn id="854" xr3:uid="{00000000-0010-0000-0000-000056030000}" name="09п.21*" dataDxfId="2022"/>
    <tableColumn id="855" xr3:uid="{00000000-0010-0000-0000-000057030000}" name="09п.22*" dataDxfId="2021"/>
    <tableColumn id="856" xr3:uid="{00000000-0010-0000-0000-000058030000}" name="09п.23*" dataDxfId="2020"/>
    <tableColumn id="857" xr3:uid="{00000000-0010-0000-0000-000059030000}" name="09п.24*" dataDxfId="2019"/>
    <tableColumn id="858" xr3:uid="{00000000-0010-0000-0000-00005A030000}" name="09п.25*" dataDxfId="2018"/>
    <tableColumn id="859" xr3:uid="{00000000-0010-0000-0000-00005B030000}" name="09п.26*" dataDxfId="2017"/>
    <tableColumn id="860" xr3:uid="{00000000-0010-0000-0000-00005C030000}" name="09п.27*" dataDxfId="2016"/>
    <tableColumn id="861" xr3:uid="{00000000-0010-0000-0000-00005D030000}" name="09п.28*" dataDxfId="2015"/>
    <tableColumn id="862" xr3:uid="{00000000-0010-0000-0000-00005E030000}" name="09п.29*" dataDxfId="2014"/>
    <tableColumn id="863" xr3:uid="{00000000-0010-0000-0000-00005F030000}" name="09п.30*" dataDxfId="2013"/>
    <tableColumn id="895" xr3:uid="{00000000-0010-0000-0000-00007F030000}" name="10н.Н" dataDxfId="2012"/>
    <tableColumn id="896" xr3:uid="{00000000-0010-0000-0000-000080030000}" name="10н.01" dataDxfId="2011"/>
    <tableColumn id="897" xr3:uid="{00000000-0010-0000-0000-000081030000}" name="10н.02" dataDxfId="2010"/>
    <tableColumn id="898" xr3:uid="{00000000-0010-0000-0000-000082030000}" name="10н.03а" dataDxfId="2009"/>
    <tableColumn id="899" xr3:uid="{00000000-0010-0000-0000-000083030000}" name="10н.03б" dataDxfId="2008"/>
    <tableColumn id="900" xr3:uid="{00000000-0010-0000-0000-000084030000}" name="10н.03в" dataDxfId="2007"/>
    <tableColumn id="901" xr3:uid="{00000000-0010-0000-0000-000085030000}" name="10н.03г" dataDxfId="2006"/>
    <tableColumn id="902" xr3:uid="{00000000-0010-0000-0000-000086030000}" name="10н.04" dataDxfId="2005"/>
    <tableColumn id="903" xr3:uid="{00000000-0010-0000-0000-000087030000}" name="10н.05" dataDxfId="2004"/>
    <tableColumn id="904" xr3:uid="{00000000-0010-0000-0000-000088030000}" name="10н.06" dataDxfId="2003"/>
    <tableColumn id="905" xr3:uid="{00000000-0010-0000-0000-000089030000}" name="10н.07" dataDxfId="2002"/>
    <tableColumn id="906" xr3:uid="{00000000-0010-0000-0000-00008A030000}" name="10н.08" dataDxfId="2001"/>
    <tableColumn id="907" xr3:uid="{00000000-0010-0000-0000-00008B030000}" name="10н.09" dataDxfId="2000"/>
    <tableColumn id="908" xr3:uid="{00000000-0010-0000-0000-00008C030000}" name="10н.10а" dataDxfId="1999"/>
    <tableColumn id="909" xr3:uid="{00000000-0010-0000-0000-00008D030000}" name="10н.10б" dataDxfId="1998"/>
    <tableColumn id="910" xr3:uid="{00000000-0010-0000-0000-00008E030000}" name="10н.11" dataDxfId="1997"/>
    <tableColumn id="911" xr3:uid="{00000000-0010-0000-0000-00008F030000}" name="10н.12" dataDxfId="1996"/>
    <tableColumn id="912" xr3:uid="{00000000-0010-0000-0000-000090030000}" name="10н.17*" dataDxfId="1995"/>
    <tableColumn id="913" xr3:uid="{00000000-0010-0000-0000-000091030000}" name="10н.18*" dataDxfId="1994"/>
    <tableColumn id="914" xr3:uid="{00000000-0010-0000-0000-000092030000}" name="10н.19*" dataDxfId="1993"/>
    <tableColumn id="915" xr3:uid="{00000000-0010-0000-0000-000093030000}" name="10н.20*" dataDxfId="1992"/>
    <tableColumn id="916" xr3:uid="{00000000-0010-0000-0000-000094030000}" name="10н.21*" dataDxfId="1991"/>
    <tableColumn id="917" xr3:uid="{00000000-0010-0000-0000-000095030000}" name="10н.22*" dataDxfId="1990"/>
    <tableColumn id="918" xr3:uid="{00000000-0010-0000-0000-000096030000}" name="10н.23*" dataDxfId="1989"/>
    <tableColumn id="919" xr3:uid="{00000000-0010-0000-0000-000097030000}" name="10н.24*" dataDxfId="1988"/>
    <tableColumn id="920" xr3:uid="{00000000-0010-0000-0000-000098030000}" name="10н.25*" dataDxfId="1987"/>
    <tableColumn id="921" xr3:uid="{00000000-0010-0000-0000-000099030000}" name="10н.26*" dataDxfId="1986"/>
    <tableColumn id="922" xr3:uid="{00000000-0010-0000-0000-00009A030000}" name="10н.27*" dataDxfId="1985"/>
    <tableColumn id="923" xr3:uid="{00000000-0010-0000-0000-00009B030000}" name="10н.28*" dataDxfId="1984"/>
    <tableColumn id="924" xr3:uid="{00000000-0010-0000-0000-00009C030000}" name="10н.29*" dataDxfId="1983"/>
    <tableColumn id="925" xr3:uid="{00000000-0010-0000-0000-00009D030000}" name="10н.30*" dataDxfId="1982"/>
    <tableColumn id="926" xr3:uid="{00000000-0010-0000-0000-00009E030000}" name="10п.Н" dataDxfId="1981"/>
    <tableColumn id="927" xr3:uid="{00000000-0010-0000-0000-00009F030000}" name="10п.01" dataDxfId="1980"/>
    <tableColumn id="928" xr3:uid="{00000000-0010-0000-0000-0000A0030000}" name="10п.02" dataDxfId="1979"/>
    <tableColumn id="929" xr3:uid="{00000000-0010-0000-0000-0000A1030000}" name="10п.03" dataDxfId="1978"/>
    <tableColumn id="930" xr3:uid="{00000000-0010-0000-0000-0000A2030000}" name="10п.04" dataDxfId="1977"/>
    <tableColumn id="931" xr3:uid="{00000000-0010-0000-0000-0000A3030000}" name="10п.05" dataDxfId="1976"/>
    <tableColumn id="932" xr3:uid="{00000000-0010-0000-0000-0000A4030000}" name="10п.06" dataDxfId="1975"/>
    <tableColumn id="933" xr3:uid="{00000000-0010-0000-0000-0000A5030000}" name="10п.07" dataDxfId="1974"/>
    <tableColumn id="934" xr3:uid="{00000000-0010-0000-0000-0000A6030000}" name="10п.08" dataDxfId="1973"/>
    <tableColumn id="935" xr3:uid="{00000000-0010-0000-0000-0000A7030000}" name="10п.09а" dataDxfId="1972"/>
    <tableColumn id="936" xr3:uid="{00000000-0010-0000-0000-0000A8030000}" name="10п.09б" dataDxfId="1971"/>
    <tableColumn id="937" xr3:uid="{00000000-0010-0000-0000-0000A9030000}" name="10п.10" dataDxfId="1970"/>
    <tableColumn id="938" xr3:uid="{00000000-0010-0000-0000-0000AA030000}" name="10п.11" dataDxfId="1969"/>
    <tableColumn id="939" xr3:uid="{00000000-0010-0000-0000-0000AB030000}" name="10п.12" dataDxfId="1968"/>
    <tableColumn id="940" xr3:uid="{00000000-0010-0000-0000-0000AC030000}" name="10п.14*2" dataDxfId="1967"/>
    <tableColumn id="941" xr3:uid="{00000000-0010-0000-0000-0000AD030000}" name="10п.15*3" dataDxfId="1966"/>
    <tableColumn id="942" xr3:uid="{00000000-0010-0000-0000-0000AE030000}" name="10п.16*4" dataDxfId="1965"/>
    <tableColumn id="943" xr3:uid="{00000000-0010-0000-0000-0000AF030000}" name="10п.17*5" dataDxfId="1964"/>
    <tableColumn id="944" xr3:uid="{00000000-0010-0000-0000-0000B0030000}" name="10п.18*6" dataDxfId="1963"/>
    <tableColumn id="945" xr3:uid="{00000000-0010-0000-0000-0000B1030000}" name="10п.19*7" dataDxfId="1962"/>
    <tableColumn id="946" xr3:uid="{00000000-0010-0000-0000-0000B2030000}" name="10п.20*8" dataDxfId="1961"/>
    <tableColumn id="947" xr3:uid="{00000000-0010-0000-0000-0000B3030000}" name="10п.21*9" dataDxfId="1960"/>
    <tableColumn id="948" xr3:uid="{00000000-0010-0000-0000-0000B4030000}" name="10п.22*10" dataDxfId="1959"/>
    <tableColumn id="949" xr3:uid="{00000000-0010-0000-0000-0000B5030000}" name="10п.23*11" dataDxfId="1958"/>
    <tableColumn id="950" xr3:uid="{00000000-0010-0000-0000-0000B6030000}" name="10п.24*12" dataDxfId="1957"/>
    <tableColumn id="951" xr3:uid="{00000000-0010-0000-0000-0000B7030000}" name="10п.25*13" dataDxfId="1956"/>
    <tableColumn id="952" xr3:uid="{00000000-0010-0000-0000-0000B8030000}" name="10п.26*14" dataDxfId="1955"/>
    <tableColumn id="953" xr3:uid="{00000000-0010-0000-0000-0000B9030000}" name="10п.27*15" dataDxfId="1954"/>
    <tableColumn id="954" xr3:uid="{00000000-0010-0000-0000-0000BA030000}" name="10п.28*16" dataDxfId="1953"/>
    <tableColumn id="955" xr3:uid="{00000000-0010-0000-0000-0000BB030000}" name="10п.29*17" dataDxfId="1952"/>
    <tableColumn id="956" xr3:uid="{00000000-0010-0000-0000-0000BC030000}" name="10п.30*18" dataDxfId="1951"/>
    <tableColumn id="988" xr3:uid="{00000000-0010-0000-0000-0000DC030000}" name="11н.Н" dataDxfId="1950"/>
    <tableColumn id="989" xr3:uid="{00000000-0010-0000-0000-0000DD030000}" name="11н.01а" dataDxfId="1949"/>
    <tableColumn id="990" xr3:uid="{00000000-0010-0000-0000-0000DE030000}" name="11н.01б" dataDxfId="1948"/>
    <tableColumn id="991" xr3:uid="{00000000-0010-0000-0000-0000DF030000}" name="11н.02" dataDxfId="1947"/>
    <tableColumn id="992" xr3:uid="{00000000-0010-0000-0000-0000E0030000}" name="11н.03" dataDxfId="1946"/>
    <tableColumn id="993" xr3:uid="{00000000-0010-0000-0000-0000E1030000}" name="11н.04" dataDxfId="1945"/>
    <tableColumn id="994" xr3:uid="{00000000-0010-0000-0000-0000E2030000}" name="11н.05" dataDxfId="1944"/>
    <tableColumn id="995" xr3:uid="{00000000-0010-0000-0000-0000E3030000}" name="11н.06а" dataDxfId="1943"/>
    <tableColumn id="996" xr3:uid="{00000000-0010-0000-0000-0000E4030000}" name="11н.06б" dataDxfId="1942"/>
    <tableColumn id="997" xr3:uid="{00000000-0010-0000-0000-0000E5030000}" name="11н.07а" dataDxfId="1941"/>
    <tableColumn id="998" xr3:uid="{00000000-0010-0000-0000-0000E6030000}" name="11н.07б" dataDxfId="1940"/>
    <tableColumn id="999" xr3:uid="{00000000-0010-0000-0000-0000E7030000}" name="11н.07в" dataDxfId="1939"/>
    <tableColumn id="1000" xr3:uid="{00000000-0010-0000-0000-0000E8030000}" name="11н.08" dataDxfId="1938"/>
    <tableColumn id="1001" xr3:uid="{00000000-0010-0000-0000-0000E9030000}" name="11н.09" dataDxfId="1937"/>
    <tableColumn id="1002" xr3:uid="{00000000-0010-0000-0000-0000EA030000}" name="11н.10а" dataDxfId="1936"/>
    <tableColumn id="1003" xr3:uid="{00000000-0010-0000-0000-0000EB030000}" name="11н.10б" dataDxfId="1935"/>
    <tableColumn id="1004" xr3:uid="{00000000-0010-0000-0000-0000EC030000}" name="11н.11" dataDxfId="1934"/>
    <tableColumn id="1005" xr3:uid="{00000000-0010-0000-0000-0000ED030000}" name="11н.12" dataDxfId="1933"/>
    <tableColumn id="1006" xr3:uid="{00000000-0010-0000-0000-0000EE030000}" name="11н.18*" dataDxfId="1932"/>
    <tableColumn id="1007" xr3:uid="{00000000-0010-0000-0000-0000EF030000}" name="11н.19*" dataDxfId="1931"/>
    <tableColumn id="1008" xr3:uid="{00000000-0010-0000-0000-0000F0030000}" name="11н.20*" dataDxfId="1930"/>
    <tableColumn id="1009" xr3:uid="{00000000-0010-0000-0000-0000F1030000}" name="11н.21*" dataDxfId="1929"/>
    <tableColumn id="1010" xr3:uid="{00000000-0010-0000-0000-0000F2030000}" name="11н.22*" dataDxfId="1928"/>
    <tableColumn id="1011" xr3:uid="{00000000-0010-0000-0000-0000F3030000}" name="11н.23*" dataDxfId="1927"/>
    <tableColumn id="1012" xr3:uid="{00000000-0010-0000-0000-0000F4030000}" name="11н.24*" dataDxfId="1926"/>
    <tableColumn id="1013" xr3:uid="{00000000-0010-0000-0000-0000F5030000}" name="11н.25*" dataDxfId="1925"/>
    <tableColumn id="1014" xr3:uid="{00000000-0010-0000-0000-0000F6030000}" name="11н.26*" dataDxfId="1924"/>
    <tableColumn id="1015" xr3:uid="{00000000-0010-0000-0000-0000F7030000}" name="11н.27*" dataDxfId="1923"/>
    <tableColumn id="1016" xr3:uid="{00000000-0010-0000-0000-0000F8030000}" name="11н.28*" dataDxfId="1922"/>
    <tableColumn id="1017" xr3:uid="{00000000-0010-0000-0000-0000F9030000}" name="11н.29*" dataDxfId="1921"/>
    <tableColumn id="1018" xr3:uid="{00000000-0010-0000-0000-0000FA030000}" name="11н.30*" dataDxfId="1920"/>
    <tableColumn id="1019" xr3:uid="{00000000-0010-0000-0000-0000FB030000}" name="11п.Н" dataDxfId="1919"/>
    <tableColumn id="1020" xr3:uid="{00000000-0010-0000-0000-0000FC030000}" name="11п.01" dataDxfId="1918"/>
    <tableColumn id="1021" xr3:uid="{00000000-0010-0000-0000-0000FD030000}" name="11п.02" dataDxfId="1917"/>
    <tableColumn id="1022" xr3:uid="{00000000-0010-0000-0000-0000FE030000}" name="11п.03" dataDxfId="1916"/>
    <tableColumn id="1023" xr3:uid="{00000000-0010-0000-0000-0000FF030000}" name="11п.04" dataDxfId="1915"/>
    <tableColumn id="1024" xr3:uid="{00000000-0010-0000-0000-000000040000}" name="11п.05" dataDxfId="1914"/>
    <tableColumn id="1025" xr3:uid="{00000000-0010-0000-0000-000001040000}" name="11п.06" dataDxfId="1913"/>
    <tableColumn id="1026" xr3:uid="{00000000-0010-0000-0000-000002040000}" name="11п.07а" dataDxfId="1912"/>
    <tableColumn id="1027" xr3:uid="{00000000-0010-0000-0000-000003040000}" name="11п.07б" dataDxfId="1911"/>
    <tableColumn id="1028" xr3:uid="{00000000-0010-0000-0000-000004040000}" name="11п.07в" dataDxfId="1910"/>
    <tableColumn id="1029" xr3:uid="{00000000-0010-0000-0000-000005040000}" name="11п.08" dataDxfId="1909"/>
    <tableColumn id="1030" xr3:uid="{00000000-0010-0000-0000-000006040000}" name="11п.09" dataDxfId="1908"/>
    <tableColumn id="1031" xr3:uid="{00000000-0010-0000-0000-000007040000}" name="11п.10" dataDxfId="1907"/>
    <tableColumn id="1032" xr3:uid="{00000000-0010-0000-0000-000008040000}" name="11п.11" dataDxfId="1906"/>
    <tableColumn id="1033" xr3:uid="{00000000-0010-0000-0000-000009040000}" name="11п.12" dataDxfId="1905"/>
    <tableColumn id="1034" xr3:uid="{00000000-0010-0000-0000-00000A040000}" name="11п.15*" dataDxfId="1904"/>
    <tableColumn id="1035" xr3:uid="{00000000-0010-0000-0000-00000B040000}" name="11п.16*" dataDxfId="1903"/>
    <tableColumn id="1036" xr3:uid="{00000000-0010-0000-0000-00000C040000}" name="11п.17*" dataDxfId="1902"/>
    <tableColumn id="1037" xr3:uid="{00000000-0010-0000-0000-00000D040000}" name="11п.18*" dataDxfId="1901"/>
    <tableColumn id="1038" xr3:uid="{00000000-0010-0000-0000-00000E040000}" name="11п.19*" dataDxfId="1900"/>
    <tableColumn id="1039" xr3:uid="{00000000-0010-0000-0000-00000F040000}" name="11п.20*" dataDxfId="1899"/>
    <tableColumn id="1040" xr3:uid="{00000000-0010-0000-0000-000010040000}" name="11п.21*" dataDxfId="1898"/>
    <tableColumn id="1041" xr3:uid="{00000000-0010-0000-0000-000011040000}" name="11п.22*" dataDxfId="1897"/>
    <tableColumn id="1042" xr3:uid="{00000000-0010-0000-0000-000012040000}" name="11п.23*" dataDxfId="1896"/>
    <tableColumn id="1043" xr3:uid="{00000000-0010-0000-0000-000013040000}" name="11п.24*" dataDxfId="1895"/>
    <tableColumn id="1044" xr3:uid="{00000000-0010-0000-0000-000014040000}" name="11п.25*" dataDxfId="1894"/>
    <tableColumn id="1045" xr3:uid="{00000000-0010-0000-0000-000015040000}" name="11п.26*" dataDxfId="1893"/>
    <tableColumn id="1046" xr3:uid="{00000000-0010-0000-0000-000016040000}" name="11п.27*" dataDxfId="1892"/>
    <tableColumn id="1047" xr3:uid="{00000000-0010-0000-0000-000017040000}" name="11п.28*" dataDxfId="1891"/>
    <tableColumn id="1048" xr3:uid="{00000000-0010-0000-0000-000018040000}" name="11п.29*" dataDxfId="1890"/>
    <tableColumn id="1049" xr3:uid="{00000000-0010-0000-0000-000019040000}" name="11п.30*" dataDxfId="1889"/>
    <tableColumn id="1081" xr3:uid="{00000000-0010-0000-0000-000039040000}" name="12н.Н" dataDxfId="1888"/>
    <tableColumn id="1082" xr3:uid="{00000000-0010-0000-0000-00003A040000}" name="12н.01" dataDxfId="1887"/>
    <tableColumn id="1083" xr3:uid="{00000000-0010-0000-0000-00003B040000}" name="12н.02а" dataDxfId="1886"/>
    <tableColumn id="1084" xr3:uid="{00000000-0010-0000-0000-00003C040000}" name="12н.02б" dataDxfId="1885"/>
    <tableColumn id="1085" xr3:uid="{00000000-0010-0000-0000-00003D040000}" name="12н.03а" dataDxfId="1884"/>
    <tableColumn id="1086" xr3:uid="{00000000-0010-0000-0000-00003E040000}" name="12н.03б" dataDxfId="1883"/>
    <tableColumn id="1087" xr3:uid="{00000000-0010-0000-0000-00003F040000}" name="12н.04" dataDxfId="1882"/>
    <tableColumn id="1088" xr3:uid="{00000000-0010-0000-0000-000040040000}" name="12н.05" dataDxfId="1881"/>
    <tableColumn id="1089" xr3:uid="{00000000-0010-0000-0000-000041040000}" name="12н.06" dataDxfId="1880"/>
    <tableColumn id="1090" xr3:uid="{00000000-0010-0000-0000-000042040000}" name="12н.07а" dataDxfId="1879"/>
    <tableColumn id="1091" xr3:uid="{00000000-0010-0000-0000-000043040000}" name="12н.07б" dataDxfId="1878"/>
    <tableColumn id="1092" xr3:uid="{00000000-0010-0000-0000-000044040000}" name="12н.07в" dataDxfId="1877"/>
    <tableColumn id="1093" xr3:uid="{00000000-0010-0000-0000-000045040000}" name="12н.08а" dataDxfId="1876"/>
    <tableColumn id="1094" xr3:uid="{00000000-0010-0000-0000-000046040000}" name="12н.08б" dataDxfId="1875"/>
    <tableColumn id="1095" xr3:uid="{00000000-0010-0000-0000-000047040000}" name="12н.08в" dataDxfId="1874"/>
    <tableColumn id="1096" xr3:uid="{00000000-0010-0000-0000-000048040000}" name="12н.09" dataDxfId="1873"/>
    <tableColumn id="1097" xr3:uid="{00000000-0010-0000-0000-000049040000}" name="12н.10" dataDxfId="1872"/>
    <tableColumn id="1098" xr3:uid="{00000000-0010-0000-0000-00004A040000}" name="12н.11" dataDxfId="1871"/>
    <tableColumn id="1099" xr3:uid="{00000000-0010-0000-0000-00004B040000}" name="12н.12" dataDxfId="1870"/>
    <tableColumn id="1100" xr3:uid="{00000000-0010-0000-0000-00004C040000}" name="12н.19*" dataDxfId="1869"/>
    <tableColumn id="1101" xr3:uid="{00000000-0010-0000-0000-00004D040000}" name="12н.20*" dataDxfId="1868"/>
    <tableColumn id="1102" xr3:uid="{00000000-0010-0000-0000-00004E040000}" name="12н.21*" dataDxfId="1867"/>
    <tableColumn id="1103" xr3:uid="{00000000-0010-0000-0000-00004F040000}" name="12н.22*" dataDxfId="1866"/>
    <tableColumn id="1104" xr3:uid="{00000000-0010-0000-0000-000050040000}" name="12н.23*" dataDxfId="1865"/>
    <tableColumn id="1105" xr3:uid="{00000000-0010-0000-0000-000051040000}" name="12н.24*" dataDxfId="1864"/>
    <tableColumn id="1106" xr3:uid="{00000000-0010-0000-0000-000052040000}" name="12н.25*" dataDxfId="1863"/>
    <tableColumn id="1107" xr3:uid="{00000000-0010-0000-0000-000053040000}" name="12н.26*" dataDxfId="1862"/>
    <tableColumn id="1108" xr3:uid="{00000000-0010-0000-0000-000054040000}" name="12н.27*" dataDxfId="1861"/>
    <tableColumn id="1109" xr3:uid="{00000000-0010-0000-0000-000055040000}" name="12н.28*" dataDxfId="1860"/>
    <tableColumn id="1110" xr3:uid="{00000000-0010-0000-0000-000056040000}" name="12н.29*" dataDxfId="1859"/>
    <tableColumn id="1111" xr3:uid="{00000000-0010-0000-0000-000057040000}" name="12н.30*" dataDxfId="1858"/>
    <tableColumn id="1112" xr3:uid="{00000000-0010-0000-0000-000058040000}" name="12п.Н" dataDxfId="1857"/>
    <tableColumn id="1113" xr3:uid="{00000000-0010-0000-0000-000059040000}" name="12п.01а" dataDxfId="1856"/>
    <tableColumn id="1114" xr3:uid="{00000000-0010-0000-0000-00005A040000}" name="12п.01б" dataDxfId="1855"/>
    <tableColumn id="1115" xr3:uid="{00000000-0010-0000-0000-00005B040000}" name="12п.02" dataDxfId="1854"/>
    <tableColumn id="1116" xr3:uid="{00000000-0010-0000-0000-00005C040000}" name="12п.03" dataDxfId="1853"/>
    <tableColumn id="1117" xr3:uid="{00000000-0010-0000-0000-00005D040000}" name="12п.04" dataDxfId="1852"/>
    <tableColumn id="1118" xr3:uid="{00000000-0010-0000-0000-00005E040000}" name="12п.05" dataDxfId="1851"/>
    <tableColumn id="1119" xr3:uid="{00000000-0010-0000-0000-00005F040000}" name="12п.06" dataDxfId="1850"/>
    <tableColumn id="1120" xr3:uid="{00000000-0010-0000-0000-000060040000}" name="12п.07" dataDxfId="1849"/>
    <tableColumn id="1121" xr3:uid="{00000000-0010-0000-0000-000061040000}" name="12п.08а" dataDxfId="1848"/>
    <tableColumn id="1122" xr3:uid="{00000000-0010-0000-0000-000062040000}" name="12п.08б" dataDxfId="1847"/>
    <tableColumn id="1123" xr3:uid="{00000000-0010-0000-0000-000063040000}" name="12п.09" dataDxfId="1846"/>
    <tableColumn id="1124" xr3:uid="{00000000-0010-0000-0000-000064040000}" name="12п.10" dataDxfId="1845"/>
    <tableColumn id="1125" xr3:uid="{00000000-0010-0000-0000-000065040000}" name="12п.11" dataDxfId="1844"/>
    <tableColumn id="1126" xr3:uid="{00000000-0010-0000-0000-000066040000}" name="12п.12" dataDxfId="1843"/>
    <tableColumn id="1127" xr3:uid="{00000000-0010-0000-0000-000067040000}" name="12п.15*" dataDxfId="1842"/>
    <tableColumn id="1128" xr3:uid="{00000000-0010-0000-0000-000068040000}" name="12п.16*" dataDxfId="1841"/>
    <tableColumn id="1129" xr3:uid="{00000000-0010-0000-0000-000069040000}" name="12п.17*" dataDxfId="1840"/>
    <tableColumn id="1130" xr3:uid="{00000000-0010-0000-0000-00006A040000}" name="12п.18*" dataDxfId="1839"/>
    <tableColumn id="1131" xr3:uid="{00000000-0010-0000-0000-00006B040000}" name="12п.19*" dataDxfId="1838"/>
    <tableColumn id="1132" xr3:uid="{00000000-0010-0000-0000-00006C040000}" name="12п.20*" dataDxfId="1837"/>
    <tableColumn id="1133" xr3:uid="{00000000-0010-0000-0000-00006D040000}" name="12п.21*" dataDxfId="1836"/>
    <tableColumn id="1134" xr3:uid="{00000000-0010-0000-0000-00006E040000}" name="12п.22*" dataDxfId="1835"/>
    <tableColumn id="1135" xr3:uid="{00000000-0010-0000-0000-00006F040000}" name="12п.23*" dataDxfId="1834"/>
    <tableColumn id="1136" xr3:uid="{00000000-0010-0000-0000-000070040000}" name="12п.24*" dataDxfId="1833"/>
    <tableColumn id="1137" xr3:uid="{00000000-0010-0000-0000-000071040000}" name="12п.25*" dataDxfId="1832"/>
    <tableColumn id="1138" xr3:uid="{00000000-0010-0000-0000-000072040000}" name="12п.26*" dataDxfId="1831"/>
    <tableColumn id="1139" xr3:uid="{00000000-0010-0000-0000-000073040000}" name="12п.27*" dataDxfId="1830"/>
    <tableColumn id="1140" xr3:uid="{00000000-0010-0000-0000-000074040000}" name="12п.28*" dataDxfId="1829"/>
    <tableColumn id="1141" xr3:uid="{00000000-0010-0000-0000-000075040000}" name="12п.29*" dataDxfId="1828"/>
    <tableColumn id="1142" xr3:uid="{00000000-0010-0000-0000-000076040000}" name="12п.30*" dataDxfId="1827"/>
    <tableColumn id="1174" xr3:uid="{00000000-0010-0000-0000-000096040000}" name="13н.Н" dataDxfId="1826"/>
    <tableColumn id="1175" xr3:uid="{00000000-0010-0000-0000-000097040000}" name="13н.01" dataDxfId="1825"/>
    <tableColumn id="1176" xr3:uid="{00000000-0010-0000-0000-000098040000}" name="13н.02" dataDxfId="1824"/>
    <tableColumn id="1177" xr3:uid="{00000000-0010-0000-0000-000099040000}" name="13н.03а" dataDxfId="1823"/>
    <tableColumn id="1178" xr3:uid="{00000000-0010-0000-0000-00009A040000}" name="13н.03б" dataDxfId="1822"/>
    <tableColumn id="1179" xr3:uid="{00000000-0010-0000-0000-00009B040000}" name="13н.04а" dataDxfId="1821"/>
    <tableColumn id="1180" xr3:uid="{00000000-0010-0000-0000-00009C040000}" name="13н.04б" dataDxfId="1820"/>
    <tableColumn id="1181" xr3:uid="{00000000-0010-0000-0000-00009D040000}" name="13н.05а" dataDxfId="1819"/>
    <tableColumn id="1182" xr3:uid="{00000000-0010-0000-0000-00009E040000}" name="13н.05б" dataDxfId="1818"/>
    <tableColumn id="1183" xr3:uid="{00000000-0010-0000-0000-00009F040000}" name="13н.06" dataDxfId="1817"/>
    <tableColumn id="1184" xr3:uid="{00000000-0010-0000-0000-0000A0040000}" name="13н.07" dataDxfId="1816"/>
    <tableColumn id="1185" xr3:uid="{00000000-0010-0000-0000-0000A1040000}" name="13н.08а" dataDxfId="1815"/>
    <tableColumn id="1186" xr3:uid="{00000000-0010-0000-0000-0000A2040000}" name="13н.08б" dataDxfId="1814"/>
    <tableColumn id="1187" xr3:uid="{00000000-0010-0000-0000-0000A3040000}" name="13н.08в" dataDxfId="1813"/>
    <tableColumn id="1188" xr3:uid="{00000000-0010-0000-0000-0000A4040000}" name="13н.09" dataDxfId="1812"/>
    <tableColumn id="1189" xr3:uid="{00000000-0010-0000-0000-0000A5040000}" name="13н.10" dataDxfId="1811"/>
    <tableColumn id="1190" xr3:uid="{00000000-0010-0000-0000-0000A6040000}" name="13н.11а" dataDxfId="1810"/>
    <tableColumn id="1191" xr3:uid="{00000000-0010-0000-0000-0000A7040000}" name="13н.11б" dataDxfId="1809"/>
    <tableColumn id="1192" xr3:uid="{00000000-0010-0000-0000-0000A8040000}" name="13н.12" dataDxfId="1808"/>
    <tableColumn id="1193" xr3:uid="{00000000-0010-0000-0000-0000A9040000}" name="13н.19*" dataDxfId="1807"/>
    <tableColumn id="1194" xr3:uid="{00000000-0010-0000-0000-0000AA040000}" name="13н.20*" dataDxfId="1806"/>
    <tableColumn id="1195" xr3:uid="{00000000-0010-0000-0000-0000AB040000}" name="13н.21*" dataDxfId="1805"/>
    <tableColumn id="1196" xr3:uid="{00000000-0010-0000-0000-0000AC040000}" name="13н.22*" dataDxfId="1804"/>
    <tableColumn id="1197" xr3:uid="{00000000-0010-0000-0000-0000AD040000}" name="13н.23*" dataDxfId="1803"/>
    <tableColumn id="1198" xr3:uid="{00000000-0010-0000-0000-0000AE040000}" name="13н.24*" dataDxfId="1802"/>
    <tableColumn id="1199" xr3:uid="{00000000-0010-0000-0000-0000AF040000}" name="13н.25*" dataDxfId="1801"/>
    <tableColumn id="1200" xr3:uid="{00000000-0010-0000-0000-0000B0040000}" name="13н.26*" dataDxfId="1800"/>
    <tableColumn id="1201" xr3:uid="{00000000-0010-0000-0000-0000B1040000}" name="13н.27*" dataDxfId="1799"/>
    <tableColumn id="1202" xr3:uid="{00000000-0010-0000-0000-0000B2040000}" name="13н.28*" dataDxfId="1798"/>
    <tableColumn id="1203" xr3:uid="{00000000-0010-0000-0000-0000B3040000}" name="13н.29*" dataDxfId="1797"/>
    <tableColumn id="1204" xr3:uid="{00000000-0010-0000-0000-0000B4040000}" name="13н.30*" dataDxfId="1796"/>
    <tableColumn id="1205" xr3:uid="{00000000-0010-0000-0000-0000B5040000}" name="13п.Н" dataDxfId="1795"/>
    <tableColumn id="1206" xr3:uid="{00000000-0010-0000-0000-0000B6040000}" name="13п.01" dataDxfId="1794"/>
    <tableColumn id="1207" xr3:uid="{00000000-0010-0000-0000-0000B7040000}" name="13п.02а" dataDxfId="1793"/>
    <tableColumn id="1208" xr3:uid="{00000000-0010-0000-0000-0000B8040000}" name="13п.02б" dataDxfId="1792"/>
    <tableColumn id="1209" xr3:uid="{00000000-0010-0000-0000-0000B9040000}" name="13п.03" dataDxfId="1791"/>
    <tableColumn id="1210" xr3:uid="{00000000-0010-0000-0000-0000BA040000}" name="13п.04" dataDxfId="1790"/>
    <tableColumn id="1211" xr3:uid="{00000000-0010-0000-0000-0000BB040000}" name="13п.05" dataDxfId="1789"/>
    <tableColumn id="1212" xr3:uid="{00000000-0010-0000-0000-0000BC040000}" name="13п.06а" dataDxfId="1788"/>
    <tableColumn id="1213" xr3:uid="{00000000-0010-0000-0000-0000BD040000}" name="13п.06б" dataDxfId="1787"/>
    <tableColumn id="1214" xr3:uid="{00000000-0010-0000-0000-0000BE040000}" name="13п.07" dataDxfId="1786"/>
    <tableColumn id="1215" xr3:uid="{00000000-0010-0000-0000-0000BF040000}" name="13п.08" dataDxfId="1785"/>
    <tableColumn id="1216" xr3:uid="{00000000-0010-0000-0000-0000C0040000}" name="13п.09" dataDxfId="1784"/>
    <tableColumn id="1217" xr3:uid="{00000000-0010-0000-0000-0000C1040000}" name="13п.10" dataDxfId="1783"/>
    <tableColumn id="1218" xr3:uid="{00000000-0010-0000-0000-0000C2040000}" name="13п.11" dataDxfId="1782"/>
    <tableColumn id="1219" xr3:uid="{00000000-0010-0000-0000-0000C3040000}" name="13п.12" dataDxfId="1781"/>
    <tableColumn id="1220" xr3:uid="{00000000-0010-0000-0000-0000C4040000}" name="13п.15*" dataDxfId="1780"/>
    <tableColumn id="1221" xr3:uid="{00000000-0010-0000-0000-0000C5040000}" name="13п.16*" dataDxfId="1779"/>
    <tableColumn id="1222" xr3:uid="{00000000-0010-0000-0000-0000C6040000}" name="13п.17*" dataDxfId="1778"/>
    <tableColumn id="1223" xr3:uid="{00000000-0010-0000-0000-0000C7040000}" name="13п.18*" dataDxfId="1777"/>
    <tableColumn id="1224" xr3:uid="{00000000-0010-0000-0000-0000C8040000}" name="13п.19*" dataDxfId="1776"/>
    <tableColumn id="1225" xr3:uid="{00000000-0010-0000-0000-0000C9040000}" name="13п.20*" dataDxfId="1775"/>
    <tableColumn id="1226" xr3:uid="{00000000-0010-0000-0000-0000CA040000}" name="13п.21*" dataDxfId="1774"/>
    <tableColumn id="1227" xr3:uid="{00000000-0010-0000-0000-0000CB040000}" name="13п.22*" dataDxfId="1773"/>
    <tableColumn id="1228" xr3:uid="{00000000-0010-0000-0000-0000CC040000}" name="13п.23*" dataDxfId="1772"/>
    <tableColumn id="1229" xr3:uid="{00000000-0010-0000-0000-0000CD040000}" name="13п.24*" dataDxfId="1771"/>
    <tableColumn id="1230" xr3:uid="{00000000-0010-0000-0000-0000CE040000}" name="13п.25*" dataDxfId="1770"/>
    <tableColumn id="1231" xr3:uid="{00000000-0010-0000-0000-0000CF040000}" name="13п.26*" dataDxfId="1769"/>
    <tableColumn id="1232" xr3:uid="{00000000-0010-0000-0000-0000D0040000}" name="13п.27*" dataDxfId="1768"/>
    <tableColumn id="1233" xr3:uid="{00000000-0010-0000-0000-0000D1040000}" name="13п.28*" dataDxfId="1767"/>
    <tableColumn id="1234" xr3:uid="{00000000-0010-0000-0000-0000D2040000}" name="13п.29*" dataDxfId="1766"/>
    <tableColumn id="1235" xr3:uid="{00000000-0010-0000-0000-0000D3040000}" name="13п.30*" dataDxfId="1765"/>
    <tableColumn id="1267" xr3:uid="{00000000-0010-0000-0000-0000F3040000}" name="14н.Н" dataDxfId="1764"/>
    <tableColumn id="1268" xr3:uid="{00000000-0010-0000-0000-0000F4040000}" name="14н.01" dataDxfId="1763"/>
    <tableColumn id="1269" xr3:uid="{00000000-0010-0000-0000-0000F5040000}" name="14н.02" dataDxfId="1762"/>
    <tableColumn id="1270" xr3:uid="{00000000-0010-0000-0000-0000F6040000}" name="14н.03а" dataDxfId="1761"/>
    <tableColumn id="1271" xr3:uid="{00000000-0010-0000-0000-0000F7040000}" name="14н.03б" dataDxfId="1760"/>
    <tableColumn id="1272" xr3:uid="{00000000-0010-0000-0000-0000F8040000}" name="14н.04" dataDxfId="1759"/>
    <tableColumn id="1273" xr3:uid="{00000000-0010-0000-0000-0000F9040000}" name="14н.05а" dataDxfId="1758"/>
    <tableColumn id="1274" xr3:uid="{00000000-0010-0000-0000-0000FA040000}" name="14н.05б" dataDxfId="1757"/>
    <tableColumn id="1275" xr3:uid="{00000000-0010-0000-0000-0000FB040000}" name="14н.05в" dataDxfId="1756"/>
    <tableColumn id="1276" xr3:uid="{00000000-0010-0000-0000-0000FC040000}" name="14н.06" dataDxfId="1755"/>
    <tableColumn id="1277" xr3:uid="{00000000-0010-0000-0000-0000FD040000}" name="14н.07" dataDxfId="1754"/>
    <tableColumn id="1278" xr3:uid="{00000000-0010-0000-0000-0000FE040000}" name="14н.08а" dataDxfId="1753"/>
    <tableColumn id="1279" xr3:uid="{00000000-0010-0000-0000-0000FF040000}" name="14н.08б" dataDxfId="1752"/>
    <tableColumn id="1280" xr3:uid="{00000000-0010-0000-0000-000000050000}" name="14н.08в" dataDxfId="1751"/>
    <tableColumn id="1281" xr3:uid="{00000000-0010-0000-0000-000001050000}" name="14н.08г" dataDxfId="1750"/>
    <tableColumn id="1282" xr3:uid="{00000000-0010-0000-0000-000002050000}" name="14н.08д" dataDxfId="1749"/>
    <tableColumn id="1283" xr3:uid="{00000000-0010-0000-0000-000003050000}" name="14н.09" dataDxfId="1748"/>
    <tableColumn id="1284" xr3:uid="{00000000-0010-0000-0000-000004050000}" name="14н.10" dataDxfId="1747"/>
    <tableColumn id="1285" xr3:uid="{00000000-0010-0000-0000-000005050000}" name="14н.11" dataDxfId="1746"/>
    <tableColumn id="1286" xr3:uid="{00000000-0010-0000-0000-000006050000}" name="14н.12" dataDxfId="1745"/>
    <tableColumn id="1287" xr3:uid="{00000000-0010-0000-0000-000007050000}" name="14н.20*" dataDxfId="1744"/>
    <tableColumn id="1288" xr3:uid="{00000000-0010-0000-0000-000008050000}" name="14н.21*" dataDxfId="1743"/>
    <tableColumn id="1289" xr3:uid="{00000000-0010-0000-0000-000009050000}" name="14н.22*" dataDxfId="1742"/>
    <tableColumn id="1290" xr3:uid="{00000000-0010-0000-0000-00000A050000}" name="14н.23*" dataDxfId="1741"/>
    <tableColumn id="1291" xr3:uid="{00000000-0010-0000-0000-00000B050000}" name="14н.24*" dataDxfId="1740"/>
    <tableColumn id="1292" xr3:uid="{00000000-0010-0000-0000-00000C050000}" name="14н.25*" dataDxfId="1739"/>
    <tableColumn id="1293" xr3:uid="{00000000-0010-0000-0000-00000D050000}" name="14н.26*" dataDxfId="1738"/>
    <tableColumn id="1294" xr3:uid="{00000000-0010-0000-0000-00000E050000}" name="14н.27*" dataDxfId="1737"/>
    <tableColumn id="1295" xr3:uid="{00000000-0010-0000-0000-00000F050000}" name="14н.28*" dataDxfId="1736"/>
    <tableColumn id="1296" xr3:uid="{00000000-0010-0000-0000-000010050000}" name="14н.29*" dataDxfId="1735"/>
    <tableColumn id="1297" xr3:uid="{00000000-0010-0000-0000-000011050000}" name="14н.30*" dataDxfId="1734"/>
    <tableColumn id="1298" xr3:uid="{00000000-0010-0000-0000-000012050000}" name="14п.Н" dataDxfId="1733"/>
    <tableColumn id="1299" xr3:uid="{00000000-0010-0000-0000-000013050000}" name="14п.01" dataDxfId="1732"/>
    <tableColumn id="1300" xr3:uid="{00000000-0010-0000-0000-000014050000}" name="14п.02" dataDxfId="1731"/>
    <tableColumn id="1301" xr3:uid="{00000000-0010-0000-0000-000015050000}" name="14п.03" dataDxfId="1730"/>
    <tableColumn id="1302" xr3:uid="{00000000-0010-0000-0000-000016050000}" name="14п.04" dataDxfId="1729"/>
    <tableColumn id="1303" xr3:uid="{00000000-0010-0000-0000-000017050000}" name="14п.05" dataDxfId="1728"/>
    <tableColumn id="1304" xr3:uid="{00000000-0010-0000-0000-000018050000}" name="14п.06" dataDxfId="1727"/>
    <tableColumn id="1305" xr3:uid="{00000000-0010-0000-0000-000019050000}" name="14п.07а" dataDxfId="1726"/>
    <tableColumn id="1306" xr3:uid="{00000000-0010-0000-0000-00001A050000}" name="14п.07б" dataDxfId="1725"/>
    <tableColumn id="1307" xr3:uid="{00000000-0010-0000-0000-00001B050000}" name="14п.08" dataDxfId="1724"/>
    <tableColumn id="1308" xr3:uid="{00000000-0010-0000-0000-00001C050000}" name="14п.09" dataDxfId="1723"/>
    <tableColumn id="1309" xr3:uid="{00000000-0010-0000-0000-00001D050000}" name="14п.10" dataDxfId="1722"/>
    <tableColumn id="1310" xr3:uid="{00000000-0010-0000-0000-00001E050000}" name="14п.11" dataDxfId="1721"/>
    <tableColumn id="1311" xr3:uid="{00000000-0010-0000-0000-00001F050000}" name="14п.12" dataDxfId="1720"/>
    <tableColumn id="1312" xr3:uid="{00000000-0010-0000-0000-000020050000}" name="14п.14*" dataDxfId="1719"/>
    <tableColumn id="1313" xr3:uid="{00000000-0010-0000-0000-000021050000}" name="14п.15*" dataDxfId="1718"/>
    <tableColumn id="1314" xr3:uid="{00000000-0010-0000-0000-000022050000}" name="14п.16*" dataDxfId="1717"/>
    <tableColumn id="1315" xr3:uid="{00000000-0010-0000-0000-000023050000}" name="14п.17*" dataDxfId="1716"/>
    <tableColumn id="1316" xr3:uid="{00000000-0010-0000-0000-000024050000}" name="14п.18*" dataDxfId="1715"/>
    <tableColumn id="1317" xr3:uid="{00000000-0010-0000-0000-000025050000}" name="14п.19*" dataDxfId="1714"/>
    <tableColumn id="1318" xr3:uid="{00000000-0010-0000-0000-000026050000}" name="14п.20*" dataDxfId="1713"/>
    <tableColumn id="1319" xr3:uid="{00000000-0010-0000-0000-000027050000}" name="14п.21*" dataDxfId="1712"/>
    <tableColumn id="1320" xr3:uid="{00000000-0010-0000-0000-000028050000}" name="14п.22*" dataDxfId="1711"/>
    <tableColumn id="1321" xr3:uid="{00000000-0010-0000-0000-000029050000}" name="14п.23*" dataDxfId="1710"/>
    <tableColumn id="1322" xr3:uid="{00000000-0010-0000-0000-00002A050000}" name="14п.24*" dataDxfId="1709"/>
    <tableColumn id="1323" xr3:uid="{00000000-0010-0000-0000-00002B050000}" name="14п.25*" dataDxfId="1708"/>
    <tableColumn id="1324" xr3:uid="{00000000-0010-0000-0000-00002C050000}" name="14п.26*" dataDxfId="1707"/>
    <tableColumn id="1325" xr3:uid="{00000000-0010-0000-0000-00002D050000}" name="14п.27*" dataDxfId="1706"/>
    <tableColumn id="1326" xr3:uid="{00000000-0010-0000-0000-00002E050000}" name="14п.28*" dataDxfId="1705"/>
    <tableColumn id="1327" xr3:uid="{00000000-0010-0000-0000-00002F050000}" name="14п.29*" dataDxfId="1704"/>
    <tableColumn id="1328" xr3:uid="{00000000-0010-0000-0000-000030050000}" name="14п.30*" dataDxfId="1703"/>
    <tableColumn id="1360" xr3:uid="{00000000-0010-0000-0000-000050050000}" name="15н.Н" dataDxfId="1702"/>
    <tableColumn id="1361" xr3:uid="{00000000-0010-0000-0000-000051050000}" name="15н.01*" dataDxfId="1701"/>
    <tableColumn id="1362" xr3:uid="{00000000-0010-0000-0000-000052050000}" name="15н.02*" dataDxfId="1700"/>
    <tableColumn id="1363" xr3:uid="{00000000-0010-0000-0000-000053050000}" name="15н.03*" dataDxfId="1699"/>
    <tableColumn id="1364" xr3:uid="{00000000-0010-0000-0000-000054050000}" name="15н.04*" dataDxfId="1698"/>
    <tableColumn id="1365" xr3:uid="{00000000-0010-0000-0000-000055050000}" name="15н.05*" dataDxfId="1697"/>
    <tableColumn id="1366" xr3:uid="{00000000-0010-0000-0000-000056050000}" name="15н.06*" dataDxfId="1696"/>
    <tableColumn id="1367" xr3:uid="{00000000-0010-0000-0000-000057050000}" name="15н.07*" dataDxfId="1695"/>
    <tableColumn id="1368" xr3:uid="{00000000-0010-0000-0000-000058050000}" name="15н.08*" dataDxfId="1694"/>
    <tableColumn id="1369" xr3:uid="{00000000-0010-0000-0000-000059050000}" name="15н.09*" dataDxfId="1693"/>
    <tableColumn id="1370" xr3:uid="{00000000-0010-0000-0000-00005A050000}" name="15н.10*" dataDxfId="1692"/>
    <tableColumn id="1371" xr3:uid="{00000000-0010-0000-0000-00005B050000}" name="15н.11*" dataDxfId="1691"/>
    <tableColumn id="1372" xr3:uid="{00000000-0010-0000-0000-00005C050000}" name="15н.12*" dataDxfId="1690"/>
    <tableColumn id="1373" xr3:uid="{00000000-0010-0000-0000-00005D050000}" name="15н.13*" dataDxfId="1689"/>
    <tableColumn id="1374" xr3:uid="{00000000-0010-0000-0000-00005E050000}" name="15н.14*" dataDxfId="1688"/>
    <tableColumn id="1375" xr3:uid="{00000000-0010-0000-0000-00005F050000}" name="15н.15*" dataDxfId="1687"/>
    <tableColumn id="1376" xr3:uid="{00000000-0010-0000-0000-000060050000}" name="15н.16*" dataDxfId="1686"/>
    <tableColumn id="1377" xr3:uid="{00000000-0010-0000-0000-000061050000}" name="15н.17*" dataDxfId="1685"/>
    <tableColumn id="1378" xr3:uid="{00000000-0010-0000-0000-000062050000}" name="15н.18*" dataDxfId="1684"/>
    <tableColumn id="1379" xr3:uid="{00000000-0010-0000-0000-000063050000}" name="15н.19*" dataDxfId="1683"/>
    <tableColumn id="1380" xr3:uid="{00000000-0010-0000-0000-000064050000}" name="15н.20*" dataDxfId="1682"/>
    <tableColumn id="1381" xr3:uid="{00000000-0010-0000-0000-000065050000}" name="15н.21*" dataDxfId="1681"/>
    <tableColumn id="1382" xr3:uid="{00000000-0010-0000-0000-000066050000}" name="15н.22*" dataDxfId="1680"/>
    <tableColumn id="1383" xr3:uid="{00000000-0010-0000-0000-000067050000}" name="15н.23*" dataDxfId="1679"/>
    <tableColumn id="1384" xr3:uid="{00000000-0010-0000-0000-000068050000}" name="15н.24*" dataDxfId="1678"/>
    <tableColumn id="1385" xr3:uid="{00000000-0010-0000-0000-000069050000}" name="15н.25*" dataDxfId="1677"/>
    <tableColumn id="1386" xr3:uid="{00000000-0010-0000-0000-00006A050000}" name="15н.26*" dataDxfId="1676"/>
    <tableColumn id="1387" xr3:uid="{00000000-0010-0000-0000-00006B050000}" name="15н.27*" dataDxfId="1675"/>
    <tableColumn id="1388" xr3:uid="{00000000-0010-0000-0000-00006C050000}" name="15н.28*" dataDxfId="1674"/>
    <tableColumn id="1389" xr3:uid="{00000000-0010-0000-0000-00006D050000}" name="15н.29*" dataDxfId="1673"/>
    <tableColumn id="1390" xr3:uid="{00000000-0010-0000-0000-00006E050000}" name="15н.30*" dataDxfId="1672"/>
    <tableColumn id="1391" xr3:uid="{00000000-0010-0000-0000-00006F050000}" name="15п.Н" dataDxfId="1671"/>
    <tableColumn id="1392" xr3:uid="{00000000-0010-0000-0000-000070050000}" name="15п.01*" dataDxfId="1670"/>
    <tableColumn id="1393" xr3:uid="{00000000-0010-0000-0000-000071050000}" name="15п.02*" dataDxfId="1669"/>
    <tableColumn id="1394" xr3:uid="{00000000-0010-0000-0000-000072050000}" name="15п.03*" dataDxfId="1668"/>
    <tableColumn id="1395" xr3:uid="{00000000-0010-0000-0000-000073050000}" name="15п.04*" dataDxfId="1667"/>
    <tableColumn id="1396" xr3:uid="{00000000-0010-0000-0000-000074050000}" name="15п.05*" dataDxfId="1666"/>
    <tableColumn id="1397" xr3:uid="{00000000-0010-0000-0000-000075050000}" name="15п.06*" dataDxfId="1665"/>
    <tableColumn id="1398" xr3:uid="{00000000-0010-0000-0000-000076050000}" name="15п.07*" dataDxfId="1664"/>
    <tableColumn id="1399" xr3:uid="{00000000-0010-0000-0000-000077050000}" name="15п.08*" dataDxfId="1663"/>
    <tableColumn id="1400" xr3:uid="{00000000-0010-0000-0000-000078050000}" name="15п.09*" dataDxfId="1662"/>
    <tableColumn id="1401" xr3:uid="{00000000-0010-0000-0000-000079050000}" name="15п.10*" dataDxfId="1661"/>
    <tableColumn id="1402" xr3:uid="{00000000-0010-0000-0000-00007A050000}" name="15п.11*" dataDxfId="1660"/>
    <tableColumn id="1403" xr3:uid="{00000000-0010-0000-0000-00007B050000}" name="15п.12*" dataDxfId="1659"/>
    <tableColumn id="1404" xr3:uid="{00000000-0010-0000-0000-00007C050000}" name="15п.13*" dataDxfId="1658"/>
    <tableColumn id="1405" xr3:uid="{00000000-0010-0000-0000-00007D050000}" name="15п.14*" dataDxfId="1657"/>
    <tableColumn id="1406" xr3:uid="{00000000-0010-0000-0000-00007E050000}" name="15п.15*" dataDxfId="1656"/>
    <tableColumn id="1407" xr3:uid="{00000000-0010-0000-0000-00007F050000}" name="15п.16*" dataDxfId="1655"/>
    <tableColumn id="1408" xr3:uid="{00000000-0010-0000-0000-000080050000}" name="15п.17*" dataDxfId="1654"/>
    <tableColumn id="1409" xr3:uid="{00000000-0010-0000-0000-000081050000}" name="15п.18*" dataDxfId="1653"/>
    <tableColumn id="1410" xr3:uid="{00000000-0010-0000-0000-000082050000}" name="15п.19*" dataDxfId="1652"/>
    <tableColumn id="1411" xr3:uid="{00000000-0010-0000-0000-000083050000}" name="15п.20*" dataDxfId="1651"/>
    <tableColumn id="1412" xr3:uid="{00000000-0010-0000-0000-000084050000}" name="15п.21*" dataDxfId="1650"/>
    <tableColumn id="1413" xr3:uid="{00000000-0010-0000-0000-000085050000}" name="15п.22*" dataDxfId="1649"/>
    <tableColumn id="1414" xr3:uid="{00000000-0010-0000-0000-000086050000}" name="15п.23*" dataDxfId="1648"/>
    <tableColumn id="1415" xr3:uid="{00000000-0010-0000-0000-000087050000}" name="15п.24*" dataDxfId="1647"/>
    <tableColumn id="1416" xr3:uid="{00000000-0010-0000-0000-000088050000}" name="15п.25*" dataDxfId="1646"/>
    <tableColumn id="1417" xr3:uid="{00000000-0010-0000-0000-000089050000}" name="15п.26*" dataDxfId="1645"/>
    <tableColumn id="1418" xr3:uid="{00000000-0010-0000-0000-00008A050000}" name="15п.27*" dataDxfId="1644"/>
    <tableColumn id="1419" xr3:uid="{00000000-0010-0000-0000-00008B050000}" name="15п.28*" dataDxfId="1643"/>
    <tableColumn id="1420" xr3:uid="{00000000-0010-0000-0000-00008C050000}" name="15п.29*" dataDxfId="1642"/>
    <tableColumn id="1421" xr3:uid="{00000000-0010-0000-0000-00008D050000}" name="15п.30*" dataDxfId="1641"/>
    <tableColumn id="1453" xr3:uid="{00000000-0010-0000-0000-0000AD050000}" name="16н.Н" dataDxfId="1640"/>
    <tableColumn id="1454" xr3:uid="{00000000-0010-0000-0000-0000AE050000}" name="16н.01*" dataDxfId="1639"/>
    <tableColumn id="1455" xr3:uid="{00000000-0010-0000-0000-0000AF050000}" name="16н.02*" dataDxfId="1638"/>
    <tableColumn id="1456" xr3:uid="{00000000-0010-0000-0000-0000B0050000}" name="16н.03*" dataDxfId="1637"/>
    <tableColumn id="1457" xr3:uid="{00000000-0010-0000-0000-0000B1050000}" name="16н.04*" dataDxfId="1636"/>
    <tableColumn id="1458" xr3:uid="{00000000-0010-0000-0000-0000B2050000}" name="16н.05*" dataDxfId="1635"/>
    <tableColumn id="1459" xr3:uid="{00000000-0010-0000-0000-0000B3050000}" name="16н.06*" dataDxfId="1634"/>
    <tableColumn id="1460" xr3:uid="{00000000-0010-0000-0000-0000B4050000}" name="16н.07*" dataDxfId="1633"/>
    <tableColumn id="1461" xr3:uid="{00000000-0010-0000-0000-0000B5050000}" name="16н.08*" dataDxfId="1632"/>
    <tableColumn id="1462" xr3:uid="{00000000-0010-0000-0000-0000B6050000}" name="16н.09*" dataDxfId="1631"/>
    <tableColumn id="1463" xr3:uid="{00000000-0010-0000-0000-0000B7050000}" name="16н.10*" dataDxfId="1630"/>
    <tableColumn id="1464" xr3:uid="{00000000-0010-0000-0000-0000B8050000}" name="16н.11*" dataDxfId="1629"/>
    <tableColumn id="1465" xr3:uid="{00000000-0010-0000-0000-0000B9050000}" name="16н.12*" dataDxfId="1628"/>
    <tableColumn id="1466" xr3:uid="{00000000-0010-0000-0000-0000BA050000}" name="16н.13*" dataDxfId="1627"/>
    <tableColumn id="1467" xr3:uid="{00000000-0010-0000-0000-0000BB050000}" name="16н.14*" dataDxfId="1626"/>
    <tableColumn id="1468" xr3:uid="{00000000-0010-0000-0000-0000BC050000}" name="16н.15*" dataDxfId="1625"/>
    <tableColumn id="1469" xr3:uid="{00000000-0010-0000-0000-0000BD050000}" name="16н.16*" dataDxfId="1624"/>
    <tableColumn id="1470" xr3:uid="{00000000-0010-0000-0000-0000BE050000}" name="16н.17*" dataDxfId="1623"/>
    <tableColumn id="1471" xr3:uid="{00000000-0010-0000-0000-0000BF050000}" name="16н.18*" dataDxfId="1622"/>
    <tableColumn id="1472" xr3:uid="{00000000-0010-0000-0000-0000C0050000}" name="16н.19*" dataDxfId="1621"/>
    <tableColumn id="1473" xr3:uid="{00000000-0010-0000-0000-0000C1050000}" name="16н.20*" dataDxfId="1620"/>
    <tableColumn id="1474" xr3:uid="{00000000-0010-0000-0000-0000C2050000}" name="16н.21*" dataDxfId="1619"/>
    <tableColumn id="1475" xr3:uid="{00000000-0010-0000-0000-0000C3050000}" name="16н.22*" dataDxfId="1618"/>
    <tableColumn id="1476" xr3:uid="{00000000-0010-0000-0000-0000C4050000}" name="16н.23*" dataDxfId="1617"/>
    <tableColumn id="1477" xr3:uid="{00000000-0010-0000-0000-0000C5050000}" name="16н.24*" dataDxfId="1616"/>
    <tableColumn id="1478" xr3:uid="{00000000-0010-0000-0000-0000C6050000}" name="16н.25*" dataDxfId="1615"/>
    <tableColumn id="1479" xr3:uid="{00000000-0010-0000-0000-0000C7050000}" name="16н.26*" dataDxfId="1614"/>
    <tableColumn id="1480" xr3:uid="{00000000-0010-0000-0000-0000C8050000}" name="16н.27*" dataDxfId="1613"/>
    <tableColumn id="1481" xr3:uid="{00000000-0010-0000-0000-0000C9050000}" name="16н.28*" dataDxfId="1612"/>
    <tableColumn id="1482" xr3:uid="{00000000-0010-0000-0000-0000CA050000}" name="16н.29*" dataDxfId="1611"/>
    <tableColumn id="1483" xr3:uid="{00000000-0010-0000-0000-0000CB050000}" name="16н.30*" dataDxfId="1610"/>
    <tableColumn id="1484" xr3:uid="{00000000-0010-0000-0000-0000CC050000}" name="16п.Н" dataDxfId="1609"/>
    <tableColumn id="1485" xr3:uid="{00000000-0010-0000-0000-0000CD050000}" name="16п.01*" dataDxfId="1608"/>
    <tableColumn id="1486" xr3:uid="{00000000-0010-0000-0000-0000CE050000}" name="16п.02*" dataDxfId="1607"/>
    <tableColumn id="1487" xr3:uid="{00000000-0010-0000-0000-0000CF050000}" name="16п.03*" dataDxfId="1606"/>
    <tableColumn id="1488" xr3:uid="{00000000-0010-0000-0000-0000D0050000}" name="16п.04*" dataDxfId="1605"/>
    <tableColumn id="1489" xr3:uid="{00000000-0010-0000-0000-0000D1050000}" name="16п.05*" dataDxfId="1604"/>
    <tableColumn id="1490" xr3:uid="{00000000-0010-0000-0000-0000D2050000}" name="16п.06*" dataDxfId="1603"/>
    <tableColumn id="1491" xr3:uid="{00000000-0010-0000-0000-0000D3050000}" name="16п.07*" dataDxfId="1602"/>
    <tableColumn id="1492" xr3:uid="{00000000-0010-0000-0000-0000D4050000}" name="16п.08*" dataDxfId="1601"/>
    <tableColumn id="1493" xr3:uid="{00000000-0010-0000-0000-0000D5050000}" name="16п.09*" dataDxfId="1600"/>
    <tableColumn id="1494" xr3:uid="{00000000-0010-0000-0000-0000D6050000}" name="16п.10*" dataDxfId="1599"/>
    <tableColumn id="1495" xr3:uid="{00000000-0010-0000-0000-0000D7050000}" name="16п.11*" dataDxfId="1598"/>
    <tableColumn id="1496" xr3:uid="{00000000-0010-0000-0000-0000D8050000}" name="16п.12*" dataDxfId="1597"/>
    <tableColumn id="1497" xr3:uid="{00000000-0010-0000-0000-0000D9050000}" name="16п.13*" dataDxfId="1596"/>
    <tableColumn id="1498" xr3:uid="{00000000-0010-0000-0000-0000DA050000}" name="16п.14*" dataDxfId="1595"/>
    <tableColumn id="1499" xr3:uid="{00000000-0010-0000-0000-0000DB050000}" name="16п.15*" dataDxfId="1594"/>
    <tableColumn id="1500" xr3:uid="{00000000-0010-0000-0000-0000DC050000}" name="16п.16*" dataDxfId="1593"/>
    <tableColumn id="1501" xr3:uid="{00000000-0010-0000-0000-0000DD050000}" name="16п.17*" dataDxfId="1592"/>
    <tableColumn id="1502" xr3:uid="{00000000-0010-0000-0000-0000DE050000}" name="16п.18*" dataDxfId="1591"/>
    <tableColumn id="1503" xr3:uid="{00000000-0010-0000-0000-0000DF050000}" name="16п.19*" dataDxfId="1590"/>
    <tableColumn id="1504" xr3:uid="{00000000-0010-0000-0000-0000E0050000}" name="16п.20*" dataDxfId="1589"/>
    <tableColumn id="1505" xr3:uid="{00000000-0010-0000-0000-0000E1050000}" name="16п.21*" dataDxfId="1588"/>
    <tableColumn id="1506" xr3:uid="{00000000-0010-0000-0000-0000E2050000}" name="16п.22*" dataDxfId="1587"/>
    <tableColumn id="1507" xr3:uid="{00000000-0010-0000-0000-0000E3050000}" name="16п.23*" dataDxfId="1586"/>
    <tableColumn id="1508" xr3:uid="{00000000-0010-0000-0000-0000E4050000}" name="16п.24*" dataDxfId="1585"/>
    <tableColumn id="1509" xr3:uid="{00000000-0010-0000-0000-0000E5050000}" name="16п.25*" dataDxfId="1584"/>
    <tableColumn id="1510" xr3:uid="{00000000-0010-0000-0000-0000E6050000}" name="16п.26*" dataDxfId="1583"/>
    <tableColumn id="1511" xr3:uid="{00000000-0010-0000-0000-0000E7050000}" name="16п.27*" dataDxfId="1582"/>
    <tableColumn id="1512" xr3:uid="{00000000-0010-0000-0000-0000E8050000}" name="16п.28*" dataDxfId="1581"/>
    <tableColumn id="1513" xr3:uid="{00000000-0010-0000-0000-0000E9050000}" name="16п.29*" dataDxfId="1580"/>
    <tableColumn id="1514" xr3:uid="{00000000-0010-0000-0000-0000EA050000}" name="16п.30*" dataDxfId="1579"/>
    <tableColumn id="1546" xr3:uid="{00000000-0010-0000-0000-00000A060000}" name="17н.Н" dataDxfId="1578"/>
    <tableColumn id="1547" xr3:uid="{00000000-0010-0000-0000-00000B060000}" name="17н.01*" dataDxfId="1577"/>
    <tableColumn id="1548" xr3:uid="{00000000-0010-0000-0000-00000C060000}" name="17н.02*" dataDxfId="1576"/>
    <tableColumn id="1549" xr3:uid="{00000000-0010-0000-0000-00000D060000}" name="17н.03*" dataDxfId="1575"/>
    <tableColumn id="1550" xr3:uid="{00000000-0010-0000-0000-00000E060000}" name="17н.04*" dataDxfId="1574"/>
    <tableColumn id="1551" xr3:uid="{00000000-0010-0000-0000-00000F060000}" name="17н.05*" dataDxfId="1573"/>
    <tableColumn id="1552" xr3:uid="{00000000-0010-0000-0000-000010060000}" name="17н.06*" dataDxfId="1572"/>
    <tableColumn id="1553" xr3:uid="{00000000-0010-0000-0000-000011060000}" name="17н.07*" dataDxfId="1571"/>
    <tableColumn id="1554" xr3:uid="{00000000-0010-0000-0000-000012060000}" name="17н.08*" dataDxfId="1570"/>
    <tableColumn id="1555" xr3:uid="{00000000-0010-0000-0000-000013060000}" name="17н.09*" dataDxfId="1569"/>
    <tableColumn id="1556" xr3:uid="{00000000-0010-0000-0000-000014060000}" name="17н.10*" dataDxfId="1568"/>
    <tableColumn id="1557" xr3:uid="{00000000-0010-0000-0000-000015060000}" name="17н.11*" dataDxfId="1567"/>
    <tableColumn id="1558" xr3:uid="{00000000-0010-0000-0000-000016060000}" name="17н.12*" dataDxfId="1566"/>
    <tableColumn id="1559" xr3:uid="{00000000-0010-0000-0000-000017060000}" name="17н.13*" dataDxfId="1565"/>
    <tableColumn id="1560" xr3:uid="{00000000-0010-0000-0000-000018060000}" name="17н.14*" dataDxfId="1564"/>
    <tableColumn id="1561" xr3:uid="{00000000-0010-0000-0000-000019060000}" name="17н.15*" dataDxfId="1563"/>
    <tableColumn id="1562" xr3:uid="{00000000-0010-0000-0000-00001A060000}" name="17н.16*" dataDxfId="1562"/>
    <tableColumn id="1563" xr3:uid="{00000000-0010-0000-0000-00001B060000}" name="17н.17*" dataDxfId="1561"/>
    <tableColumn id="1564" xr3:uid="{00000000-0010-0000-0000-00001C060000}" name="17н.18*" dataDxfId="1560"/>
    <tableColumn id="1565" xr3:uid="{00000000-0010-0000-0000-00001D060000}" name="17н.19*" dataDxfId="1559"/>
    <tableColumn id="1566" xr3:uid="{00000000-0010-0000-0000-00001E060000}" name="17н.20*" dataDxfId="1558"/>
    <tableColumn id="1567" xr3:uid="{00000000-0010-0000-0000-00001F060000}" name="17н.21*" dataDxfId="1557"/>
    <tableColumn id="1568" xr3:uid="{00000000-0010-0000-0000-000020060000}" name="17н.22*" dataDxfId="1556"/>
    <tableColumn id="1569" xr3:uid="{00000000-0010-0000-0000-000021060000}" name="17н.23*" dataDxfId="1555"/>
    <tableColumn id="1570" xr3:uid="{00000000-0010-0000-0000-000022060000}" name="17н.24*" dataDxfId="1554"/>
    <tableColumn id="1571" xr3:uid="{00000000-0010-0000-0000-000023060000}" name="17н.25*" dataDxfId="1553"/>
    <tableColumn id="1572" xr3:uid="{00000000-0010-0000-0000-000024060000}" name="17н.26*" dataDxfId="1552"/>
    <tableColumn id="1573" xr3:uid="{00000000-0010-0000-0000-000025060000}" name="17н.27*" dataDxfId="1551"/>
    <tableColumn id="1574" xr3:uid="{00000000-0010-0000-0000-000026060000}" name="17н.28*" dataDxfId="1550"/>
    <tableColumn id="1575" xr3:uid="{00000000-0010-0000-0000-000027060000}" name="17н.29*" dataDxfId="1549"/>
    <tableColumn id="1576" xr3:uid="{00000000-0010-0000-0000-000028060000}" name="17н.30*" dataDxfId="1548"/>
    <tableColumn id="1577" xr3:uid="{00000000-0010-0000-0000-000029060000}" name="17п.Н" dataDxfId="1547"/>
    <tableColumn id="1578" xr3:uid="{00000000-0010-0000-0000-00002A060000}" name="17п.01*" dataDxfId="1546"/>
    <tableColumn id="1579" xr3:uid="{00000000-0010-0000-0000-00002B060000}" name="17п.02*" dataDxfId="1545"/>
    <tableColumn id="1580" xr3:uid="{00000000-0010-0000-0000-00002C060000}" name="17п.03*" dataDxfId="1544"/>
    <tableColumn id="1581" xr3:uid="{00000000-0010-0000-0000-00002D060000}" name="17п.04*" dataDxfId="1543"/>
    <tableColumn id="1582" xr3:uid="{00000000-0010-0000-0000-00002E060000}" name="17п.05*" dataDxfId="1542"/>
    <tableColumn id="1583" xr3:uid="{00000000-0010-0000-0000-00002F060000}" name="17п.06*" dataDxfId="1541"/>
    <tableColumn id="1584" xr3:uid="{00000000-0010-0000-0000-000030060000}" name="17п.07*" dataDxfId="1540"/>
    <tableColumn id="1585" xr3:uid="{00000000-0010-0000-0000-000031060000}" name="17п.08*" dataDxfId="1539"/>
    <tableColumn id="1586" xr3:uid="{00000000-0010-0000-0000-000032060000}" name="17п.09*" dataDxfId="1538"/>
    <tableColumn id="1587" xr3:uid="{00000000-0010-0000-0000-000033060000}" name="17п.10*" dataDxfId="1537"/>
    <tableColumn id="1588" xr3:uid="{00000000-0010-0000-0000-000034060000}" name="17п.11*" dataDxfId="1536"/>
    <tableColumn id="1589" xr3:uid="{00000000-0010-0000-0000-000035060000}" name="17п.12*" dataDxfId="1535"/>
    <tableColumn id="1590" xr3:uid="{00000000-0010-0000-0000-000036060000}" name="17п.13*" dataDxfId="1534"/>
    <tableColumn id="1591" xr3:uid="{00000000-0010-0000-0000-000037060000}" name="17п.14*" dataDxfId="1533"/>
    <tableColumn id="1592" xr3:uid="{00000000-0010-0000-0000-000038060000}" name="17п.15*" dataDxfId="1532"/>
    <tableColumn id="1593" xr3:uid="{00000000-0010-0000-0000-000039060000}" name="17п.16*" dataDxfId="1531"/>
    <tableColumn id="1594" xr3:uid="{00000000-0010-0000-0000-00003A060000}" name="17п.17*" dataDxfId="1530"/>
    <tableColumn id="1595" xr3:uid="{00000000-0010-0000-0000-00003B060000}" name="17п.18*" dataDxfId="1529"/>
    <tableColumn id="1596" xr3:uid="{00000000-0010-0000-0000-00003C060000}" name="17п.19*" dataDxfId="1528"/>
    <tableColumn id="1597" xr3:uid="{00000000-0010-0000-0000-00003D060000}" name="17п.20*" dataDxfId="1527"/>
    <tableColumn id="1598" xr3:uid="{00000000-0010-0000-0000-00003E060000}" name="17п.21*" dataDxfId="1526"/>
    <tableColumn id="1599" xr3:uid="{00000000-0010-0000-0000-00003F060000}" name="17п.22*" dataDxfId="1525"/>
    <tableColumn id="1600" xr3:uid="{00000000-0010-0000-0000-000040060000}" name="17п.23*" dataDxfId="1524"/>
    <tableColumn id="1601" xr3:uid="{00000000-0010-0000-0000-000041060000}" name="17п.24*" dataDxfId="1523"/>
    <tableColumn id="1602" xr3:uid="{00000000-0010-0000-0000-000042060000}" name="17п.25*" dataDxfId="1522"/>
    <tableColumn id="1603" xr3:uid="{00000000-0010-0000-0000-000043060000}" name="17п.26*" dataDxfId="1521"/>
    <tableColumn id="1604" xr3:uid="{00000000-0010-0000-0000-000044060000}" name="17п.27*" dataDxfId="1520"/>
    <tableColumn id="1605" xr3:uid="{00000000-0010-0000-0000-000045060000}" name="17п.28*" dataDxfId="1519"/>
    <tableColumn id="1606" xr3:uid="{00000000-0010-0000-0000-000046060000}" name="17п.29*" dataDxfId="1518"/>
    <tableColumn id="1607" xr3:uid="{00000000-0010-0000-0000-000047060000}" name="17п.30*" dataDxfId="1517"/>
    <tableColumn id="1639" xr3:uid="{00000000-0010-0000-0000-000067060000}" name="18н.Н" dataDxfId="1516"/>
    <tableColumn id="1640" xr3:uid="{00000000-0010-0000-0000-000068060000}" name="18н.01*" dataDxfId="1515"/>
    <tableColumn id="1641" xr3:uid="{00000000-0010-0000-0000-000069060000}" name="18н.02*" dataDxfId="1514"/>
    <tableColumn id="1642" xr3:uid="{00000000-0010-0000-0000-00006A060000}" name="18н.03*" dataDxfId="1513"/>
    <tableColumn id="1643" xr3:uid="{00000000-0010-0000-0000-00006B060000}" name="18н.04*" dataDxfId="1512"/>
    <tableColumn id="1644" xr3:uid="{00000000-0010-0000-0000-00006C060000}" name="18н.05*" dataDxfId="1511"/>
    <tableColumn id="1645" xr3:uid="{00000000-0010-0000-0000-00006D060000}" name="18н.06*" dataDxfId="1510"/>
    <tableColumn id="1646" xr3:uid="{00000000-0010-0000-0000-00006E060000}" name="18н.07*" dataDxfId="1509"/>
    <tableColumn id="1647" xr3:uid="{00000000-0010-0000-0000-00006F060000}" name="18н.08*" dataDxfId="1508"/>
    <tableColumn id="1648" xr3:uid="{00000000-0010-0000-0000-000070060000}" name="18н.09*" dataDxfId="1507"/>
    <tableColumn id="1649" xr3:uid="{00000000-0010-0000-0000-000071060000}" name="18н.10*" dataDxfId="1506"/>
    <tableColumn id="1650" xr3:uid="{00000000-0010-0000-0000-000072060000}" name="18н.11*" dataDxfId="1505"/>
    <tableColumn id="1651" xr3:uid="{00000000-0010-0000-0000-000073060000}" name="18н.12*" dataDxfId="1504"/>
    <tableColumn id="1652" xr3:uid="{00000000-0010-0000-0000-000074060000}" name="18н.13*" dataDxfId="1503"/>
    <tableColumn id="1653" xr3:uid="{00000000-0010-0000-0000-000075060000}" name="18н.14*" dataDxfId="1502"/>
    <tableColumn id="1654" xr3:uid="{00000000-0010-0000-0000-000076060000}" name="18н.15*" dataDxfId="1501"/>
    <tableColumn id="1655" xr3:uid="{00000000-0010-0000-0000-000077060000}" name="18н.16*" dataDxfId="1500"/>
    <tableColumn id="1656" xr3:uid="{00000000-0010-0000-0000-000078060000}" name="18н.17*" dataDxfId="1499"/>
    <tableColumn id="1657" xr3:uid="{00000000-0010-0000-0000-000079060000}" name="18н.18*" dataDxfId="1498"/>
    <tableColumn id="1658" xr3:uid="{00000000-0010-0000-0000-00007A060000}" name="18н.19*" dataDxfId="1497"/>
    <tableColumn id="1659" xr3:uid="{00000000-0010-0000-0000-00007B060000}" name="18н.20*" dataDxfId="1496"/>
    <tableColumn id="1660" xr3:uid="{00000000-0010-0000-0000-00007C060000}" name="18н.21*" dataDxfId="1495"/>
    <tableColumn id="1661" xr3:uid="{00000000-0010-0000-0000-00007D060000}" name="18н.22*" dataDxfId="1494"/>
    <tableColumn id="1662" xr3:uid="{00000000-0010-0000-0000-00007E060000}" name="18н.23*" dataDxfId="1493"/>
    <tableColumn id="1663" xr3:uid="{00000000-0010-0000-0000-00007F060000}" name="18н.24*" dataDxfId="1492"/>
    <tableColumn id="1664" xr3:uid="{00000000-0010-0000-0000-000080060000}" name="18н.25*" dataDxfId="1491"/>
    <tableColumn id="1665" xr3:uid="{00000000-0010-0000-0000-000081060000}" name="18н.26*" dataDxfId="1490"/>
    <tableColumn id="1666" xr3:uid="{00000000-0010-0000-0000-000082060000}" name="18н.27*" dataDxfId="1489"/>
    <tableColumn id="1667" xr3:uid="{00000000-0010-0000-0000-000083060000}" name="18н.28*" dataDxfId="1488"/>
    <tableColumn id="1668" xr3:uid="{00000000-0010-0000-0000-000084060000}" name="18н.29*" dataDxfId="1487"/>
    <tableColumn id="1669" xr3:uid="{00000000-0010-0000-0000-000085060000}" name="18н.30*" dataDxfId="1486"/>
    <tableColumn id="1670" xr3:uid="{00000000-0010-0000-0000-000086060000}" name="18п.Н" dataDxfId="1485"/>
    <tableColumn id="1671" xr3:uid="{00000000-0010-0000-0000-000087060000}" name="18п.01*" dataDxfId="1484"/>
    <tableColumn id="1672" xr3:uid="{00000000-0010-0000-0000-000088060000}" name="18п.02*" dataDxfId="1483"/>
    <tableColumn id="1673" xr3:uid="{00000000-0010-0000-0000-000089060000}" name="18п.03*" dataDxfId="1482"/>
    <tableColumn id="1674" xr3:uid="{00000000-0010-0000-0000-00008A060000}" name="18п.04*" dataDxfId="1481"/>
    <tableColumn id="1675" xr3:uid="{00000000-0010-0000-0000-00008B060000}" name="18п.05*" dataDxfId="1480"/>
    <tableColumn id="1676" xr3:uid="{00000000-0010-0000-0000-00008C060000}" name="18п.06*" dataDxfId="1479"/>
    <tableColumn id="1677" xr3:uid="{00000000-0010-0000-0000-00008D060000}" name="18п.07*" dataDxfId="1478"/>
    <tableColumn id="1678" xr3:uid="{00000000-0010-0000-0000-00008E060000}" name="18п.08*" dataDxfId="1477"/>
    <tableColumn id="1679" xr3:uid="{00000000-0010-0000-0000-00008F060000}" name="18п.09*" dataDxfId="1476"/>
    <tableColumn id="1680" xr3:uid="{00000000-0010-0000-0000-000090060000}" name="18п.10*" dataDxfId="1475"/>
    <tableColumn id="1681" xr3:uid="{00000000-0010-0000-0000-000091060000}" name="18п.11*" dataDxfId="1474"/>
    <tableColumn id="1682" xr3:uid="{00000000-0010-0000-0000-000092060000}" name="18п.12*" dataDxfId="1473"/>
    <tableColumn id="1683" xr3:uid="{00000000-0010-0000-0000-000093060000}" name="18п.13*" dataDxfId="1472"/>
    <tableColumn id="1684" xr3:uid="{00000000-0010-0000-0000-000094060000}" name="18п.14*" dataDxfId="1471"/>
    <tableColumn id="1685" xr3:uid="{00000000-0010-0000-0000-000095060000}" name="18п.15*" dataDxfId="1470"/>
    <tableColumn id="1686" xr3:uid="{00000000-0010-0000-0000-000096060000}" name="18п.16*" dataDxfId="1469"/>
    <tableColumn id="1687" xr3:uid="{00000000-0010-0000-0000-000097060000}" name="18п.17*" dataDxfId="1468"/>
    <tableColumn id="1688" xr3:uid="{00000000-0010-0000-0000-000098060000}" name="18п.18*" dataDxfId="1467"/>
    <tableColumn id="1689" xr3:uid="{00000000-0010-0000-0000-000099060000}" name="18п.19*" dataDxfId="1466"/>
    <tableColumn id="1690" xr3:uid="{00000000-0010-0000-0000-00009A060000}" name="18п.20*" dataDxfId="1465"/>
    <tableColumn id="1691" xr3:uid="{00000000-0010-0000-0000-00009B060000}" name="18п.21*" dataDxfId="1464"/>
    <tableColumn id="1692" xr3:uid="{00000000-0010-0000-0000-00009C060000}" name="18п.22*" dataDxfId="1463"/>
    <tableColumn id="1693" xr3:uid="{00000000-0010-0000-0000-00009D060000}" name="18п.23*" dataDxfId="1462"/>
    <tableColumn id="1694" xr3:uid="{00000000-0010-0000-0000-00009E060000}" name="18п.24*" dataDxfId="1461"/>
    <tableColumn id="1695" xr3:uid="{00000000-0010-0000-0000-00009F060000}" name="18п.25*" dataDxfId="1460"/>
    <tableColumn id="1696" xr3:uid="{00000000-0010-0000-0000-0000A0060000}" name="18п.26*" dataDxfId="1459"/>
    <tableColumn id="1697" xr3:uid="{00000000-0010-0000-0000-0000A1060000}" name="18п.27*" dataDxfId="1458"/>
    <tableColumn id="1698" xr3:uid="{00000000-0010-0000-0000-0000A2060000}" name="18п.28*" dataDxfId="1457"/>
    <tableColumn id="1699" xr3:uid="{00000000-0010-0000-0000-0000A3060000}" name="18п.29*" dataDxfId="1456"/>
    <tableColumn id="1700" xr3:uid="{00000000-0010-0000-0000-0000A4060000}" name="18п.30*" dataDxfId="1455"/>
    <tableColumn id="1732" xr3:uid="{00000000-0010-0000-0000-0000C4060000}" name="19н.Н" dataDxfId="1454"/>
    <tableColumn id="1733" xr3:uid="{00000000-0010-0000-0000-0000C5060000}" name="19н.01*" dataDxfId="1453"/>
    <tableColumn id="1734" xr3:uid="{00000000-0010-0000-0000-0000C6060000}" name="19н.02*" dataDxfId="1452"/>
    <tableColumn id="1735" xr3:uid="{00000000-0010-0000-0000-0000C7060000}" name="19н.03*" dataDxfId="1451"/>
    <tableColumn id="1736" xr3:uid="{00000000-0010-0000-0000-0000C8060000}" name="19н.04*" dataDxfId="1450"/>
    <tableColumn id="1737" xr3:uid="{00000000-0010-0000-0000-0000C9060000}" name="19н.05*" dataDxfId="1449"/>
    <tableColumn id="1738" xr3:uid="{00000000-0010-0000-0000-0000CA060000}" name="19н.06*" dataDxfId="1448"/>
    <tableColumn id="1739" xr3:uid="{00000000-0010-0000-0000-0000CB060000}" name="19н.07*" dataDxfId="1447"/>
    <tableColumn id="1740" xr3:uid="{00000000-0010-0000-0000-0000CC060000}" name="19н.08*" dataDxfId="1446"/>
    <tableColumn id="1741" xr3:uid="{00000000-0010-0000-0000-0000CD060000}" name="19н.09*" dataDxfId="1445"/>
    <tableColumn id="1742" xr3:uid="{00000000-0010-0000-0000-0000CE060000}" name="19н.10*" dataDxfId="1444"/>
    <tableColumn id="1743" xr3:uid="{00000000-0010-0000-0000-0000CF060000}" name="19н.11*" dataDxfId="1443"/>
    <tableColumn id="1744" xr3:uid="{00000000-0010-0000-0000-0000D0060000}" name="19н.12*" dataDxfId="1442"/>
    <tableColumn id="1745" xr3:uid="{00000000-0010-0000-0000-0000D1060000}" name="19н.13*" dataDxfId="1441"/>
    <tableColumn id="1746" xr3:uid="{00000000-0010-0000-0000-0000D2060000}" name="19н.14*" dataDxfId="1440"/>
    <tableColumn id="1747" xr3:uid="{00000000-0010-0000-0000-0000D3060000}" name="19н.15*" dataDxfId="1439"/>
    <tableColumn id="1748" xr3:uid="{00000000-0010-0000-0000-0000D4060000}" name="19н.16*" dataDxfId="1438"/>
    <tableColumn id="1749" xr3:uid="{00000000-0010-0000-0000-0000D5060000}" name="19н.17*" dataDxfId="1437"/>
    <tableColumn id="1750" xr3:uid="{00000000-0010-0000-0000-0000D6060000}" name="19н.18*" dataDxfId="1436"/>
    <tableColumn id="1751" xr3:uid="{00000000-0010-0000-0000-0000D7060000}" name="19н.19*" dataDxfId="1435"/>
    <tableColumn id="1752" xr3:uid="{00000000-0010-0000-0000-0000D8060000}" name="19н.20*" dataDxfId="1434"/>
    <tableColumn id="1753" xr3:uid="{00000000-0010-0000-0000-0000D9060000}" name="19н.21*" dataDxfId="1433"/>
    <tableColumn id="1754" xr3:uid="{00000000-0010-0000-0000-0000DA060000}" name="19н.22*" dataDxfId="1432"/>
    <tableColumn id="1755" xr3:uid="{00000000-0010-0000-0000-0000DB060000}" name="19н.23*" dataDxfId="1431"/>
    <tableColumn id="1756" xr3:uid="{00000000-0010-0000-0000-0000DC060000}" name="19н.24*" dataDxfId="1430"/>
    <tableColumn id="1757" xr3:uid="{00000000-0010-0000-0000-0000DD060000}" name="19н.25*" dataDxfId="1429"/>
    <tableColumn id="1758" xr3:uid="{00000000-0010-0000-0000-0000DE060000}" name="19н.26*" dataDxfId="1428"/>
    <tableColumn id="1759" xr3:uid="{00000000-0010-0000-0000-0000DF060000}" name="19н.27*" dataDxfId="1427"/>
    <tableColumn id="1760" xr3:uid="{00000000-0010-0000-0000-0000E0060000}" name="19н.28*" dataDxfId="1426"/>
    <tableColumn id="1761" xr3:uid="{00000000-0010-0000-0000-0000E1060000}" name="19н.29*" dataDxfId="1425"/>
    <tableColumn id="1762" xr3:uid="{00000000-0010-0000-0000-0000E2060000}" name="19н.30*" dataDxfId="1424"/>
    <tableColumn id="1763" xr3:uid="{00000000-0010-0000-0000-0000E3060000}" name="19п.Н" dataDxfId="1423"/>
    <tableColumn id="1764" xr3:uid="{00000000-0010-0000-0000-0000E4060000}" name="19п.01*" dataDxfId="1422"/>
    <tableColumn id="1765" xr3:uid="{00000000-0010-0000-0000-0000E5060000}" name="19п.02*" dataDxfId="1421"/>
    <tableColumn id="1766" xr3:uid="{00000000-0010-0000-0000-0000E6060000}" name="19п.03*" dataDxfId="1420"/>
    <tableColumn id="1767" xr3:uid="{00000000-0010-0000-0000-0000E7060000}" name="19п.04*" dataDxfId="1419"/>
    <tableColumn id="1768" xr3:uid="{00000000-0010-0000-0000-0000E8060000}" name="19п.05*" dataDxfId="1418"/>
    <tableColumn id="1769" xr3:uid="{00000000-0010-0000-0000-0000E9060000}" name="19п.06*" dataDxfId="1417"/>
    <tableColumn id="1770" xr3:uid="{00000000-0010-0000-0000-0000EA060000}" name="19п.07*" dataDxfId="1416"/>
    <tableColumn id="1771" xr3:uid="{00000000-0010-0000-0000-0000EB060000}" name="19п.08*" dataDxfId="1415"/>
    <tableColumn id="1772" xr3:uid="{00000000-0010-0000-0000-0000EC060000}" name="19п.09*" dataDxfId="1414"/>
    <tableColumn id="1773" xr3:uid="{00000000-0010-0000-0000-0000ED060000}" name="19п.10*" dataDxfId="1413"/>
    <tableColumn id="1774" xr3:uid="{00000000-0010-0000-0000-0000EE060000}" name="19п.11*" dataDxfId="1412"/>
    <tableColumn id="1775" xr3:uid="{00000000-0010-0000-0000-0000EF060000}" name="19п.12*" dataDxfId="1411"/>
    <tableColumn id="1776" xr3:uid="{00000000-0010-0000-0000-0000F0060000}" name="19п.13*" dataDxfId="1410"/>
    <tableColumn id="1777" xr3:uid="{00000000-0010-0000-0000-0000F1060000}" name="19п.14*" dataDxfId="1409"/>
    <tableColumn id="1778" xr3:uid="{00000000-0010-0000-0000-0000F2060000}" name="19п.15*" dataDxfId="1408"/>
    <tableColumn id="1779" xr3:uid="{00000000-0010-0000-0000-0000F3060000}" name="19п.16*" dataDxfId="1407"/>
    <tableColumn id="1780" xr3:uid="{00000000-0010-0000-0000-0000F4060000}" name="19п.17*" dataDxfId="1406"/>
    <tableColumn id="1781" xr3:uid="{00000000-0010-0000-0000-0000F5060000}" name="19п.18*" dataDxfId="1405"/>
    <tableColumn id="1782" xr3:uid="{00000000-0010-0000-0000-0000F6060000}" name="19п.19*" dataDxfId="1404"/>
    <tableColumn id="1783" xr3:uid="{00000000-0010-0000-0000-0000F7060000}" name="19п.20*" dataDxfId="1403"/>
    <tableColumn id="1784" xr3:uid="{00000000-0010-0000-0000-0000F8060000}" name="19п.21*" dataDxfId="1402"/>
    <tableColumn id="1785" xr3:uid="{00000000-0010-0000-0000-0000F9060000}" name="19п.22*" dataDxfId="1401"/>
    <tableColumn id="1786" xr3:uid="{00000000-0010-0000-0000-0000FA060000}" name="19п.23*" dataDxfId="1400"/>
    <tableColumn id="1787" xr3:uid="{00000000-0010-0000-0000-0000FB060000}" name="19п.24*" dataDxfId="1399"/>
    <tableColumn id="1788" xr3:uid="{00000000-0010-0000-0000-0000FC060000}" name="19п.25*" dataDxfId="1398"/>
    <tableColumn id="1789" xr3:uid="{00000000-0010-0000-0000-0000FD060000}" name="19п.26*" dataDxfId="1397"/>
    <tableColumn id="1790" xr3:uid="{00000000-0010-0000-0000-0000FE060000}" name="19п.27*" dataDxfId="1396"/>
    <tableColumn id="1791" xr3:uid="{00000000-0010-0000-0000-0000FF060000}" name="19п.28*" dataDxfId="1395"/>
    <tableColumn id="1792" xr3:uid="{00000000-0010-0000-0000-000000070000}" name="19п.29*" dataDxfId="1394"/>
    <tableColumn id="1793" xr3:uid="{00000000-0010-0000-0000-000001070000}" name="19п.30*" dataDxfId="1393"/>
    <tableColumn id="1825" xr3:uid="{00000000-0010-0000-0000-000021070000}" name="20н.Н" dataDxfId="1392"/>
    <tableColumn id="1826" xr3:uid="{00000000-0010-0000-0000-000022070000}" name="20н.01*" dataDxfId="1391"/>
    <tableColumn id="1827" xr3:uid="{00000000-0010-0000-0000-000023070000}" name="20н.02*" dataDxfId="1390"/>
    <tableColumn id="1828" xr3:uid="{00000000-0010-0000-0000-000024070000}" name="20н.03*" dataDxfId="1389"/>
    <tableColumn id="1829" xr3:uid="{00000000-0010-0000-0000-000025070000}" name="20н.04*" dataDxfId="1388"/>
    <tableColumn id="1830" xr3:uid="{00000000-0010-0000-0000-000026070000}" name="20н.05*" dataDxfId="1387"/>
    <tableColumn id="1831" xr3:uid="{00000000-0010-0000-0000-000027070000}" name="20н.06*" dataDxfId="1386"/>
    <tableColumn id="1832" xr3:uid="{00000000-0010-0000-0000-000028070000}" name="20н.07*" dataDxfId="1385"/>
    <tableColumn id="1833" xr3:uid="{00000000-0010-0000-0000-000029070000}" name="20н.08*" dataDxfId="1384"/>
    <tableColumn id="1834" xr3:uid="{00000000-0010-0000-0000-00002A070000}" name="20н.09*" dataDxfId="1383"/>
    <tableColumn id="1835" xr3:uid="{00000000-0010-0000-0000-00002B070000}" name="20н.10*" dataDxfId="1382"/>
    <tableColumn id="1836" xr3:uid="{00000000-0010-0000-0000-00002C070000}" name="20н.11*" dataDxfId="1381"/>
    <tableColumn id="1837" xr3:uid="{00000000-0010-0000-0000-00002D070000}" name="20н.12*" dataDxfId="1380"/>
    <tableColumn id="1838" xr3:uid="{00000000-0010-0000-0000-00002E070000}" name="20н.13*" dataDxfId="1379"/>
    <tableColumn id="1839" xr3:uid="{00000000-0010-0000-0000-00002F070000}" name="20н.14*" dataDxfId="1378"/>
    <tableColumn id="1840" xr3:uid="{00000000-0010-0000-0000-000030070000}" name="20н.15*" dataDxfId="1377"/>
    <tableColumn id="1841" xr3:uid="{00000000-0010-0000-0000-000031070000}" name="20н.16*" dataDxfId="1376"/>
    <tableColumn id="1842" xr3:uid="{00000000-0010-0000-0000-000032070000}" name="20н.17*" dataDxfId="1375"/>
    <tableColumn id="1843" xr3:uid="{00000000-0010-0000-0000-000033070000}" name="20н.18*" dataDxfId="1374"/>
    <tableColumn id="1844" xr3:uid="{00000000-0010-0000-0000-000034070000}" name="20н.19*" dataDxfId="1373"/>
    <tableColumn id="1845" xr3:uid="{00000000-0010-0000-0000-000035070000}" name="20н.20*" dataDxfId="1372"/>
    <tableColumn id="1846" xr3:uid="{00000000-0010-0000-0000-000036070000}" name="20н.21*" dataDxfId="1371"/>
    <tableColumn id="1847" xr3:uid="{00000000-0010-0000-0000-000037070000}" name="20н.22*" dataDxfId="1370"/>
    <tableColumn id="1848" xr3:uid="{00000000-0010-0000-0000-000038070000}" name="20н.23*" dataDxfId="1369"/>
    <tableColumn id="1849" xr3:uid="{00000000-0010-0000-0000-000039070000}" name="20н.24*" dataDxfId="1368"/>
    <tableColumn id="1850" xr3:uid="{00000000-0010-0000-0000-00003A070000}" name="20н.25*" dataDxfId="1367"/>
    <tableColumn id="1851" xr3:uid="{00000000-0010-0000-0000-00003B070000}" name="20н.26*" dataDxfId="1366"/>
    <tableColumn id="1852" xr3:uid="{00000000-0010-0000-0000-00003C070000}" name="20н.27*" dataDxfId="1365"/>
    <tableColumn id="1853" xr3:uid="{00000000-0010-0000-0000-00003D070000}" name="20н.28*" dataDxfId="1364"/>
    <tableColumn id="1854" xr3:uid="{00000000-0010-0000-0000-00003E070000}" name="20н.29*" dataDxfId="1363"/>
    <tableColumn id="1855" xr3:uid="{00000000-0010-0000-0000-00003F070000}" name="20н.30*" dataDxfId="1362"/>
    <tableColumn id="1856" xr3:uid="{00000000-0010-0000-0000-000040070000}" name="20п.Н" dataDxfId="1361"/>
    <tableColumn id="1857" xr3:uid="{00000000-0010-0000-0000-000041070000}" name="20п.01*" dataDxfId="1360"/>
    <tableColumn id="1858" xr3:uid="{00000000-0010-0000-0000-000042070000}" name="20п.02*" dataDxfId="1359"/>
    <tableColumn id="1859" xr3:uid="{00000000-0010-0000-0000-000043070000}" name="20п.03*" dataDxfId="1358"/>
    <tableColumn id="1860" xr3:uid="{00000000-0010-0000-0000-000044070000}" name="20п.04*" dataDxfId="1357"/>
    <tableColumn id="1861" xr3:uid="{00000000-0010-0000-0000-000045070000}" name="20п.05*" dataDxfId="1356"/>
    <tableColumn id="1862" xr3:uid="{00000000-0010-0000-0000-000046070000}" name="20п.06*" dataDxfId="1355"/>
    <tableColumn id="1863" xr3:uid="{00000000-0010-0000-0000-000047070000}" name="20п.07*" dataDxfId="1354"/>
    <tableColumn id="1864" xr3:uid="{00000000-0010-0000-0000-000048070000}" name="20п.08*" dataDxfId="1353"/>
    <tableColumn id="1865" xr3:uid="{00000000-0010-0000-0000-000049070000}" name="20п.09*" dataDxfId="1352"/>
    <tableColumn id="1866" xr3:uid="{00000000-0010-0000-0000-00004A070000}" name="20п.10*" dataDxfId="1351"/>
    <tableColumn id="1867" xr3:uid="{00000000-0010-0000-0000-00004B070000}" name="20п.11*" dataDxfId="1350"/>
    <tableColumn id="1868" xr3:uid="{00000000-0010-0000-0000-00004C070000}" name="20п.12*" dataDxfId="1349"/>
    <tableColumn id="1869" xr3:uid="{00000000-0010-0000-0000-00004D070000}" name="20п.13*" dataDxfId="1348"/>
    <tableColumn id="1870" xr3:uid="{00000000-0010-0000-0000-00004E070000}" name="20п.14*" dataDxfId="1347"/>
    <tableColumn id="1871" xr3:uid="{00000000-0010-0000-0000-00004F070000}" name="20п.15*" dataDxfId="1346"/>
    <tableColumn id="1872" xr3:uid="{00000000-0010-0000-0000-000050070000}" name="20п.16*" dataDxfId="1345"/>
    <tableColumn id="1873" xr3:uid="{00000000-0010-0000-0000-000051070000}" name="20п.17*" dataDxfId="1344"/>
    <tableColumn id="1874" xr3:uid="{00000000-0010-0000-0000-000052070000}" name="20п.18*" dataDxfId="1343"/>
    <tableColumn id="1875" xr3:uid="{00000000-0010-0000-0000-000053070000}" name="20п.19*" dataDxfId="1342"/>
    <tableColumn id="1876" xr3:uid="{00000000-0010-0000-0000-000054070000}" name="20п.20*" dataDxfId="1341"/>
    <tableColumn id="1877" xr3:uid="{00000000-0010-0000-0000-000055070000}" name="20п.21*" dataDxfId="1340"/>
    <tableColumn id="1878" xr3:uid="{00000000-0010-0000-0000-000056070000}" name="20п.22*" dataDxfId="1339"/>
    <tableColumn id="1879" xr3:uid="{00000000-0010-0000-0000-000057070000}" name="20п.23*" dataDxfId="1338"/>
    <tableColumn id="1880" xr3:uid="{00000000-0010-0000-0000-000058070000}" name="20п.24*" dataDxfId="1337"/>
    <tableColumn id="1881" xr3:uid="{00000000-0010-0000-0000-000059070000}" name="20п.25*" dataDxfId="1336"/>
    <tableColumn id="1882" xr3:uid="{00000000-0010-0000-0000-00005A070000}" name="20п.26*" dataDxfId="1335"/>
    <tableColumn id="1883" xr3:uid="{00000000-0010-0000-0000-00005B070000}" name="20п.27*" dataDxfId="1334"/>
    <tableColumn id="1884" xr3:uid="{00000000-0010-0000-0000-00005C070000}" name="20п.28*" dataDxfId="1333"/>
    <tableColumn id="1885" xr3:uid="{00000000-0010-0000-0000-00005D070000}" name="20п.29*" dataDxfId="1332"/>
    <tableColumn id="1886" xr3:uid="{00000000-0010-0000-0000-00005E070000}" name="20п.30*" dataDxfId="1331"/>
    <tableColumn id="1918" xr3:uid="{00000000-0010-0000-0000-00007E070000}" name="21н.Н" dataDxfId="1330"/>
    <tableColumn id="1919" xr3:uid="{00000000-0010-0000-0000-00007F070000}" name="21н.01*" dataDxfId="1329"/>
    <tableColumn id="1920" xr3:uid="{00000000-0010-0000-0000-000080070000}" name="21н.02*" dataDxfId="1328"/>
    <tableColumn id="1921" xr3:uid="{00000000-0010-0000-0000-000081070000}" name="21н.03*" dataDxfId="1327"/>
    <tableColumn id="1922" xr3:uid="{00000000-0010-0000-0000-000082070000}" name="21н.04*" dataDxfId="1326"/>
    <tableColumn id="1923" xr3:uid="{00000000-0010-0000-0000-000083070000}" name="21н.05*" dataDxfId="1325"/>
    <tableColumn id="1924" xr3:uid="{00000000-0010-0000-0000-000084070000}" name="21н.06*" dataDxfId="1324"/>
    <tableColumn id="1925" xr3:uid="{00000000-0010-0000-0000-000085070000}" name="21н.07*" dataDxfId="1323"/>
    <tableColumn id="1926" xr3:uid="{00000000-0010-0000-0000-000086070000}" name="21н.08*" dataDxfId="1322"/>
    <tableColumn id="1927" xr3:uid="{00000000-0010-0000-0000-000087070000}" name="21н.09*" dataDxfId="1321"/>
    <tableColumn id="1928" xr3:uid="{00000000-0010-0000-0000-000088070000}" name="21н.10*" dataDxfId="1320"/>
    <tableColumn id="1929" xr3:uid="{00000000-0010-0000-0000-000089070000}" name="21н.11*" dataDxfId="1319"/>
    <tableColumn id="1930" xr3:uid="{00000000-0010-0000-0000-00008A070000}" name="21н.12*" dataDxfId="1318"/>
    <tableColumn id="1931" xr3:uid="{00000000-0010-0000-0000-00008B070000}" name="21н.13*" dataDxfId="1317"/>
    <tableColumn id="1932" xr3:uid="{00000000-0010-0000-0000-00008C070000}" name="21н.14*" dataDxfId="1316"/>
    <tableColumn id="1933" xr3:uid="{00000000-0010-0000-0000-00008D070000}" name="21н.15*" dataDxfId="1315"/>
    <tableColumn id="1934" xr3:uid="{00000000-0010-0000-0000-00008E070000}" name="21н.16*" dataDxfId="1314"/>
    <tableColumn id="1935" xr3:uid="{00000000-0010-0000-0000-00008F070000}" name="21н.17*" dataDxfId="1313"/>
    <tableColumn id="1936" xr3:uid="{00000000-0010-0000-0000-000090070000}" name="21н.18*" dataDxfId="1312"/>
    <tableColumn id="1937" xr3:uid="{00000000-0010-0000-0000-000091070000}" name="21н.19*" dataDxfId="1311"/>
    <tableColumn id="1938" xr3:uid="{00000000-0010-0000-0000-000092070000}" name="21н.20*" dataDxfId="1310"/>
    <tableColumn id="1939" xr3:uid="{00000000-0010-0000-0000-000093070000}" name="21н.21*" dataDxfId="1309"/>
    <tableColumn id="1940" xr3:uid="{00000000-0010-0000-0000-000094070000}" name="21н.22*" dataDxfId="1308"/>
    <tableColumn id="1941" xr3:uid="{00000000-0010-0000-0000-000095070000}" name="21н.23*" dataDxfId="1307"/>
    <tableColumn id="1942" xr3:uid="{00000000-0010-0000-0000-000096070000}" name="21н.24*" dataDxfId="1306"/>
    <tableColumn id="1943" xr3:uid="{00000000-0010-0000-0000-000097070000}" name="21н.25*" dataDxfId="1305"/>
    <tableColumn id="1944" xr3:uid="{00000000-0010-0000-0000-000098070000}" name="21н.26*" dataDxfId="1304"/>
    <tableColumn id="1945" xr3:uid="{00000000-0010-0000-0000-000099070000}" name="21н.27*" dataDxfId="1303"/>
    <tableColumn id="1946" xr3:uid="{00000000-0010-0000-0000-00009A070000}" name="21н.28*" dataDxfId="1302"/>
    <tableColumn id="1947" xr3:uid="{00000000-0010-0000-0000-00009B070000}" name="21н.29*" dataDxfId="1301"/>
    <tableColumn id="1948" xr3:uid="{00000000-0010-0000-0000-00009C070000}" name="21н.30*" dataDxfId="1300"/>
    <tableColumn id="1949" xr3:uid="{00000000-0010-0000-0000-00009D070000}" name="21п.Н" dataDxfId="1299"/>
    <tableColumn id="1950" xr3:uid="{00000000-0010-0000-0000-00009E070000}" name="21п.01*" dataDxfId="1298"/>
    <tableColumn id="1951" xr3:uid="{00000000-0010-0000-0000-00009F070000}" name="21п.02*" dataDxfId="1297"/>
    <tableColumn id="1952" xr3:uid="{00000000-0010-0000-0000-0000A0070000}" name="21п.03*" dataDxfId="1296"/>
    <tableColumn id="1953" xr3:uid="{00000000-0010-0000-0000-0000A1070000}" name="21п.04*" dataDxfId="1295"/>
    <tableColumn id="1954" xr3:uid="{00000000-0010-0000-0000-0000A2070000}" name="21п.05*" dataDxfId="1294"/>
    <tableColumn id="1955" xr3:uid="{00000000-0010-0000-0000-0000A3070000}" name="21п.06*" dataDxfId="1293"/>
    <tableColumn id="1956" xr3:uid="{00000000-0010-0000-0000-0000A4070000}" name="21п.07*" dataDxfId="1292"/>
    <tableColumn id="1957" xr3:uid="{00000000-0010-0000-0000-0000A5070000}" name="21п.08*" dataDxfId="1291"/>
    <tableColumn id="1958" xr3:uid="{00000000-0010-0000-0000-0000A6070000}" name="21п.09*" dataDxfId="1290"/>
    <tableColumn id="1959" xr3:uid="{00000000-0010-0000-0000-0000A7070000}" name="21п.10*" dataDxfId="1289"/>
    <tableColumn id="1960" xr3:uid="{00000000-0010-0000-0000-0000A8070000}" name="21п.11*" dataDxfId="1288"/>
    <tableColumn id="1961" xr3:uid="{00000000-0010-0000-0000-0000A9070000}" name="21п.12*" dataDxfId="1287"/>
    <tableColumn id="1962" xr3:uid="{00000000-0010-0000-0000-0000AA070000}" name="21п.13*" dataDxfId="1286"/>
    <tableColumn id="1963" xr3:uid="{00000000-0010-0000-0000-0000AB070000}" name="21п.14*" dataDxfId="1285"/>
    <tableColumn id="1964" xr3:uid="{00000000-0010-0000-0000-0000AC070000}" name="21п.15*" dataDxfId="1284"/>
    <tableColumn id="1965" xr3:uid="{00000000-0010-0000-0000-0000AD070000}" name="21п.16*" dataDxfId="1283"/>
    <tableColumn id="1966" xr3:uid="{00000000-0010-0000-0000-0000AE070000}" name="21п.17*" dataDxfId="1282"/>
    <tableColumn id="1967" xr3:uid="{00000000-0010-0000-0000-0000AF070000}" name="21п.18*" dataDxfId="1281"/>
    <tableColumn id="1968" xr3:uid="{00000000-0010-0000-0000-0000B0070000}" name="21п.19*" dataDxfId="1280"/>
    <tableColumn id="1969" xr3:uid="{00000000-0010-0000-0000-0000B1070000}" name="21п.20*" dataDxfId="1279"/>
    <tableColumn id="1970" xr3:uid="{00000000-0010-0000-0000-0000B2070000}" name="21п.21*" dataDxfId="1278"/>
    <tableColumn id="1971" xr3:uid="{00000000-0010-0000-0000-0000B3070000}" name="21п.22*" dataDxfId="1277"/>
    <tableColumn id="1972" xr3:uid="{00000000-0010-0000-0000-0000B4070000}" name="21п.23*" dataDxfId="1276"/>
    <tableColumn id="1973" xr3:uid="{00000000-0010-0000-0000-0000B5070000}" name="21п.24*" dataDxfId="1275"/>
    <tableColumn id="1974" xr3:uid="{00000000-0010-0000-0000-0000B6070000}" name="21п.25*" dataDxfId="1274"/>
    <tableColumn id="1975" xr3:uid="{00000000-0010-0000-0000-0000B7070000}" name="21п.26*" dataDxfId="1273"/>
    <tableColumn id="1976" xr3:uid="{00000000-0010-0000-0000-0000B8070000}" name="21п.27*" dataDxfId="1272"/>
    <tableColumn id="1977" xr3:uid="{00000000-0010-0000-0000-0000B9070000}" name="21п.28*" dataDxfId="1271"/>
    <tableColumn id="1978" xr3:uid="{00000000-0010-0000-0000-0000BA070000}" name="21п.29*" dataDxfId="1270"/>
    <tableColumn id="1979" xr3:uid="{00000000-0010-0000-0000-0000BB070000}" name="21п.30*" dataDxfId="1269"/>
    <tableColumn id="2011" xr3:uid="{00000000-0010-0000-0000-0000DB070000}" name="22н.Н" dataDxfId="1268"/>
    <tableColumn id="2012" xr3:uid="{00000000-0010-0000-0000-0000DC070000}" name="22н.01*" dataDxfId="1267"/>
    <tableColumn id="2013" xr3:uid="{00000000-0010-0000-0000-0000DD070000}" name="22н.02*" dataDxfId="1266"/>
    <tableColumn id="2014" xr3:uid="{00000000-0010-0000-0000-0000DE070000}" name="22н.03*" dataDxfId="1265"/>
    <tableColumn id="2015" xr3:uid="{00000000-0010-0000-0000-0000DF070000}" name="22н.04*" dataDxfId="1264"/>
    <tableColumn id="2016" xr3:uid="{00000000-0010-0000-0000-0000E0070000}" name="22н.05*" dataDxfId="1263"/>
    <tableColumn id="2017" xr3:uid="{00000000-0010-0000-0000-0000E1070000}" name="22н.06*" dataDxfId="1262"/>
    <tableColumn id="2018" xr3:uid="{00000000-0010-0000-0000-0000E2070000}" name="22н.07*" dataDxfId="1261"/>
    <tableColumn id="2019" xr3:uid="{00000000-0010-0000-0000-0000E3070000}" name="22н.08*" dataDxfId="1260"/>
    <tableColumn id="2020" xr3:uid="{00000000-0010-0000-0000-0000E4070000}" name="22н.09*" dataDxfId="1259"/>
    <tableColumn id="2021" xr3:uid="{00000000-0010-0000-0000-0000E5070000}" name="22н.10*" dataDxfId="1258"/>
    <tableColumn id="2022" xr3:uid="{00000000-0010-0000-0000-0000E6070000}" name="22н.11*" dataDxfId="1257"/>
    <tableColumn id="2023" xr3:uid="{00000000-0010-0000-0000-0000E7070000}" name="22н.12*" dataDxfId="1256"/>
    <tableColumn id="2024" xr3:uid="{00000000-0010-0000-0000-0000E8070000}" name="22н.13*" dataDxfId="1255"/>
    <tableColumn id="2025" xr3:uid="{00000000-0010-0000-0000-0000E9070000}" name="22н.14*" dataDxfId="1254"/>
    <tableColumn id="2026" xr3:uid="{00000000-0010-0000-0000-0000EA070000}" name="22н.15*" dataDxfId="1253"/>
    <tableColumn id="2027" xr3:uid="{00000000-0010-0000-0000-0000EB070000}" name="22н.16*" dataDxfId="1252"/>
    <tableColumn id="2028" xr3:uid="{00000000-0010-0000-0000-0000EC070000}" name="22н.17*" dataDxfId="1251"/>
    <tableColumn id="2029" xr3:uid="{00000000-0010-0000-0000-0000ED070000}" name="22н.18*" dataDxfId="1250"/>
    <tableColumn id="2030" xr3:uid="{00000000-0010-0000-0000-0000EE070000}" name="22н.19*" dataDxfId="1249"/>
    <tableColumn id="2031" xr3:uid="{00000000-0010-0000-0000-0000EF070000}" name="22н.20*" dataDxfId="1248"/>
    <tableColumn id="2032" xr3:uid="{00000000-0010-0000-0000-0000F0070000}" name="22н.21*" dataDxfId="1247"/>
    <tableColumn id="2033" xr3:uid="{00000000-0010-0000-0000-0000F1070000}" name="22н.22*" dataDxfId="1246"/>
    <tableColumn id="2034" xr3:uid="{00000000-0010-0000-0000-0000F2070000}" name="22н.23*" dataDxfId="1245"/>
    <tableColumn id="2035" xr3:uid="{00000000-0010-0000-0000-0000F3070000}" name="22н.24*" dataDxfId="1244"/>
    <tableColumn id="2036" xr3:uid="{00000000-0010-0000-0000-0000F4070000}" name="22н.25*" dataDxfId="1243"/>
    <tableColumn id="2037" xr3:uid="{00000000-0010-0000-0000-0000F5070000}" name="22н.26*" dataDxfId="1242"/>
    <tableColumn id="2038" xr3:uid="{00000000-0010-0000-0000-0000F6070000}" name="22н.27*" dataDxfId="1241"/>
    <tableColumn id="2039" xr3:uid="{00000000-0010-0000-0000-0000F7070000}" name="22н.28*" dataDxfId="1240"/>
    <tableColumn id="2040" xr3:uid="{00000000-0010-0000-0000-0000F8070000}" name="22н.29*" dataDxfId="1239"/>
    <tableColumn id="2041" xr3:uid="{00000000-0010-0000-0000-0000F9070000}" name="22н.30*" dataDxfId="1238"/>
    <tableColumn id="2042" xr3:uid="{00000000-0010-0000-0000-0000FA070000}" name="22п.Н" dataDxfId="1237"/>
    <tableColumn id="2043" xr3:uid="{00000000-0010-0000-0000-0000FB070000}" name="22п.01*" dataDxfId="1236"/>
    <tableColumn id="2044" xr3:uid="{00000000-0010-0000-0000-0000FC070000}" name="22п.02*" dataDxfId="1235"/>
    <tableColumn id="2045" xr3:uid="{00000000-0010-0000-0000-0000FD070000}" name="22п.03*" dataDxfId="1234"/>
    <tableColumn id="2046" xr3:uid="{00000000-0010-0000-0000-0000FE070000}" name="22п.04*" dataDxfId="1233"/>
    <tableColumn id="2047" xr3:uid="{00000000-0010-0000-0000-0000FF070000}" name="22п.05*" dataDxfId="1232"/>
    <tableColumn id="2048" xr3:uid="{00000000-0010-0000-0000-000000080000}" name="22п.06*" dataDxfId="1231"/>
    <tableColumn id="2049" xr3:uid="{00000000-0010-0000-0000-000001080000}" name="22п.07*" dataDxfId="1230"/>
    <tableColumn id="2050" xr3:uid="{00000000-0010-0000-0000-000002080000}" name="22п.08*" dataDxfId="1229"/>
    <tableColumn id="2051" xr3:uid="{00000000-0010-0000-0000-000003080000}" name="22п.09*" dataDxfId="1228"/>
    <tableColumn id="2052" xr3:uid="{00000000-0010-0000-0000-000004080000}" name="22п.10*" dataDxfId="1227"/>
    <tableColumn id="2053" xr3:uid="{00000000-0010-0000-0000-000005080000}" name="22п.11*" dataDxfId="1226"/>
    <tableColumn id="2054" xr3:uid="{00000000-0010-0000-0000-000006080000}" name="22п.12*" dataDxfId="1225"/>
    <tableColumn id="2055" xr3:uid="{00000000-0010-0000-0000-000007080000}" name="22п.13*" dataDxfId="1224"/>
    <tableColumn id="2056" xr3:uid="{00000000-0010-0000-0000-000008080000}" name="22п.14*" dataDxfId="1223"/>
    <tableColumn id="2057" xr3:uid="{00000000-0010-0000-0000-000009080000}" name="22п.15*" dataDxfId="1222"/>
    <tableColumn id="2058" xr3:uid="{00000000-0010-0000-0000-00000A080000}" name="22п.16*" dataDxfId="1221"/>
    <tableColumn id="2059" xr3:uid="{00000000-0010-0000-0000-00000B080000}" name="22п.17*" dataDxfId="1220"/>
    <tableColumn id="2060" xr3:uid="{00000000-0010-0000-0000-00000C080000}" name="22п.18*" dataDxfId="1219"/>
    <tableColumn id="2061" xr3:uid="{00000000-0010-0000-0000-00000D080000}" name="22п.19*" dataDxfId="1218"/>
    <tableColumn id="2062" xr3:uid="{00000000-0010-0000-0000-00000E080000}" name="22п.20*" dataDxfId="1217"/>
    <tableColumn id="2063" xr3:uid="{00000000-0010-0000-0000-00000F080000}" name="22п.21*" dataDxfId="1216"/>
    <tableColumn id="2064" xr3:uid="{00000000-0010-0000-0000-000010080000}" name="22п.22*" dataDxfId="1215"/>
    <tableColumn id="2065" xr3:uid="{00000000-0010-0000-0000-000011080000}" name="22п.23*" dataDxfId="1214"/>
    <tableColumn id="2066" xr3:uid="{00000000-0010-0000-0000-000012080000}" name="22п.24*" dataDxfId="1213"/>
    <tableColumn id="2067" xr3:uid="{00000000-0010-0000-0000-000013080000}" name="22п.25*" dataDxfId="1212"/>
    <tableColumn id="2068" xr3:uid="{00000000-0010-0000-0000-000014080000}" name="22п.26*" dataDxfId="1211"/>
    <tableColumn id="2069" xr3:uid="{00000000-0010-0000-0000-000015080000}" name="22п.27*" dataDxfId="1210"/>
    <tableColumn id="2070" xr3:uid="{00000000-0010-0000-0000-000016080000}" name="22п.28*" dataDxfId="1209"/>
    <tableColumn id="2071" xr3:uid="{00000000-0010-0000-0000-000017080000}" name="22п.29*" dataDxfId="1208"/>
    <tableColumn id="2072" xr3:uid="{00000000-0010-0000-0000-000018080000}" name="22п.30*" dataDxfId="1207"/>
    <tableColumn id="2104" xr3:uid="{00000000-0010-0000-0000-000038080000}" name="23н.Н" dataDxfId="1206"/>
    <tableColumn id="2105" xr3:uid="{00000000-0010-0000-0000-000039080000}" name="23н.01*" dataDxfId="1205"/>
    <tableColumn id="2106" xr3:uid="{00000000-0010-0000-0000-00003A080000}" name="23н.02*" dataDxfId="1204"/>
    <tableColumn id="2107" xr3:uid="{00000000-0010-0000-0000-00003B080000}" name="23н.03*" dataDxfId="1203"/>
    <tableColumn id="2108" xr3:uid="{00000000-0010-0000-0000-00003C080000}" name="23н.04*" dataDxfId="1202"/>
    <tableColumn id="2109" xr3:uid="{00000000-0010-0000-0000-00003D080000}" name="23н.05*" dataDxfId="1201"/>
    <tableColumn id="2110" xr3:uid="{00000000-0010-0000-0000-00003E080000}" name="23н.06*" dataDxfId="1200"/>
    <tableColumn id="2111" xr3:uid="{00000000-0010-0000-0000-00003F080000}" name="23н.07*" dataDxfId="1199"/>
    <tableColumn id="2112" xr3:uid="{00000000-0010-0000-0000-000040080000}" name="23н.08*" dataDxfId="1198"/>
    <tableColumn id="2113" xr3:uid="{00000000-0010-0000-0000-000041080000}" name="23н.09*" dataDxfId="1197"/>
    <tableColumn id="2114" xr3:uid="{00000000-0010-0000-0000-000042080000}" name="23н.10*" dataDxfId="1196"/>
    <tableColumn id="2115" xr3:uid="{00000000-0010-0000-0000-000043080000}" name="23н.11*" dataDxfId="1195"/>
    <tableColumn id="2116" xr3:uid="{00000000-0010-0000-0000-000044080000}" name="23н.12*" dataDxfId="1194"/>
    <tableColumn id="2117" xr3:uid="{00000000-0010-0000-0000-000045080000}" name="23н.13*" dataDxfId="1193"/>
    <tableColumn id="2118" xr3:uid="{00000000-0010-0000-0000-000046080000}" name="23н.14*" dataDxfId="1192"/>
    <tableColumn id="2119" xr3:uid="{00000000-0010-0000-0000-000047080000}" name="23н.15*" dataDxfId="1191"/>
    <tableColumn id="2120" xr3:uid="{00000000-0010-0000-0000-000048080000}" name="23н.16*" dataDxfId="1190"/>
    <tableColumn id="2121" xr3:uid="{00000000-0010-0000-0000-000049080000}" name="23н.17*" dataDxfId="1189"/>
    <tableColumn id="2122" xr3:uid="{00000000-0010-0000-0000-00004A080000}" name="23н.18*" dataDxfId="1188"/>
    <tableColumn id="2123" xr3:uid="{00000000-0010-0000-0000-00004B080000}" name="23н.19*" dataDxfId="1187"/>
    <tableColumn id="2124" xr3:uid="{00000000-0010-0000-0000-00004C080000}" name="23н.20*" dataDxfId="1186"/>
    <tableColumn id="2125" xr3:uid="{00000000-0010-0000-0000-00004D080000}" name="23н.21*" dataDxfId="1185"/>
    <tableColumn id="2126" xr3:uid="{00000000-0010-0000-0000-00004E080000}" name="23н.22*" dataDxfId="1184"/>
    <tableColumn id="2127" xr3:uid="{00000000-0010-0000-0000-00004F080000}" name="23н.23*" dataDxfId="1183"/>
    <tableColumn id="2128" xr3:uid="{00000000-0010-0000-0000-000050080000}" name="23н.24*" dataDxfId="1182"/>
    <tableColumn id="2129" xr3:uid="{00000000-0010-0000-0000-000051080000}" name="23н.25*" dataDxfId="1181"/>
    <tableColumn id="2130" xr3:uid="{00000000-0010-0000-0000-000052080000}" name="23н.26*" dataDxfId="1180"/>
    <tableColumn id="2131" xr3:uid="{00000000-0010-0000-0000-000053080000}" name="23н.27*" dataDxfId="1179"/>
    <tableColumn id="2132" xr3:uid="{00000000-0010-0000-0000-000054080000}" name="23н.28*" dataDxfId="1178"/>
    <tableColumn id="2133" xr3:uid="{00000000-0010-0000-0000-000055080000}" name="23н.29*" dataDxfId="1177"/>
    <tableColumn id="2134" xr3:uid="{00000000-0010-0000-0000-000056080000}" name="23н.30*" dataDxfId="1176"/>
    <tableColumn id="2135" xr3:uid="{00000000-0010-0000-0000-000057080000}" name="23п.Н" dataDxfId="1175"/>
    <tableColumn id="2136" xr3:uid="{00000000-0010-0000-0000-000058080000}" name="23п.01*" dataDxfId="1174"/>
    <tableColumn id="2137" xr3:uid="{00000000-0010-0000-0000-000059080000}" name="23п.02*" dataDxfId="1173"/>
    <tableColumn id="2138" xr3:uid="{00000000-0010-0000-0000-00005A080000}" name="23п.03*" dataDxfId="1172"/>
    <tableColumn id="2139" xr3:uid="{00000000-0010-0000-0000-00005B080000}" name="23п.04*" dataDxfId="1171"/>
    <tableColumn id="2140" xr3:uid="{00000000-0010-0000-0000-00005C080000}" name="23п.05*" dataDxfId="1170"/>
    <tableColumn id="2141" xr3:uid="{00000000-0010-0000-0000-00005D080000}" name="23п.06*" dataDxfId="1169"/>
    <tableColumn id="2142" xr3:uid="{00000000-0010-0000-0000-00005E080000}" name="23п.07*" dataDxfId="1168"/>
    <tableColumn id="2143" xr3:uid="{00000000-0010-0000-0000-00005F080000}" name="23п.08*" dataDxfId="1167"/>
    <tableColumn id="2144" xr3:uid="{00000000-0010-0000-0000-000060080000}" name="23п.09*" dataDxfId="1166"/>
    <tableColumn id="2145" xr3:uid="{00000000-0010-0000-0000-000061080000}" name="23п.10*" dataDxfId="1165"/>
    <tableColumn id="2146" xr3:uid="{00000000-0010-0000-0000-000062080000}" name="23п.11*" dataDxfId="1164"/>
    <tableColumn id="2147" xr3:uid="{00000000-0010-0000-0000-000063080000}" name="23п.12*" dataDxfId="1163"/>
    <tableColumn id="2148" xr3:uid="{00000000-0010-0000-0000-000064080000}" name="23п.13*" dataDxfId="1162"/>
    <tableColumn id="2149" xr3:uid="{00000000-0010-0000-0000-000065080000}" name="23п.14*" dataDxfId="1161"/>
    <tableColumn id="2150" xr3:uid="{00000000-0010-0000-0000-000066080000}" name="23п.15*" dataDxfId="1160"/>
    <tableColumn id="2151" xr3:uid="{00000000-0010-0000-0000-000067080000}" name="23п.16*" dataDxfId="1159"/>
    <tableColumn id="2152" xr3:uid="{00000000-0010-0000-0000-000068080000}" name="23п.17*" dataDxfId="1158"/>
    <tableColumn id="2153" xr3:uid="{00000000-0010-0000-0000-000069080000}" name="23п.18*" dataDxfId="1157"/>
    <tableColumn id="2154" xr3:uid="{00000000-0010-0000-0000-00006A080000}" name="23п.19*" dataDxfId="1156"/>
    <tableColumn id="2155" xr3:uid="{00000000-0010-0000-0000-00006B080000}" name="23п.20*" dataDxfId="1155"/>
    <tableColumn id="2156" xr3:uid="{00000000-0010-0000-0000-00006C080000}" name="23п.21*" dataDxfId="1154"/>
    <tableColumn id="2157" xr3:uid="{00000000-0010-0000-0000-00006D080000}" name="23п.22*" dataDxfId="1153"/>
    <tableColumn id="2158" xr3:uid="{00000000-0010-0000-0000-00006E080000}" name="23п.23*" dataDxfId="1152"/>
    <tableColumn id="2159" xr3:uid="{00000000-0010-0000-0000-00006F080000}" name="23п.24*" dataDxfId="1151"/>
    <tableColumn id="2160" xr3:uid="{00000000-0010-0000-0000-000070080000}" name="23п.25*" dataDxfId="1150"/>
    <tableColumn id="2161" xr3:uid="{00000000-0010-0000-0000-000071080000}" name="23п.26*" dataDxfId="1149"/>
    <tableColumn id="2162" xr3:uid="{00000000-0010-0000-0000-000072080000}" name="23п.27*" dataDxfId="1148"/>
    <tableColumn id="2163" xr3:uid="{00000000-0010-0000-0000-000073080000}" name="23п.28*" dataDxfId="1147"/>
    <tableColumn id="2164" xr3:uid="{00000000-0010-0000-0000-000074080000}" name="23п.29*" dataDxfId="1146"/>
    <tableColumn id="2165" xr3:uid="{00000000-0010-0000-0000-000075080000}" name="23п.30*" dataDxfId="1145"/>
    <tableColumn id="2197" xr3:uid="{00000000-0010-0000-0000-000095080000}" name="24н.Н" dataDxfId="1144"/>
    <tableColumn id="2198" xr3:uid="{00000000-0010-0000-0000-000096080000}" name="24н.01*" dataDxfId="1143"/>
    <tableColumn id="2199" xr3:uid="{00000000-0010-0000-0000-000097080000}" name="24н.02*" dataDxfId="1142"/>
    <tableColumn id="2200" xr3:uid="{00000000-0010-0000-0000-000098080000}" name="24н.03*" dataDxfId="1141"/>
    <tableColumn id="2201" xr3:uid="{00000000-0010-0000-0000-000099080000}" name="24н.04*" dataDxfId="1140"/>
    <tableColumn id="2202" xr3:uid="{00000000-0010-0000-0000-00009A080000}" name="24н.05*" dataDxfId="1139"/>
    <tableColumn id="2203" xr3:uid="{00000000-0010-0000-0000-00009B080000}" name="24н.06*" dataDxfId="1138"/>
    <tableColumn id="2204" xr3:uid="{00000000-0010-0000-0000-00009C080000}" name="24н.07*" dataDxfId="1137"/>
    <tableColumn id="2205" xr3:uid="{00000000-0010-0000-0000-00009D080000}" name="24н.08*" dataDxfId="1136"/>
    <tableColumn id="2206" xr3:uid="{00000000-0010-0000-0000-00009E080000}" name="24н.09*" dataDxfId="1135"/>
    <tableColumn id="2207" xr3:uid="{00000000-0010-0000-0000-00009F080000}" name="24н.10*" dataDxfId="1134"/>
    <tableColumn id="2208" xr3:uid="{00000000-0010-0000-0000-0000A0080000}" name="24н.11*" dataDxfId="1133"/>
    <tableColumn id="2209" xr3:uid="{00000000-0010-0000-0000-0000A1080000}" name="24н.12*" dataDxfId="1132"/>
    <tableColumn id="2210" xr3:uid="{00000000-0010-0000-0000-0000A2080000}" name="24н.13*" dataDxfId="1131"/>
    <tableColumn id="2211" xr3:uid="{00000000-0010-0000-0000-0000A3080000}" name="24н.14*" dataDxfId="1130"/>
    <tableColumn id="2212" xr3:uid="{00000000-0010-0000-0000-0000A4080000}" name="24н.15*" dataDxfId="1129"/>
    <tableColumn id="2213" xr3:uid="{00000000-0010-0000-0000-0000A5080000}" name="24н.16*" dataDxfId="1128"/>
    <tableColumn id="2214" xr3:uid="{00000000-0010-0000-0000-0000A6080000}" name="24н.17*" dataDxfId="1127"/>
    <tableColumn id="2215" xr3:uid="{00000000-0010-0000-0000-0000A7080000}" name="24н.18*" dataDxfId="1126"/>
    <tableColumn id="2216" xr3:uid="{00000000-0010-0000-0000-0000A8080000}" name="24н.19*" dataDxfId="1125"/>
    <tableColumn id="2217" xr3:uid="{00000000-0010-0000-0000-0000A9080000}" name="24н.20*" dataDxfId="1124"/>
    <tableColumn id="2218" xr3:uid="{00000000-0010-0000-0000-0000AA080000}" name="24н.21*" dataDxfId="1123"/>
    <tableColumn id="2219" xr3:uid="{00000000-0010-0000-0000-0000AB080000}" name="24н.22*" dataDxfId="1122"/>
    <tableColumn id="2220" xr3:uid="{00000000-0010-0000-0000-0000AC080000}" name="24н.23*" dataDxfId="1121"/>
    <tableColumn id="2221" xr3:uid="{00000000-0010-0000-0000-0000AD080000}" name="24н.24*" dataDxfId="1120"/>
    <tableColumn id="2222" xr3:uid="{00000000-0010-0000-0000-0000AE080000}" name="24н.25*" dataDxfId="1119"/>
    <tableColumn id="2223" xr3:uid="{00000000-0010-0000-0000-0000AF080000}" name="24н.26*" dataDxfId="1118"/>
    <tableColumn id="2224" xr3:uid="{00000000-0010-0000-0000-0000B0080000}" name="24н.27*" dataDxfId="1117"/>
    <tableColumn id="2225" xr3:uid="{00000000-0010-0000-0000-0000B1080000}" name="24н.28*" dataDxfId="1116"/>
    <tableColumn id="2226" xr3:uid="{00000000-0010-0000-0000-0000B2080000}" name="24н.29*" dataDxfId="1115"/>
    <tableColumn id="2227" xr3:uid="{00000000-0010-0000-0000-0000B3080000}" name="24н.30*" dataDxfId="1114"/>
    <tableColumn id="2228" xr3:uid="{00000000-0010-0000-0000-0000B4080000}" name="24п.Н" dataDxfId="1113"/>
    <tableColumn id="2229" xr3:uid="{00000000-0010-0000-0000-0000B5080000}" name="24п.01*" dataDxfId="1112"/>
    <tableColumn id="2230" xr3:uid="{00000000-0010-0000-0000-0000B6080000}" name="24п.02*" dataDxfId="1111"/>
    <tableColumn id="2231" xr3:uid="{00000000-0010-0000-0000-0000B7080000}" name="24п.03*" dataDxfId="1110"/>
    <tableColumn id="2232" xr3:uid="{00000000-0010-0000-0000-0000B8080000}" name="24п.04*" dataDxfId="1109"/>
    <tableColumn id="2233" xr3:uid="{00000000-0010-0000-0000-0000B9080000}" name="24п.05*" dataDxfId="1108"/>
    <tableColumn id="2234" xr3:uid="{00000000-0010-0000-0000-0000BA080000}" name="24п.06*" dataDxfId="1107"/>
    <tableColumn id="2235" xr3:uid="{00000000-0010-0000-0000-0000BB080000}" name="24п.07*" dataDxfId="1106"/>
    <tableColumn id="2236" xr3:uid="{00000000-0010-0000-0000-0000BC080000}" name="24п.08*" dataDxfId="1105"/>
    <tableColumn id="2237" xr3:uid="{00000000-0010-0000-0000-0000BD080000}" name="24п.09*" dataDxfId="1104"/>
    <tableColumn id="2238" xr3:uid="{00000000-0010-0000-0000-0000BE080000}" name="24п.10*" dataDxfId="1103"/>
    <tableColumn id="2239" xr3:uid="{00000000-0010-0000-0000-0000BF080000}" name="24п.11*" dataDxfId="1102"/>
    <tableColumn id="2240" xr3:uid="{00000000-0010-0000-0000-0000C0080000}" name="24п.12*" dataDxfId="1101"/>
    <tableColumn id="2241" xr3:uid="{00000000-0010-0000-0000-0000C1080000}" name="24п.13*" dataDxfId="1100"/>
    <tableColumn id="2242" xr3:uid="{00000000-0010-0000-0000-0000C2080000}" name="24п.14*" dataDxfId="1099"/>
    <tableColumn id="2243" xr3:uid="{00000000-0010-0000-0000-0000C3080000}" name="24п.15*" dataDxfId="1098"/>
    <tableColumn id="2244" xr3:uid="{00000000-0010-0000-0000-0000C4080000}" name="24п.16*" dataDxfId="1097"/>
    <tableColumn id="2245" xr3:uid="{00000000-0010-0000-0000-0000C5080000}" name="24п.17*" dataDxfId="1096"/>
    <tableColumn id="2246" xr3:uid="{00000000-0010-0000-0000-0000C6080000}" name="24п.18*" dataDxfId="1095"/>
    <tableColumn id="2247" xr3:uid="{00000000-0010-0000-0000-0000C7080000}" name="24п.19*" dataDxfId="1094"/>
    <tableColumn id="2248" xr3:uid="{00000000-0010-0000-0000-0000C8080000}" name="24п.20*" dataDxfId="1093"/>
    <tableColumn id="2249" xr3:uid="{00000000-0010-0000-0000-0000C9080000}" name="24п.21*" dataDxfId="1092"/>
    <tableColumn id="2250" xr3:uid="{00000000-0010-0000-0000-0000CA080000}" name="24п.22*" dataDxfId="1091"/>
    <tableColumn id="2251" xr3:uid="{00000000-0010-0000-0000-0000CB080000}" name="24п.23*" dataDxfId="1090"/>
    <tableColumn id="2252" xr3:uid="{00000000-0010-0000-0000-0000CC080000}" name="24п.24*" dataDxfId="1089"/>
    <tableColumn id="2253" xr3:uid="{00000000-0010-0000-0000-0000CD080000}" name="24п.25*" dataDxfId="1088"/>
    <tableColumn id="2254" xr3:uid="{00000000-0010-0000-0000-0000CE080000}" name="24п.26*" dataDxfId="1087"/>
    <tableColumn id="2255" xr3:uid="{00000000-0010-0000-0000-0000CF080000}" name="24п.27*" dataDxfId="1086"/>
    <tableColumn id="2256" xr3:uid="{00000000-0010-0000-0000-0000D0080000}" name="24п.28*" dataDxfId="1085"/>
    <tableColumn id="2257" xr3:uid="{00000000-0010-0000-0000-0000D1080000}" name="24п.29*" dataDxfId="1084"/>
    <tableColumn id="2258" xr3:uid="{00000000-0010-0000-0000-0000D2080000}" name="24п.30*" dataDxfId="1083"/>
    <tableColumn id="2290" xr3:uid="{00000000-0010-0000-0000-0000F2080000}" name="25н.Н" dataDxfId="1082"/>
    <tableColumn id="2291" xr3:uid="{00000000-0010-0000-0000-0000F3080000}" name="25н.01*" dataDxfId="1081"/>
    <tableColumn id="2292" xr3:uid="{00000000-0010-0000-0000-0000F4080000}" name="25н.02*" dataDxfId="1080"/>
    <tableColumn id="2293" xr3:uid="{00000000-0010-0000-0000-0000F5080000}" name="25н.03*" dataDxfId="1079"/>
    <tableColumn id="2294" xr3:uid="{00000000-0010-0000-0000-0000F6080000}" name="25н.04*" dataDxfId="1078"/>
    <tableColumn id="2295" xr3:uid="{00000000-0010-0000-0000-0000F7080000}" name="25н.05*" dataDxfId="1077"/>
    <tableColumn id="2296" xr3:uid="{00000000-0010-0000-0000-0000F8080000}" name="25н.06*" dataDxfId="1076"/>
    <tableColumn id="2297" xr3:uid="{00000000-0010-0000-0000-0000F9080000}" name="25н.07*" dataDxfId="1075"/>
    <tableColumn id="2298" xr3:uid="{00000000-0010-0000-0000-0000FA080000}" name="25н.08*" dataDxfId="1074"/>
    <tableColumn id="2299" xr3:uid="{00000000-0010-0000-0000-0000FB080000}" name="25н.09*" dataDxfId="1073"/>
    <tableColumn id="2300" xr3:uid="{00000000-0010-0000-0000-0000FC080000}" name="25н.10*" dataDxfId="1072"/>
    <tableColumn id="2301" xr3:uid="{00000000-0010-0000-0000-0000FD080000}" name="25н.11*" dataDxfId="1071"/>
    <tableColumn id="2302" xr3:uid="{00000000-0010-0000-0000-0000FE080000}" name="25н.12*" dataDxfId="1070"/>
    <tableColumn id="2303" xr3:uid="{00000000-0010-0000-0000-0000FF080000}" name="25н.13*" dataDxfId="1069"/>
    <tableColumn id="2304" xr3:uid="{00000000-0010-0000-0000-000000090000}" name="25н.14*" dataDxfId="1068"/>
    <tableColumn id="2305" xr3:uid="{00000000-0010-0000-0000-000001090000}" name="25н.15*" dataDxfId="1067"/>
    <tableColumn id="2306" xr3:uid="{00000000-0010-0000-0000-000002090000}" name="25н.16*" dataDxfId="1066"/>
    <tableColumn id="2307" xr3:uid="{00000000-0010-0000-0000-000003090000}" name="25н.17*" dataDxfId="1065"/>
    <tableColumn id="2308" xr3:uid="{00000000-0010-0000-0000-000004090000}" name="25н.18*" dataDxfId="1064"/>
    <tableColumn id="2309" xr3:uid="{00000000-0010-0000-0000-000005090000}" name="25н.19*" dataDxfId="1063"/>
    <tableColumn id="2310" xr3:uid="{00000000-0010-0000-0000-000006090000}" name="25н.20*" dataDxfId="1062"/>
    <tableColumn id="2311" xr3:uid="{00000000-0010-0000-0000-000007090000}" name="25н.21*" dataDxfId="1061"/>
    <tableColumn id="2312" xr3:uid="{00000000-0010-0000-0000-000008090000}" name="25н.22*" dataDxfId="1060"/>
    <tableColumn id="2313" xr3:uid="{00000000-0010-0000-0000-000009090000}" name="25н.23*" dataDxfId="1059"/>
    <tableColumn id="2314" xr3:uid="{00000000-0010-0000-0000-00000A090000}" name="25н.24*" dataDxfId="1058"/>
    <tableColumn id="2315" xr3:uid="{00000000-0010-0000-0000-00000B090000}" name="25н.25*" dataDxfId="1057"/>
    <tableColumn id="2316" xr3:uid="{00000000-0010-0000-0000-00000C090000}" name="25н.26*" dataDxfId="1056"/>
    <tableColumn id="2317" xr3:uid="{00000000-0010-0000-0000-00000D090000}" name="25н.27*" dataDxfId="1055"/>
    <tableColumn id="2318" xr3:uid="{00000000-0010-0000-0000-00000E090000}" name="25н.28*" dataDxfId="1054"/>
    <tableColumn id="2319" xr3:uid="{00000000-0010-0000-0000-00000F090000}" name="25н.29*" dataDxfId="1053"/>
    <tableColumn id="2320" xr3:uid="{00000000-0010-0000-0000-000010090000}" name="25н.30*" dataDxfId="1052"/>
    <tableColumn id="2321" xr3:uid="{00000000-0010-0000-0000-000011090000}" name="25п.Н" dataDxfId="1051"/>
    <tableColumn id="2322" xr3:uid="{00000000-0010-0000-0000-000012090000}" name="25п.01*" dataDxfId="1050"/>
    <tableColumn id="2323" xr3:uid="{00000000-0010-0000-0000-000013090000}" name="25п.02*" dataDxfId="1049"/>
    <tableColumn id="2324" xr3:uid="{00000000-0010-0000-0000-000014090000}" name="25п.03*" dataDxfId="1048"/>
    <tableColumn id="2325" xr3:uid="{00000000-0010-0000-0000-000015090000}" name="25п.04*" dataDxfId="1047"/>
    <tableColumn id="2326" xr3:uid="{00000000-0010-0000-0000-000016090000}" name="25п.05*" dataDxfId="1046"/>
    <tableColumn id="2327" xr3:uid="{00000000-0010-0000-0000-000017090000}" name="25п.06*" dataDxfId="1045"/>
    <tableColumn id="2328" xr3:uid="{00000000-0010-0000-0000-000018090000}" name="25п.07*" dataDxfId="1044"/>
    <tableColumn id="2329" xr3:uid="{00000000-0010-0000-0000-000019090000}" name="25п.08*" dataDxfId="1043"/>
    <tableColumn id="2330" xr3:uid="{00000000-0010-0000-0000-00001A090000}" name="25п.09*" dataDxfId="1042"/>
    <tableColumn id="2331" xr3:uid="{00000000-0010-0000-0000-00001B090000}" name="25п.10*" dataDxfId="1041"/>
    <tableColumn id="2332" xr3:uid="{00000000-0010-0000-0000-00001C090000}" name="25п.11*" dataDxfId="1040"/>
    <tableColumn id="2333" xr3:uid="{00000000-0010-0000-0000-00001D090000}" name="25п.12*" dataDxfId="1039"/>
    <tableColumn id="2334" xr3:uid="{00000000-0010-0000-0000-00001E090000}" name="25п.13*" dataDxfId="1038"/>
    <tableColumn id="2335" xr3:uid="{00000000-0010-0000-0000-00001F090000}" name="25п.14*" dataDxfId="1037"/>
    <tableColumn id="2336" xr3:uid="{00000000-0010-0000-0000-000020090000}" name="25п.15*" dataDxfId="1036"/>
    <tableColumn id="2337" xr3:uid="{00000000-0010-0000-0000-000021090000}" name="25п.16*" dataDxfId="1035"/>
    <tableColumn id="2338" xr3:uid="{00000000-0010-0000-0000-000022090000}" name="25п.17*" dataDxfId="1034"/>
    <tableColumn id="2339" xr3:uid="{00000000-0010-0000-0000-000023090000}" name="25п.18*" dataDxfId="1033"/>
    <tableColumn id="2340" xr3:uid="{00000000-0010-0000-0000-000024090000}" name="25п.19*" dataDxfId="1032"/>
    <tableColumn id="2341" xr3:uid="{00000000-0010-0000-0000-000025090000}" name="25п.20*" dataDxfId="1031"/>
    <tableColumn id="2342" xr3:uid="{00000000-0010-0000-0000-000026090000}" name="25п.21*" dataDxfId="1030"/>
    <tableColumn id="2343" xr3:uid="{00000000-0010-0000-0000-000027090000}" name="25п.22*" dataDxfId="1029"/>
    <tableColumn id="2344" xr3:uid="{00000000-0010-0000-0000-000028090000}" name="25п.23*" dataDxfId="1028"/>
    <tableColumn id="2345" xr3:uid="{00000000-0010-0000-0000-000029090000}" name="25п.24*" dataDxfId="1027"/>
    <tableColumn id="2346" xr3:uid="{00000000-0010-0000-0000-00002A090000}" name="25п.25*" dataDxfId="1026"/>
    <tableColumn id="2347" xr3:uid="{00000000-0010-0000-0000-00002B090000}" name="25п.26*" dataDxfId="1025"/>
    <tableColumn id="2348" xr3:uid="{00000000-0010-0000-0000-00002C090000}" name="25п.27*" dataDxfId="1024"/>
    <tableColumn id="2349" xr3:uid="{00000000-0010-0000-0000-00002D090000}" name="25п.28*" dataDxfId="1023"/>
    <tableColumn id="2350" xr3:uid="{00000000-0010-0000-0000-00002E090000}" name="25п.29*" dataDxfId="1022"/>
    <tableColumn id="2351" xr3:uid="{00000000-0010-0000-0000-00002F090000}" name="25п.30*" dataDxfId="1021"/>
    <tableColumn id="2383" xr3:uid="{00000000-0010-0000-0000-00004F090000}" name="26н.Н" dataDxfId="1020"/>
    <tableColumn id="2384" xr3:uid="{00000000-0010-0000-0000-000050090000}" name="26н.01*" dataDxfId="1019"/>
    <tableColumn id="2385" xr3:uid="{00000000-0010-0000-0000-000051090000}" name="26н.02*" dataDxfId="1018"/>
    <tableColumn id="2386" xr3:uid="{00000000-0010-0000-0000-000052090000}" name="26н.03*" dataDxfId="1017"/>
    <tableColumn id="2387" xr3:uid="{00000000-0010-0000-0000-000053090000}" name="26н.04*" dataDxfId="1016"/>
    <tableColumn id="2388" xr3:uid="{00000000-0010-0000-0000-000054090000}" name="26н.05*" dataDxfId="1015"/>
    <tableColumn id="2389" xr3:uid="{00000000-0010-0000-0000-000055090000}" name="26н.06*" dataDxfId="1014"/>
    <tableColumn id="2390" xr3:uid="{00000000-0010-0000-0000-000056090000}" name="26н.07*" dataDxfId="1013"/>
    <tableColumn id="2391" xr3:uid="{00000000-0010-0000-0000-000057090000}" name="26н.08*" dataDxfId="1012"/>
    <tableColumn id="2392" xr3:uid="{00000000-0010-0000-0000-000058090000}" name="26н.09*" dataDxfId="1011"/>
    <tableColumn id="2393" xr3:uid="{00000000-0010-0000-0000-000059090000}" name="26н.10*" dataDxfId="1010"/>
    <tableColumn id="2394" xr3:uid="{00000000-0010-0000-0000-00005A090000}" name="26н.11*" dataDxfId="1009"/>
    <tableColumn id="2395" xr3:uid="{00000000-0010-0000-0000-00005B090000}" name="26н.12*" dataDxfId="1008"/>
    <tableColumn id="2396" xr3:uid="{00000000-0010-0000-0000-00005C090000}" name="26н.13*" dataDxfId="1007"/>
    <tableColumn id="2397" xr3:uid="{00000000-0010-0000-0000-00005D090000}" name="26н.14*" dataDxfId="1006"/>
    <tableColumn id="2398" xr3:uid="{00000000-0010-0000-0000-00005E090000}" name="26н.15*" dataDxfId="1005"/>
    <tableColumn id="2399" xr3:uid="{00000000-0010-0000-0000-00005F090000}" name="26н.16*" dataDxfId="1004"/>
    <tableColumn id="2400" xr3:uid="{00000000-0010-0000-0000-000060090000}" name="26н.17*" dataDxfId="1003"/>
    <tableColumn id="2401" xr3:uid="{00000000-0010-0000-0000-000061090000}" name="26н.18*" dataDxfId="1002"/>
    <tableColumn id="2402" xr3:uid="{00000000-0010-0000-0000-000062090000}" name="26н.19*" dataDxfId="1001"/>
    <tableColumn id="2403" xr3:uid="{00000000-0010-0000-0000-000063090000}" name="26н.20*" dataDxfId="1000"/>
    <tableColumn id="2404" xr3:uid="{00000000-0010-0000-0000-000064090000}" name="26н.21*" dataDxfId="999"/>
    <tableColumn id="2405" xr3:uid="{00000000-0010-0000-0000-000065090000}" name="26н.22*" dataDxfId="998"/>
    <tableColumn id="2406" xr3:uid="{00000000-0010-0000-0000-000066090000}" name="26н.23*" dataDxfId="997"/>
    <tableColumn id="2407" xr3:uid="{00000000-0010-0000-0000-000067090000}" name="26н.24*" dataDxfId="996"/>
    <tableColumn id="2408" xr3:uid="{00000000-0010-0000-0000-000068090000}" name="26н.25*" dataDxfId="995"/>
    <tableColumn id="2409" xr3:uid="{00000000-0010-0000-0000-000069090000}" name="26н.26*" dataDxfId="994"/>
    <tableColumn id="2410" xr3:uid="{00000000-0010-0000-0000-00006A090000}" name="26н.27*" dataDxfId="993"/>
    <tableColumn id="2411" xr3:uid="{00000000-0010-0000-0000-00006B090000}" name="26н.28*" dataDxfId="992"/>
    <tableColumn id="2412" xr3:uid="{00000000-0010-0000-0000-00006C090000}" name="26н.29*" dataDxfId="991"/>
    <tableColumn id="2413" xr3:uid="{00000000-0010-0000-0000-00006D090000}" name="26н.30*" dataDxfId="990"/>
    <tableColumn id="2414" xr3:uid="{00000000-0010-0000-0000-00006E090000}" name="26п.Н" dataDxfId="989"/>
    <tableColumn id="2415" xr3:uid="{00000000-0010-0000-0000-00006F090000}" name="26п.01*" dataDxfId="988"/>
    <tableColumn id="2416" xr3:uid="{00000000-0010-0000-0000-000070090000}" name="26п.02*" dataDxfId="987"/>
    <tableColumn id="2417" xr3:uid="{00000000-0010-0000-0000-000071090000}" name="26п.03*" dataDxfId="986"/>
    <tableColumn id="2418" xr3:uid="{00000000-0010-0000-0000-000072090000}" name="26п.04*" dataDxfId="985"/>
    <tableColumn id="2419" xr3:uid="{00000000-0010-0000-0000-000073090000}" name="26п.05*" dataDxfId="984"/>
    <tableColumn id="2420" xr3:uid="{00000000-0010-0000-0000-000074090000}" name="26п.06*" dataDxfId="983"/>
    <tableColumn id="2421" xr3:uid="{00000000-0010-0000-0000-000075090000}" name="26п.07*" dataDxfId="982"/>
    <tableColumn id="2422" xr3:uid="{00000000-0010-0000-0000-000076090000}" name="26п.08*" dataDxfId="981"/>
    <tableColumn id="2423" xr3:uid="{00000000-0010-0000-0000-000077090000}" name="26п.09*" dataDxfId="980"/>
    <tableColumn id="2424" xr3:uid="{00000000-0010-0000-0000-000078090000}" name="26п.10*" dataDxfId="979"/>
    <tableColumn id="2425" xr3:uid="{00000000-0010-0000-0000-000079090000}" name="26п.11*" dataDxfId="978"/>
    <tableColumn id="2426" xr3:uid="{00000000-0010-0000-0000-00007A090000}" name="26п.12*" dataDxfId="977"/>
    <tableColumn id="2427" xr3:uid="{00000000-0010-0000-0000-00007B090000}" name="26п.13*" dataDxfId="976"/>
    <tableColumn id="2428" xr3:uid="{00000000-0010-0000-0000-00007C090000}" name="26п.14*" dataDxfId="975"/>
    <tableColumn id="2429" xr3:uid="{00000000-0010-0000-0000-00007D090000}" name="26п.15*" dataDxfId="974"/>
    <tableColumn id="2430" xr3:uid="{00000000-0010-0000-0000-00007E090000}" name="26п.16*" dataDxfId="973"/>
    <tableColumn id="2431" xr3:uid="{00000000-0010-0000-0000-00007F090000}" name="26п.17*" dataDxfId="972"/>
    <tableColumn id="2432" xr3:uid="{00000000-0010-0000-0000-000080090000}" name="26п.18*" dataDxfId="971"/>
    <tableColumn id="2433" xr3:uid="{00000000-0010-0000-0000-000081090000}" name="26п.19*" dataDxfId="970"/>
    <tableColumn id="2434" xr3:uid="{00000000-0010-0000-0000-000082090000}" name="26п.20*" dataDxfId="969"/>
    <tableColumn id="2435" xr3:uid="{00000000-0010-0000-0000-000083090000}" name="26п.21*" dataDxfId="968"/>
    <tableColumn id="2436" xr3:uid="{00000000-0010-0000-0000-000084090000}" name="26п.22*" dataDxfId="967"/>
    <tableColumn id="2437" xr3:uid="{00000000-0010-0000-0000-000085090000}" name="26п.23*" dataDxfId="966"/>
    <tableColumn id="2438" xr3:uid="{00000000-0010-0000-0000-000086090000}" name="26п.24*" dataDxfId="965"/>
    <tableColumn id="2439" xr3:uid="{00000000-0010-0000-0000-000087090000}" name="26п.25*" dataDxfId="964"/>
    <tableColumn id="2440" xr3:uid="{00000000-0010-0000-0000-000088090000}" name="26п.26*" dataDxfId="963"/>
    <tableColumn id="2441" xr3:uid="{00000000-0010-0000-0000-000089090000}" name="26п.27*" dataDxfId="962"/>
    <tableColumn id="2442" xr3:uid="{00000000-0010-0000-0000-00008A090000}" name="26п.28*" dataDxfId="961"/>
    <tableColumn id="2443" xr3:uid="{00000000-0010-0000-0000-00008B090000}" name="26п.29*" dataDxfId="960"/>
    <tableColumn id="2444" xr3:uid="{00000000-0010-0000-0000-00008C090000}" name="26п.30*" dataDxfId="959"/>
    <tableColumn id="2476" xr3:uid="{00000000-0010-0000-0000-0000AC090000}" name="27н.Н" dataDxfId="958"/>
    <tableColumn id="2477" xr3:uid="{00000000-0010-0000-0000-0000AD090000}" name="27н.01*" dataDxfId="957"/>
    <tableColumn id="2478" xr3:uid="{00000000-0010-0000-0000-0000AE090000}" name="27н.02*" dataDxfId="956"/>
    <tableColumn id="2479" xr3:uid="{00000000-0010-0000-0000-0000AF090000}" name="27н.03*" dataDxfId="955"/>
    <tableColumn id="2480" xr3:uid="{00000000-0010-0000-0000-0000B0090000}" name="27н.04*" dataDxfId="954"/>
    <tableColumn id="2481" xr3:uid="{00000000-0010-0000-0000-0000B1090000}" name="27н.05*" dataDxfId="953"/>
    <tableColumn id="2482" xr3:uid="{00000000-0010-0000-0000-0000B2090000}" name="27н.06*" dataDxfId="952"/>
    <tableColumn id="2483" xr3:uid="{00000000-0010-0000-0000-0000B3090000}" name="27н.07*" dataDxfId="951"/>
    <tableColumn id="2484" xr3:uid="{00000000-0010-0000-0000-0000B4090000}" name="27н.08*" dataDxfId="950"/>
    <tableColumn id="2485" xr3:uid="{00000000-0010-0000-0000-0000B5090000}" name="27н.09*" dataDxfId="949"/>
    <tableColumn id="2486" xr3:uid="{00000000-0010-0000-0000-0000B6090000}" name="27н.10*" dataDxfId="948"/>
    <tableColumn id="2487" xr3:uid="{00000000-0010-0000-0000-0000B7090000}" name="27н.11*" dataDxfId="947"/>
    <tableColumn id="2488" xr3:uid="{00000000-0010-0000-0000-0000B8090000}" name="27н.12*" dataDxfId="946"/>
    <tableColumn id="2489" xr3:uid="{00000000-0010-0000-0000-0000B9090000}" name="27н.13*" dataDxfId="945"/>
    <tableColumn id="2490" xr3:uid="{00000000-0010-0000-0000-0000BA090000}" name="27н.14*" dataDxfId="944"/>
    <tableColumn id="2491" xr3:uid="{00000000-0010-0000-0000-0000BB090000}" name="27н.15*" dataDxfId="943"/>
    <tableColumn id="2492" xr3:uid="{00000000-0010-0000-0000-0000BC090000}" name="27н.16*" dataDxfId="942"/>
    <tableColumn id="2493" xr3:uid="{00000000-0010-0000-0000-0000BD090000}" name="27н.17*" dataDxfId="941"/>
    <tableColumn id="2494" xr3:uid="{00000000-0010-0000-0000-0000BE090000}" name="27н.18*" dataDxfId="940"/>
    <tableColumn id="2495" xr3:uid="{00000000-0010-0000-0000-0000BF090000}" name="27н.19*" dataDxfId="939"/>
    <tableColumn id="2496" xr3:uid="{00000000-0010-0000-0000-0000C0090000}" name="27н.20*" dataDxfId="938"/>
    <tableColumn id="2497" xr3:uid="{00000000-0010-0000-0000-0000C1090000}" name="27н.21*" dataDxfId="937"/>
    <tableColumn id="2498" xr3:uid="{00000000-0010-0000-0000-0000C2090000}" name="27н.22*" dataDxfId="936"/>
    <tableColumn id="2499" xr3:uid="{00000000-0010-0000-0000-0000C3090000}" name="27н.23*" dataDxfId="935"/>
    <tableColumn id="2500" xr3:uid="{00000000-0010-0000-0000-0000C4090000}" name="27н.24*" dataDxfId="934"/>
    <tableColumn id="2501" xr3:uid="{00000000-0010-0000-0000-0000C5090000}" name="27н.25*" dataDxfId="933"/>
    <tableColumn id="2502" xr3:uid="{00000000-0010-0000-0000-0000C6090000}" name="27н.26*" dataDxfId="932"/>
    <tableColumn id="2503" xr3:uid="{00000000-0010-0000-0000-0000C7090000}" name="27н.27*" dataDxfId="931"/>
    <tableColumn id="2504" xr3:uid="{00000000-0010-0000-0000-0000C8090000}" name="27н.28*" dataDxfId="930"/>
    <tableColumn id="2505" xr3:uid="{00000000-0010-0000-0000-0000C9090000}" name="27н.29*" dataDxfId="929"/>
    <tableColumn id="2506" xr3:uid="{00000000-0010-0000-0000-0000CA090000}" name="27н.30*" dataDxfId="928"/>
    <tableColumn id="2507" xr3:uid="{00000000-0010-0000-0000-0000CB090000}" name="27п.Н" dataDxfId="927"/>
    <tableColumn id="2508" xr3:uid="{00000000-0010-0000-0000-0000CC090000}" name="27п.01*" dataDxfId="926"/>
    <tableColumn id="2509" xr3:uid="{00000000-0010-0000-0000-0000CD090000}" name="27п.02*" dataDxfId="925"/>
    <tableColumn id="2510" xr3:uid="{00000000-0010-0000-0000-0000CE090000}" name="27п.03*" dataDxfId="924"/>
    <tableColumn id="2511" xr3:uid="{00000000-0010-0000-0000-0000CF090000}" name="27п.04*" dataDxfId="923"/>
    <tableColumn id="2512" xr3:uid="{00000000-0010-0000-0000-0000D0090000}" name="27п.05*" dataDxfId="922"/>
    <tableColumn id="2513" xr3:uid="{00000000-0010-0000-0000-0000D1090000}" name="27п.06*" dataDxfId="921"/>
    <tableColumn id="2514" xr3:uid="{00000000-0010-0000-0000-0000D2090000}" name="27п.07*" dataDxfId="920"/>
    <tableColumn id="2515" xr3:uid="{00000000-0010-0000-0000-0000D3090000}" name="27п.08*" dataDxfId="919"/>
    <tableColumn id="2516" xr3:uid="{00000000-0010-0000-0000-0000D4090000}" name="27п.09*" dataDxfId="918"/>
    <tableColumn id="2517" xr3:uid="{00000000-0010-0000-0000-0000D5090000}" name="27п.10*" dataDxfId="917"/>
    <tableColumn id="2518" xr3:uid="{00000000-0010-0000-0000-0000D6090000}" name="27п.11*" dataDxfId="916"/>
    <tableColumn id="2519" xr3:uid="{00000000-0010-0000-0000-0000D7090000}" name="27п.12*" dataDxfId="915"/>
    <tableColumn id="2520" xr3:uid="{00000000-0010-0000-0000-0000D8090000}" name="27п.13*" dataDxfId="914"/>
    <tableColumn id="2521" xr3:uid="{00000000-0010-0000-0000-0000D9090000}" name="27п.14*" dataDxfId="913"/>
    <tableColumn id="2522" xr3:uid="{00000000-0010-0000-0000-0000DA090000}" name="27п.15*" dataDxfId="912"/>
    <tableColumn id="2523" xr3:uid="{00000000-0010-0000-0000-0000DB090000}" name="27п.16*" dataDxfId="911"/>
    <tableColumn id="2524" xr3:uid="{00000000-0010-0000-0000-0000DC090000}" name="27п.17*" dataDxfId="910"/>
    <tableColumn id="2525" xr3:uid="{00000000-0010-0000-0000-0000DD090000}" name="27п.18*" dataDxfId="909"/>
    <tableColumn id="2526" xr3:uid="{00000000-0010-0000-0000-0000DE090000}" name="27п.19*" dataDxfId="908"/>
    <tableColumn id="2527" xr3:uid="{00000000-0010-0000-0000-0000DF090000}" name="27п.20*" dataDxfId="907"/>
    <tableColumn id="2528" xr3:uid="{00000000-0010-0000-0000-0000E0090000}" name="27п.21*" dataDxfId="906"/>
    <tableColumn id="2529" xr3:uid="{00000000-0010-0000-0000-0000E1090000}" name="27п.22*" dataDxfId="905"/>
    <tableColumn id="2530" xr3:uid="{00000000-0010-0000-0000-0000E2090000}" name="27п.23*" dataDxfId="904"/>
    <tableColumn id="2531" xr3:uid="{00000000-0010-0000-0000-0000E3090000}" name="27п.24*" dataDxfId="903"/>
    <tableColumn id="2532" xr3:uid="{00000000-0010-0000-0000-0000E4090000}" name="27п.25*" dataDxfId="902"/>
    <tableColumn id="2533" xr3:uid="{00000000-0010-0000-0000-0000E5090000}" name="27п.26*" dataDxfId="901"/>
    <tableColumn id="2534" xr3:uid="{00000000-0010-0000-0000-0000E6090000}" name="27п.27*" dataDxfId="900"/>
    <tableColumn id="2535" xr3:uid="{00000000-0010-0000-0000-0000E7090000}" name="27п.28*" dataDxfId="899"/>
    <tableColumn id="2536" xr3:uid="{00000000-0010-0000-0000-0000E8090000}" name="27п.29*" dataDxfId="898"/>
    <tableColumn id="2537" xr3:uid="{00000000-0010-0000-0000-0000E9090000}" name="27п.30*" dataDxfId="897"/>
    <tableColumn id="2569" xr3:uid="{00000000-0010-0000-0000-0000090A0000}" name="28н.Н" dataDxfId="896"/>
    <tableColumn id="2570" xr3:uid="{00000000-0010-0000-0000-00000A0A0000}" name="28н.01*" dataDxfId="895"/>
    <tableColumn id="2571" xr3:uid="{00000000-0010-0000-0000-00000B0A0000}" name="28н.02*" dataDxfId="894"/>
    <tableColumn id="2572" xr3:uid="{00000000-0010-0000-0000-00000C0A0000}" name="28н.03*" dataDxfId="893"/>
    <tableColumn id="2573" xr3:uid="{00000000-0010-0000-0000-00000D0A0000}" name="28н.04*" dataDxfId="892"/>
    <tableColumn id="2574" xr3:uid="{00000000-0010-0000-0000-00000E0A0000}" name="28н.05*" dataDxfId="891"/>
    <tableColumn id="2575" xr3:uid="{00000000-0010-0000-0000-00000F0A0000}" name="28н.06*" dataDxfId="890"/>
    <tableColumn id="2576" xr3:uid="{00000000-0010-0000-0000-0000100A0000}" name="28н.07*" dataDxfId="889"/>
    <tableColumn id="2577" xr3:uid="{00000000-0010-0000-0000-0000110A0000}" name="28н.08*" dataDxfId="888"/>
    <tableColumn id="2578" xr3:uid="{00000000-0010-0000-0000-0000120A0000}" name="28н.09*" dataDxfId="887"/>
    <tableColumn id="2579" xr3:uid="{00000000-0010-0000-0000-0000130A0000}" name="28н.10*" dataDxfId="886"/>
    <tableColumn id="2580" xr3:uid="{00000000-0010-0000-0000-0000140A0000}" name="28н.11*" dataDxfId="885"/>
    <tableColumn id="2581" xr3:uid="{00000000-0010-0000-0000-0000150A0000}" name="28н.12*" dataDxfId="884"/>
    <tableColumn id="2582" xr3:uid="{00000000-0010-0000-0000-0000160A0000}" name="28н.13*" dataDxfId="883"/>
    <tableColumn id="2583" xr3:uid="{00000000-0010-0000-0000-0000170A0000}" name="28н.14*" dataDxfId="882"/>
    <tableColumn id="2584" xr3:uid="{00000000-0010-0000-0000-0000180A0000}" name="28н.15*" dataDxfId="881"/>
    <tableColumn id="2585" xr3:uid="{00000000-0010-0000-0000-0000190A0000}" name="28н.16*" dataDxfId="880"/>
    <tableColumn id="2586" xr3:uid="{00000000-0010-0000-0000-00001A0A0000}" name="28н.17*" dataDxfId="879"/>
    <tableColumn id="2587" xr3:uid="{00000000-0010-0000-0000-00001B0A0000}" name="28н.18*" dataDxfId="878"/>
    <tableColumn id="2588" xr3:uid="{00000000-0010-0000-0000-00001C0A0000}" name="28н.19*" dataDxfId="877"/>
    <tableColumn id="2589" xr3:uid="{00000000-0010-0000-0000-00001D0A0000}" name="28н.20*" dataDxfId="876"/>
    <tableColumn id="2590" xr3:uid="{00000000-0010-0000-0000-00001E0A0000}" name="28н.21*" dataDxfId="875"/>
    <tableColumn id="2591" xr3:uid="{00000000-0010-0000-0000-00001F0A0000}" name="28н.22*" dataDxfId="874"/>
    <tableColumn id="2592" xr3:uid="{00000000-0010-0000-0000-0000200A0000}" name="28н.23*" dataDxfId="873"/>
    <tableColumn id="2593" xr3:uid="{00000000-0010-0000-0000-0000210A0000}" name="28н.24*" dataDxfId="872"/>
    <tableColumn id="2594" xr3:uid="{00000000-0010-0000-0000-0000220A0000}" name="28н.25*" dataDxfId="871"/>
    <tableColumn id="2595" xr3:uid="{00000000-0010-0000-0000-0000230A0000}" name="28н.26*" dataDxfId="870"/>
    <tableColumn id="2596" xr3:uid="{00000000-0010-0000-0000-0000240A0000}" name="28н.27*" dataDxfId="869"/>
    <tableColumn id="2597" xr3:uid="{00000000-0010-0000-0000-0000250A0000}" name="28н.28*" dataDxfId="868"/>
    <tableColumn id="2598" xr3:uid="{00000000-0010-0000-0000-0000260A0000}" name="28н.29*" dataDxfId="867"/>
    <tableColumn id="2599" xr3:uid="{00000000-0010-0000-0000-0000270A0000}" name="28н.30*" dataDxfId="866"/>
    <tableColumn id="2600" xr3:uid="{00000000-0010-0000-0000-0000280A0000}" name="28п.Н" dataDxfId="865"/>
    <tableColumn id="2601" xr3:uid="{00000000-0010-0000-0000-0000290A0000}" name="28п.01*" dataDxfId="864"/>
    <tableColumn id="2602" xr3:uid="{00000000-0010-0000-0000-00002A0A0000}" name="28п.02*" dataDxfId="863"/>
    <tableColumn id="2603" xr3:uid="{00000000-0010-0000-0000-00002B0A0000}" name="28п.03*" dataDxfId="862"/>
    <tableColumn id="2604" xr3:uid="{00000000-0010-0000-0000-00002C0A0000}" name="28п.04*" dataDxfId="861"/>
    <tableColumn id="2605" xr3:uid="{00000000-0010-0000-0000-00002D0A0000}" name="28п.05*" dataDxfId="860"/>
    <tableColumn id="2606" xr3:uid="{00000000-0010-0000-0000-00002E0A0000}" name="28п.06*" dataDxfId="859"/>
    <tableColumn id="2607" xr3:uid="{00000000-0010-0000-0000-00002F0A0000}" name="28п.07*" dataDxfId="858"/>
    <tableColumn id="2608" xr3:uid="{00000000-0010-0000-0000-0000300A0000}" name="28п.08*" dataDxfId="857"/>
    <tableColumn id="2609" xr3:uid="{00000000-0010-0000-0000-0000310A0000}" name="28п.09*" dataDxfId="856"/>
    <tableColumn id="2610" xr3:uid="{00000000-0010-0000-0000-0000320A0000}" name="28п.10*" dataDxfId="855"/>
    <tableColumn id="2611" xr3:uid="{00000000-0010-0000-0000-0000330A0000}" name="28п.11*" dataDxfId="854"/>
    <tableColumn id="2612" xr3:uid="{00000000-0010-0000-0000-0000340A0000}" name="28п.12*" dataDxfId="853"/>
    <tableColumn id="2613" xr3:uid="{00000000-0010-0000-0000-0000350A0000}" name="28п.13*" dataDxfId="852"/>
    <tableColumn id="2614" xr3:uid="{00000000-0010-0000-0000-0000360A0000}" name="28п.14*" dataDxfId="851"/>
    <tableColumn id="2615" xr3:uid="{00000000-0010-0000-0000-0000370A0000}" name="28п.15*" dataDxfId="850"/>
    <tableColumn id="2616" xr3:uid="{00000000-0010-0000-0000-0000380A0000}" name="28п.16*" dataDxfId="849"/>
    <tableColumn id="2617" xr3:uid="{00000000-0010-0000-0000-0000390A0000}" name="28п.17*" dataDxfId="848"/>
    <tableColumn id="2618" xr3:uid="{00000000-0010-0000-0000-00003A0A0000}" name="28п.18*" dataDxfId="847"/>
    <tableColumn id="2619" xr3:uid="{00000000-0010-0000-0000-00003B0A0000}" name="28п.19*" dataDxfId="846"/>
    <tableColumn id="2620" xr3:uid="{00000000-0010-0000-0000-00003C0A0000}" name="28п.20*" dataDxfId="845"/>
    <tableColumn id="2621" xr3:uid="{00000000-0010-0000-0000-00003D0A0000}" name="28п.21*" dataDxfId="844"/>
    <tableColumn id="2622" xr3:uid="{00000000-0010-0000-0000-00003E0A0000}" name="28п.22*" dataDxfId="843"/>
    <tableColumn id="2623" xr3:uid="{00000000-0010-0000-0000-00003F0A0000}" name="28п.23*" dataDxfId="842"/>
    <tableColumn id="2624" xr3:uid="{00000000-0010-0000-0000-0000400A0000}" name="28п.24*" dataDxfId="841"/>
    <tableColumn id="2625" xr3:uid="{00000000-0010-0000-0000-0000410A0000}" name="28п.25*" dataDxfId="840"/>
    <tableColumn id="2626" xr3:uid="{00000000-0010-0000-0000-0000420A0000}" name="28п.26*" dataDxfId="839"/>
    <tableColumn id="2627" xr3:uid="{00000000-0010-0000-0000-0000430A0000}" name="28п.27*" dataDxfId="838"/>
    <tableColumn id="2628" xr3:uid="{00000000-0010-0000-0000-0000440A0000}" name="28п.28*" dataDxfId="837"/>
    <tableColumn id="2629" xr3:uid="{00000000-0010-0000-0000-0000450A0000}" name="28п.29*" dataDxfId="836"/>
    <tableColumn id="2630" xr3:uid="{00000000-0010-0000-0000-0000460A0000}" name="28п.30*" dataDxfId="835"/>
    <tableColumn id="2662" xr3:uid="{00000000-0010-0000-0000-0000660A0000}" name="29н.Н" dataDxfId="834"/>
    <tableColumn id="2663" xr3:uid="{00000000-0010-0000-0000-0000670A0000}" name="29н.01*" dataDxfId="833"/>
    <tableColumn id="2664" xr3:uid="{00000000-0010-0000-0000-0000680A0000}" name="29н.02*" dataDxfId="832"/>
    <tableColumn id="2665" xr3:uid="{00000000-0010-0000-0000-0000690A0000}" name="29н.03*" dataDxfId="831"/>
    <tableColumn id="2666" xr3:uid="{00000000-0010-0000-0000-00006A0A0000}" name="29н.04*" dataDxfId="830"/>
    <tableColumn id="2667" xr3:uid="{00000000-0010-0000-0000-00006B0A0000}" name="29н.05*" dataDxfId="829"/>
    <tableColumn id="2668" xr3:uid="{00000000-0010-0000-0000-00006C0A0000}" name="29н.06*" dataDxfId="828"/>
    <tableColumn id="2669" xr3:uid="{00000000-0010-0000-0000-00006D0A0000}" name="29н.07*" dataDxfId="827"/>
    <tableColumn id="2670" xr3:uid="{00000000-0010-0000-0000-00006E0A0000}" name="29н.08*" dataDxfId="826"/>
    <tableColumn id="2671" xr3:uid="{00000000-0010-0000-0000-00006F0A0000}" name="29н.09*" dataDxfId="825"/>
    <tableColumn id="2672" xr3:uid="{00000000-0010-0000-0000-0000700A0000}" name="29н.10*" dataDxfId="824"/>
    <tableColumn id="2673" xr3:uid="{00000000-0010-0000-0000-0000710A0000}" name="29н.11*" dataDxfId="823"/>
    <tableColumn id="2674" xr3:uid="{00000000-0010-0000-0000-0000720A0000}" name="29н.12*" dataDxfId="822"/>
    <tableColumn id="2675" xr3:uid="{00000000-0010-0000-0000-0000730A0000}" name="29н.13*" dataDxfId="821"/>
    <tableColumn id="2676" xr3:uid="{00000000-0010-0000-0000-0000740A0000}" name="29н.14*" dataDxfId="820"/>
    <tableColumn id="2677" xr3:uid="{00000000-0010-0000-0000-0000750A0000}" name="29н.15*" dataDxfId="819"/>
    <tableColumn id="2678" xr3:uid="{00000000-0010-0000-0000-0000760A0000}" name="29н.16*" dataDxfId="818"/>
    <tableColumn id="2679" xr3:uid="{00000000-0010-0000-0000-0000770A0000}" name="29н.17*" dataDxfId="817"/>
    <tableColumn id="2680" xr3:uid="{00000000-0010-0000-0000-0000780A0000}" name="29н.18*" dataDxfId="816"/>
    <tableColumn id="2681" xr3:uid="{00000000-0010-0000-0000-0000790A0000}" name="29н.19*" dataDxfId="815"/>
    <tableColumn id="2682" xr3:uid="{00000000-0010-0000-0000-00007A0A0000}" name="29н.20*" dataDxfId="814"/>
    <tableColumn id="2683" xr3:uid="{00000000-0010-0000-0000-00007B0A0000}" name="29н.21*" dataDxfId="813"/>
    <tableColumn id="2684" xr3:uid="{00000000-0010-0000-0000-00007C0A0000}" name="29н.22*" dataDxfId="812"/>
    <tableColumn id="2685" xr3:uid="{00000000-0010-0000-0000-00007D0A0000}" name="29н.23*" dataDxfId="811"/>
    <tableColumn id="2686" xr3:uid="{00000000-0010-0000-0000-00007E0A0000}" name="29н.24*" dataDxfId="810"/>
    <tableColumn id="2687" xr3:uid="{00000000-0010-0000-0000-00007F0A0000}" name="29н.25*" dataDxfId="809"/>
    <tableColumn id="2688" xr3:uid="{00000000-0010-0000-0000-0000800A0000}" name="29н.26*" dataDxfId="808"/>
    <tableColumn id="2689" xr3:uid="{00000000-0010-0000-0000-0000810A0000}" name="29н.27*" dataDxfId="807"/>
    <tableColumn id="2690" xr3:uid="{00000000-0010-0000-0000-0000820A0000}" name="29н.28*" dataDxfId="806"/>
    <tableColumn id="2691" xr3:uid="{00000000-0010-0000-0000-0000830A0000}" name="29н.29*" dataDxfId="805"/>
    <tableColumn id="2692" xr3:uid="{00000000-0010-0000-0000-0000840A0000}" name="29н.30*" dataDxfId="804"/>
    <tableColumn id="2693" xr3:uid="{00000000-0010-0000-0000-0000850A0000}" name="29п.Н" dataDxfId="803"/>
    <tableColumn id="2694" xr3:uid="{00000000-0010-0000-0000-0000860A0000}" name="29п.01*" dataDxfId="802"/>
    <tableColumn id="2695" xr3:uid="{00000000-0010-0000-0000-0000870A0000}" name="29п.02*" dataDxfId="801"/>
    <tableColumn id="2696" xr3:uid="{00000000-0010-0000-0000-0000880A0000}" name="29п.03*" dataDxfId="800"/>
    <tableColumn id="2697" xr3:uid="{00000000-0010-0000-0000-0000890A0000}" name="29п.04*" dataDxfId="799"/>
    <tableColumn id="2698" xr3:uid="{00000000-0010-0000-0000-00008A0A0000}" name="29п.05*" dataDxfId="798"/>
    <tableColumn id="2699" xr3:uid="{00000000-0010-0000-0000-00008B0A0000}" name="29п.06*" dataDxfId="797"/>
    <tableColumn id="2700" xr3:uid="{00000000-0010-0000-0000-00008C0A0000}" name="29п.07*" dataDxfId="796"/>
    <tableColumn id="2701" xr3:uid="{00000000-0010-0000-0000-00008D0A0000}" name="29п.08*" dataDxfId="795"/>
    <tableColumn id="2702" xr3:uid="{00000000-0010-0000-0000-00008E0A0000}" name="29п.09*" dataDxfId="794"/>
    <tableColumn id="2703" xr3:uid="{00000000-0010-0000-0000-00008F0A0000}" name="29п.10*" dataDxfId="793"/>
    <tableColumn id="2704" xr3:uid="{00000000-0010-0000-0000-0000900A0000}" name="29п.11*" dataDxfId="792"/>
    <tableColumn id="2705" xr3:uid="{00000000-0010-0000-0000-0000910A0000}" name="29п.12*" dataDxfId="791"/>
    <tableColumn id="2706" xr3:uid="{00000000-0010-0000-0000-0000920A0000}" name="29п.13*" dataDxfId="790"/>
    <tableColumn id="2707" xr3:uid="{00000000-0010-0000-0000-0000930A0000}" name="29п.14*" dataDxfId="789"/>
    <tableColumn id="2708" xr3:uid="{00000000-0010-0000-0000-0000940A0000}" name="29п.15*" dataDxfId="788"/>
    <tableColumn id="2709" xr3:uid="{00000000-0010-0000-0000-0000950A0000}" name="29п.16*" dataDxfId="787"/>
    <tableColumn id="2710" xr3:uid="{00000000-0010-0000-0000-0000960A0000}" name="29п.17*" dataDxfId="786"/>
    <tableColumn id="2711" xr3:uid="{00000000-0010-0000-0000-0000970A0000}" name="29п.18*" dataDxfId="785"/>
    <tableColumn id="2712" xr3:uid="{00000000-0010-0000-0000-0000980A0000}" name="29п.19*" dataDxfId="784"/>
    <tableColumn id="2713" xr3:uid="{00000000-0010-0000-0000-0000990A0000}" name="29п.20*" dataDxfId="783"/>
    <tableColumn id="2714" xr3:uid="{00000000-0010-0000-0000-00009A0A0000}" name="29п.21*" dataDxfId="782"/>
    <tableColumn id="2715" xr3:uid="{00000000-0010-0000-0000-00009B0A0000}" name="29п.22*" dataDxfId="781"/>
    <tableColumn id="2716" xr3:uid="{00000000-0010-0000-0000-00009C0A0000}" name="29п.23*" dataDxfId="780"/>
    <tableColumn id="2717" xr3:uid="{00000000-0010-0000-0000-00009D0A0000}" name="29п.24*" dataDxfId="779"/>
    <tableColumn id="2718" xr3:uid="{00000000-0010-0000-0000-00009E0A0000}" name="29п.25*" dataDxfId="778"/>
    <tableColumn id="2719" xr3:uid="{00000000-0010-0000-0000-00009F0A0000}" name="29п.26*" dataDxfId="777"/>
    <tableColumn id="2720" xr3:uid="{00000000-0010-0000-0000-0000A00A0000}" name="29п.27*" dataDxfId="776"/>
    <tableColumn id="2721" xr3:uid="{00000000-0010-0000-0000-0000A10A0000}" name="29п.28*" dataDxfId="775"/>
    <tableColumn id="2722" xr3:uid="{00000000-0010-0000-0000-0000A20A0000}" name="29п.29*" dataDxfId="774"/>
    <tableColumn id="2723" xr3:uid="{00000000-0010-0000-0000-0000A30A0000}" name="29п.30*" dataDxfId="773"/>
    <tableColumn id="2755" xr3:uid="{00000000-0010-0000-0000-0000C30A0000}" name="30н.Н" dataDxfId="772"/>
    <tableColumn id="2756" xr3:uid="{00000000-0010-0000-0000-0000C40A0000}" name="30н.01*" dataDxfId="771"/>
    <tableColumn id="2757" xr3:uid="{00000000-0010-0000-0000-0000C50A0000}" name="30н.02*" dataDxfId="770"/>
    <tableColumn id="2758" xr3:uid="{00000000-0010-0000-0000-0000C60A0000}" name="30н.03*" dataDxfId="769"/>
    <tableColumn id="2759" xr3:uid="{00000000-0010-0000-0000-0000C70A0000}" name="30н.04*" dataDxfId="768"/>
    <tableColumn id="2760" xr3:uid="{00000000-0010-0000-0000-0000C80A0000}" name="30н.05*" dataDxfId="767"/>
    <tableColumn id="2761" xr3:uid="{00000000-0010-0000-0000-0000C90A0000}" name="30н.06*" dataDxfId="766"/>
    <tableColumn id="2762" xr3:uid="{00000000-0010-0000-0000-0000CA0A0000}" name="30н.07*" dataDxfId="765"/>
    <tableColumn id="2763" xr3:uid="{00000000-0010-0000-0000-0000CB0A0000}" name="30н.08*" dataDxfId="764"/>
    <tableColumn id="2764" xr3:uid="{00000000-0010-0000-0000-0000CC0A0000}" name="30н.09*" dataDxfId="763"/>
    <tableColumn id="2765" xr3:uid="{00000000-0010-0000-0000-0000CD0A0000}" name="30н.10*" dataDxfId="762"/>
    <tableColumn id="2766" xr3:uid="{00000000-0010-0000-0000-0000CE0A0000}" name="30н.11*" dataDxfId="761"/>
    <tableColumn id="2767" xr3:uid="{00000000-0010-0000-0000-0000CF0A0000}" name="30н.12*" dataDxfId="760"/>
    <tableColumn id="2768" xr3:uid="{00000000-0010-0000-0000-0000D00A0000}" name="30н.13*" dataDxfId="759"/>
    <tableColumn id="2769" xr3:uid="{00000000-0010-0000-0000-0000D10A0000}" name="30н.14*" dataDxfId="758"/>
    <tableColumn id="2770" xr3:uid="{00000000-0010-0000-0000-0000D20A0000}" name="30н.15*" dataDxfId="757"/>
    <tableColumn id="2771" xr3:uid="{00000000-0010-0000-0000-0000D30A0000}" name="30н.16*" dataDxfId="756"/>
    <tableColumn id="2772" xr3:uid="{00000000-0010-0000-0000-0000D40A0000}" name="30н.17*" dataDxfId="755"/>
    <tableColumn id="2773" xr3:uid="{00000000-0010-0000-0000-0000D50A0000}" name="30н.18*" dataDxfId="754"/>
    <tableColumn id="2774" xr3:uid="{00000000-0010-0000-0000-0000D60A0000}" name="30н.19*" dataDxfId="753"/>
    <tableColumn id="2775" xr3:uid="{00000000-0010-0000-0000-0000D70A0000}" name="30н.20*" dataDxfId="752"/>
    <tableColumn id="2776" xr3:uid="{00000000-0010-0000-0000-0000D80A0000}" name="30н.21*" dataDxfId="751"/>
    <tableColumn id="2777" xr3:uid="{00000000-0010-0000-0000-0000D90A0000}" name="30н.22*" dataDxfId="750"/>
    <tableColumn id="2778" xr3:uid="{00000000-0010-0000-0000-0000DA0A0000}" name="30н.23*" dataDxfId="749"/>
    <tableColumn id="2779" xr3:uid="{00000000-0010-0000-0000-0000DB0A0000}" name="30н.24*" dataDxfId="748"/>
    <tableColumn id="2780" xr3:uid="{00000000-0010-0000-0000-0000DC0A0000}" name="30н.25*" dataDxfId="747"/>
    <tableColumn id="2781" xr3:uid="{00000000-0010-0000-0000-0000DD0A0000}" name="30н.26*" dataDxfId="746"/>
    <tableColumn id="2782" xr3:uid="{00000000-0010-0000-0000-0000DE0A0000}" name="30н.27*" dataDxfId="745"/>
    <tableColumn id="2783" xr3:uid="{00000000-0010-0000-0000-0000DF0A0000}" name="30н.28*" dataDxfId="744"/>
    <tableColumn id="2784" xr3:uid="{00000000-0010-0000-0000-0000E00A0000}" name="30н.29*" dataDxfId="743"/>
    <tableColumn id="2785" xr3:uid="{00000000-0010-0000-0000-0000E10A0000}" name="30н.30*" dataDxfId="742"/>
    <tableColumn id="2786" xr3:uid="{00000000-0010-0000-0000-0000E20A0000}" name="30п.Н" dataDxfId="741"/>
    <tableColumn id="2787" xr3:uid="{00000000-0010-0000-0000-0000E30A0000}" name="30п.01*" dataDxfId="740"/>
    <tableColumn id="2788" xr3:uid="{00000000-0010-0000-0000-0000E40A0000}" name="30п.02*" dataDxfId="739"/>
    <tableColumn id="2789" xr3:uid="{00000000-0010-0000-0000-0000E50A0000}" name="30п.03*" dataDxfId="738"/>
    <tableColumn id="2790" xr3:uid="{00000000-0010-0000-0000-0000E60A0000}" name="30п.04*" dataDxfId="737"/>
    <tableColumn id="2791" xr3:uid="{00000000-0010-0000-0000-0000E70A0000}" name="30п.05*" dataDxfId="736"/>
    <tableColumn id="2792" xr3:uid="{00000000-0010-0000-0000-0000E80A0000}" name="30п.06*" dataDxfId="735"/>
    <tableColumn id="2793" xr3:uid="{00000000-0010-0000-0000-0000E90A0000}" name="30п.07*" dataDxfId="734"/>
    <tableColumn id="2794" xr3:uid="{00000000-0010-0000-0000-0000EA0A0000}" name="30п.08*" dataDxfId="733"/>
    <tableColumn id="2795" xr3:uid="{00000000-0010-0000-0000-0000EB0A0000}" name="30п.09*" dataDxfId="732"/>
    <tableColumn id="2796" xr3:uid="{00000000-0010-0000-0000-0000EC0A0000}" name="30п.10*" dataDxfId="731"/>
    <tableColumn id="2797" xr3:uid="{00000000-0010-0000-0000-0000ED0A0000}" name="30п.11*" dataDxfId="730"/>
    <tableColumn id="2798" xr3:uid="{00000000-0010-0000-0000-0000EE0A0000}" name="30п.12*" dataDxfId="729"/>
    <tableColumn id="2799" xr3:uid="{00000000-0010-0000-0000-0000EF0A0000}" name="30п.13*" dataDxfId="728"/>
    <tableColumn id="2800" xr3:uid="{00000000-0010-0000-0000-0000F00A0000}" name="30п.14*" dataDxfId="727"/>
    <tableColumn id="2801" xr3:uid="{00000000-0010-0000-0000-0000F10A0000}" name="30п.15*" dataDxfId="726"/>
    <tableColumn id="2802" xr3:uid="{00000000-0010-0000-0000-0000F20A0000}" name="30п.16*" dataDxfId="725"/>
    <tableColumn id="2803" xr3:uid="{00000000-0010-0000-0000-0000F30A0000}" name="30п.17*" dataDxfId="724"/>
    <tableColumn id="2804" xr3:uid="{00000000-0010-0000-0000-0000F40A0000}" name="30п.18*" dataDxfId="723"/>
    <tableColumn id="2805" xr3:uid="{00000000-0010-0000-0000-0000F50A0000}" name="30п.19*" dataDxfId="722"/>
    <tableColumn id="2806" xr3:uid="{00000000-0010-0000-0000-0000F60A0000}" name="30п.20*" dataDxfId="721"/>
    <tableColumn id="2807" xr3:uid="{00000000-0010-0000-0000-0000F70A0000}" name="30п.21*" dataDxfId="720"/>
    <tableColumn id="2808" xr3:uid="{00000000-0010-0000-0000-0000F80A0000}" name="30п.22*" dataDxfId="719"/>
    <tableColumn id="2809" xr3:uid="{00000000-0010-0000-0000-0000F90A0000}" name="30п.23*" dataDxfId="718"/>
    <tableColumn id="2810" xr3:uid="{00000000-0010-0000-0000-0000FA0A0000}" name="30п.24*" dataDxfId="717"/>
    <tableColumn id="2811" xr3:uid="{00000000-0010-0000-0000-0000FB0A0000}" name="30п.25*" dataDxfId="716"/>
    <tableColumn id="2812" xr3:uid="{00000000-0010-0000-0000-0000FC0A0000}" name="30п.26*" dataDxfId="715"/>
    <tableColumn id="2813" xr3:uid="{00000000-0010-0000-0000-0000FD0A0000}" name="30п.27*" dataDxfId="714"/>
    <tableColumn id="2814" xr3:uid="{00000000-0010-0000-0000-0000FE0A0000}" name="30п.28*" dataDxfId="713"/>
    <tableColumn id="2815" xr3:uid="{00000000-0010-0000-0000-0000FF0A0000}" name="30п.29*" dataDxfId="712"/>
    <tableColumn id="2816" xr3:uid="{00000000-0010-0000-0000-0000000B0000}" name="30п.30*" dataDxfId="711"/>
    <tableColumn id="2848" xr3:uid="{00000000-0010-0000-0000-0000200B0000}" name="31н.Н" dataDxfId="710"/>
    <tableColumn id="2849" xr3:uid="{00000000-0010-0000-0000-0000210B0000}" name="31н.01*" dataDxfId="709"/>
    <tableColumn id="2850" xr3:uid="{00000000-0010-0000-0000-0000220B0000}" name="31н.02*" dataDxfId="708"/>
    <tableColumn id="2851" xr3:uid="{00000000-0010-0000-0000-0000230B0000}" name="31н.03*" dataDxfId="707"/>
    <tableColumn id="2852" xr3:uid="{00000000-0010-0000-0000-0000240B0000}" name="31н.04*" dataDxfId="706"/>
    <tableColumn id="2853" xr3:uid="{00000000-0010-0000-0000-0000250B0000}" name="31н.05*" dataDxfId="705"/>
    <tableColumn id="2854" xr3:uid="{00000000-0010-0000-0000-0000260B0000}" name="31н.06*" dataDxfId="704"/>
    <tableColumn id="2855" xr3:uid="{00000000-0010-0000-0000-0000270B0000}" name="31н.07*" dataDxfId="703"/>
    <tableColumn id="2856" xr3:uid="{00000000-0010-0000-0000-0000280B0000}" name="31н.08*" dataDxfId="702"/>
    <tableColumn id="2857" xr3:uid="{00000000-0010-0000-0000-0000290B0000}" name="31н.09*" dataDxfId="701"/>
    <tableColumn id="2858" xr3:uid="{00000000-0010-0000-0000-00002A0B0000}" name="31н.10*" dataDxfId="700"/>
    <tableColumn id="2859" xr3:uid="{00000000-0010-0000-0000-00002B0B0000}" name="31н.11*" dataDxfId="699"/>
    <tableColumn id="2860" xr3:uid="{00000000-0010-0000-0000-00002C0B0000}" name="31н.12*" dataDxfId="698"/>
    <tableColumn id="2861" xr3:uid="{00000000-0010-0000-0000-00002D0B0000}" name="31н.13*" dataDxfId="697"/>
    <tableColumn id="2862" xr3:uid="{00000000-0010-0000-0000-00002E0B0000}" name="31н.14*" dataDxfId="696"/>
    <tableColumn id="2863" xr3:uid="{00000000-0010-0000-0000-00002F0B0000}" name="31н.15*" dataDxfId="695"/>
    <tableColumn id="2864" xr3:uid="{00000000-0010-0000-0000-0000300B0000}" name="31н.16*" dataDxfId="694"/>
    <tableColumn id="2865" xr3:uid="{00000000-0010-0000-0000-0000310B0000}" name="31н.17*" dataDxfId="693"/>
    <tableColumn id="2866" xr3:uid="{00000000-0010-0000-0000-0000320B0000}" name="31н.18*" dataDxfId="692"/>
    <tableColumn id="2867" xr3:uid="{00000000-0010-0000-0000-0000330B0000}" name="31н.19*" dataDxfId="691"/>
    <tableColumn id="2868" xr3:uid="{00000000-0010-0000-0000-0000340B0000}" name="31н.20*" dataDxfId="690"/>
    <tableColumn id="2869" xr3:uid="{00000000-0010-0000-0000-0000350B0000}" name="31н.21*" dataDxfId="689"/>
    <tableColumn id="2870" xr3:uid="{00000000-0010-0000-0000-0000360B0000}" name="31н.22*" dataDxfId="688"/>
    <tableColumn id="2871" xr3:uid="{00000000-0010-0000-0000-0000370B0000}" name="31н.23*" dataDxfId="687"/>
    <tableColumn id="2872" xr3:uid="{00000000-0010-0000-0000-0000380B0000}" name="31н.24*" dataDxfId="686"/>
    <tableColumn id="2873" xr3:uid="{00000000-0010-0000-0000-0000390B0000}" name="31н.25*" dataDxfId="685"/>
    <tableColumn id="2874" xr3:uid="{00000000-0010-0000-0000-00003A0B0000}" name="31н.26*" dataDxfId="684"/>
    <tableColumn id="2875" xr3:uid="{00000000-0010-0000-0000-00003B0B0000}" name="31н.27*" dataDxfId="683"/>
    <tableColumn id="2876" xr3:uid="{00000000-0010-0000-0000-00003C0B0000}" name="31н.28*" dataDxfId="682"/>
    <tableColumn id="2877" xr3:uid="{00000000-0010-0000-0000-00003D0B0000}" name="31н.29*" dataDxfId="681"/>
    <tableColumn id="2878" xr3:uid="{00000000-0010-0000-0000-00003E0B0000}" name="31н.30*" dataDxfId="680"/>
    <tableColumn id="2879" xr3:uid="{00000000-0010-0000-0000-00003F0B0000}" name="31п.Н" dataDxfId="679"/>
    <tableColumn id="2880" xr3:uid="{00000000-0010-0000-0000-0000400B0000}" name="31п.01*" dataDxfId="678"/>
    <tableColumn id="2881" xr3:uid="{00000000-0010-0000-0000-0000410B0000}" name="31п.02*" dataDxfId="677"/>
    <tableColumn id="2882" xr3:uid="{00000000-0010-0000-0000-0000420B0000}" name="31п.03*" dataDxfId="676"/>
    <tableColumn id="2883" xr3:uid="{00000000-0010-0000-0000-0000430B0000}" name="31п.04*" dataDxfId="675"/>
    <tableColumn id="2884" xr3:uid="{00000000-0010-0000-0000-0000440B0000}" name="31п.05*" dataDxfId="674"/>
    <tableColumn id="2885" xr3:uid="{00000000-0010-0000-0000-0000450B0000}" name="31п.06*" dataDxfId="673"/>
    <tableColumn id="2886" xr3:uid="{00000000-0010-0000-0000-0000460B0000}" name="31п.07*" dataDxfId="672"/>
    <tableColumn id="2887" xr3:uid="{00000000-0010-0000-0000-0000470B0000}" name="31п.08*" dataDxfId="671"/>
    <tableColumn id="2888" xr3:uid="{00000000-0010-0000-0000-0000480B0000}" name="31п.09*" dataDxfId="670"/>
    <tableColumn id="2889" xr3:uid="{00000000-0010-0000-0000-0000490B0000}" name="31п.10*" dataDxfId="669"/>
    <tableColumn id="2890" xr3:uid="{00000000-0010-0000-0000-00004A0B0000}" name="31п.11*" dataDxfId="668"/>
    <tableColumn id="2891" xr3:uid="{00000000-0010-0000-0000-00004B0B0000}" name="31п.12*" dataDxfId="667"/>
    <tableColumn id="2892" xr3:uid="{00000000-0010-0000-0000-00004C0B0000}" name="31п.13*" dataDxfId="666"/>
    <tableColumn id="2893" xr3:uid="{00000000-0010-0000-0000-00004D0B0000}" name="31п.14*" dataDxfId="665"/>
    <tableColumn id="2894" xr3:uid="{00000000-0010-0000-0000-00004E0B0000}" name="31п.15*" dataDxfId="664"/>
    <tableColumn id="2895" xr3:uid="{00000000-0010-0000-0000-00004F0B0000}" name="31п.16*" dataDxfId="663"/>
    <tableColumn id="2896" xr3:uid="{00000000-0010-0000-0000-0000500B0000}" name="31п.17*" dataDxfId="662"/>
    <tableColumn id="2897" xr3:uid="{00000000-0010-0000-0000-0000510B0000}" name="31п.18*" dataDxfId="661"/>
    <tableColumn id="2898" xr3:uid="{00000000-0010-0000-0000-0000520B0000}" name="31п.19*" dataDxfId="660"/>
    <tableColumn id="2899" xr3:uid="{00000000-0010-0000-0000-0000530B0000}" name="31п.20*" dataDxfId="659"/>
    <tableColumn id="2900" xr3:uid="{00000000-0010-0000-0000-0000540B0000}" name="31п.21*" dataDxfId="658"/>
    <tableColumn id="2901" xr3:uid="{00000000-0010-0000-0000-0000550B0000}" name="31п.22*" dataDxfId="657"/>
    <tableColumn id="2902" xr3:uid="{00000000-0010-0000-0000-0000560B0000}" name="31п.23*" dataDxfId="656"/>
    <tableColumn id="2903" xr3:uid="{00000000-0010-0000-0000-0000570B0000}" name="31п.24*" dataDxfId="655"/>
    <tableColumn id="2904" xr3:uid="{00000000-0010-0000-0000-0000580B0000}" name="31п.25*" dataDxfId="654"/>
    <tableColumn id="2905" xr3:uid="{00000000-0010-0000-0000-0000590B0000}" name="31п.26*" dataDxfId="653"/>
    <tableColumn id="2906" xr3:uid="{00000000-0010-0000-0000-00005A0B0000}" name="31п.27*" dataDxfId="652"/>
    <tableColumn id="2907" xr3:uid="{00000000-0010-0000-0000-00005B0B0000}" name="31п.28*" dataDxfId="651"/>
    <tableColumn id="2908" xr3:uid="{00000000-0010-0000-0000-00005C0B0000}" name="31п.29*" dataDxfId="650"/>
    <tableColumn id="2909" xr3:uid="{00000000-0010-0000-0000-00005D0B0000}" name="31п.30*" dataDxfId="649"/>
    <tableColumn id="2941" xr3:uid="{00000000-0010-0000-0000-00007D0B0000}" name="32н.Н" dataDxfId="648"/>
    <tableColumn id="2942" xr3:uid="{00000000-0010-0000-0000-00007E0B0000}" name="32н.01*" dataDxfId="647"/>
    <tableColumn id="2943" xr3:uid="{00000000-0010-0000-0000-00007F0B0000}" name="32н.02*" dataDxfId="646"/>
    <tableColumn id="2944" xr3:uid="{00000000-0010-0000-0000-0000800B0000}" name="32н.03*" dataDxfId="645"/>
    <tableColumn id="2945" xr3:uid="{00000000-0010-0000-0000-0000810B0000}" name="32н.04*" dataDxfId="644"/>
    <tableColumn id="2946" xr3:uid="{00000000-0010-0000-0000-0000820B0000}" name="32н.05*" dataDxfId="643"/>
    <tableColumn id="2947" xr3:uid="{00000000-0010-0000-0000-0000830B0000}" name="32н.06*" dataDxfId="642"/>
    <tableColumn id="2948" xr3:uid="{00000000-0010-0000-0000-0000840B0000}" name="32н.07*" dataDxfId="641"/>
    <tableColumn id="2949" xr3:uid="{00000000-0010-0000-0000-0000850B0000}" name="32н.08*" dataDxfId="640"/>
    <tableColumn id="2950" xr3:uid="{00000000-0010-0000-0000-0000860B0000}" name="32н.09*" dataDxfId="639"/>
    <tableColumn id="2951" xr3:uid="{00000000-0010-0000-0000-0000870B0000}" name="32н.10*" dataDxfId="638"/>
    <tableColumn id="2952" xr3:uid="{00000000-0010-0000-0000-0000880B0000}" name="32н.11*" dataDxfId="637"/>
    <tableColumn id="2953" xr3:uid="{00000000-0010-0000-0000-0000890B0000}" name="32н.12*" dataDxfId="636"/>
    <tableColumn id="2954" xr3:uid="{00000000-0010-0000-0000-00008A0B0000}" name="32н.13*" dataDxfId="635"/>
    <tableColumn id="2955" xr3:uid="{00000000-0010-0000-0000-00008B0B0000}" name="32н.14*" dataDxfId="634"/>
    <tableColumn id="2956" xr3:uid="{00000000-0010-0000-0000-00008C0B0000}" name="32н.15*" dataDxfId="633"/>
    <tableColumn id="2957" xr3:uid="{00000000-0010-0000-0000-00008D0B0000}" name="32н.16*" dataDxfId="632"/>
    <tableColumn id="2958" xr3:uid="{00000000-0010-0000-0000-00008E0B0000}" name="32н.17*" dataDxfId="631"/>
    <tableColumn id="2959" xr3:uid="{00000000-0010-0000-0000-00008F0B0000}" name="32н.18*" dataDxfId="630"/>
    <tableColumn id="2960" xr3:uid="{00000000-0010-0000-0000-0000900B0000}" name="32н.19*" dataDxfId="629"/>
    <tableColumn id="2961" xr3:uid="{00000000-0010-0000-0000-0000910B0000}" name="32н.20*" dataDxfId="628"/>
    <tableColumn id="2962" xr3:uid="{00000000-0010-0000-0000-0000920B0000}" name="32н.21*" dataDxfId="627"/>
    <tableColumn id="2963" xr3:uid="{00000000-0010-0000-0000-0000930B0000}" name="32н.22*" dataDxfId="626"/>
    <tableColumn id="2964" xr3:uid="{00000000-0010-0000-0000-0000940B0000}" name="32н.23*" dataDxfId="625"/>
    <tableColumn id="2965" xr3:uid="{00000000-0010-0000-0000-0000950B0000}" name="32н.24*" dataDxfId="624"/>
    <tableColumn id="2966" xr3:uid="{00000000-0010-0000-0000-0000960B0000}" name="32н.25*" dataDxfId="623"/>
    <tableColumn id="2967" xr3:uid="{00000000-0010-0000-0000-0000970B0000}" name="32н.26*" dataDxfId="622"/>
    <tableColumn id="2968" xr3:uid="{00000000-0010-0000-0000-0000980B0000}" name="32н.27*" dataDxfId="621"/>
    <tableColumn id="2969" xr3:uid="{00000000-0010-0000-0000-0000990B0000}" name="32н.28*" dataDxfId="620"/>
    <tableColumn id="2970" xr3:uid="{00000000-0010-0000-0000-00009A0B0000}" name="32н.29*" dataDxfId="619"/>
    <tableColumn id="2971" xr3:uid="{00000000-0010-0000-0000-00009B0B0000}" name="32н.30*" dataDxfId="618"/>
    <tableColumn id="2972" xr3:uid="{00000000-0010-0000-0000-00009C0B0000}" name="32п.Н" dataDxfId="617"/>
    <tableColumn id="2973" xr3:uid="{00000000-0010-0000-0000-00009D0B0000}" name="32п.01*" dataDxfId="616"/>
    <tableColumn id="2974" xr3:uid="{00000000-0010-0000-0000-00009E0B0000}" name="32п.02*" dataDxfId="615"/>
    <tableColumn id="2975" xr3:uid="{00000000-0010-0000-0000-00009F0B0000}" name="32п.03*" dataDxfId="614"/>
    <tableColumn id="2976" xr3:uid="{00000000-0010-0000-0000-0000A00B0000}" name="32п.04*" dataDxfId="613"/>
    <tableColumn id="2977" xr3:uid="{00000000-0010-0000-0000-0000A10B0000}" name="32п.05*" dataDxfId="612"/>
    <tableColumn id="2978" xr3:uid="{00000000-0010-0000-0000-0000A20B0000}" name="32п.06*" dataDxfId="611"/>
    <tableColumn id="2979" xr3:uid="{00000000-0010-0000-0000-0000A30B0000}" name="32п.07*" dataDxfId="610"/>
    <tableColumn id="2980" xr3:uid="{00000000-0010-0000-0000-0000A40B0000}" name="32п.08*" dataDxfId="609"/>
    <tableColumn id="2981" xr3:uid="{00000000-0010-0000-0000-0000A50B0000}" name="32п.09*" dataDxfId="608"/>
    <tableColumn id="2982" xr3:uid="{00000000-0010-0000-0000-0000A60B0000}" name="32п.10*" dataDxfId="607"/>
    <tableColumn id="2983" xr3:uid="{00000000-0010-0000-0000-0000A70B0000}" name="32п.11*" dataDxfId="606"/>
    <tableColumn id="2984" xr3:uid="{00000000-0010-0000-0000-0000A80B0000}" name="32п.12*" dataDxfId="605"/>
    <tableColumn id="2985" xr3:uid="{00000000-0010-0000-0000-0000A90B0000}" name="32п.13*" dataDxfId="604"/>
    <tableColumn id="2986" xr3:uid="{00000000-0010-0000-0000-0000AA0B0000}" name="32п.14*" dataDxfId="603"/>
    <tableColumn id="2987" xr3:uid="{00000000-0010-0000-0000-0000AB0B0000}" name="32п.15*" dataDxfId="602"/>
    <tableColumn id="2988" xr3:uid="{00000000-0010-0000-0000-0000AC0B0000}" name="32п.16*" dataDxfId="601"/>
    <tableColumn id="2989" xr3:uid="{00000000-0010-0000-0000-0000AD0B0000}" name="32п.17*" dataDxfId="600"/>
    <tableColumn id="2990" xr3:uid="{00000000-0010-0000-0000-0000AE0B0000}" name="32п.18*" dataDxfId="599"/>
    <tableColumn id="2991" xr3:uid="{00000000-0010-0000-0000-0000AF0B0000}" name="32п.19*" dataDxfId="598"/>
    <tableColumn id="2992" xr3:uid="{00000000-0010-0000-0000-0000B00B0000}" name="32п.20*" dataDxfId="597"/>
    <tableColumn id="2993" xr3:uid="{00000000-0010-0000-0000-0000B10B0000}" name="32п.21*" dataDxfId="596"/>
    <tableColumn id="2994" xr3:uid="{00000000-0010-0000-0000-0000B20B0000}" name="32п.22*" dataDxfId="595"/>
    <tableColumn id="2995" xr3:uid="{00000000-0010-0000-0000-0000B30B0000}" name="32п.23*" dataDxfId="594"/>
    <tableColumn id="2996" xr3:uid="{00000000-0010-0000-0000-0000B40B0000}" name="32п.24*" dataDxfId="593"/>
    <tableColumn id="2997" xr3:uid="{00000000-0010-0000-0000-0000B50B0000}" name="32п.25*" dataDxfId="592"/>
    <tableColumn id="2998" xr3:uid="{00000000-0010-0000-0000-0000B60B0000}" name="32п.26*" dataDxfId="591"/>
    <tableColumn id="2999" xr3:uid="{00000000-0010-0000-0000-0000B70B0000}" name="32п.27*" dataDxfId="590"/>
    <tableColumn id="3000" xr3:uid="{00000000-0010-0000-0000-0000B80B0000}" name="32п.28*" dataDxfId="589"/>
    <tableColumn id="3001" xr3:uid="{00000000-0010-0000-0000-0000B90B0000}" name="32п.29*" dataDxfId="588"/>
    <tableColumn id="3002" xr3:uid="{00000000-0010-0000-0000-0000BA0B0000}" name="32п.30*" dataDxfId="587"/>
    <tableColumn id="3034" xr3:uid="{00000000-0010-0000-0000-0000DA0B0000}" name="33н.Н" dataDxfId="586"/>
    <tableColumn id="3035" xr3:uid="{00000000-0010-0000-0000-0000DB0B0000}" name="33н.01*" dataDxfId="585"/>
    <tableColumn id="3036" xr3:uid="{00000000-0010-0000-0000-0000DC0B0000}" name="33н.02*" dataDxfId="584"/>
    <tableColumn id="3037" xr3:uid="{00000000-0010-0000-0000-0000DD0B0000}" name="33н.03*" dataDxfId="583"/>
    <tableColumn id="3038" xr3:uid="{00000000-0010-0000-0000-0000DE0B0000}" name="33н.04*" dataDxfId="582"/>
    <tableColumn id="3039" xr3:uid="{00000000-0010-0000-0000-0000DF0B0000}" name="33н.05*" dataDxfId="581"/>
    <tableColumn id="3040" xr3:uid="{00000000-0010-0000-0000-0000E00B0000}" name="33н.06*" dataDxfId="580"/>
    <tableColumn id="3041" xr3:uid="{00000000-0010-0000-0000-0000E10B0000}" name="33н.07*" dataDxfId="579"/>
    <tableColumn id="3042" xr3:uid="{00000000-0010-0000-0000-0000E20B0000}" name="33н.08*" dataDxfId="578"/>
    <tableColumn id="3043" xr3:uid="{00000000-0010-0000-0000-0000E30B0000}" name="33н.09*" dataDxfId="577"/>
    <tableColumn id="3044" xr3:uid="{00000000-0010-0000-0000-0000E40B0000}" name="33н.10*" dataDxfId="576"/>
    <tableColumn id="3045" xr3:uid="{00000000-0010-0000-0000-0000E50B0000}" name="33н.11*" dataDxfId="575"/>
    <tableColumn id="3046" xr3:uid="{00000000-0010-0000-0000-0000E60B0000}" name="33н.12*" dataDxfId="574"/>
    <tableColumn id="3047" xr3:uid="{00000000-0010-0000-0000-0000E70B0000}" name="33н.13*" dataDxfId="573"/>
    <tableColumn id="3048" xr3:uid="{00000000-0010-0000-0000-0000E80B0000}" name="33н.14*" dataDxfId="572"/>
    <tableColumn id="3049" xr3:uid="{00000000-0010-0000-0000-0000E90B0000}" name="33н.15*" dataDxfId="571"/>
    <tableColumn id="3050" xr3:uid="{00000000-0010-0000-0000-0000EA0B0000}" name="33н.16*" dataDxfId="570"/>
    <tableColumn id="3051" xr3:uid="{00000000-0010-0000-0000-0000EB0B0000}" name="33н.17*" dataDxfId="569"/>
    <tableColumn id="3052" xr3:uid="{00000000-0010-0000-0000-0000EC0B0000}" name="33н.18*" dataDxfId="568"/>
    <tableColumn id="3053" xr3:uid="{00000000-0010-0000-0000-0000ED0B0000}" name="33н.19*" dataDxfId="567"/>
    <tableColumn id="3054" xr3:uid="{00000000-0010-0000-0000-0000EE0B0000}" name="33н.20*" dataDxfId="566"/>
    <tableColumn id="3055" xr3:uid="{00000000-0010-0000-0000-0000EF0B0000}" name="33н.21*" dataDxfId="565"/>
    <tableColumn id="3056" xr3:uid="{00000000-0010-0000-0000-0000F00B0000}" name="33н.22*" dataDxfId="564"/>
    <tableColumn id="3057" xr3:uid="{00000000-0010-0000-0000-0000F10B0000}" name="33н.23*" dataDxfId="563"/>
    <tableColumn id="3058" xr3:uid="{00000000-0010-0000-0000-0000F20B0000}" name="33н.24*" dataDxfId="562"/>
    <tableColumn id="3059" xr3:uid="{00000000-0010-0000-0000-0000F30B0000}" name="33н.25*" dataDxfId="561"/>
    <tableColumn id="3060" xr3:uid="{00000000-0010-0000-0000-0000F40B0000}" name="33н.26*" dataDxfId="560"/>
    <tableColumn id="3061" xr3:uid="{00000000-0010-0000-0000-0000F50B0000}" name="33н.27*" dataDxfId="559"/>
    <tableColumn id="3062" xr3:uid="{00000000-0010-0000-0000-0000F60B0000}" name="33н.28*" dataDxfId="558"/>
    <tableColumn id="3063" xr3:uid="{00000000-0010-0000-0000-0000F70B0000}" name="33н.29*" dataDxfId="557"/>
    <tableColumn id="3064" xr3:uid="{00000000-0010-0000-0000-0000F80B0000}" name="33н.30*" dataDxfId="556"/>
    <tableColumn id="3065" xr3:uid="{00000000-0010-0000-0000-0000F90B0000}" name="33п.Н" dataDxfId="555"/>
    <tableColumn id="3066" xr3:uid="{00000000-0010-0000-0000-0000FA0B0000}" name="33п.01*" dataDxfId="554"/>
    <tableColumn id="3067" xr3:uid="{00000000-0010-0000-0000-0000FB0B0000}" name="33п.02*" dataDxfId="553"/>
    <tableColumn id="3068" xr3:uid="{00000000-0010-0000-0000-0000FC0B0000}" name="33п.03*" dataDxfId="552"/>
    <tableColumn id="3069" xr3:uid="{00000000-0010-0000-0000-0000FD0B0000}" name="33п.04*" dataDxfId="551"/>
    <tableColumn id="3070" xr3:uid="{00000000-0010-0000-0000-0000FE0B0000}" name="33п.05*" dataDxfId="550"/>
    <tableColumn id="3071" xr3:uid="{00000000-0010-0000-0000-0000FF0B0000}" name="33п.06*" dataDxfId="549"/>
    <tableColumn id="3072" xr3:uid="{00000000-0010-0000-0000-0000000C0000}" name="33п.07*" dataDxfId="548"/>
    <tableColumn id="3073" xr3:uid="{00000000-0010-0000-0000-0000010C0000}" name="33п.08*" dataDxfId="547"/>
    <tableColumn id="3074" xr3:uid="{00000000-0010-0000-0000-0000020C0000}" name="33п.09*" dataDxfId="546"/>
    <tableColumn id="3075" xr3:uid="{00000000-0010-0000-0000-0000030C0000}" name="33п.10*" dataDxfId="545"/>
    <tableColumn id="3076" xr3:uid="{00000000-0010-0000-0000-0000040C0000}" name="33п.11*" dataDxfId="544"/>
    <tableColumn id="3077" xr3:uid="{00000000-0010-0000-0000-0000050C0000}" name="33п.12*" dataDxfId="543"/>
    <tableColumn id="3078" xr3:uid="{00000000-0010-0000-0000-0000060C0000}" name="33п.13*" dataDxfId="542"/>
    <tableColumn id="3079" xr3:uid="{00000000-0010-0000-0000-0000070C0000}" name="33п.14*" dataDxfId="541"/>
    <tableColumn id="3080" xr3:uid="{00000000-0010-0000-0000-0000080C0000}" name="33п.15*" dataDxfId="540"/>
    <tableColumn id="3081" xr3:uid="{00000000-0010-0000-0000-0000090C0000}" name="33п.16*" dataDxfId="539"/>
    <tableColumn id="3082" xr3:uid="{00000000-0010-0000-0000-00000A0C0000}" name="33п.17*" dataDxfId="538"/>
    <tableColumn id="3083" xr3:uid="{00000000-0010-0000-0000-00000B0C0000}" name="33п.18*" dataDxfId="537"/>
    <tableColumn id="3084" xr3:uid="{00000000-0010-0000-0000-00000C0C0000}" name="33п.19*" dataDxfId="536"/>
    <tableColumn id="3085" xr3:uid="{00000000-0010-0000-0000-00000D0C0000}" name="33п.20*" dataDxfId="535"/>
    <tableColumn id="3086" xr3:uid="{00000000-0010-0000-0000-00000E0C0000}" name="33п.21*" dataDxfId="534"/>
    <tableColumn id="3087" xr3:uid="{00000000-0010-0000-0000-00000F0C0000}" name="33п.22*" dataDxfId="533"/>
    <tableColumn id="3088" xr3:uid="{00000000-0010-0000-0000-0000100C0000}" name="33п.23*" dataDxfId="532"/>
    <tableColumn id="3089" xr3:uid="{00000000-0010-0000-0000-0000110C0000}" name="33п.24*" dataDxfId="531"/>
    <tableColumn id="3090" xr3:uid="{00000000-0010-0000-0000-0000120C0000}" name="33п.25*" dataDxfId="530"/>
    <tableColumn id="3091" xr3:uid="{00000000-0010-0000-0000-0000130C0000}" name="33п.26*" dataDxfId="529"/>
    <tableColumn id="3092" xr3:uid="{00000000-0010-0000-0000-0000140C0000}" name="33п.27*" dataDxfId="528"/>
    <tableColumn id="3093" xr3:uid="{00000000-0010-0000-0000-0000150C0000}" name="33п.28*" dataDxfId="527"/>
    <tableColumn id="3094" xr3:uid="{00000000-0010-0000-0000-0000160C0000}" name="33п.29*" dataDxfId="526"/>
    <tableColumn id="3095" xr3:uid="{00000000-0010-0000-0000-0000170C0000}" name="33п.30*" dataDxfId="525"/>
    <tableColumn id="3127" xr3:uid="{00000000-0010-0000-0000-0000370C0000}" name="34н.Н" dataDxfId="524"/>
    <tableColumn id="3128" xr3:uid="{00000000-0010-0000-0000-0000380C0000}" name="34н.01*" dataDxfId="523"/>
    <tableColumn id="3129" xr3:uid="{00000000-0010-0000-0000-0000390C0000}" name="34н.02*" dataDxfId="522"/>
    <tableColumn id="3130" xr3:uid="{00000000-0010-0000-0000-00003A0C0000}" name="34н.03*" dataDxfId="521"/>
    <tableColumn id="3131" xr3:uid="{00000000-0010-0000-0000-00003B0C0000}" name="34н.04*" dataDxfId="520"/>
    <tableColumn id="3132" xr3:uid="{00000000-0010-0000-0000-00003C0C0000}" name="34н.05*" dataDxfId="519"/>
    <tableColumn id="3133" xr3:uid="{00000000-0010-0000-0000-00003D0C0000}" name="34н.06*" dataDxfId="518"/>
    <tableColumn id="3134" xr3:uid="{00000000-0010-0000-0000-00003E0C0000}" name="34н.07*" dataDxfId="517"/>
    <tableColumn id="3135" xr3:uid="{00000000-0010-0000-0000-00003F0C0000}" name="34н.08*" dataDxfId="516"/>
    <tableColumn id="3136" xr3:uid="{00000000-0010-0000-0000-0000400C0000}" name="34н.09*" dataDxfId="515"/>
    <tableColumn id="3137" xr3:uid="{00000000-0010-0000-0000-0000410C0000}" name="34н.10*" dataDxfId="514"/>
    <tableColumn id="3138" xr3:uid="{00000000-0010-0000-0000-0000420C0000}" name="34н.11*" dataDxfId="513"/>
    <tableColumn id="3139" xr3:uid="{00000000-0010-0000-0000-0000430C0000}" name="34н.12*" dataDxfId="512"/>
    <tableColumn id="3140" xr3:uid="{00000000-0010-0000-0000-0000440C0000}" name="34н.13*" dataDxfId="511"/>
    <tableColumn id="3141" xr3:uid="{00000000-0010-0000-0000-0000450C0000}" name="34н.14*" dataDxfId="510"/>
    <tableColumn id="3142" xr3:uid="{00000000-0010-0000-0000-0000460C0000}" name="34н.15*" dataDxfId="509"/>
    <tableColumn id="3143" xr3:uid="{00000000-0010-0000-0000-0000470C0000}" name="34н.16*" dataDxfId="508"/>
    <tableColumn id="3144" xr3:uid="{00000000-0010-0000-0000-0000480C0000}" name="34н.17*" dataDxfId="507"/>
    <tableColumn id="3145" xr3:uid="{00000000-0010-0000-0000-0000490C0000}" name="34н.18*" dataDxfId="506"/>
    <tableColumn id="3146" xr3:uid="{00000000-0010-0000-0000-00004A0C0000}" name="34н.19*" dataDxfId="505"/>
    <tableColumn id="3147" xr3:uid="{00000000-0010-0000-0000-00004B0C0000}" name="34н.20*" dataDxfId="504"/>
    <tableColumn id="3148" xr3:uid="{00000000-0010-0000-0000-00004C0C0000}" name="34н.21*" dataDxfId="503"/>
    <tableColumn id="3149" xr3:uid="{00000000-0010-0000-0000-00004D0C0000}" name="34н.22*" dataDxfId="502"/>
    <tableColumn id="3150" xr3:uid="{00000000-0010-0000-0000-00004E0C0000}" name="34н.23*" dataDxfId="501"/>
    <tableColumn id="3151" xr3:uid="{00000000-0010-0000-0000-00004F0C0000}" name="34н.24*" dataDxfId="500"/>
    <tableColumn id="3152" xr3:uid="{00000000-0010-0000-0000-0000500C0000}" name="34н.25*" dataDxfId="499"/>
    <tableColumn id="3153" xr3:uid="{00000000-0010-0000-0000-0000510C0000}" name="34н.26*" dataDxfId="498"/>
    <tableColumn id="3154" xr3:uid="{00000000-0010-0000-0000-0000520C0000}" name="34н.27*" dataDxfId="497"/>
    <tableColumn id="3155" xr3:uid="{00000000-0010-0000-0000-0000530C0000}" name="34н.28*" dataDxfId="496"/>
    <tableColumn id="3156" xr3:uid="{00000000-0010-0000-0000-0000540C0000}" name="34н.29*" dataDxfId="495"/>
    <tableColumn id="3157" xr3:uid="{00000000-0010-0000-0000-0000550C0000}" name="34н.30*" dataDxfId="494"/>
    <tableColumn id="3158" xr3:uid="{00000000-0010-0000-0000-0000560C0000}" name="34п.Н" dataDxfId="493"/>
    <tableColumn id="3159" xr3:uid="{00000000-0010-0000-0000-0000570C0000}" name="34п.01*" dataDxfId="492"/>
    <tableColumn id="3160" xr3:uid="{00000000-0010-0000-0000-0000580C0000}" name="34п.02*" dataDxfId="491"/>
    <tableColumn id="3161" xr3:uid="{00000000-0010-0000-0000-0000590C0000}" name="34п.03*" dataDxfId="490"/>
    <tableColumn id="3162" xr3:uid="{00000000-0010-0000-0000-00005A0C0000}" name="34п.04*" dataDxfId="489"/>
    <tableColumn id="3163" xr3:uid="{00000000-0010-0000-0000-00005B0C0000}" name="34п.05*" dataDxfId="488"/>
    <tableColumn id="3164" xr3:uid="{00000000-0010-0000-0000-00005C0C0000}" name="34п.06*" dataDxfId="487"/>
    <tableColumn id="3165" xr3:uid="{00000000-0010-0000-0000-00005D0C0000}" name="34п.07*" dataDxfId="486"/>
    <tableColumn id="3166" xr3:uid="{00000000-0010-0000-0000-00005E0C0000}" name="34п.08*" dataDxfId="485"/>
    <tableColumn id="3167" xr3:uid="{00000000-0010-0000-0000-00005F0C0000}" name="34п.09*" dataDxfId="484"/>
    <tableColumn id="3168" xr3:uid="{00000000-0010-0000-0000-0000600C0000}" name="34п.10*" dataDxfId="483"/>
    <tableColumn id="3169" xr3:uid="{00000000-0010-0000-0000-0000610C0000}" name="34п.11*" dataDxfId="482"/>
    <tableColumn id="3170" xr3:uid="{00000000-0010-0000-0000-0000620C0000}" name="34п.12*" dataDxfId="481"/>
    <tableColumn id="3171" xr3:uid="{00000000-0010-0000-0000-0000630C0000}" name="34п.13*" dataDxfId="480"/>
    <tableColumn id="3172" xr3:uid="{00000000-0010-0000-0000-0000640C0000}" name="34п.14*" dataDxfId="479"/>
    <tableColumn id="3173" xr3:uid="{00000000-0010-0000-0000-0000650C0000}" name="34п.15*" dataDxfId="478"/>
    <tableColumn id="3174" xr3:uid="{00000000-0010-0000-0000-0000660C0000}" name="34п.16*" dataDxfId="477"/>
    <tableColumn id="3175" xr3:uid="{00000000-0010-0000-0000-0000670C0000}" name="34п.17*" dataDxfId="476"/>
    <tableColumn id="3176" xr3:uid="{00000000-0010-0000-0000-0000680C0000}" name="34п.18*" dataDxfId="475"/>
    <tableColumn id="3177" xr3:uid="{00000000-0010-0000-0000-0000690C0000}" name="34п.19*" dataDxfId="474"/>
    <tableColumn id="3178" xr3:uid="{00000000-0010-0000-0000-00006A0C0000}" name="34п.20*" dataDxfId="473"/>
    <tableColumn id="3179" xr3:uid="{00000000-0010-0000-0000-00006B0C0000}" name="34п.21*" dataDxfId="472"/>
    <tableColumn id="3180" xr3:uid="{00000000-0010-0000-0000-00006C0C0000}" name="34п.22*" dataDxfId="471"/>
    <tableColumn id="3181" xr3:uid="{00000000-0010-0000-0000-00006D0C0000}" name="34п.23*" dataDxfId="470"/>
    <tableColumn id="3182" xr3:uid="{00000000-0010-0000-0000-00006E0C0000}" name="34п.24*" dataDxfId="469"/>
    <tableColumn id="3183" xr3:uid="{00000000-0010-0000-0000-00006F0C0000}" name="34п.25*" dataDxfId="468"/>
    <tableColumn id="3184" xr3:uid="{00000000-0010-0000-0000-0000700C0000}" name="34п.26*" dataDxfId="467"/>
    <tableColumn id="3185" xr3:uid="{00000000-0010-0000-0000-0000710C0000}" name="34п.27*" dataDxfId="466"/>
    <tableColumn id="3186" xr3:uid="{00000000-0010-0000-0000-0000720C0000}" name="34п.28*" dataDxfId="465"/>
    <tableColumn id="3187" xr3:uid="{00000000-0010-0000-0000-0000730C0000}" name="34п.29*" dataDxfId="464"/>
    <tableColumn id="3188" xr3:uid="{00000000-0010-0000-0000-0000740C0000}" name="34п.30*" dataDxfId="463"/>
    <tableColumn id="3220" xr3:uid="{00000000-0010-0000-0000-0000940C0000}" name="35н.Н" dataDxfId="462"/>
    <tableColumn id="3221" xr3:uid="{00000000-0010-0000-0000-0000950C0000}" name="35н.01*" dataDxfId="461"/>
    <tableColumn id="3222" xr3:uid="{00000000-0010-0000-0000-0000960C0000}" name="35н.02*" dataDxfId="460"/>
    <tableColumn id="3223" xr3:uid="{00000000-0010-0000-0000-0000970C0000}" name="35н.03*" dataDxfId="459"/>
    <tableColumn id="3224" xr3:uid="{00000000-0010-0000-0000-0000980C0000}" name="35н.04*" dataDxfId="458"/>
    <tableColumn id="3225" xr3:uid="{00000000-0010-0000-0000-0000990C0000}" name="35н.05*" dataDxfId="457"/>
    <tableColumn id="3226" xr3:uid="{00000000-0010-0000-0000-00009A0C0000}" name="35н.06*" dataDxfId="456"/>
    <tableColumn id="3227" xr3:uid="{00000000-0010-0000-0000-00009B0C0000}" name="35н.07*" dataDxfId="455"/>
    <tableColumn id="3228" xr3:uid="{00000000-0010-0000-0000-00009C0C0000}" name="35н.08*" dataDxfId="454"/>
    <tableColumn id="3229" xr3:uid="{00000000-0010-0000-0000-00009D0C0000}" name="35н.09*" dataDxfId="453"/>
    <tableColumn id="3230" xr3:uid="{00000000-0010-0000-0000-00009E0C0000}" name="35н.10*" dataDxfId="452"/>
    <tableColumn id="3231" xr3:uid="{00000000-0010-0000-0000-00009F0C0000}" name="35н.11*" dataDxfId="451"/>
    <tableColumn id="3232" xr3:uid="{00000000-0010-0000-0000-0000A00C0000}" name="35н.12*" dataDxfId="450"/>
    <tableColumn id="3233" xr3:uid="{00000000-0010-0000-0000-0000A10C0000}" name="35н.13*" dataDxfId="449"/>
    <tableColumn id="3234" xr3:uid="{00000000-0010-0000-0000-0000A20C0000}" name="35н.14*" dataDxfId="448"/>
    <tableColumn id="3235" xr3:uid="{00000000-0010-0000-0000-0000A30C0000}" name="35н.15*" dataDxfId="447"/>
    <tableColumn id="3236" xr3:uid="{00000000-0010-0000-0000-0000A40C0000}" name="35н.16*" dataDxfId="446"/>
    <tableColumn id="3237" xr3:uid="{00000000-0010-0000-0000-0000A50C0000}" name="35н.17*" dataDxfId="445"/>
    <tableColumn id="3238" xr3:uid="{00000000-0010-0000-0000-0000A60C0000}" name="35н.18*" dataDxfId="444"/>
    <tableColumn id="3239" xr3:uid="{00000000-0010-0000-0000-0000A70C0000}" name="35н.19*" dataDxfId="443"/>
    <tableColumn id="3240" xr3:uid="{00000000-0010-0000-0000-0000A80C0000}" name="35н.20*" dataDxfId="442"/>
    <tableColumn id="3241" xr3:uid="{00000000-0010-0000-0000-0000A90C0000}" name="35н.21*" dataDxfId="441"/>
    <tableColumn id="3242" xr3:uid="{00000000-0010-0000-0000-0000AA0C0000}" name="35н.22*" dataDxfId="440"/>
    <tableColumn id="3243" xr3:uid="{00000000-0010-0000-0000-0000AB0C0000}" name="35н.23*" dataDxfId="439"/>
    <tableColumn id="3244" xr3:uid="{00000000-0010-0000-0000-0000AC0C0000}" name="35н.24*" dataDxfId="438"/>
    <tableColumn id="3245" xr3:uid="{00000000-0010-0000-0000-0000AD0C0000}" name="35н.25*" dataDxfId="437"/>
    <tableColumn id="3246" xr3:uid="{00000000-0010-0000-0000-0000AE0C0000}" name="35н.26*" dataDxfId="436"/>
    <tableColumn id="3247" xr3:uid="{00000000-0010-0000-0000-0000AF0C0000}" name="35н.27*" dataDxfId="435"/>
    <tableColumn id="3248" xr3:uid="{00000000-0010-0000-0000-0000B00C0000}" name="35н.28*" dataDxfId="434"/>
    <tableColumn id="3249" xr3:uid="{00000000-0010-0000-0000-0000B10C0000}" name="35н.29*" dataDxfId="433"/>
    <tableColumn id="3250" xr3:uid="{00000000-0010-0000-0000-0000B20C0000}" name="35н.30*" dataDxfId="432"/>
    <tableColumn id="3251" xr3:uid="{00000000-0010-0000-0000-0000B30C0000}" name="35п.Н" dataDxfId="431"/>
    <tableColumn id="3252" xr3:uid="{00000000-0010-0000-0000-0000B40C0000}" name="35п.01*" dataDxfId="430"/>
    <tableColumn id="3253" xr3:uid="{00000000-0010-0000-0000-0000B50C0000}" name="35п.02*" dataDxfId="429"/>
    <tableColumn id="3254" xr3:uid="{00000000-0010-0000-0000-0000B60C0000}" name="35п.03*" dataDxfId="428"/>
    <tableColumn id="3255" xr3:uid="{00000000-0010-0000-0000-0000B70C0000}" name="35п.04*" dataDxfId="427"/>
    <tableColumn id="3256" xr3:uid="{00000000-0010-0000-0000-0000B80C0000}" name="35п.05*" dataDxfId="426"/>
    <tableColumn id="3257" xr3:uid="{00000000-0010-0000-0000-0000B90C0000}" name="35п.06*" dataDxfId="425"/>
    <tableColumn id="3258" xr3:uid="{00000000-0010-0000-0000-0000BA0C0000}" name="35п.07*" dataDxfId="424"/>
    <tableColumn id="3259" xr3:uid="{00000000-0010-0000-0000-0000BB0C0000}" name="35п.08*" dataDxfId="423"/>
    <tableColumn id="3260" xr3:uid="{00000000-0010-0000-0000-0000BC0C0000}" name="35п.09*" dataDxfId="422"/>
    <tableColumn id="3261" xr3:uid="{00000000-0010-0000-0000-0000BD0C0000}" name="35п.10*" dataDxfId="421"/>
    <tableColumn id="3262" xr3:uid="{00000000-0010-0000-0000-0000BE0C0000}" name="35п.11*" dataDxfId="420"/>
    <tableColumn id="3263" xr3:uid="{00000000-0010-0000-0000-0000BF0C0000}" name="35п.12*" dataDxfId="419"/>
    <tableColumn id="3264" xr3:uid="{00000000-0010-0000-0000-0000C00C0000}" name="35п.13*" dataDxfId="418"/>
    <tableColumn id="3265" xr3:uid="{00000000-0010-0000-0000-0000C10C0000}" name="35п.14*" dataDxfId="417"/>
    <tableColumn id="3266" xr3:uid="{00000000-0010-0000-0000-0000C20C0000}" name="35п.15*" dataDxfId="416"/>
    <tableColumn id="3267" xr3:uid="{00000000-0010-0000-0000-0000C30C0000}" name="35п.16*" dataDxfId="415"/>
    <tableColumn id="3268" xr3:uid="{00000000-0010-0000-0000-0000C40C0000}" name="35п.17*" dataDxfId="414"/>
    <tableColumn id="3269" xr3:uid="{00000000-0010-0000-0000-0000C50C0000}" name="35п.18*" dataDxfId="413"/>
    <tableColumn id="3270" xr3:uid="{00000000-0010-0000-0000-0000C60C0000}" name="35п.19*" dataDxfId="412"/>
    <tableColumn id="3271" xr3:uid="{00000000-0010-0000-0000-0000C70C0000}" name="35п.20*" dataDxfId="411"/>
    <tableColumn id="3272" xr3:uid="{00000000-0010-0000-0000-0000C80C0000}" name="35п.21*" dataDxfId="410"/>
    <tableColumn id="3273" xr3:uid="{00000000-0010-0000-0000-0000C90C0000}" name="35п.22*" dataDxfId="409"/>
    <tableColumn id="3274" xr3:uid="{00000000-0010-0000-0000-0000CA0C0000}" name="35п.23*" dataDxfId="408"/>
    <tableColumn id="3275" xr3:uid="{00000000-0010-0000-0000-0000CB0C0000}" name="35п.24*" dataDxfId="407"/>
    <tableColumn id="3276" xr3:uid="{00000000-0010-0000-0000-0000CC0C0000}" name="35п.25*" dataDxfId="406"/>
    <tableColumn id="3277" xr3:uid="{00000000-0010-0000-0000-0000CD0C0000}" name="35п.26*" dataDxfId="405"/>
    <tableColumn id="3278" xr3:uid="{00000000-0010-0000-0000-0000CE0C0000}" name="35п.27*" dataDxfId="404"/>
    <tableColumn id="3279" xr3:uid="{00000000-0010-0000-0000-0000CF0C0000}" name="35п.28*" dataDxfId="403"/>
    <tableColumn id="3280" xr3:uid="{00000000-0010-0000-0000-0000D00C0000}" name="35п.29*" dataDxfId="402"/>
    <tableColumn id="3281" xr3:uid="{00000000-0010-0000-0000-0000D10C0000}" name="35п.30*" dataDxfId="401"/>
    <tableColumn id="3313" xr3:uid="{00000000-0010-0000-0000-0000F10C0000}" name="36н.Н" dataDxfId="400"/>
    <tableColumn id="3314" xr3:uid="{00000000-0010-0000-0000-0000F20C0000}" name="36н.01*" dataDxfId="399"/>
    <tableColumn id="3315" xr3:uid="{00000000-0010-0000-0000-0000F30C0000}" name="36н.02*" dataDxfId="398"/>
    <tableColumn id="3316" xr3:uid="{00000000-0010-0000-0000-0000F40C0000}" name="36н.03*" dataDxfId="397"/>
    <tableColumn id="3317" xr3:uid="{00000000-0010-0000-0000-0000F50C0000}" name="36н.04*" dataDxfId="396"/>
    <tableColumn id="3318" xr3:uid="{00000000-0010-0000-0000-0000F60C0000}" name="36н.05*" dataDxfId="395"/>
    <tableColumn id="3319" xr3:uid="{00000000-0010-0000-0000-0000F70C0000}" name="36н.06*" dataDxfId="394"/>
    <tableColumn id="3320" xr3:uid="{00000000-0010-0000-0000-0000F80C0000}" name="36н.07*" dataDxfId="393"/>
    <tableColumn id="3321" xr3:uid="{00000000-0010-0000-0000-0000F90C0000}" name="36н.08*" dataDxfId="392"/>
    <tableColumn id="3322" xr3:uid="{00000000-0010-0000-0000-0000FA0C0000}" name="36н.09*" dataDxfId="391"/>
    <tableColumn id="3323" xr3:uid="{00000000-0010-0000-0000-0000FB0C0000}" name="36н.10*" dataDxfId="390"/>
    <tableColumn id="3324" xr3:uid="{00000000-0010-0000-0000-0000FC0C0000}" name="36н.11*" dataDxfId="389"/>
    <tableColumn id="3325" xr3:uid="{00000000-0010-0000-0000-0000FD0C0000}" name="36н.12*" dataDxfId="388"/>
    <tableColumn id="3326" xr3:uid="{00000000-0010-0000-0000-0000FE0C0000}" name="36н.13*" dataDxfId="387"/>
    <tableColumn id="3327" xr3:uid="{00000000-0010-0000-0000-0000FF0C0000}" name="36н.14*" dataDxfId="386"/>
    <tableColumn id="3328" xr3:uid="{00000000-0010-0000-0000-0000000D0000}" name="36н.15*" dataDxfId="385"/>
    <tableColumn id="3329" xr3:uid="{00000000-0010-0000-0000-0000010D0000}" name="36н.16*" dataDxfId="384"/>
    <tableColumn id="3330" xr3:uid="{00000000-0010-0000-0000-0000020D0000}" name="36н.17*" dataDxfId="383"/>
    <tableColumn id="3331" xr3:uid="{00000000-0010-0000-0000-0000030D0000}" name="36н.18*" dataDxfId="382"/>
    <tableColumn id="3332" xr3:uid="{00000000-0010-0000-0000-0000040D0000}" name="36н.19*" dataDxfId="381"/>
    <tableColumn id="3333" xr3:uid="{00000000-0010-0000-0000-0000050D0000}" name="36н.20*" dataDxfId="380"/>
    <tableColumn id="3334" xr3:uid="{00000000-0010-0000-0000-0000060D0000}" name="36н.21*" dataDxfId="379"/>
    <tableColumn id="3335" xr3:uid="{00000000-0010-0000-0000-0000070D0000}" name="36н.22*" dataDxfId="378"/>
    <tableColumn id="3336" xr3:uid="{00000000-0010-0000-0000-0000080D0000}" name="36н.23*" dataDxfId="377"/>
    <tableColumn id="3337" xr3:uid="{00000000-0010-0000-0000-0000090D0000}" name="36н.24*" dataDxfId="376"/>
    <tableColumn id="3338" xr3:uid="{00000000-0010-0000-0000-00000A0D0000}" name="36н.25*" dataDxfId="375"/>
    <tableColumn id="3339" xr3:uid="{00000000-0010-0000-0000-00000B0D0000}" name="36н.26*" dataDxfId="374"/>
    <tableColumn id="3340" xr3:uid="{00000000-0010-0000-0000-00000C0D0000}" name="36н.27*" dataDxfId="373"/>
    <tableColumn id="3341" xr3:uid="{00000000-0010-0000-0000-00000D0D0000}" name="36н.28*" dataDxfId="372"/>
    <tableColumn id="3342" xr3:uid="{00000000-0010-0000-0000-00000E0D0000}" name="36н.29*" dataDxfId="371"/>
    <tableColumn id="3343" xr3:uid="{00000000-0010-0000-0000-00000F0D0000}" name="36н.30*" dataDxfId="370"/>
    <tableColumn id="3344" xr3:uid="{00000000-0010-0000-0000-0000100D0000}" name="36п.Н" dataDxfId="369"/>
    <tableColumn id="3345" xr3:uid="{00000000-0010-0000-0000-0000110D0000}" name="36п.01*" dataDxfId="368"/>
    <tableColumn id="3346" xr3:uid="{00000000-0010-0000-0000-0000120D0000}" name="36п.02*" dataDxfId="367"/>
    <tableColumn id="3347" xr3:uid="{00000000-0010-0000-0000-0000130D0000}" name="36п.03*" dataDxfId="366"/>
    <tableColumn id="3348" xr3:uid="{00000000-0010-0000-0000-0000140D0000}" name="36п.04*" dataDxfId="365"/>
    <tableColumn id="3349" xr3:uid="{00000000-0010-0000-0000-0000150D0000}" name="36п.05*" dataDxfId="364"/>
    <tableColumn id="3350" xr3:uid="{00000000-0010-0000-0000-0000160D0000}" name="36п.06*" dataDxfId="363"/>
    <tableColumn id="3351" xr3:uid="{00000000-0010-0000-0000-0000170D0000}" name="36п.07*" dataDxfId="362"/>
    <tableColumn id="3352" xr3:uid="{00000000-0010-0000-0000-0000180D0000}" name="36п.08*" dataDxfId="361"/>
    <tableColumn id="3353" xr3:uid="{00000000-0010-0000-0000-0000190D0000}" name="36п.09*" dataDxfId="360"/>
    <tableColumn id="3354" xr3:uid="{00000000-0010-0000-0000-00001A0D0000}" name="36п.10*" dataDxfId="359"/>
    <tableColumn id="3355" xr3:uid="{00000000-0010-0000-0000-00001B0D0000}" name="36п.11*" dataDxfId="358"/>
    <tableColumn id="3356" xr3:uid="{00000000-0010-0000-0000-00001C0D0000}" name="36п.12*" dataDxfId="357"/>
    <tableColumn id="3357" xr3:uid="{00000000-0010-0000-0000-00001D0D0000}" name="36п.13*" dataDxfId="356"/>
    <tableColumn id="3358" xr3:uid="{00000000-0010-0000-0000-00001E0D0000}" name="36п.14*" dataDxfId="355"/>
    <tableColumn id="3359" xr3:uid="{00000000-0010-0000-0000-00001F0D0000}" name="36п.15*" dataDxfId="354"/>
    <tableColumn id="3360" xr3:uid="{00000000-0010-0000-0000-0000200D0000}" name="36п.16*" dataDxfId="353"/>
    <tableColumn id="3361" xr3:uid="{00000000-0010-0000-0000-0000210D0000}" name="36п.17*" dataDxfId="352"/>
    <tableColumn id="3362" xr3:uid="{00000000-0010-0000-0000-0000220D0000}" name="36п.18*" dataDxfId="351"/>
    <tableColumn id="3363" xr3:uid="{00000000-0010-0000-0000-0000230D0000}" name="36п.19*" dataDxfId="350"/>
    <tableColumn id="3364" xr3:uid="{00000000-0010-0000-0000-0000240D0000}" name="36п.20*" dataDxfId="349"/>
    <tableColumn id="3365" xr3:uid="{00000000-0010-0000-0000-0000250D0000}" name="36п.21*" dataDxfId="348"/>
    <tableColumn id="3366" xr3:uid="{00000000-0010-0000-0000-0000260D0000}" name="36п.22*" dataDxfId="347"/>
    <tableColumn id="3367" xr3:uid="{00000000-0010-0000-0000-0000270D0000}" name="36п.23*" dataDxfId="346"/>
    <tableColumn id="3368" xr3:uid="{00000000-0010-0000-0000-0000280D0000}" name="36п.24*" dataDxfId="345"/>
    <tableColumn id="3369" xr3:uid="{00000000-0010-0000-0000-0000290D0000}" name="36п.25*" dataDxfId="344"/>
    <tableColumn id="3370" xr3:uid="{00000000-0010-0000-0000-00002A0D0000}" name="36п.26*" dataDxfId="343"/>
    <tableColumn id="3371" xr3:uid="{00000000-0010-0000-0000-00002B0D0000}" name="36п.27*" dataDxfId="342"/>
    <tableColumn id="3372" xr3:uid="{00000000-0010-0000-0000-00002C0D0000}" name="36п.28*" dataDxfId="341"/>
    <tableColumn id="3373" xr3:uid="{00000000-0010-0000-0000-00002D0D0000}" name="36п.29*" dataDxfId="340"/>
    <tableColumn id="3374" xr3:uid="{00000000-0010-0000-0000-00002E0D0000}" name="36п.30*" dataDxfId="339"/>
    <tableColumn id="3406" xr3:uid="{00000000-0010-0000-0000-00004E0D0000}" name="37н.Н" dataDxfId="338"/>
    <tableColumn id="3407" xr3:uid="{00000000-0010-0000-0000-00004F0D0000}" name="37н.01*" dataDxfId="337"/>
    <tableColumn id="3408" xr3:uid="{00000000-0010-0000-0000-0000500D0000}" name="37н.02*" dataDxfId="336"/>
    <tableColumn id="3409" xr3:uid="{00000000-0010-0000-0000-0000510D0000}" name="37н.03*" dataDxfId="335"/>
    <tableColumn id="3410" xr3:uid="{00000000-0010-0000-0000-0000520D0000}" name="37н.04*" dataDxfId="334"/>
    <tableColumn id="3411" xr3:uid="{00000000-0010-0000-0000-0000530D0000}" name="37н.05*" dataDxfId="333"/>
    <tableColumn id="3412" xr3:uid="{00000000-0010-0000-0000-0000540D0000}" name="37н.06*" dataDxfId="332"/>
    <tableColumn id="3413" xr3:uid="{00000000-0010-0000-0000-0000550D0000}" name="37н.07*" dataDxfId="331"/>
    <tableColumn id="3414" xr3:uid="{00000000-0010-0000-0000-0000560D0000}" name="37н.08*" dataDxfId="330"/>
    <tableColumn id="3415" xr3:uid="{00000000-0010-0000-0000-0000570D0000}" name="37н.09*" dataDxfId="329"/>
    <tableColumn id="3416" xr3:uid="{00000000-0010-0000-0000-0000580D0000}" name="37н.10*" dataDxfId="328"/>
    <tableColumn id="3417" xr3:uid="{00000000-0010-0000-0000-0000590D0000}" name="37н.11*" dataDxfId="327"/>
    <tableColumn id="3418" xr3:uid="{00000000-0010-0000-0000-00005A0D0000}" name="37н.12*" dataDxfId="326"/>
    <tableColumn id="3419" xr3:uid="{00000000-0010-0000-0000-00005B0D0000}" name="37н.13*" dataDxfId="325"/>
    <tableColumn id="3420" xr3:uid="{00000000-0010-0000-0000-00005C0D0000}" name="37н.14*" dataDxfId="324"/>
    <tableColumn id="3421" xr3:uid="{00000000-0010-0000-0000-00005D0D0000}" name="37н.15*" dataDxfId="323"/>
    <tableColumn id="3422" xr3:uid="{00000000-0010-0000-0000-00005E0D0000}" name="37н.16*" dataDxfId="322"/>
    <tableColumn id="3423" xr3:uid="{00000000-0010-0000-0000-00005F0D0000}" name="37н.17*" dataDxfId="321"/>
    <tableColumn id="3424" xr3:uid="{00000000-0010-0000-0000-0000600D0000}" name="37н.18*" dataDxfId="320"/>
    <tableColumn id="3425" xr3:uid="{00000000-0010-0000-0000-0000610D0000}" name="37н.19*" dataDxfId="319"/>
    <tableColumn id="3426" xr3:uid="{00000000-0010-0000-0000-0000620D0000}" name="37н.20*" dataDxfId="318"/>
    <tableColumn id="3427" xr3:uid="{00000000-0010-0000-0000-0000630D0000}" name="37н.21*" dataDxfId="317"/>
    <tableColumn id="3428" xr3:uid="{00000000-0010-0000-0000-0000640D0000}" name="37н.22*" dataDxfId="316"/>
    <tableColumn id="3429" xr3:uid="{00000000-0010-0000-0000-0000650D0000}" name="37н.23*" dataDxfId="315"/>
    <tableColumn id="3430" xr3:uid="{00000000-0010-0000-0000-0000660D0000}" name="37н.24*" dataDxfId="314"/>
    <tableColumn id="3431" xr3:uid="{00000000-0010-0000-0000-0000670D0000}" name="37н.25*" dataDxfId="313"/>
    <tableColumn id="3432" xr3:uid="{00000000-0010-0000-0000-0000680D0000}" name="37н.26*" dataDxfId="312"/>
    <tableColumn id="3433" xr3:uid="{00000000-0010-0000-0000-0000690D0000}" name="37н.27*" dataDxfId="311"/>
    <tableColumn id="3434" xr3:uid="{00000000-0010-0000-0000-00006A0D0000}" name="37н.28*" dataDxfId="310"/>
    <tableColumn id="3435" xr3:uid="{00000000-0010-0000-0000-00006B0D0000}" name="37н.29*" dataDxfId="309"/>
    <tableColumn id="3436" xr3:uid="{00000000-0010-0000-0000-00006C0D0000}" name="37н.30*" dataDxfId="308"/>
    <tableColumn id="3437" xr3:uid="{00000000-0010-0000-0000-00006D0D0000}" name="37п.Н" dataDxfId="307"/>
    <tableColumn id="3438" xr3:uid="{00000000-0010-0000-0000-00006E0D0000}" name="37п.01*" dataDxfId="306"/>
    <tableColumn id="3439" xr3:uid="{00000000-0010-0000-0000-00006F0D0000}" name="37п.02*" dataDxfId="305"/>
    <tableColumn id="3440" xr3:uid="{00000000-0010-0000-0000-0000700D0000}" name="37п.03*" dataDxfId="304"/>
    <tableColumn id="3441" xr3:uid="{00000000-0010-0000-0000-0000710D0000}" name="37п.04*" dataDxfId="303"/>
    <tableColumn id="3442" xr3:uid="{00000000-0010-0000-0000-0000720D0000}" name="37п.05*" dataDxfId="302"/>
    <tableColumn id="3443" xr3:uid="{00000000-0010-0000-0000-0000730D0000}" name="37п.06*" dataDxfId="301"/>
    <tableColumn id="3444" xr3:uid="{00000000-0010-0000-0000-0000740D0000}" name="37п.07*" dataDxfId="300"/>
    <tableColumn id="3445" xr3:uid="{00000000-0010-0000-0000-0000750D0000}" name="37п.08*" dataDxfId="299"/>
    <tableColumn id="3446" xr3:uid="{00000000-0010-0000-0000-0000760D0000}" name="37п.09*" dataDxfId="298"/>
    <tableColumn id="3447" xr3:uid="{00000000-0010-0000-0000-0000770D0000}" name="37п.10*" dataDxfId="297"/>
    <tableColumn id="3448" xr3:uid="{00000000-0010-0000-0000-0000780D0000}" name="37п.11*" dataDxfId="296"/>
    <tableColumn id="3449" xr3:uid="{00000000-0010-0000-0000-0000790D0000}" name="37п.12*" dataDxfId="295"/>
    <tableColumn id="3450" xr3:uid="{00000000-0010-0000-0000-00007A0D0000}" name="37п.13*" dataDxfId="294"/>
    <tableColumn id="3451" xr3:uid="{00000000-0010-0000-0000-00007B0D0000}" name="37п.14*" dataDxfId="293"/>
    <tableColumn id="3452" xr3:uid="{00000000-0010-0000-0000-00007C0D0000}" name="37п.15*" dataDxfId="292"/>
    <tableColumn id="3453" xr3:uid="{00000000-0010-0000-0000-00007D0D0000}" name="37п.16*" dataDxfId="291"/>
    <tableColumn id="3454" xr3:uid="{00000000-0010-0000-0000-00007E0D0000}" name="37п.17*" dataDxfId="290"/>
    <tableColumn id="3455" xr3:uid="{00000000-0010-0000-0000-00007F0D0000}" name="37п.18*" dataDxfId="289"/>
    <tableColumn id="3456" xr3:uid="{00000000-0010-0000-0000-0000800D0000}" name="37п.19*" dataDxfId="288"/>
    <tableColumn id="3457" xr3:uid="{00000000-0010-0000-0000-0000810D0000}" name="37п.20*" dataDxfId="287"/>
    <tableColumn id="3458" xr3:uid="{00000000-0010-0000-0000-0000820D0000}" name="37п.21*" dataDxfId="286"/>
    <tableColumn id="3459" xr3:uid="{00000000-0010-0000-0000-0000830D0000}" name="37п.22*" dataDxfId="285"/>
    <tableColumn id="3460" xr3:uid="{00000000-0010-0000-0000-0000840D0000}" name="37п.23*" dataDxfId="284"/>
    <tableColumn id="3461" xr3:uid="{00000000-0010-0000-0000-0000850D0000}" name="37п.24*" dataDxfId="283"/>
    <tableColumn id="3462" xr3:uid="{00000000-0010-0000-0000-0000860D0000}" name="37п.25*" dataDxfId="282"/>
    <tableColumn id="3463" xr3:uid="{00000000-0010-0000-0000-0000870D0000}" name="37п.26*" dataDxfId="281"/>
    <tableColumn id="3464" xr3:uid="{00000000-0010-0000-0000-0000880D0000}" name="37п.27*" dataDxfId="280"/>
    <tableColumn id="3465" xr3:uid="{00000000-0010-0000-0000-0000890D0000}" name="37п.28*" dataDxfId="279"/>
    <tableColumn id="3466" xr3:uid="{00000000-0010-0000-0000-00008A0D0000}" name="37п.29*" dataDxfId="278"/>
    <tableColumn id="3467" xr3:uid="{00000000-0010-0000-0000-00008B0D0000}" name="37п.30*" dataDxfId="277"/>
    <tableColumn id="3499" xr3:uid="{00000000-0010-0000-0000-0000AB0D0000}" name="38н.Н" dataDxfId="276"/>
    <tableColumn id="3500" xr3:uid="{00000000-0010-0000-0000-0000AC0D0000}" name="38н.01*" dataDxfId="275"/>
    <tableColumn id="3501" xr3:uid="{00000000-0010-0000-0000-0000AD0D0000}" name="38н.02*" dataDxfId="274"/>
    <tableColumn id="3502" xr3:uid="{00000000-0010-0000-0000-0000AE0D0000}" name="38н.03*" dataDxfId="273"/>
    <tableColumn id="3503" xr3:uid="{00000000-0010-0000-0000-0000AF0D0000}" name="38н.04*" dataDxfId="272"/>
    <tableColumn id="3504" xr3:uid="{00000000-0010-0000-0000-0000B00D0000}" name="38н.05*" dataDxfId="271"/>
    <tableColumn id="3505" xr3:uid="{00000000-0010-0000-0000-0000B10D0000}" name="38н.06*" dataDxfId="270"/>
    <tableColumn id="3506" xr3:uid="{00000000-0010-0000-0000-0000B20D0000}" name="38н.07*" dataDxfId="269"/>
    <tableColumn id="3507" xr3:uid="{00000000-0010-0000-0000-0000B30D0000}" name="38н.08*" dataDxfId="268"/>
    <tableColumn id="3508" xr3:uid="{00000000-0010-0000-0000-0000B40D0000}" name="38н.09*" dataDxfId="267"/>
    <tableColumn id="3509" xr3:uid="{00000000-0010-0000-0000-0000B50D0000}" name="38н.10*" dataDxfId="266"/>
    <tableColumn id="3510" xr3:uid="{00000000-0010-0000-0000-0000B60D0000}" name="38н.11*" dataDxfId="265"/>
    <tableColumn id="3511" xr3:uid="{00000000-0010-0000-0000-0000B70D0000}" name="38н.12*" dataDxfId="264"/>
    <tableColumn id="3512" xr3:uid="{00000000-0010-0000-0000-0000B80D0000}" name="38н.13*" dataDxfId="263"/>
    <tableColumn id="3513" xr3:uid="{00000000-0010-0000-0000-0000B90D0000}" name="38н.14*" dataDxfId="262"/>
    <tableColumn id="3514" xr3:uid="{00000000-0010-0000-0000-0000BA0D0000}" name="38н.15*" dataDxfId="261"/>
    <tableColumn id="3515" xr3:uid="{00000000-0010-0000-0000-0000BB0D0000}" name="38н.16*" dataDxfId="260"/>
    <tableColumn id="3516" xr3:uid="{00000000-0010-0000-0000-0000BC0D0000}" name="38н.17*" dataDxfId="259"/>
    <tableColumn id="3517" xr3:uid="{00000000-0010-0000-0000-0000BD0D0000}" name="38н.18*" dataDxfId="258"/>
    <tableColumn id="3518" xr3:uid="{00000000-0010-0000-0000-0000BE0D0000}" name="38н.19*" dataDxfId="257"/>
    <tableColumn id="3519" xr3:uid="{00000000-0010-0000-0000-0000BF0D0000}" name="38н.20*" dataDxfId="256"/>
    <tableColumn id="3520" xr3:uid="{00000000-0010-0000-0000-0000C00D0000}" name="38н.21*" dataDxfId="255"/>
    <tableColumn id="3521" xr3:uid="{00000000-0010-0000-0000-0000C10D0000}" name="38н.22*" dataDxfId="254"/>
    <tableColumn id="3522" xr3:uid="{00000000-0010-0000-0000-0000C20D0000}" name="38н.23*" dataDxfId="253"/>
    <tableColumn id="3523" xr3:uid="{00000000-0010-0000-0000-0000C30D0000}" name="38н.24*" dataDxfId="252"/>
    <tableColumn id="3524" xr3:uid="{00000000-0010-0000-0000-0000C40D0000}" name="38н.25*" dataDxfId="251"/>
    <tableColumn id="3525" xr3:uid="{00000000-0010-0000-0000-0000C50D0000}" name="38н.26*" dataDxfId="250"/>
    <tableColumn id="3526" xr3:uid="{00000000-0010-0000-0000-0000C60D0000}" name="38н.27*" dataDxfId="249"/>
    <tableColumn id="3527" xr3:uid="{00000000-0010-0000-0000-0000C70D0000}" name="38н.28*" dataDxfId="248"/>
    <tableColumn id="3528" xr3:uid="{00000000-0010-0000-0000-0000C80D0000}" name="38н.29*" dataDxfId="247"/>
    <tableColumn id="3529" xr3:uid="{00000000-0010-0000-0000-0000C90D0000}" name="38н.30*" dataDxfId="246"/>
    <tableColumn id="3530" xr3:uid="{00000000-0010-0000-0000-0000CA0D0000}" name="38п.Н" dataDxfId="245"/>
    <tableColumn id="3531" xr3:uid="{00000000-0010-0000-0000-0000CB0D0000}" name="38п.01*" dataDxfId="244"/>
    <tableColumn id="3532" xr3:uid="{00000000-0010-0000-0000-0000CC0D0000}" name="38п.02*" dataDxfId="243"/>
    <tableColumn id="3533" xr3:uid="{00000000-0010-0000-0000-0000CD0D0000}" name="38п.03*" dataDxfId="242"/>
    <tableColumn id="3534" xr3:uid="{00000000-0010-0000-0000-0000CE0D0000}" name="38п.04*" dataDxfId="241"/>
    <tableColumn id="3535" xr3:uid="{00000000-0010-0000-0000-0000CF0D0000}" name="38п.05*" dataDxfId="240"/>
    <tableColumn id="3536" xr3:uid="{00000000-0010-0000-0000-0000D00D0000}" name="38п.06*" dataDxfId="239"/>
    <tableColumn id="3537" xr3:uid="{00000000-0010-0000-0000-0000D10D0000}" name="38п.07*" dataDxfId="238"/>
    <tableColumn id="3538" xr3:uid="{00000000-0010-0000-0000-0000D20D0000}" name="38п.08*" dataDxfId="237"/>
    <tableColumn id="3539" xr3:uid="{00000000-0010-0000-0000-0000D30D0000}" name="38п.09*" dataDxfId="236"/>
    <tableColumn id="3540" xr3:uid="{00000000-0010-0000-0000-0000D40D0000}" name="38п.10*" dataDxfId="235"/>
    <tableColumn id="3541" xr3:uid="{00000000-0010-0000-0000-0000D50D0000}" name="38п.11*" dataDxfId="234"/>
    <tableColumn id="3542" xr3:uid="{00000000-0010-0000-0000-0000D60D0000}" name="38п.12*" dataDxfId="233"/>
    <tableColumn id="3543" xr3:uid="{00000000-0010-0000-0000-0000D70D0000}" name="38п.13*" dataDxfId="232"/>
    <tableColumn id="3544" xr3:uid="{00000000-0010-0000-0000-0000D80D0000}" name="38п.14*" dataDxfId="231"/>
    <tableColumn id="3545" xr3:uid="{00000000-0010-0000-0000-0000D90D0000}" name="38п.15*" dataDxfId="230"/>
    <tableColumn id="3546" xr3:uid="{00000000-0010-0000-0000-0000DA0D0000}" name="38п.16*" dataDxfId="229"/>
    <tableColumn id="3547" xr3:uid="{00000000-0010-0000-0000-0000DB0D0000}" name="38п.17*" dataDxfId="228"/>
    <tableColumn id="3548" xr3:uid="{00000000-0010-0000-0000-0000DC0D0000}" name="38п.18*" dataDxfId="227"/>
    <tableColumn id="3549" xr3:uid="{00000000-0010-0000-0000-0000DD0D0000}" name="38п.19*" dataDxfId="226"/>
    <tableColumn id="3550" xr3:uid="{00000000-0010-0000-0000-0000DE0D0000}" name="38п.20*" dataDxfId="225"/>
    <tableColumn id="3551" xr3:uid="{00000000-0010-0000-0000-0000DF0D0000}" name="38п.21*" dataDxfId="224"/>
    <tableColumn id="3552" xr3:uid="{00000000-0010-0000-0000-0000E00D0000}" name="38п.22*" dataDxfId="223"/>
    <tableColumn id="3553" xr3:uid="{00000000-0010-0000-0000-0000E10D0000}" name="38п.23*" dataDxfId="222"/>
    <tableColumn id="3554" xr3:uid="{00000000-0010-0000-0000-0000E20D0000}" name="38п.24*" dataDxfId="221"/>
    <tableColumn id="3555" xr3:uid="{00000000-0010-0000-0000-0000E30D0000}" name="38п.25*" dataDxfId="220"/>
    <tableColumn id="3556" xr3:uid="{00000000-0010-0000-0000-0000E40D0000}" name="38п.26*" dataDxfId="219"/>
    <tableColumn id="3557" xr3:uid="{00000000-0010-0000-0000-0000E50D0000}" name="38п.27*" dataDxfId="218"/>
    <tableColumn id="3558" xr3:uid="{00000000-0010-0000-0000-0000E60D0000}" name="38п.28*" dataDxfId="217"/>
    <tableColumn id="3559" xr3:uid="{00000000-0010-0000-0000-0000E70D0000}" name="38п.29*" dataDxfId="216"/>
    <tableColumn id="3560" xr3:uid="{00000000-0010-0000-0000-0000E80D0000}" name="38п.30*" dataDxfId="215"/>
    <tableColumn id="3592" xr3:uid="{00000000-0010-0000-0000-0000080E0000}" name="39н.Н" dataDxfId="214"/>
    <tableColumn id="3593" xr3:uid="{00000000-0010-0000-0000-0000090E0000}" name="39н.01*" dataDxfId="213"/>
    <tableColumn id="3594" xr3:uid="{00000000-0010-0000-0000-00000A0E0000}" name="39н.02*" dataDxfId="212"/>
    <tableColumn id="3595" xr3:uid="{00000000-0010-0000-0000-00000B0E0000}" name="39н.03*" dataDxfId="211"/>
    <tableColumn id="3596" xr3:uid="{00000000-0010-0000-0000-00000C0E0000}" name="39н.04*" dataDxfId="210"/>
    <tableColumn id="3597" xr3:uid="{00000000-0010-0000-0000-00000D0E0000}" name="39н.05*" dataDxfId="209"/>
    <tableColumn id="3598" xr3:uid="{00000000-0010-0000-0000-00000E0E0000}" name="39н.06*" dataDxfId="208"/>
    <tableColumn id="3599" xr3:uid="{00000000-0010-0000-0000-00000F0E0000}" name="39н.07*" dataDxfId="207"/>
    <tableColumn id="3600" xr3:uid="{00000000-0010-0000-0000-0000100E0000}" name="39н.08*" dataDxfId="206"/>
    <tableColumn id="3601" xr3:uid="{00000000-0010-0000-0000-0000110E0000}" name="39н.09*" dataDxfId="205"/>
    <tableColumn id="3602" xr3:uid="{00000000-0010-0000-0000-0000120E0000}" name="39н.10*" dataDxfId="204"/>
    <tableColumn id="3603" xr3:uid="{00000000-0010-0000-0000-0000130E0000}" name="39н.11*" dataDxfId="203"/>
    <tableColumn id="3604" xr3:uid="{00000000-0010-0000-0000-0000140E0000}" name="39н.12*" dataDxfId="202"/>
    <tableColumn id="3605" xr3:uid="{00000000-0010-0000-0000-0000150E0000}" name="39н.13*" dataDxfId="201"/>
    <tableColumn id="3606" xr3:uid="{00000000-0010-0000-0000-0000160E0000}" name="39н.14*" dataDxfId="200"/>
    <tableColumn id="3607" xr3:uid="{00000000-0010-0000-0000-0000170E0000}" name="39н.15*" dataDxfId="199"/>
    <tableColumn id="3608" xr3:uid="{00000000-0010-0000-0000-0000180E0000}" name="39н.16*" dataDxfId="198"/>
    <tableColumn id="3609" xr3:uid="{00000000-0010-0000-0000-0000190E0000}" name="39н.17*" dataDxfId="197"/>
    <tableColumn id="3610" xr3:uid="{00000000-0010-0000-0000-00001A0E0000}" name="39н.18*" dataDxfId="196"/>
    <tableColumn id="3611" xr3:uid="{00000000-0010-0000-0000-00001B0E0000}" name="39н.19*" dataDxfId="195"/>
    <tableColumn id="3612" xr3:uid="{00000000-0010-0000-0000-00001C0E0000}" name="39н.20*" dataDxfId="194"/>
    <tableColumn id="3613" xr3:uid="{00000000-0010-0000-0000-00001D0E0000}" name="39н.21*" dataDxfId="193"/>
    <tableColumn id="3614" xr3:uid="{00000000-0010-0000-0000-00001E0E0000}" name="39н.22*" dataDxfId="192"/>
    <tableColumn id="3615" xr3:uid="{00000000-0010-0000-0000-00001F0E0000}" name="39н.23*" dataDxfId="191"/>
    <tableColumn id="3616" xr3:uid="{00000000-0010-0000-0000-0000200E0000}" name="39н.24*" dataDxfId="190"/>
    <tableColumn id="3617" xr3:uid="{00000000-0010-0000-0000-0000210E0000}" name="39н.25*" dataDxfId="189"/>
    <tableColumn id="3618" xr3:uid="{00000000-0010-0000-0000-0000220E0000}" name="39н.26*" dataDxfId="188"/>
    <tableColumn id="3619" xr3:uid="{00000000-0010-0000-0000-0000230E0000}" name="39н.27*" dataDxfId="187"/>
    <tableColumn id="3620" xr3:uid="{00000000-0010-0000-0000-0000240E0000}" name="39н.28*" dataDxfId="186"/>
    <tableColumn id="3621" xr3:uid="{00000000-0010-0000-0000-0000250E0000}" name="39н.29*" dataDxfId="185"/>
    <tableColumn id="3622" xr3:uid="{00000000-0010-0000-0000-0000260E0000}" name="39н.30*" dataDxfId="184"/>
    <tableColumn id="3623" xr3:uid="{00000000-0010-0000-0000-0000270E0000}" name="39п.Н" dataDxfId="183"/>
    <tableColumn id="3624" xr3:uid="{00000000-0010-0000-0000-0000280E0000}" name="39п.01*" dataDxfId="182"/>
    <tableColumn id="3625" xr3:uid="{00000000-0010-0000-0000-0000290E0000}" name="39п.02*" dataDxfId="181"/>
    <tableColumn id="3626" xr3:uid="{00000000-0010-0000-0000-00002A0E0000}" name="39п.03*" dataDxfId="180"/>
    <tableColumn id="3627" xr3:uid="{00000000-0010-0000-0000-00002B0E0000}" name="39п.04*" dataDxfId="179"/>
    <tableColumn id="3628" xr3:uid="{00000000-0010-0000-0000-00002C0E0000}" name="39п.05*" dataDxfId="178"/>
    <tableColumn id="3629" xr3:uid="{00000000-0010-0000-0000-00002D0E0000}" name="39п.06*" dataDxfId="177"/>
    <tableColumn id="3630" xr3:uid="{00000000-0010-0000-0000-00002E0E0000}" name="39п.07*" dataDxfId="176"/>
    <tableColumn id="3631" xr3:uid="{00000000-0010-0000-0000-00002F0E0000}" name="39п.08*" dataDxfId="175"/>
    <tableColumn id="3632" xr3:uid="{00000000-0010-0000-0000-0000300E0000}" name="39п.09*" dataDxfId="174"/>
    <tableColumn id="3633" xr3:uid="{00000000-0010-0000-0000-0000310E0000}" name="39п.10*" dataDxfId="173"/>
    <tableColumn id="3634" xr3:uid="{00000000-0010-0000-0000-0000320E0000}" name="39п.11*" dataDxfId="172"/>
    <tableColumn id="3635" xr3:uid="{00000000-0010-0000-0000-0000330E0000}" name="39п.12*" dataDxfId="171"/>
    <tableColumn id="3636" xr3:uid="{00000000-0010-0000-0000-0000340E0000}" name="39п.13*" dataDxfId="170"/>
    <tableColumn id="3637" xr3:uid="{00000000-0010-0000-0000-0000350E0000}" name="39п.14*" dataDxfId="169"/>
    <tableColumn id="3638" xr3:uid="{00000000-0010-0000-0000-0000360E0000}" name="39п.15*" dataDxfId="168"/>
    <tableColumn id="3639" xr3:uid="{00000000-0010-0000-0000-0000370E0000}" name="39п.16*" dataDxfId="167"/>
    <tableColumn id="3640" xr3:uid="{00000000-0010-0000-0000-0000380E0000}" name="39п.17*" dataDxfId="166"/>
    <tableColumn id="3641" xr3:uid="{00000000-0010-0000-0000-0000390E0000}" name="39п.18*" dataDxfId="165"/>
    <tableColumn id="3642" xr3:uid="{00000000-0010-0000-0000-00003A0E0000}" name="39п.19*" dataDxfId="164"/>
    <tableColumn id="3643" xr3:uid="{00000000-0010-0000-0000-00003B0E0000}" name="39п.20*" dataDxfId="163"/>
    <tableColumn id="3644" xr3:uid="{00000000-0010-0000-0000-00003C0E0000}" name="39п.21*" dataDxfId="162"/>
    <tableColumn id="3645" xr3:uid="{00000000-0010-0000-0000-00003D0E0000}" name="39п.22*" dataDxfId="161"/>
    <tableColumn id="3646" xr3:uid="{00000000-0010-0000-0000-00003E0E0000}" name="39п.23*" dataDxfId="160"/>
    <tableColumn id="3647" xr3:uid="{00000000-0010-0000-0000-00003F0E0000}" name="39п.24*" dataDxfId="159"/>
    <tableColumn id="3648" xr3:uid="{00000000-0010-0000-0000-0000400E0000}" name="39п.25*" dataDxfId="158"/>
    <tableColumn id="3649" xr3:uid="{00000000-0010-0000-0000-0000410E0000}" name="39п.26*" dataDxfId="157"/>
    <tableColumn id="3650" xr3:uid="{00000000-0010-0000-0000-0000420E0000}" name="39п.27*" dataDxfId="156"/>
    <tableColumn id="3651" xr3:uid="{00000000-0010-0000-0000-0000430E0000}" name="39п.28*" dataDxfId="155"/>
    <tableColumn id="3652" xr3:uid="{00000000-0010-0000-0000-0000440E0000}" name="39п.29*" dataDxfId="154"/>
    <tableColumn id="3653" xr3:uid="{00000000-0010-0000-0000-0000450E0000}" name="39п.30*" dataDxfId="153"/>
    <tableColumn id="3685" xr3:uid="{00000000-0010-0000-0000-0000650E0000}" name="40н.Н" dataDxfId="152"/>
    <tableColumn id="3686" xr3:uid="{00000000-0010-0000-0000-0000660E0000}" name="40н.01*" dataDxfId="151"/>
    <tableColumn id="3687" xr3:uid="{00000000-0010-0000-0000-0000670E0000}" name="40н.02*" dataDxfId="150"/>
    <tableColumn id="3688" xr3:uid="{00000000-0010-0000-0000-0000680E0000}" name="40н.03*" dataDxfId="149"/>
    <tableColumn id="3689" xr3:uid="{00000000-0010-0000-0000-0000690E0000}" name="40н.04*" dataDxfId="148"/>
    <tableColumn id="3690" xr3:uid="{00000000-0010-0000-0000-00006A0E0000}" name="40н.05*" dataDxfId="147"/>
    <tableColumn id="3691" xr3:uid="{00000000-0010-0000-0000-00006B0E0000}" name="40н.06*" dataDxfId="146"/>
    <tableColumn id="3692" xr3:uid="{00000000-0010-0000-0000-00006C0E0000}" name="40н.07*" dataDxfId="145"/>
    <tableColumn id="3693" xr3:uid="{00000000-0010-0000-0000-00006D0E0000}" name="40н.08*" dataDxfId="144"/>
    <tableColumn id="3694" xr3:uid="{00000000-0010-0000-0000-00006E0E0000}" name="40н.09*" dataDxfId="143"/>
    <tableColumn id="3695" xr3:uid="{00000000-0010-0000-0000-00006F0E0000}" name="40н.10*" dataDxfId="142"/>
    <tableColumn id="3696" xr3:uid="{00000000-0010-0000-0000-0000700E0000}" name="40н.11*" dataDxfId="141"/>
    <tableColumn id="3697" xr3:uid="{00000000-0010-0000-0000-0000710E0000}" name="40н.12*" dataDxfId="140"/>
    <tableColumn id="3698" xr3:uid="{00000000-0010-0000-0000-0000720E0000}" name="40н.13*" dataDxfId="139"/>
    <tableColumn id="3699" xr3:uid="{00000000-0010-0000-0000-0000730E0000}" name="40н.14*" dataDxfId="138"/>
    <tableColumn id="3700" xr3:uid="{00000000-0010-0000-0000-0000740E0000}" name="40н.15*" dataDxfId="137"/>
    <tableColumn id="3701" xr3:uid="{00000000-0010-0000-0000-0000750E0000}" name="40н.16*" dataDxfId="136"/>
    <tableColumn id="3702" xr3:uid="{00000000-0010-0000-0000-0000760E0000}" name="40н.17*" dataDxfId="135"/>
    <tableColumn id="3703" xr3:uid="{00000000-0010-0000-0000-0000770E0000}" name="40н.18*" dataDxfId="134"/>
    <tableColumn id="3704" xr3:uid="{00000000-0010-0000-0000-0000780E0000}" name="40н.19*" dataDxfId="133"/>
    <tableColumn id="3705" xr3:uid="{00000000-0010-0000-0000-0000790E0000}" name="40н.20*" dataDxfId="132"/>
    <tableColumn id="3706" xr3:uid="{00000000-0010-0000-0000-00007A0E0000}" name="40н.21*" dataDxfId="131"/>
    <tableColumn id="3707" xr3:uid="{00000000-0010-0000-0000-00007B0E0000}" name="40н.22*" dataDxfId="130"/>
    <tableColumn id="3708" xr3:uid="{00000000-0010-0000-0000-00007C0E0000}" name="40н.23*" dataDxfId="129"/>
    <tableColumn id="3709" xr3:uid="{00000000-0010-0000-0000-00007D0E0000}" name="40н.24*" dataDxfId="128"/>
    <tableColumn id="3710" xr3:uid="{00000000-0010-0000-0000-00007E0E0000}" name="40н.25*" dataDxfId="127"/>
    <tableColumn id="3711" xr3:uid="{00000000-0010-0000-0000-00007F0E0000}" name="40н.26*" dataDxfId="126"/>
    <tableColumn id="3712" xr3:uid="{00000000-0010-0000-0000-0000800E0000}" name="40н.27*" dataDxfId="125"/>
    <tableColumn id="3713" xr3:uid="{00000000-0010-0000-0000-0000810E0000}" name="40н.28*" dataDxfId="124"/>
    <tableColumn id="3714" xr3:uid="{00000000-0010-0000-0000-0000820E0000}" name="40н.29*" dataDxfId="123"/>
    <tableColumn id="3715" xr3:uid="{00000000-0010-0000-0000-0000830E0000}" name="40н.30*" dataDxfId="122"/>
    <tableColumn id="3716" xr3:uid="{00000000-0010-0000-0000-0000840E0000}" name="40п.Н" dataDxfId="121"/>
    <tableColumn id="3717" xr3:uid="{00000000-0010-0000-0000-0000850E0000}" name="40п.01*" dataDxfId="120"/>
    <tableColumn id="3718" xr3:uid="{00000000-0010-0000-0000-0000860E0000}" name="40п.02*" dataDxfId="119"/>
    <tableColumn id="3719" xr3:uid="{00000000-0010-0000-0000-0000870E0000}" name="40п.03*" dataDxfId="118"/>
    <tableColumn id="3720" xr3:uid="{00000000-0010-0000-0000-0000880E0000}" name="40п.04*" dataDxfId="117"/>
    <tableColumn id="3721" xr3:uid="{00000000-0010-0000-0000-0000890E0000}" name="40п.05*" dataDxfId="116"/>
    <tableColumn id="3722" xr3:uid="{00000000-0010-0000-0000-00008A0E0000}" name="40п.06*" dataDxfId="115"/>
    <tableColumn id="3723" xr3:uid="{00000000-0010-0000-0000-00008B0E0000}" name="40п.07*" dataDxfId="114"/>
    <tableColumn id="3724" xr3:uid="{00000000-0010-0000-0000-00008C0E0000}" name="40п.08*" dataDxfId="113"/>
    <tableColumn id="3725" xr3:uid="{00000000-0010-0000-0000-00008D0E0000}" name="40п.09*" dataDxfId="112"/>
    <tableColumn id="3726" xr3:uid="{00000000-0010-0000-0000-00008E0E0000}" name="40п.10*" dataDxfId="111"/>
    <tableColumn id="3727" xr3:uid="{00000000-0010-0000-0000-00008F0E0000}" name="40п.11*" dataDxfId="110"/>
    <tableColumn id="3728" xr3:uid="{00000000-0010-0000-0000-0000900E0000}" name="40п.12*" dataDxfId="109"/>
    <tableColumn id="3729" xr3:uid="{00000000-0010-0000-0000-0000910E0000}" name="40п.13*" dataDxfId="108"/>
    <tableColumn id="3730" xr3:uid="{00000000-0010-0000-0000-0000920E0000}" name="40п.14*" dataDxfId="107"/>
    <tableColumn id="3731" xr3:uid="{00000000-0010-0000-0000-0000930E0000}" name="40п.15*" dataDxfId="106"/>
    <tableColumn id="3732" xr3:uid="{00000000-0010-0000-0000-0000940E0000}" name="40п.16*" dataDxfId="105"/>
    <tableColumn id="3733" xr3:uid="{00000000-0010-0000-0000-0000950E0000}" name="40п.17*" dataDxfId="104"/>
    <tableColumn id="3734" xr3:uid="{00000000-0010-0000-0000-0000960E0000}" name="40п.18*" dataDxfId="103"/>
    <tableColumn id="3735" xr3:uid="{00000000-0010-0000-0000-0000970E0000}" name="40п.19*" dataDxfId="102"/>
    <tableColumn id="3736" xr3:uid="{00000000-0010-0000-0000-0000980E0000}" name="40п.20*" dataDxfId="101"/>
    <tableColumn id="3737" xr3:uid="{00000000-0010-0000-0000-0000990E0000}" name="40п.21*" dataDxfId="100"/>
    <tableColumn id="3738" xr3:uid="{00000000-0010-0000-0000-00009A0E0000}" name="40п.22*" dataDxfId="99"/>
    <tableColumn id="3739" xr3:uid="{00000000-0010-0000-0000-00009B0E0000}" name="40п.23*" dataDxfId="98"/>
    <tableColumn id="3740" xr3:uid="{00000000-0010-0000-0000-00009C0E0000}" name="40п.24*" dataDxfId="97"/>
    <tableColumn id="3741" xr3:uid="{00000000-0010-0000-0000-00009D0E0000}" name="40п.25*" dataDxfId="96"/>
    <tableColumn id="3742" xr3:uid="{00000000-0010-0000-0000-00009E0E0000}" name="40п.26*" dataDxfId="95"/>
    <tableColumn id="3743" xr3:uid="{00000000-0010-0000-0000-00009F0E0000}" name="40п.27*" dataDxfId="94"/>
    <tableColumn id="3744" xr3:uid="{00000000-0010-0000-0000-0000A00E0000}" name="40п.28*" dataDxfId="93"/>
    <tableColumn id="3745" xr3:uid="{00000000-0010-0000-0000-0000A10E0000}" name="40п.29*" dataDxfId="92"/>
    <tableColumn id="3746" xr3:uid="{00000000-0010-0000-0000-0000A20E0000}" name="40п.30*" dataDxfId="91"/>
    <tableColumn id="3778" xr3:uid="{00000000-0010-0000-0000-0000C20E0000}" name="X" dataDxfId="90">
      <calculatedColumnFormula>"X"</calculatedColumnFormula>
    </tableColumn>
    <tableColumn id="3779" xr3:uid="{00000000-0010-0000-0000-0000C30E0000}" name="б01" dataDxfId="89">
      <calculatedColumnFormula>IF(SUM(OFFSET($BA6:$DJ6,0,62*(CSL$1-1),,62))&gt;0,1,"")</calculatedColumnFormula>
    </tableColumn>
    <tableColumn id="3780" xr3:uid="{00000000-0010-0000-0000-0000C40E0000}" name="б02" dataDxfId="88">
      <calculatedColumnFormula>IF(SUM(OFFSET($BA6:$DJ6,0,62*(CSM$1-1),,62))&gt;0,1,"")</calculatedColumnFormula>
    </tableColumn>
    <tableColumn id="3781" xr3:uid="{00000000-0010-0000-0000-0000C50E0000}" name="б03" dataDxfId="87">
      <calculatedColumnFormula>IF(SUM(OFFSET($BA6:$DJ6,0,62*(CSN$1-1),,62))&gt;0,1,"")</calculatedColumnFormula>
    </tableColumn>
    <tableColumn id="3782" xr3:uid="{00000000-0010-0000-0000-0000C60E0000}" name="б04" dataDxfId="86">
      <calculatedColumnFormula>IF(SUM(OFFSET($BA6:$DJ6,0,62*(CSO$1-1),,62))&gt;0,1,"")</calculatedColumnFormula>
    </tableColumn>
    <tableColumn id="3783" xr3:uid="{00000000-0010-0000-0000-0000C70E0000}" name="б05" dataDxfId="85">
      <calculatedColumnFormula>IF(SUM(OFFSET($BA6:$DJ6,0,62*(CSP$1-1),,62))&gt;0,1,"")</calculatedColumnFormula>
    </tableColumn>
    <tableColumn id="3784" xr3:uid="{00000000-0010-0000-0000-0000C80E0000}" name="б06" dataDxfId="84">
      <calculatedColumnFormula>IF(SUM(OFFSET($BA6:$DJ6,0,62*(CSQ$1-1),,62))&gt;0,1,"")</calculatedColumnFormula>
    </tableColumn>
    <tableColumn id="3785" xr3:uid="{00000000-0010-0000-0000-0000C90E0000}" name="б07" dataDxfId="83">
      <calculatedColumnFormula>IF(SUM(OFFSET($BA6:$DJ6,0,62*(CSR$1-1),,62))&gt;0,1,"")</calculatedColumnFormula>
    </tableColumn>
    <tableColumn id="3786" xr3:uid="{00000000-0010-0000-0000-0000CA0E0000}" name="б08" dataDxfId="82">
      <calculatedColumnFormula>IF(SUM(OFFSET($BA6:$DJ6,0,62*(CSS$1-1),,62))&gt;0,1,"")</calculatedColumnFormula>
    </tableColumn>
    <tableColumn id="3787" xr3:uid="{00000000-0010-0000-0000-0000CB0E0000}" name="б09" dataDxfId="81">
      <calculatedColumnFormula>IF(SUM(OFFSET($BA6:$DJ6,0,62*(CST$1-1),,62))&gt;0,1,"")</calculatedColumnFormula>
    </tableColumn>
    <tableColumn id="3788" xr3:uid="{00000000-0010-0000-0000-0000CC0E0000}" name="б10" dataDxfId="80">
      <calculatedColumnFormula>IF(SUM(OFFSET($BA6:$DJ6,0,62*(CSU$1-1),,62))&gt;0,1,"")</calculatedColumnFormula>
    </tableColumn>
    <tableColumn id="3789" xr3:uid="{00000000-0010-0000-0000-0000CD0E0000}" name="б11" dataDxfId="79">
      <calculatedColumnFormula>IF(SUM(OFFSET($BA6:$DJ6,0,62*(CSV$1-1),,62))&gt;0,1,"")</calculatedColumnFormula>
    </tableColumn>
    <tableColumn id="3790" xr3:uid="{00000000-0010-0000-0000-0000CE0E0000}" name="б12" dataDxfId="78">
      <calculatedColumnFormula>IF(SUM(OFFSET($BA6:$DJ6,0,62*(CSW$1-1),,62))&gt;0,1,"")</calculatedColumnFormula>
    </tableColumn>
    <tableColumn id="3791" xr3:uid="{00000000-0010-0000-0000-0000CF0E0000}" name="б13" dataDxfId="77">
      <calculatedColumnFormula>IF(SUM(OFFSET($BA6:$DJ6,0,62*(CSX$1-1),,62))&gt;0,1,"")</calculatedColumnFormula>
    </tableColumn>
    <tableColumn id="3792" xr3:uid="{00000000-0010-0000-0000-0000D00E0000}" name="б14" dataDxfId="76">
      <calculatedColumnFormula>IF(SUM(OFFSET($BA6:$DJ6,0,62*(CSY$1-1),,62))&gt;0,1,"")</calculatedColumnFormula>
    </tableColumn>
    <tableColumn id="3793" xr3:uid="{00000000-0010-0000-0000-0000D10E0000}" name="б15" dataDxfId="75">
      <calculatedColumnFormula>IF(SUM(OFFSET($BA6:$DJ6,0,62*(CSZ$1-1),,62))&gt;0,1,"")</calculatedColumnFormula>
    </tableColumn>
    <tableColumn id="3794" xr3:uid="{00000000-0010-0000-0000-0000D20E0000}" name="б16" dataDxfId="74">
      <calculatedColumnFormula>IF(SUM(OFFSET($BA6:$DJ6,0,62*(CTA$1-1),,62))&gt;0,1,"")</calculatedColumnFormula>
    </tableColumn>
    <tableColumn id="3795" xr3:uid="{00000000-0010-0000-0000-0000D30E0000}" name="б17" dataDxfId="73">
      <calculatedColumnFormula>IF(SUM(OFFSET($BA6:$DJ6,0,62*(CTB$1-1),,62))&gt;0,1,"")</calculatedColumnFormula>
    </tableColumn>
    <tableColumn id="3796" xr3:uid="{00000000-0010-0000-0000-0000D40E0000}" name="б18" dataDxfId="72">
      <calculatedColumnFormula>IF(SUM(OFFSET($BA6:$DJ6,0,62*(CTC$1-1),,62))&gt;0,1,"")</calculatedColumnFormula>
    </tableColumn>
    <tableColumn id="3797" xr3:uid="{00000000-0010-0000-0000-0000D50E0000}" name="б19" dataDxfId="71">
      <calculatedColumnFormula>IF(SUM(OFFSET($BA6:$DJ6,0,62*(CTD$1-1),,62))&gt;0,1,"")</calculatedColumnFormula>
    </tableColumn>
    <tableColumn id="3798" xr3:uid="{00000000-0010-0000-0000-0000D60E0000}" name="б20" dataDxfId="70">
      <calculatedColumnFormula>IF(SUM(OFFSET($BA6:$DJ6,0,62*(CTE$1-1),,62))&gt;0,1,"")</calculatedColumnFormula>
    </tableColumn>
    <tableColumn id="3799" xr3:uid="{00000000-0010-0000-0000-0000D70E0000}" name="б21" dataDxfId="69">
      <calculatedColumnFormula>IF(SUM(OFFSET($BA6:$DJ6,0,62*(CTF$1-1),,62))&gt;0,1,"")</calculatedColumnFormula>
    </tableColumn>
    <tableColumn id="3800" xr3:uid="{00000000-0010-0000-0000-0000D80E0000}" name="б22" dataDxfId="68">
      <calculatedColumnFormula>IF(SUM(OFFSET($BA6:$DJ6,0,62*(CTG$1-1),,62))&gt;0,1,"")</calculatedColumnFormula>
    </tableColumn>
    <tableColumn id="3801" xr3:uid="{00000000-0010-0000-0000-0000D90E0000}" name="б23" dataDxfId="67">
      <calculatedColumnFormula>IF(SUM(OFFSET($BA6:$DJ6,0,62*(CTH$1-1),,62))&gt;0,1,"")</calculatedColumnFormula>
    </tableColumn>
    <tableColumn id="3802" xr3:uid="{00000000-0010-0000-0000-0000DA0E0000}" name="б24" dataDxfId="66">
      <calculatedColumnFormula>IF(SUM(OFFSET($BA6:$DJ6,0,62*(CTI$1-1),,62))&gt;0,1,"")</calculatedColumnFormula>
    </tableColumn>
    <tableColumn id="3803" xr3:uid="{00000000-0010-0000-0000-0000DB0E0000}" name="б25" dataDxfId="65">
      <calculatedColumnFormula>IF(SUM(OFFSET($BA6:$DJ6,0,62*(CTJ$1-1),,62))&gt;0,1,"")</calculatedColumnFormula>
    </tableColumn>
    <tableColumn id="3804" xr3:uid="{00000000-0010-0000-0000-0000DC0E0000}" name="б26" dataDxfId="64">
      <calculatedColumnFormula>IF(SUM(OFFSET($BA6:$DJ6,0,62*(CTK$1-1),,62))&gt;0,1,"")</calculatedColumnFormula>
    </tableColumn>
    <tableColumn id="3805" xr3:uid="{00000000-0010-0000-0000-0000DD0E0000}" name="б27" dataDxfId="63">
      <calculatedColumnFormula>IF(SUM(OFFSET($BA6:$DJ6,0,62*(CTL$1-1),,62))&gt;0,1,"")</calculatedColumnFormula>
    </tableColumn>
    <tableColumn id="3806" xr3:uid="{00000000-0010-0000-0000-0000DE0E0000}" name="б28" dataDxfId="62">
      <calculatedColumnFormula>IF(SUM(OFFSET($BA6:$DJ6,0,62*(CTM$1-1),,62))&gt;0,1,"")</calculatedColumnFormula>
    </tableColumn>
    <tableColumn id="3807" xr3:uid="{00000000-0010-0000-0000-0000DF0E0000}" name="б29" dataDxfId="61">
      <calculatedColumnFormula>IF(SUM(OFFSET($BA6:$DJ6,0,62*(CTN$1-1),,62))&gt;0,1,"")</calculatedColumnFormula>
    </tableColumn>
    <tableColumn id="3808" xr3:uid="{00000000-0010-0000-0000-0000E00E0000}" name="б30" dataDxfId="60">
      <calculatedColumnFormula>IF(SUM(OFFSET($BA6:$DJ6,0,62*(CTO$1-1),,62))&gt;0,1,"")</calculatedColumnFormula>
    </tableColumn>
    <tableColumn id="3809" xr3:uid="{00000000-0010-0000-0000-0000E10E0000}" name="б31" dataDxfId="59">
      <calculatedColumnFormula>IF(SUM(OFFSET($BA6:$DJ6,0,62*(CTP$1-1),,62))&gt;0,1,"")</calculatedColumnFormula>
    </tableColumn>
    <tableColumn id="3810" xr3:uid="{00000000-0010-0000-0000-0000E20E0000}" name="б32" dataDxfId="58">
      <calculatedColumnFormula>IF(SUM(OFFSET($BA6:$DJ6,0,62*(CTQ$1-1),,62))&gt;0,1,"")</calculatedColumnFormula>
    </tableColumn>
    <tableColumn id="3811" xr3:uid="{00000000-0010-0000-0000-0000E30E0000}" name="б33" dataDxfId="57">
      <calculatedColumnFormula>IF(SUM(OFFSET($BA6:$DJ6,0,62*(CTR$1-1),,62))&gt;0,1,"")</calculatedColumnFormula>
    </tableColumn>
    <tableColumn id="3812" xr3:uid="{00000000-0010-0000-0000-0000E40E0000}" name="б34" dataDxfId="56">
      <calculatedColumnFormula>IF(SUM(OFFSET($BA6:$DJ6,0,62*(CTS$1-1),,62))&gt;0,1,"")</calculatedColumnFormula>
    </tableColumn>
    <tableColumn id="3813" xr3:uid="{00000000-0010-0000-0000-0000E50E0000}" name="б35" dataDxfId="55">
      <calculatedColumnFormula>IF(SUM(OFFSET($BA6:$DJ6,0,62*(CTT$1-1),,62))&gt;0,1,"")</calculatedColumnFormula>
    </tableColumn>
    <tableColumn id="3814" xr3:uid="{00000000-0010-0000-0000-0000E60E0000}" name="б36" dataDxfId="54">
      <calculatedColumnFormula>IF(SUM(OFFSET($BA6:$DJ6,0,62*(CTU$1-1),,62))&gt;0,1,"")</calculatedColumnFormula>
    </tableColumn>
    <tableColumn id="3815" xr3:uid="{00000000-0010-0000-0000-0000E70E0000}" name="б37" dataDxfId="53">
      <calculatedColumnFormula>IF(SUM(OFFSET($BA6:$DJ6,0,62*(CTV$1-1),,62))&gt;0,1,"")</calculatedColumnFormula>
    </tableColumn>
    <tableColumn id="3816" xr3:uid="{00000000-0010-0000-0000-0000E80E0000}" name="б38" dataDxfId="52">
      <calculatedColumnFormula>IF(SUM(OFFSET($BA6:$DJ6,0,62*(CTW$1-1),,62))&gt;0,1,"")</calculatedColumnFormula>
    </tableColumn>
    <tableColumn id="3817" xr3:uid="{00000000-0010-0000-0000-0000E90E0000}" name="б39" dataDxfId="51">
      <calculatedColumnFormula>IF(SUM(OFFSET($BA6:$DJ6,0,62*(CTX$1-1),,62))&gt;0,1,"")</calculatedColumnFormula>
    </tableColumn>
    <tableColumn id="3818" xr3:uid="{00000000-0010-0000-0000-0000EA0E0000}" name="б40" dataDxfId="50">
      <calculatedColumnFormula>IF(SUM(OFFSET($BA6:$DJ6,0,62*(CTY$1-1),,62))&gt;0,1,"")</calculatedColumnFormula>
    </tableColumn>
    <tableColumn id="3861" xr3:uid="{F79CE168-5425-4938-A933-D76AA6D4DF26}" name="Y" dataDxfId="49">
      <calculatedColumnFormula>"X"</calculatedColumnFormula>
    </tableColumn>
    <tableColumn id="3821" xr3:uid="{4E88E02A-7415-45E6-91E8-3E6AAE96B126}" name="б012" dataDxfId="48">
      <calculatedColumnFormula>IF(AND(ISNUMBER(CSL6),CSL6&gt;0),SUM(OFFSET($BA6:$DJ6,0,62*(CUA$1-1),,62))-1,"")</calculatedColumnFormula>
    </tableColumn>
    <tableColumn id="3822" xr3:uid="{E7994D01-67D1-478F-8915-6B0CB4F8F863}" name="б022" dataDxfId="47">
      <calculatedColumnFormula>IF(AND(ISNUMBER(CSM6),CSM6&gt;0),SUM(OFFSET($BA6:$DJ6,0,62*(CUB$1-1),,62))-1,"")</calculatedColumnFormula>
    </tableColumn>
    <tableColumn id="3823" xr3:uid="{679E40C0-5EF5-44FF-B644-38637D1283E1}" name="б033" dataDxfId="46">
      <calculatedColumnFormula>IF(AND(ISNUMBER(CSN6),CSN6&gt;0),SUM(OFFSET($BA6:$DJ6,0,62*(CUC$1-1),,62))-1,"")</calculatedColumnFormula>
    </tableColumn>
    <tableColumn id="3824" xr3:uid="{1EB6EC26-804E-4494-AF8F-3519A57EE266}" name="б044" dataDxfId="45">
      <calculatedColumnFormula>IF(AND(ISNUMBER(CSO6),CSO6&gt;0),SUM(OFFSET($BA6:$DJ6,0,62*(CUD$1-1),,62))-1,"")</calculatedColumnFormula>
    </tableColumn>
    <tableColumn id="3825" xr3:uid="{954E8AE9-7AEE-4735-A508-B4579F163FD9}" name="б055" dataDxfId="44">
      <calculatedColumnFormula>IF(AND(ISNUMBER(CSP6),CSP6&gt;0),SUM(OFFSET($BA6:$DJ6,0,62*(CUE$1-1),,62))-1,"")</calculatedColumnFormula>
    </tableColumn>
    <tableColumn id="3826" xr3:uid="{FFB8F22F-6D56-4905-B92D-23EA419F469B}" name="б066" dataDxfId="43">
      <calculatedColumnFormula>IF(AND(ISNUMBER(CSQ6),CSQ6&gt;0),SUM(OFFSET($BA6:$DJ6,0,62*(CUF$1-1),,62))-1,"")</calculatedColumnFormula>
    </tableColumn>
    <tableColumn id="3827" xr3:uid="{D37D8284-1074-4094-8202-7091CB7B148F}" name="б077" dataDxfId="42">
      <calculatedColumnFormula>IF(AND(ISNUMBER(CSR6),CSR6&gt;0),SUM(OFFSET($BA6:$DJ6,0,62*(CUG$1-1),,62))-1,"")</calculatedColumnFormula>
    </tableColumn>
    <tableColumn id="3828" xr3:uid="{94A96ACB-F779-4159-A18B-2FF3BF1F9118}" name="б088" dataDxfId="41">
      <calculatedColumnFormula>IF(AND(ISNUMBER(CSS6),CSS6&gt;0),SUM(OFFSET($BA6:$DJ6,0,62*(CUH$1-1),,62))-1,"")</calculatedColumnFormula>
    </tableColumn>
    <tableColumn id="3829" xr3:uid="{CBC2BA73-10DE-4964-833E-F7E532F33804}" name="б099" dataDxfId="40">
      <calculatedColumnFormula>IF(AND(ISNUMBER(CST6),CST6&gt;0),SUM(OFFSET($BA6:$DJ6,0,62*(CUI$1-1),,62))-1,"")</calculatedColumnFormula>
    </tableColumn>
    <tableColumn id="3830" xr3:uid="{3BC4FAFE-D545-43FD-BA18-30827CC30E13}" name="б1010" dataDxfId="39">
      <calculatedColumnFormula>IF(AND(ISNUMBER(CSU6),CSU6&gt;0),SUM(OFFSET($BA6:$DJ6,0,62*(CUJ$1-1),,62))-1,"")</calculatedColumnFormula>
    </tableColumn>
    <tableColumn id="3831" xr3:uid="{88A3471E-E032-4B3C-9103-A91B640C5EBA}" name="б1111" dataDxfId="38">
      <calculatedColumnFormula>IF(AND(ISNUMBER(CSV6),CSV6&gt;0),SUM(OFFSET($BA6:$DJ6,0,62*(CUK$1-1),,62))-1,"")</calculatedColumnFormula>
    </tableColumn>
    <tableColumn id="3832" xr3:uid="{B502E2A8-4A55-4B4D-8C17-0A9A736FF8ED}" name="б1212" dataDxfId="37">
      <calculatedColumnFormula>IF(AND(ISNUMBER(CSW6),CSW6&gt;0),SUM(OFFSET($BA6:$DJ6,0,62*(CUL$1-1),,62))-1,"")</calculatedColumnFormula>
    </tableColumn>
    <tableColumn id="3833" xr3:uid="{E3CD0C8B-A12A-4793-9D61-43C7ECAA70D8}" name="б1313" dataDxfId="36">
      <calculatedColumnFormula>IF(AND(ISNUMBER(CSX6),CSX6&gt;0),SUM(OFFSET($BA6:$DJ6,0,62*(CUM$1-1),,62))-1,"")</calculatedColumnFormula>
    </tableColumn>
    <tableColumn id="3834" xr3:uid="{D798286F-C6D8-455C-96AB-B596C324F6C2}" name="б1414" dataDxfId="35">
      <calculatedColumnFormula>IF(AND(ISNUMBER(CSY6),CSY6&gt;0),SUM(OFFSET($BA6:$DJ6,0,62*(CUN$1-1),,62))-1,"")</calculatedColumnFormula>
    </tableColumn>
    <tableColumn id="3835" xr3:uid="{7D238D70-ECD1-44C8-AD68-A8FBEDCD305C}" name="б1515" dataDxfId="34">
      <calculatedColumnFormula>IF(AND(ISNUMBER(CSZ6),CSZ6&gt;0),SUM(OFFSET($BA6:$DJ6,0,62*(CUO$1-1),,62))-1,"")</calculatedColumnFormula>
    </tableColumn>
    <tableColumn id="3836" xr3:uid="{5DC0BE10-AC10-48BF-B085-26A0B4417872}" name="б1616" dataDxfId="33">
      <calculatedColumnFormula>IF(AND(ISNUMBER(CTA6),CTA6&gt;0),SUM(OFFSET($BA6:$DJ6,0,62*(CUP$1-1),,62))-1,"")</calculatedColumnFormula>
    </tableColumn>
    <tableColumn id="3837" xr3:uid="{5B77A79D-CA0F-4B2C-8DEF-DF06B39D9BF2}" name="б1717" dataDxfId="32">
      <calculatedColumnFormula>IF(AND(ISNUMBER(CTB6),CTB6&gt;0),SUM(OFFSET($BA6:$DJ6,0,62*(CUQ$1-1),,62))-1,"")</calculatedColumnFormula>
    </tableColumn>
    <tableColumn id="3838" xr3:uid="{E938F16A-F26A-4B58-9E83-57CD76BA18EA}" name="б1818" dataDxfId="31">
      <calculatedColumnFormula>IF(AND(ISNUMBER(CTC6),CTC6&gt;0),SUM(OFFSET($BA6:$DJ6,0,62*(CUR$1-1),,62))-1,"")</calculatedColumnFormula>
    </tableColumn>
    <tableColumn id="3839" xr3:uid="{C1900EE1-D51D-4C83-BE96-6AB7B3718943}" name="б1919" dataDxfId="30">
      <calculatedColumnFormula>IF(AND(ISNUMBER(CTD6),CTD6&gt;0),SUM(OFFSET($BA6:$DJ6,0,62*(CUS$1-1),,62))-1,"")</calculatedColumnFormula>
    </tableColumn>
    <tableColumn id="3840" xr3:uid="{EDBCBB93-F7DF-4322-9D0E-7381169C7EBC}" name="б2020" dataDxfId="29">
      <calculatedColumnFormula>IF(AND(ISNUMBER(CTE6),CTE6&gt;0),SUM(OFFSET($BA6:$DJ6,0,62*(CUT$1-1),,62))-1,"")</calculatedColumnFormula>
    </tableColumn>
    <tableColumn id="3841" xr3:uid="{0EC32C2D-A37B-4DBE-B177-4553ECDB9B94}" name="б2121" dataDxfId="28">
      <calculatedColumnFormula>IF(AND(ISNUMBER(CTF6),CTF6&gt;0),SUM(OFFSET($BA6:$DJ6,0,62*(CUU$1-1),,62))-1,"")</calculatedColumnFormula>
    </tableColumn>
    <tableColumn id="3842" xr3:uid="{39084E4C-F51D-4599-A108-2C42FE820897}" name="б2222" dataDxfId="27">
      <calculatedColumnFormula>IF(AND(ISNUMBER(CTG6),CTG6&gt;0),SUM(OFFSET($BA6:$DJ6,0,62*(CUV$1-1),,62))-1,"")</calculatedColumnFormula>
    </tableColumn>
    <tableColumn id="3843" xr3:uid="{FD05802E-017B-4FA5-847A-0C3E602B2E80}" name="б2323" dataDxfId="26">
      <calculatedColumnFormula>IF(AND(ISNUMBER(CTH6),CTH6&gt;0),SUM(OFFSET($BA6:$DJ6,0,62*(CUW$1-1),,62))-1,"")</calculatedColumnFormula>
    </tableColumn>
    <tableColumn id="3844" xr3:uid="{A7152C1E-C481-48CA-9781-E91E521613CF}" name="б2424" dataDxfId="25">
      <calculatedColumnFormula>IF(AND(ISNUMBER(CTI6),CTI6&gt;0),SUM(OFFSET($BA6:$DJ6,0,62*(CUX$1-1),,62))-1,"")</calculatedColumnFormula>
    </tableColumn>
    <tableColumn id="3845" xr3:uid="{40125D52-AA44-40BD-8304-B2CB1E9545BD}" name="б2525" dataDxfId="24">
      <calculatedColumnFormula>IF(AND(ISNUMBER(CTJ6),CTJ6&gt;0),SUM(OFFSET($BA6:$DJ6,0,62*(CUY$1-1),,62))-1,"")</calculatedColumnFormula>
    </tableColumn>
    <tableColumn id="3846" xr3:uid="{7A5C50CD-F29A-44FE-AD99-AAE1CB6E90F4}" name="б2626" dataDxfId="23">
      <calculatedColumnFormula>IF(AND(ISNUMBER(CTK6),CTK6&gt;0),SUM(OFFSET($BA6:$DJ6,0,62*(CUZ$1-1),,62))-1,"")</calculatedColumnFormula>
    </tableColumn>
    <tableColumn id="3847" xr3:uid="{5720EAA8-82D8-4579-8F70-E3EE5D02BF18}" name="б2727" dataDxfId="22">
      <calculatedColumnFormula>IF(AND(ISNUMBER(CTL6),CTL6&gt;0),SUM(OFFSET($BA6:$DJ6,0,62*(CVA$1-1),,62))-1,"")</calculatedColumnFormula>
    </tableColumn>
    <tableColumn id="3848" xr3:uid="{A2A1857D-124F-43D8-9C14-C2E56DA709FB}" name="б2828" dataDxfId="21">
      <calculatedColumnFormula>IF(AND(ISNUMBER(CTM6),CTM6&gt;0),SUM(OFFSET($BA6:$DJ6,0,62*(CVB$1-1),,62))-1,"")</calculatedColumnFormula>
    </tableColumn>
    <tableColumn id="3849" xr3:uid="{8CF91878-22B3-4721-B8E9-70BDADB2F6C7}" name="б2929" dataDxfId="20">
      <calculatedColumnFormula>IF(AND(ISNUMBER(CTN6),CTN6&gt;0),SUM(OFFSET($BA6:$DJ6,0,62*(CVC$1-1),,62))-1,"")</calculatedColumnFormula>
    </tableColumn>
    <tableColumn id="3850" xr3:uid="{2415D38A-D93A-4E77-95C5-5DCF6E0CC006}" name="б3030" dataDxfId="19">
      <calculatedColumnFormula>IF(AND(ISNUMBER(CTO6),CTO6&gt;0),SUM(OFFSET($BA6:$DJ6,0,62*(CVD$1-1),,62))-1,"")</calculatedColumnFormula>
    </tableColumn>
    <tableColumn id="3851" xr3:uid="{5BA7CC71-ACC7-4C8E-89A9-C8544D739D37}" name="б3131" dataDxfId="18">
      <calculatedColumnFormula>IF(AND(ISNUMBER(CTP6),CTP6&gt;0),SUM(OFFSET($BA6:$DJ6,0,62*(CVE$1-1),,62))-1,"")</calculatedColumnFormula>
    </tableColumn>
    <tableColumn id="3852" xr3:uid="{F4E487DA-BE78-483C-BD7D-5815887C4668}" name="б3232" dataDxfId="17">
      <calculatedColumnFormula>IF(AND(ISNUMBER(CTQ6),CTQ6&gt;0),SUM(OFFSET($BA6:$DJ6,0,62*(CVF$1-1),,62))-1,"")</calculatedColumnFormula>
    </tableColumn>
    <tableColumn id="3853" xr3:uid="{B3114685-D11F-4A15-AC52-70164E9481B6}" name="б3333" dataDxfId="16">
      <calculatedColumnFormula>IF(AND(ISNUMBER(CTR6),CTR6&gt;0),SUM(OFFSET($BA6:$DJ6,0,62*(CVG$1-1),,62))-1,"")</calculatedColumnFormula>
    </tableColumn>
    <tableColumn id="3854" xr3:uid="{50952A6D-5978-47F9-A6A3-AA6AB1925DDE}" name="б3434" dataDxfId="15">
      <calculatedColumnFormula>IF(AND(ISNUMBER(CTS6),CTS6&gt;0),SUM(OFFSET($BA6:$DJ6,0,62*(CVH$1-1),,62))-1,"")</calculatedColumnFormula>
    </tableColumn>
    <tableColumn id="3855" xr3:uid="{9EEEA7B7-2ECB-4578-B548-E54F2BE5B322}" name="б3535" dataDxfId="14">
      <calculatedColumnFormula>IF(AND(ISNUMBER(CTT6),CTT6&gt;0),SUM(OFFSET($BA6:$DJ6,0,62*(CVI$1-1),,62))-1,"")</calculatedColumnFormula>
    </tableColumn>
    <tableColumn id="3856" xr3:uid="{5DC81B4B-6CBD-4AF6-9198-89A9F46A3FC3}" name="б3636" dataDxfId="13">
      <calculatedColumnFormula>IF(AND(ISNUMBER(CTU6),CTU6&gt;0),SUM(OFFSET($BA6:$DJ6,0,62*(CVJ$1-1),,62))-1,"")</calculatedColumnFormula>
    </tableColumn>
    <tableColumn id="3857" xr3:uid="{90BE49B8-975E-4871-B63B-2918E831F6D5}" name="б3737" dataDxfId="12">
      <calculatedColumnFormula>IF(AND(ISNUMBER(CTV6),CTV6&gt;0),SUM(OFFSET($BA6:$DJ6,0,62*(CVK$1-1),,62))-1,"")</calculatedColumnFormula>
    </tableColumn>
    <tableColumn id="3858" xr3:uid="{11D67921-18FF-488F-B509-73E1F75C0839}" name="б3838" dataDxfId="11">
      <calculatedColumnFormula>IF(AND(ISNUMBER(CTW6),CTW6&gt;0),SUM(OFFSET($BA6:$DJ6,0,62*(CVL$1-1),,62))-1,"")</calculatedColumnFormula>
    </tableColumn>
    <tableColumn id="3859" xr3:uid="{4470522E-4C1F-477C-99E0-0F44E7D4219B}" name="б3629" dataDxfId="10">
      <calculatedColumnFormula>IF(AND(ISNUMBER(CTX6),CTX6&gt;0),SUM(OFFSET($BA6:$DJ6,0,62*(CVM$1-1),,62))-1,"")</calculatedColumnFormula>
    </tableColumn>
    <tableColumn id="3860" xr3:uid="{370E25EE-215D-4F5A-9F3E-8B65C28244CA}" name="б4040" dataDxfId="9">
      <calculatedColumnFormula>IF(AND(ISNUMBER(CTY6),CTY6&gt;0),SUM(OFFSET($BA6:$DJ6,0,62*(CVN$1-1),,62))-1,"")</calculatedColumnFormula>
    </tableColumn>
    <tableColumn id="120" xr3:uid="{C213893F-A447-4A81-896E-C2FDFE72F2A7}" name="Ключ" dataDxfId="8">
      <calculatedColumnFormula>SUBSTITUTE(SUBSTITUTE(LOWER(A6&amp;B6),"ё","е")," ","")</calculatedColumnFormula>
    </tableColumn>
    <tableColumn id="8" xr3:uid="{928A60D4-4758-44E5-B2CF-E5C5CC69FA44}" name="Поиск" dataDxfId="7">
      <calculatedColumnFormula>IFERROR(VLOOKUP(CVO6,'Внешние данные'!A:Z,4,FALSE),"")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960A35-4BB4-4C26-B996-F672DBD1934C}" name="Таблица2" displayName="Таблица2" ref="A1:D12" totalsRowShown="0" headerRowDxfId="6">
  <autoFilter ref="A1:D12" xr:uid="{01CE0656-5934-4E9A-87EC-95C2C5509DDA}"/>
  <tableColumns count="4">
    <tableColumn id="1" xr3:uid="{FD1860D2-C0FB-4CC2-BA14-802C277FCD5B}" name="Форматирование" dataDxfId="5"/>
    <tableColumn id="2" xr3:uid="{13735677-B26E-4A73-B12C-CCAA6DB20DF7}" name="Условие" dataDxfId="4"/>
    <tableColumn id="3" xr3:uid="{D80BE910-72A2-4621-BA3C-D695B3C19A3C}" name="Диапазон" dataDxfId="3"/>
    <tableColumn id="4" xr3:uid="{9F51F1A9-9982-4BC1-84CC-85BDF1EDFF4F}" name="Комментарий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Таблица3" displayName="Таблица3" ref="A1:G41" totalsRowShown="0">
  <autoFilter ref="A1:G41" xr:uid="{00000000-0009-0000-0100-000003000000}"/>
  <tableColumns count="7">
    <tableColumn id="1" xr3:uid="{00000000-0010-0000-0300-000001000000}" name="Занятие"/>
    <tableColumn id="2" xr3:uid="{00000000-0010-0000-0300-000002000000}" name="Начинающие"/>
    <tableColumn id="3" xr3:uid="{00000000-0010-0000-0300-000003000000}" name="Продолжающие"/>
    <tableColumn id="4" xr3:uid="{00000000-0010-0000-0300-000004000000}" name="Сильные"/>
    <tableColumn id="5" xr3:uid="{00000000-0010-0000-0300-000005000000}" name="Показ: Начинающие" dataDxfId="1"/>
    <tableColumn id="6" xr3:uid="{00000000-0010-0000-0300-000006000000}" name="Показ: Продолжающие"/>
    <tableColumn id="7" xr3:uid="{00000000-0010-0000-0300-000007000000}" name="Показ: Сильные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99441A-ED05-4FD7-8181-8087A8BDA46C}" name="Таблица4" displayName="Таблица4" ref="A1:D2" totalsRowShown="0">
  <autoFilter ref="A1:D2" xr:uid="{8A9CB5CD-C7DE-4AFB-A15B-942FF8AF558D}"/>
  <tableColumns count="4">
    <tableColumn id="1" xr3:uid="{1A9FA3D5-C1C8-4E43-A8BC-F0991908CD8D}" name="Ключ">
      <calculatedColumnFormula>SUBSTITUTE(SUBSTITUTE(LOWER(B2&amp;C2),"ё","е")," ","")</calculatedColumnFormula>
    </tableColumn>
    <tableColumn id="2" xr3:uid="{8EED184A-6048-43F9-B4E5-F6EB64A035DA}" name="Фамилия"/>
    <tableColumn id="3" xr3:uid="{9BBC08E4-D94A-4632-821B-A03DA02C71DC}" name="Имя"/>
    <tableColumn id="4" xr3:uid="{66EC7E5F-8E8A-413F-87A3-CCF2860D1E9E}" name="Данны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VP92"/>
  <sheetViews>
    <sheetView tabSelected="1" zoomScaleNormal="100" workbookViewId="0">
      <pane xSplit="12" ySplit="5" topLeftCell="M24" activePane="bottomRight" state="frozen"/>
      <selection pane="topRight" activeCell="P1" sqref="P1"/>
      <selection pane="bottomLeft" activeCell="A6" sqref="A6"/>
      <selection pane="bottomRight" activeCell="L6" sqref="L6"/>
    </sheetView>
  </sheetViews>
  <sheetFormatPr defaultColWidth="8.88671875" defaultRowHeight="14.4" x14ac:dyDescent="0.3"/>
  <cols>
    <col min="1" max="1" width="13.88671875" style="2" bestFit="1" customWidth="1"/>
    <col min="2" max="2" width="13.33203125" style="2" bestFit="1" customWidth="1"/>
    <col min="3" max="3" width="5" style="5" customWidth="1"/>
    <col min="4" max="4" width="4.33203125" style="3" customWidth="1"/>
    <col min="5" max="5" width="6.5546875" style="2" customWidth="1"/>
    <col min="6" max="6" width="4.109375" style="16" customWidth="1"/>
    <col min="7" max="7" width="2.5546875" style="16" customWidth="1"/>
    <col min="8" max="8" width="4.44140625" style="3" bestFit="1" customWidth="1"/>
    <col min="9" max="9" width="3.44140625" style="3" customWidth="1"/>
    <col min="10" max="10" width="5" style="16" customWidth="1"/>
    <col min="11" max="11" width="5" style="50" customWidth="1"/>
    <col min="12" max="12" width="4.6640625" style="1" customWidth="1"/>
    <col min="13" max="32" width="3.5546875" style="4" customWidth="1"/>
    <col min="33" max="52" width="3.5546875" style="4" hidden="1" customWidth="1"/>
    <col min="53" max="58" width="2.88671875" style="1" customWidth="1"/>
    <col min="59" max="71" width="2.88671875" style="17" customWidth="1"/>
    <col min="72" max="83" width="2.88671875" style="17" hidden="1" customWidth="1"/>
    <col min="84" max="96" width="2.88671875" style="17" customWidth="1"/>
    <col min="97" max="114" width="2.88671875" style="17" hidden="1" customWidth="1"/>
    <col min="115" max="127" width="2.88671875" style="17" customWidth="1"/>
    <col min="128" max="145" width="2.88671875" style="17" hidden="1" customWidth="1"/>
    <col min="146" max="158" width="2.88671875" style="17" customWidth="1"/>
    <col min="159" max="176" width="2.88671875" style="17" hidden="1" customWidth="1"/>
    <col min="177" max="192" width="2.88671875" style="17" customWidth="1"/>
    <col min="193" max="207" width="2.88671875" style="17" hidden="1" customWidth="1"/>
    <col min="208" max="220" width="2.88671875" style="17" customWidth="1"/>
    <col min="221" max="238" width="2.88671875" style="17" hidden="1" customWidth="1"/>
    <col min="239" max="258" width="2.88671875" style="17" customWidth="1"/>
    <col min="259" max="269" width="2.88671875" style="17" hidden="1" customWidth="1"/>
    <col min="270" max="285" width="2.88671875" style="17" customWidth="1"/>
    <col min="286" max="300" width="2.88671875" style="17" hidden="1" customWidth="1"/>
    <col min="301" max="313" width="2.88671875" style="17" customWidth="1"/>
    <col min="314" max="331" width="2.88671875" style="17" hidden="1" customWidth="1"/>
    <col min="332" max="344" width="2.88671875" style="17" customWidth="1"/>
    <col min="345" max="362" width="2.88671875" style="17" hidden="1" customWidth="1"/>
    <col min="363" max="377" width="2.88671875" style="17" customWidth="1"/>
    <col min="378" max="393" width="2.88671875" style="17" hidden="1" customWidth="1"/>
    <col min="394" max="409" width="2.88671875" style="17" customWidth="1"/>
    <col min="410" max="424" width="2.88671875" style="17" hidden="1" customWidth="1"/>
    <col min="425" max="441" width="2.88671875" style="17" customWidth="1"/>
    <col min="442" max="455" width="2.88671875" style="17" hidden="1" customWidth="1"/>
    <col min="456" max="468" width="2.88671875" style="17" customWidth="1"/>
    <col min="469" max="486" width="2.88671875" style="17" hidden="1" customWidth="1"/>
    <col min="487" max="502" width="2.88671875" style="17" customWidth="1"/>
    <col min="503" max="517" width="2.88671875" style="17" hidden="1" customWidth="1"/>
    <col min="518" max="531" width="2.88671875" style="17" customWidth="1"/>
    <col min="532" max="610" width="2.88671875" style="17" hidden="1" customWidth="1"/>
    <col min="611" max="627" width="2.88671875" style="17" customWidth="1"/>
    <col min="628" max="648" width="2.88671875" style="17" hidden="1" customWidth="1"/>
    <col min="649" max="655" width="2.88671875" style="17" customWidth="1"/>
    <col min="656" max="672" width="2.88671875" style="17" hidden="1" customWidth="1"/>
    <col min="673" max="690" width="2.88671875" style="17" customWidth="1"/>
    <col min="691" max="703" width="2.88671875" style="17" hidden="1" customWidth="1"/>
    <col min="704" max="718" width="2.88671875" style="17" customWidth="1"/>
    <col min="719" max="734" width="2.88671875" style="17" hidden="1" customWidth="1"/>
    <col min="735" max="753" width="2.88671875" style="17" customWidth="1"/>
    <col min="754" max="765" width="2.88671875" style="17" hidden="1" customWidth="1"/>
    <col min="766" max="780" width="2.88671875" style="17" customWidth="1"/>
    <col min="781" max="796" width="2.88671875" style="17" hidden="1" customWidth="1"/>
    <col min="797" max="815" width="2.88671875" style="17" customWidth="1"/>
    <col min="816" max="827" width="2.88671875" style="17" hidden="1" customWidth="1"/>
    <col min="828" max="842" width="2.88671875" style="17" customWidth="1"/>
    <col min="843" max="858" width="2.88671875" style="17" hidden="1" customWidth="1"/>
    <col min="859" max="878" width="2.88671875" style="17" customWidth="1"/>
    <col min="879" max="889" width="2.88671875" style="17" hidden="1" customWidth="1"/>
    <col min="890" max="903" width="2.88671875" style="17" customWidth="1"/>
    <col min="904" max="927" width="2.88671875" style="17" hidden="1" customWidth="1"/>
    <col min="928" max="2532" width="2.88671875" style="17" customWidth="1"/>
    <col min="2533" max="2533" width="2.88671875" style="25" customWidth="1"/>
    <col min="2534" max="2538" width="2.88671875" style="17" customWidth="1"/>
    <col min="2539" max="2539" width="2.88671875" style="22" customWidth="1"/>
    <col min="2540" max="2553" width="3.33203125" style="3" customWidth="1"/>
    <col min="2554" max="2573" width="3.33203125" style="3" hidden="1" customWidth="1"/>
    <col min="2574" max="2574" width="1.5546875" style="37" customWidth="1"/>
    <col min="2575" max="2580" width="3" style="3" customWidth="1"/>
    <col min="2581" max="2594" width="3" style="1" customWidth="1"/>
    <col min="2595" max="2614" width="3" style="1" hidden="1" customWidth="1"/>
    <col min="2615" max="2615" width="8.88671875" style="2"/>
    <col min="2616" max="16384" width="8.88671875" style="1"/>
  </cols>
  <sheetData>
    <row r="1" spans="1:2616" s="13" customFormat="1" x14ac:dyDescent="0.3">
      <c r="A1" s="38" t="s">
        <v>1381</v>
      </c>
      <c r="B1" s="60">
        <v>14</v>
      </c>
      <c r="C1" s="40"/>
      <c r="D1" s="14"/>
      <c r="E1" s="38"/>
      <c r="F1" s="41"/>
      <c r="G1" s="41"/>
      <c r="H1" s="42"/>
      <c r="I1" s="42"/>
      <c r="J1" s="43" t="s">
        <v>7</v>
      </c>
      <c r="K1" s="44" t="s">
        <v>8</v>
      </c>
      <c r="L1" s="45" t="s">
        <v>6</v>
      </c>
      <c r="M1" s="70" t="str">
        <f>RIGHT(M5,2)</f>
        <v>01</v>
      </c>
      <c r="N1" s="70" t="str">
        <f t="shared" ref="N1:AZ1" si="0">RIGHT(N5,2)</f>
        <v>02</v>
      </c>
      <c r="O1" s="70" t="str">
        <f t="shared" si="0"/>
        <v>03</v>
      </c>
      <c r="P1" s="70" t="str">
        <f t="shared" si="0"/>
        <v>04</v>
      </c>
      <c r="Q1" s="70" t="str">
        <f t="shared" si="0"/>
        <v>05</v>
      </c>
      <c r="R1" s="70" t="str">
        <f t="shared" si="0"/>
        <v>06</v>
      </c>
      <c r="S1" s="70" t="str">
        <f t="shared" si="0"/>
        <v>07</v>
      </c>
      <c r="T1" s="70" t="str">
        <f t="shared" si="0"/>
        <v>08</v>
      </c>
      <c r="U1" s="70" t="str">
        <f t="shared" si="0"/>
        <v>09</v>
      </c>
      <c r="V1" s="70" t="str">
        <f t="shared" si="0"/>
        <v>10</v>
      </c>
      <c r="W1" s="70" t="str">
        <f t="shared" si="0"/>
        <v>11</v>
      </c>
      <c r="X1" s="70" t="str">
        <f t="shared" si="0"/>
        <v>12</v>
      </c>
      <c r="Y1" s="70" t="str">
        <f t="shared" si="0"/>
        <v>13</v>
      </c>
      <c r="Z1" s="70" t="str">
        <f t="shared" si="0"/>
        <v>14</v>
      </c>
      <c r="AA1" s="70" t="str">
        <f t="shared" si="0"/>
        <v>15</v>
      </c>
      <c r="AB1" s="70" t="str">
        <f t="shared" si="0"/>
        <v>16</v>
      </c>
      <c r="AC1" s="70" t="str">
        <f t="shared" si="0"/>
        <v>17</v>
      </c>
      <c r="AD1" s="70" t="str">
        <f t="shared" si="0"/>
        <v>18</v>
      </c>
      <c r="AE1" s="70" t="str">
        <f t="shared" si="0"/>
        <v>19</v>
      </c>
      <c r="AF1" s="70" t="str">
        <f t="shared" si="0"/>
        <v>20</v>
      </c>
      <c r="AG1" s="70" t="str">
        <f t="shared" si="0"/>
        <v>21</v>
      </c>
      <c r="AH1" s="70" t="str">
        <f t="shared" si="0"/>
        <v>22</v>
      </c>
      <c r="AI1" s="70" t="str">
        <f t="shared" si="0"/>
        <v>23</v>
      </c>
      <c r="AJ1" s="70" t="str">
        <f t="shared" si="0"/>
        <v>24</v>
      </c>
      <c r="AK1" s="70" t="str">
        <f t="shared" si="0"/>
        <v>25</v>
      </c>
      <c r="AL1" s="70" t="str">
        <f t="shared" si="0"/>
        <v>26</v>
      </c>
      <c r="AM1" s="70" t="str">
        <f t="shared" si="0"/>
        <v>27</v>
      </c>
      <c r="AN1" s="70" t="str">
        <f t="shared" si="0"/>
        <v>28</v>
      </c>
      <c r="AO1" s="70" t="str">
        <f t="shared" si="0"/>
        <v>29</v>
      </c>
      <c r="AP1" s="70" t="str">
        <f t="shared" si="0"/>
        <v>30</v>
      </c>
      <c r="AQ1" s="70" t="str">
        <f t="shared" si="0"/>
        <v>31</v>
      </c>
      <c r="AR1" s="70" t="str">
        <f t="shared" si="0"/>
        <v>32</v>
      </c>
      <c r="AS1" s="70" t="str">
        <f t="shared" si="0"/>
        <v>33</v>
      </c>
      <c r="AT1" s="70" t="str">
        <f t="shared" si="0"/>
        <v>34</v>
      </c>
      <c r="AU1" s="70" t="str">
        <f t="shared" si="0"/>
        <v>35</v>
      </c>
      <c r="AV1" s="70" t="str">
        <f t="shared" si="0"/>
        <v>36</v>
      </c>
      <c r="AW1" s="70" t="str">
        <f t="shared" si="0"/>
        <v>37</v>
      </c>
      <c r="AX1" s="70" t="str">
        <f t="shared" si="0"/>
        <v>38</v>
      </c>
      <c r="AY1" s="70" t="str">
        <f t="shared" si="0"/>
        <v>39</v>
      </c>
      <c r="AZ1" s="70" t="str">
        <f t="shared" si="0"/>
        <v>40</v>
      </c>
      <c r="BA1" s="15" t="str">
        <f>IF(RIGHT(BA$5,1)="Н",RIGHT(BA$5,3),MID(BA$5,FIND(".",BA$5)+1,5))</f>
        <v>н.Н</v>
      </c>
      <c r="BB1" s="15" t="str">
        <f t="shared" ref="BB1:DJ1" si="1">IF(RIGHT(BB$5,1)="Н",RIGHT(BB$5,3),MID(BB$5,FIND(".",BB$5)+1,5))</f>
        <v>01</v>
      </c>
      <c r="BC1" s="15" t="str">
        <f t="shared" si="1"/>
        <v>02</v>
      </c>
      <c r="BD1" s="15" t="str">
        <f t="shared" si="1"/>
        <v>03а</v>
      </c>
      <c r="BE1" s="15" t="str">
        <f t="shared" si="1"/>
        <v>03б</v>
      </c>
      <c r="BF1" s="15" t="str">
        <f t="shared" si="1"/>
        <v>04</v>
      </c>
      <c r="BG1" s="15" t="str">
        <f t="shared" si="1"/>
        <v>05</v>
      </c>
      <c r="BH1" s="15" t="str">
        <f t="shared" si="1"/>
        <v>06</v>
      </c>
      <c r="BI1" s="15" t="str">
        <f t="shared" si="1"/>
        <v>07</v>
      </c>
      <c r="BJ1" s="15" t="str">
        <f t="shared" si="1"/>
        <v>08</v>
      </c>
      <c r="BK1" s="15" t="str">
        <f t="shared" si="1"/>
        <v>09</v>
      </c>
      <c r="BL1" s="15" t="str">
        <f t="shared" si="1"/>
        <v>10</v>
      </c>
      <c r="BM1" s="15" t="str">
        <f t="shared" si="1"/>
        <v>11</v>
      </c>
      <c r="BN1" s="15" t="str">
        <f t="shared" si="1"/>
        <v>12а</v>
      </c>
      <c r="BO1" s="15" t="str">
        <f t="shared" si="1"/>
        <v>12б</v>
      </c>
      <c r="BP1" s="15" t="str">
        <f t="shared" si="1"/>
        <v>13</v>
      </c>
      <c r="BQ1" s="15" t="str">
        <f t="shared" si="1"/>
        <v>14</v>
      </c>
      <c r="BR1" s="15" t="str">
        <f t="shared" si="1"/>
        <v>15</v>
      </c>
      <c r="BS1" s="15" t="str">
        <f t="shared" si="1"/>
        <v>16</v>
      </c>
      <c r="BT1" s="15" t="str">
        <f t="shared" si="1"/>
        <v>19*</v>
      </c>
      <c r="BU1" s="15" t="str">
        <f t="shared" si="1"/>
        <v>20*</v>
      </c>
      <c r="BV1" s="15" t="str">
        <f t="shared" si="1"/>
        <v>21*</v>
      </c>
      <c r="BW1" s="15" t="str">
        <f t="shared" si="1"/>
        <v>22*</v>
      </c>
      <c r="BX1" s="15" t="str">
        <f t="shared" si="1"/>
        <v>23*</v>
      </c>
      <c r="BY1" s="15" t="str">
        <f t="shared" si="1"/>
        <v>24*</v>
      </c>
      <c r="BZ1" s="15" t="str">
        <f t="shared" si="1"/>
        <v>25*</v>
      </c>
      <c r="CA1" s="15" t="str">
        <f t="shared" si="1"/>
        <v>26*</v>
      </c>
      <c r="CB1" s="15" t="str">
        <f t="shared" si="1"/>
        <v>27*</v>
      </c>
      <c r="CC1" s="15" t="str">
        <f t="shared" si="1"/>
        <v>28*</v>
      </c>
      <c r="CD1" s="15" t="str">
        <f t="shared" si="1"/>
        <v>29*</v>
      </c>
      <c r="CE1" s="15" t="str">
        <f t="shared" si="1"/>
        <v>30*</v>
      </c>
      <c r="CF1" s="15" t="str">
        <f t="shared" si="1"/>
        <v>п.Н</v>
      </c>
      <c r="CG1" s="15" t="str">
        <f t="shared" si="1"/>
        <v>01</v>
      </c>
      <c r="CH1" s="15" t="str">
        <f t="shared" si="1"/>
        <v>02</v>
      </c>
      <c r="CI1" s="15" t="str">
        <f t="shared" si="1"/>
        <v>03</v>
      </c>
      <c r="CJ1" s="15" t="str">
        <f t="shared" si="1"/>
        <v>04</v>
      </c>
      <c r="CK1" s="15" t="str">
        <f t="shared" si="1"/>
        <v>05</v>
      </c>
      <c r="CL1" s="15" t="str">
        <f t="shared" si="1"/>
        <v>06</v>
      </c>
      <c r="CM1" s="15" t="str">
        <f t="shared" si="1"/>
        <v>07</v>
      </c>
      <c r="CN1" s="15" t="str">
        <f t="shared" si="1"/>
        <v>08</v>
      </c>
      <c r="CO1" s="15" t="str">
        <f t="shared" si="1"/>
        <v>09</v>
      </c>
      <c r="CP1" s="15" t="str">
        <f t="shared" si="1"/>
        <v>10</v>
      </c>
      <c r="CQ1" s="15" t="str">
        <f t="shared" si="1"/>
        <v>11</v>
      </c>
      <c r="CR1" s="15" t="str">
        <f t="shared" si="1"/>
        <v>12</v>
      </c>
      <c r="CS1" s="15" t="str">
        <f t="shared" si="1"/>
        <v>13*</v>
      </c>
      <c r="CT1" s="15" t="str">
        <f t="shared" si="1"/>
        <v>14*</v>
      </c>
      <c r="CU1" s="15" t="str">
        <f t="shared" si="1"/>
        <v>15*</v>
      </c>
      <c r="CV1" s="15" t="str">
        <f t="shared" si="1"/>
        <v>16*</v>
      </c>
      <c r="CW1" s="15" t="str">
        <f t="shared" si="1"/>
        <v>17*</v>
      </c>
      <c r="CX1" s="15" t="str">
        <f t="shared" si="1"/>
        <v>18*</v>
      </c>
      <c r="CY1" s="15" t="str">
        <f t="shared" si="1"/>
        <v>19*</v>
      </c>
      <c r="CZ1" s="15" t="str">
        <f t="shared" si="1"/>
        <v>20*</v>
      </c>
      <c r="DA1" s="15" t="str">
        <f t="shared" si="1"/>
        <v>21*</v>
      </c>
      <c r="DB1" s="15" t="str">
        <f t="shared" si="1"/>
        <v>22*</v>
      </c>
      <c r="DC1" s="15" t="str">
        <f t="shared" si="1"/>
        <v>23*</v>
      </c>
      <c r="DD1" s="15" t="str">
        <f t="shared" si="1"/>
        <v>24*</v>
      </c>
      <c r="DE1" s="15" t="str">
        <f t="shared" si="1"/>
        <v>25*</v>
      </c>
      <c r="DF1" s="15" t="str">
        <f t="shared" si="1"/>
        <v>26*</v>
      </c>
      <c r="DG1" s="15" t="str">
        <f t="shared" si="1"/>
        <v>27*</v>
      </c>
      <c r="DH1" s="15" t="str">
        <f t="shared" si="1"/>
        <v>28*</v>
      </c>
      <c r="DI1" s="15" t="str">
        <f t="shared" si="1"/>
        <v>29*</v>
      </c>
      <c r="DJ1" s="15" t="str">
        <f t="shared" si="1"/>
        <v>30*</v>
      </c>
      <c r="DK1" s="15" t="str">
        <f t="shared" ref="DK1:ET1" si="2">IF(RIGHT(DK$5,1)="Н",RIGHT(DK$5,3),MID(DK$5,FIND(".",DK$5)+1,5))</f>
        <v>н.Н</v>
      </c>
      <c r="DL1" s="15" t="str">
        <f t="shared" si="2"/>
        <v>01</v>
      </c>
      <c r="DM1" s="15" t="str">
        <f t="shared" si="2"/>
        <v>02</v>
      </c>
      <c r="DN1" s="15" t="str">
        <f t="shared" si="2"/>
        <v>03</v>
      </c>
      <c r="DO1" s="15" t="str">
        <f t="shared" si="2"/>
        <v>04</v>
      </c>
      <c r="DP1" s="15" t="str">
        <f t="shared" si="2"/>
        <v>05</v>
      </c>
      <c r="DQ1" s="15" t="str">
        <f t="shared" si="2"/>
        <v>06</v>
      </c>
      <c r="DR1" s="15" t="str">
        <f t="shared" si="2"/>
        <v>07</v>
      </c>
      <c r="DS1" s="15" t="str">
        <f t="shared" si="2"/>
        <v>08</v>
      </c>
      <c r="DT1" s="15" t="str">
        <f t="shared" si="2"/>
        <v>09</v>
      </c>
      <c r="DU1" s="15" t="str">
        <f t="shared" si="2"/>
        <v>10</v>
      </c>
      <c r="DV1" s="15" t="str">
        <f t="shared" si="2"/>
        <v>11</v>
      </c>
      <c r="DW1" s="15" t="str">
        <f t="shared" si="2"/>
        <v>12</v>
      </c>
      <c r="DX1" s="15" t="str">
        <f t="shared" si="2"/>
        <v>13*</v>
      </c>
      <c r="DY1" s="15" t="str">
        <f t="shared" si="2"/>
        <v>14*</v>
      </c>
      <c r="DZ1" s="15" t="str">
        <f t="shared" si="2"/>
        <v>15*</v>
      </c>
      <c r="EA1" s="15" t="str">
        <f t="shared" si="2"/>
        <v>16*</v>
      </c>
      <c r="EB1" s="15" t="str">
        <f t="shared" si="2"/>
        <v>17*</v>
      </c>
      <c r="EC1" s="15" t="str">
        <f t="shared" si="2"/>
        <v>18*</v>
      </c>
      <c r="ED1" s="15" t="str">
        <f t="shared" si="2"/>
        <v>19*</v>
      </c>
      <c r="EE1" s="15" t="str">
        <f t="shared" si="2"/>
        <v>20*</v>
      </c>
      <c r="EF1" s="15" t="str">
        <f t="shared" si="2"/>
        <v>21*</v>
      </c>
      <c r="EG1" s="15" t="str">
        <f t="shared" si="2"/>
        <v>22*</v>
      </c>
      <c r="EH1" s="15" t="str">
        <f t="shared" si="2"/>
        <v>23*</v>
      </c>
      <c r="EI1" s="15" t="str">
        <f t="shared" si="2"/>
        <v>24*</v>
      </c>
      <c r="EJ1" s="15" t="str">
        <f t="shared" si="2"/>
        <v>25*</v>
      </c>
      <c r="EK1" s="15" t="str">
        <f t="shared" si="2"/>
        <v>26*</v>
      </c>
      <c r="EL1" s="15" t="str">
        <f t="shared" si="2"/>
        <v>27*</v>
      </c>
      <c r="EM1" s="15" t="str">
        <f t="shared" si="2"/>
        <v>28*</v>
      </c>
      <c r="EN1" s="15" t="str">
        <f t="shared" si="2"/>
        <v>29*</v>
      </c>
      <c r="EO1" s="15" t="str">
        <f t="shared" si="2"/>
        <v>30*</v>
      </c>
      <c r="EP1" s="15" t="str">
        <f t="shared" si="2"/>
        <v>п.Н</v>
      </c>
      <c r="EQ1" s="15" t="str">
        <f t="shared" si="2"/>
        <v>01</v>
      </c>
      <c r="ER1" s="15" t="str">
        <f t="shared" si="2"/>
        <v>02</v>
      </c>
      <c r="ES1" s="15" t="str">
        <f t="shared" si="2"/>
        <v>03</v>
      </c>
      <c r="ET1" s="15" t="str">
        <f t="shared" si="2"/>
        <v>04</v>
      </c>
      <c r="EU1" s="15" t="str">
        <f t="shared" ref="EU1:GA1" si="3">IF(RIGHT(EU$5,1)="Н",RIGHT(EU$5,3),MID(EU$5,FIND(".",EU$5)+1,5))</f>
        <v>05</v>
      </c>
      <c r="EV1" s="15" t="str">
        <f t="shared" si="3"/>
        <v>06</v>
      </c>
      <c r="EW1" s="15" t="str">
        <f t="shared" si="3"/>
        <v>07</v>
      </c>
      <c r="EX1" s="15" t="str">
        <f t="shared" si="3"/>
        <v>08</v>
      </c>
      <c r="EY1" s="15" t="str">
        <f t="shared" si="3"/>
        <v>09</v>
      </c>
      <c r="EZ1" s="15" t="str">
        <f t="shared" si="3"/>
        <v>10</v>
      </c>
      <c r="FA1" s="15" t="str">
        <f t="shared" si="3"/>
        <v>11</v>
      </c>
      <c r="FB1" s="15" t="str">
        <f t="shared" si="3"/>
        <v>12</v>
      </c>
      <c r="FC1" s="15" t="str">
        <f t="shared" si="3"/>
        <v>13*</v>
      </c>
      <c r="FD1" s="15" t="str">
        <f t="shared" si="3"/>
        <v>14*</v>
      </c>
      <c r="FE1" s="15" t="str">
        <f t="shared" si="3"/>
        <v>15*</v>
      </c>
      <c r="FF1" s="15" t="str">
        <f t="shared" si="3"/>
        <v>16*</v>
      </c>
      <c r="FG1" s="15" t="str">
        <f t="shared" si="3"/>
        <v>17*</v>
      </c>
      <c r="FH1" s="15" t="str">
        <f t="shared" si="3"/>
        <v>18*</v>
      </c>
      <c r="FI1" s="15" t="str">
        <f t="shared" si="3"/>
        <v>19*</v>
      </c>
      <c r="FJ1" s="15" t="str">
        <f t="shared" si="3"/>
        <v>20*</v>
      </c>
      <c r="FK1" s="15" t="str">
        <f t="shared" si="3"/>
        <v>21*</v>
      </c>
      <c r="FL1" s="15" t="str">
        <f t="shared" si="3"/>
        <v>22*</v>
      </c>
      <c r="FM1" s="15" t="str">
        <f t="shared" si="3"/>
        <v>23*</v>
      </c>
      <c r="FN1" s="15" t="str">
        <f t="shared" si="3"/>
        <v>24*</v>
      </c>
      <c r="FO1" s="15" t="str">
        <f t="shared" si="3"/>
        <v>25*</v>
      </c>
      <c r="FP1" s="15" t="str">
        <f t="shared" si="3"/>
        <v>26*</v>
      </c>
      <c r="FQ1" s="15" t="str">
        <f t="shared" si="3"/>
        <v>27*</v>
      </c>
      <c r="FR1" s="15" t="str">
        <f t="shared" si="3"/>
        <v>28*</v>
      </c>
      <c r="FS1" s="15" t="str">
        <f t="shared" si="3"/>
        <v>29*</v>
      </c>
      <c r="FT1" s="15" t="str">
        <f t="shared" si="3"/>
        <v>30*</v>
      </c>
      <c r="FU1" s="15" t="str">
        <f t="shared" si="3"/>
        <v>н.Н</v>
      </c>
      <c r="FV1" s="15" t="str">
        <f t="shared" si="3"/>
        <v>01</v>
      </c>
      <c r="FW1" s="15" t="str">
        <f t="shared" si="3"/>
        <v>02</v>
      </c>
      <c r="FX1" s="15" t="str">
        <f t="shared" si="3"/>
        <v>03</v>
      </c>
      <c r="FY1" s="15" t="str">
        <f t="shared" si="3"/>
        <v>04а</v>
      </c>
      <c r="FZ1" s="15" t="str">
        <f t="shared" si="3"/>
        <v>04б</v>
      </c>
      <c r="GA1" s="15" t="str">
        <f t="shared" si="3"/>
        <v>04в</v>
      </c>
      <c r="GB1" s="15" t="str">
        <f t="shared" ref="GB1:ID1" si="4">IF(RIGHT(GB$5,1)="Н",RIGHT(GB$5,3),MID(GB$5,FIND(".",GB$5)+1,5))</f>
        <v>04г</v>
      </c>
      <c r="GC1" s="15" t="str">
        <f t="shared" si="4"/>
        <v>05</v>
      </c>
      <c r="GD1" s="15" t="str">
        <f t="shared" si="4"/>
        <v>06</v>
      </c>
      <c r="GE1" s="15" t="str">
        <f t="shared" si="4"/>
        <v>07</v>
      </c>
      <c r="GF1" s="15" t="str">
        <f t="shared" si="4"/>
        <v>08</v>
      </c>
      <c r="GG1" s="15" t="str">
        <f t="shared" si="4"/>
        <v>09</v>
      </c>
      <c r="GH1" s="15" t="str">
        <f t="shared" si="4"/>
        <v>10</v>
      </c>
      <c r="GI1" s="15" t="str">
        <f t="shared" si="4"/>
        <v>11</v>
      </c>
      <c r="GJ1" s="15" t="str">
        <f t="shared" si="4"/>
        <v>12</v>
      </c>
      <c r="GK1" s="15" t="str">
        <f t="shared" si="4"/>
        <v>16*</v>
      </c>
      <c r="GL1" s="15" t="str">
        <f t="shared" si="4"/>
        <v>17*</v>
      </c>
      <c r="GM1" s="15" t="str">
        <f t="shared" si="4"/>
        <v>18*</v>
      </c>
      <c r="GN1" s="15" t="str">
        <f t="shared" si="4"/>
        <v>19*</v>
      </c>
      <c r="GO1" s="15" t="str">
        <f t="shared" si="4"/>
        <v>20*</v>
      </c>
      <c r="GP1" s="15" t="str">
        <f t="shared" si="4"/>
        <v>21*</v>
      </c>
      <c r="GQ1" s="15" t="str">
        <f t="shared" si="4"/>
        <v>22*</v>
      </c>
      <c r="GR1" s="15" t="str">
        <f t="shared" si="4"/>
        <v>23*</v>
      </c>
      <c r="GS1" s="15" t="str">
        <f t="shared" si="4"/>
        <v>24*</v>
      </c>
      <c r="GT1" s="15" t="str">
        <f t="shared" si="4"/>
        <v>25*</v>
      </c>
      <c r="GU1" s="15" t="str">
        <f t="shared" si="4"/>
        <v>26*</v>
      </c>
      <c r="GV1" s="15" t="str">
        <f t="shared" si="4"/>
        <v>27*</v>
      </c>
      <c r="GW1" s="15" t="str">
        <f t="shared" si="4"/>
        <v>28*</v>
      </c>
      <c r="GX1" s="15" t="str">
        <f t="shared" si="4"/>
        <v>29*</v>
      </c>
      <c r="GY1" s="15" t="str">
        <f t="shared" si="4"/>
        <v>30*</v>
      </c>
      <c r="GZ1" s="15" t="str">
        <f t="shared" si="4"/>
        <v>п.Н</v>
      </c>
      <c r="HA1" s="15" t="str">
        <f t="shared" si="4"/>
        <v>01</v>
      </c>
      <c r="HB1" s="15" t="str">
        <f t="shared" si="4"/>
        <v>02</v>
      </c>
      <c r="HC1" s="15" t="str">
        <f t="shared" si="4"/>
        <v>03</v>
      </c>
      <c r="HD1" s="15" t="str">
        <f t="shared" si="4"/>
        <v>04</v>
      </c>
      <c r="HE1" s="15" t="str">
        <f t="shared" si="4"/>
        <v>05</v>
      </c>
      <c r="HF1" s="15" t="str">
        <f t="shared" si="4"/>
        <v>06</v>
      </c>
      <c r="HG1" s="15" t="str">
        <f t="shared" si="4"/>
        <v>07</v>
      </c>
      <c r="HH1" s="15" t="str">
        <f t="shared" si="4"/>
        <v>08</v>
      </c>
      <c r="HI1" s="15" t="str">
        <f t="shared" si="4"/>
        <v>09</v>
      </c>
      <c r="HJ1" s="15" t="str">
        <f t="shared" si="4"/>
        <v>10</v>
      </c>
      <c r="HK1" s="15" t="str">
        <f t="shared" si="4"/>
        <v>11</v>
      </c>
      <c r="HL1" s="15" t="str">
        <f t="shared" si="4"/>
        <v>12</v>
      </c>
      <c r="HM1" s="15" t="str">
        <f t="shared" si="4"/>
        <v>13*</v>
      </c>
      <c r="HN1" s="15" t="str">
        <f t="shared" si="4"/>
        <v>14*</v>
      </c>
      <c r="HO1" s="15" t="str">
        <f t="shared" si="4"/>
        <v>15*</v>
      </c>
      <c r="HP1" s="15" t="str">
        <f t="shared" si="4"/>
        <v>16*</v>
      </c>
      <c r="HQ1" s="15" t="str">
        <f t="shared" si="4"/>
        <v>17*</v>
      </c>
      <c r="HR1" s="15" t="str">
        <f t="shared" si="4"/>
        <v>18*</v>
      </c>
      <c r="HS1" s="15" t="str">
        <f t="shared" si="4"/>
        <v>19*</v>
      </c>
      <c r="HT1" s="15" t="str">
        <f t="shared" si="4"/>
        <v>20*</v>
      </c>
      <c r="HU1" s="15" t="str">
        <f t="shared" si="4"/>
        <v>21*</v>
      </c>
      <c r="HV1" s="15" t="str">
        <f t="shared" si="4"/>
        <v>22*</v>
      </c>
      <c r="HW1" s="15" t="str">
        <f t="shared" si="4"/>
        <v>23*</v>
      </c>
      <c r="HX1" s="15" t="str">
        <f t="shared" si="4"/>
        <v>24*</v>
      </c>
      <c r="HY1" s="15" t="str">
        <f t="shared" si="4"/>
        <v>25*</v>
      </c>
      <c r="HZ1" s="15" t="str">
        <f t="shared" si="4"/>
        <v>26*</v>
      </c>
      <c r="IA1" s="15" t="str">
        <f t="shared" si="4"/>
        <v>27*</v>
      </c>
      <c r="IB1" s="15" t="str">
        <f t="shared" si="4"/>
        <v>28*</v>
      </c>
      <c r="IC1" s="15" t="str">
        <f t="shared" si="4"/>
        <v>29*</v>
      </c>
      <c r="ID1" s="15" t="str">
        <f t="shared" si="4"/>
        <v>30*</v>
      </c>
      <c r="IE1" s="15" t="str">
        <f t="shared" ref="IE1:JT1" si="5">IF(RIGHT(IE$5,1)="Н",RIGHT(IE$5,3),MID(IE$5,FIND(".",IE$5)+1,5))</f>
        <v>н.Н</v>
      </c>
      <c r="IF1" s="15" t="str">
        <f t="shared" si="5"/>
        <v>01а</v>
      </c>
      <c r="IG1" s="15" t="str">
        <f t="shared" si="5"/>
        <v>01б</v>
      </c>
      <c r="IH1" s="15" t="str">
        <f t="shared" si="5"/>
        <v>01в</v>
      </c>
      <c r="II1" s="15" t="str">
        <f t="shared" si="5"/>
        <v>01г</v>
      </c>
      <c r="IJ1" s="15" t="str">
        <f t="shared" si="5"/>
        <v>01д</v>
      </c>
      <c r="IK1" s="15" t="str">
        <f t="shared" si="5"/>
        <v>02</v>
      </c>
      <c r="IL1" s="15" t="str">
        <f t="shared" si="5"/>
        <v>03</v>
      </c>
      <c r="IM1" s="15" t="str">
        <f t="shared" si="5"/>
        <v>04</v>
      </c>
      <c r="IN1" s="15" t="str">
        <f t="shared" si="5"/>
        <v>05а</v>
      </c>
      <c r="IO1" s="15" t="str">
        <f t="shared" si="5"/>
        <v>05б</v>
      </c>
      <c r="IP1" s="15" t="str">
        <f t="shared" si="5"/>
        <v>06</v>
      </c>
      <c r="IQ1" s="15" t="str">
        <f t="shared" si="5"/>
        <v>07а</v>
      </c>
      <c r="IR1" s="15" t="str">
        <f t="shared" si="5"/>
        <v>07б</v>
      </c>
      <c r="IS1" s="15" t="str">
        <f t="shared" si="5"/>
        <v>08</v>
      </c>
      <c r="IT1" s="15" t="str">
        <f t="shared" si="5"/>
        <v>09а</v>
      </c>
      <c r="IU1" s="15" t="str">
        <f t="shared" si="5"/>
        <v>09б</v>
      </c>
      <c r="IV1" s="15" t="str">
        <f t="shared" si="5"/>
        <v>10</v>
      </c>
      <c r="IW1" s="15" t="str">
        <f t="shared" si="5"/>
        <v>11</v>
      </c>
      <c r="IX1" s="15" t="str">
        <f t="shared" si="5"/>
        <v>12</v>
      </c>
      <c r="IY1" s="15" t="str">
        <f t="shared" si="5"/>
        <v>20*</v>
      </c>
      <c r="IZ1" s="15" t="str">
        <f t="shared" si="5"/>
        <v>21*</v>
      </c>
      <c r="JA1" s="15" t="str">
        <f t="shared" si="5"/>
        <v>22*</v>
      </c>
      <c r="JB1" s="15" t="str">
        <f t="shared" si="5"/>
        <v>23*</v>
      </c>
      <c r="JC1" s="15" t="str">
        <f t="shared" si="5"/>
        <v>24*</v>
      </c>
      <c r="JD1" s="15" t="str">
        <f t="shared" si="5"/>
        <v>25*</v>
      </c>
      <c r="JE1" s="15" t="str">
        <f t="shared" si="5"/>
        <v>26*</v>
      </c>
      <c r="JF1" s="15" t="str">
        <f t="shared" si="5"/>
        <v>27*</v>
      </c>
      <c r="JG1" s="15" t="str">
        <f t="shared" si="5"/>
        <v>28*</v>
      </c>
      <c r="JH1" s="15" t="str">
        <f t="shared" si="5"/>
        <v>29*</v>
      </c>
      <c r="JI1" s="15" t="str">
        <f t="shared" si="5"/>
        <v>30*</v>
      </c>
      <c r="JJ1" s="15" t="str">
        <f t="shared" si="5"/>
        <v>п.Н</v>
      </c>
      <c r="JK1" s="15" t="str">
        <f t="shared" si="5"/>
        <v>01а</v>
      </c>
      <c r="JL1" s="15" t="str">
        <f t="shared" si="5"/>
        <v>01б</v>
      </c>
      <c r="JM1" s="15" t="str">
        <f t="shared" si="5"/>
        <v>02а</v>
      </c>
      <c r="JN1" s="15" t="str">
        <f t="shared" si="5"/>
        <v>02б</v>
      </c>
      <c r="JO1" s="15" t="str">
        <f t="shared" si="5"/>
        <v>03а</v>
      </c>
      <c r="JP1" s="15" t="str">
        <f t="shared" si="5"/>
        <v>03б</v>
      </c>
      <c r="JQ1" s="15" t="str">
        <f t="shared" si="5"/>
        <v>04</v>
      </c>
      <c r="JR1" s="15" t="str">
        <f t="shared" si="5"/>
        <v>05</v>
      </c>
      <c r="JS1" s="15" t="str">
        <f t="shared" si="5"/>
        <v>06</v>
      </c>
      <c r="JT1" s="15" t="str">
        <f t="shared" si="5"/>
        <v>07</v>
      </c>
      <c r="JU1" s="15" t="str">
        <f t="shared" ref="JU1:LA1" si="6">IF(RIGHT(JU$5,1)="Н",RIGHT(JU$5,3),MID(JU$5,FIND(".",JU$5)+1,5))</f>
        <v>08</v>
      </c>
      <c r="JV1" s="15" t="str">
        <f t="shared" si="6"/>
        <v>09</v>
      </c>
      <c r="JW1" s="15" t="str">
        <f t="shared" si="6"/>
        <v>10</v>
      </c>
      <c r="JX1" s="15" t="str">
        <f t="shared" si="6"/>
        <v>11</v>
      </c>
      <c r="JY1" s="15" t="str">
        <f t="shared" si="6"/>
        <v>12</v>
      </c>
      <c r="JZ1" s="15" t="str">
        <f t="shared" si="6"/>
        <v>16*</v>
      </c>
      <c r="KA1" s="15" t="str">
        <f t="shared" si="6"/>
        <v>17*</v>
      </c>
      <c r="KB1" s="15" t="str">
        <f t="shared" si="6"/>
        <v>18*</v>
      </c>
      <c r="KC1" s="15" t="str">
        <f t="shared" si="6"/>
        <v>19*</v>
      </c>
      <c r="KD1" s="15" t="str">
        <f t="shared" si="6"/>
        <v>20*</v>
      </c>
      <c r="KE1" s="15" t="str">
        <f t="shared" si="6"/>
        <v>21*</v>
      </c>
      <c r="KF1" s="15" t="str">
        <f t="shared" si="6"/>
        <v>22*</v>
      </c>
      <c r="KG1" s="15" t="str">
        <f t="shared" si="6"/>
        <v>23*</v>
      </c>
      <c r="KH1" s="15" t="str">
        <f t="shared" si="6"/>
        <v>24*</v>
      </c>
      <c r="KI1" s="15" t="str">
        <f t="shared" si="6"/>
        <v>25*</v>
      </c>
      <c r="KJ1" s="15" t="str">
        <f t="shared" si="6"/>
        <v>26*</v>
      </c>
      <c r="KK1" s="15" t="str">
        <f t="shared" si="6"/>
        <v>27*</v>
      </c>
      <c r="KL1" s="15" t="str">
        <f t="shared" si="6"/>
        <v>28*</v>
      </c>
      <c r="KM1" s="15" t="str">
        <f t="shared" si="6"/>
        <v>29*</v>
      </c>
      <c r="KN1" s="15" t="str">
        <f t="shared" si="6"/>
        <v>30*</v>
      </c>
      <c r="KO1" s="15" t="str">
        <f t="shared" si="6"/>
        <v>н.Н</v>
      </c>
      <c r="KP1" s="15" t="str">
        <f t="shared" si="6"/>
        <v>01</v>
      </c>
      <c r="KQ1" s="15" t="str">
        <f t="shared" si="6"/>
        <v>02</v>
      </c>
      <c r="KR1" s="15" t="str">
        <f t="shared" si="6"/>
        <v>03</v>
      </c>
      <c r="KS1" s="15" t="str">
        <f t="shared" si="6"/>
        <v>04</v>
      </c>
      <c r="KT1" s="15" t="str">
        <f t="shared" si="6"/>
        <v>05</v>
      </c>
      <c r="KU1" s="15" t="str">
        <f t="shared" si="6"/>
        <v>06</v>
      </c>
      <c r="KV1" s="15" t="str">
        <f t="shared" si="6"/>
        <v>07</v>
      </c>
      <c r="KW1" s="15" t="str">
        <f t="shared" si="6"/>
        <v>08</v>
      </c>
      <c r="KX1" s="15" t="str">
        <f t="shared" si="6"/>
        <v>09</v>
      </c>
      <c r="KY1" s="15" t="str">
        <f t="shared" si="6"/>
        <v>10</v>
      </c>
      <c r="KZ1" s="15" t="str">
        <f t="shared" si="6"/>
        <v>11</v>
      </c>
      <c r="LA1" s="15" t="str">
        <f t="shared" si="6"/>
        <v>12</v>
      </c>
      <c r="LB1" s="15" t="str">
        <f t="shared" ref="LB1:MX1" si="7">IF(RIGHT(LB$5,1)="Н",RIGHT(LB$5,3),MID(LB$5,FIND(".",LB$5)+1,5))</f>
        <v>13*</v>
      </c>
      <c r="LC1" s="15" t="str">
        <f t="shared" si="7"/>
        <v>14*</v>
      </c>
      <c r="LD1" s="15" t="str">
        <f t="shared" si="7"/>
        <v>15*</v>
      </c>
      <c r="LE1" s="15" t="str">
        <f t="shared" si="7"/>
        <v>16*</v>
      </c>
      <c r="LF1" s="15" t="str">
        <f t="shared" si="7"/>
        <v>17*</v>
      </c>
      <c r="LG1" s="15" t="str">
        <f t="shared" si="7"/>
        <v>18*</v>
      </c>
      <c r="LH1" s="15" t="str">
        <f t="shared" si="7"/>
        <v>19*</v>
      </c>
      <c r="LI1" s="15" t="str">
        <f t="shared" si="7"/>
        <v>20*</v>
      </c>
      <c r="LJ1" s="15" t="str">
        <f t="shared" si="7"/>
        <v>21*</v>
      </c>
      <c r="LK1" s="15" t="str">
        <f t="shared" si="7"/>
        <v>22*</v>
      </c>
      <c r="LL1" s="15" t="str">
        <f t="shared" si="7"/>
        <v>23*</v>
      </c>
      <c r="LM1" s="15" t="str">
        <f t="shared" si="7"/>
        <v>24*</v>
      </c>
      <c r="LN1" s="15" t="str">
        <f t="shared" si="7"/>
        <v>25*</v>
      </c>
      <c r="LO1" s="15" t="str">
        <f t="shared" si="7"/>
        <v>26*</v>
      </c>
      <c r="LP1" s="15" t="str">
        <f t="shared" si="7"/>
        <v>27*</v>
      </c>
      <c r="LQ1" s="15" t="str">
        <f t="shared" si="7"/>
        <v>28*</v>
      </c>
      <c r="LR1" s="15" t="str">
        <f t="shared" si="7"/>
        <v>29*</v>
      </c>
      <c r="LS1" s="15" t="str">
        <f t="shared" si="7"/>
        <v>30*</v>
      </c>
      <c r="LT1" s="15" t="str">
        <f t="shared" si="7"/>
        <v>п.Н</v>
      </c>
      <c r="LU1" s="15" t="str">
        <f t="shared" si="7"/>
        <v>01</v>
      </c>
      <c r="LV1" s="15" t="str">
        <f t="shared" si="7"/>
        <v>02</v>
      </c>
      <c r="LW1" s="15" t="str">
        <f t="shared" si="7"/>
        <v>03</v>
      </c>
      <c r="LX1" s="15" t="str">
        <f t="shared" si="7"/>
        <v>04</v>
      </c>
      <c r="LY1" s="15" t="str">
        <f t="shared" si="7"/>
        <v>05</v>
      </c>
      <c r="LZ1" s="15" t="str">
        <f t="shared" si="7"/>
        <v>06</v>
      </c>
      <c r="MA1" s="15" t="str">
        <f t="shared" si="7"/>
        <v>07</v>
      </c>
      <c r="MB1" s="15" t="str">
        <f t="shared" si="7"/>
        <v>08</v>
      </c>
      <c r="MC1" s="15" t="str">
        <f t="shared" si="7"/>
        <v>09</v>
      </c>
      <c r="MD1" s="15" t="str">
        <f t="shared" si="7"/>
        <v>10</v>
      </c>
      <c r="ME1" s="15" t="str">
        <f t="shared" si="7"/>
        <v>11</v>
      </c>
      <c r="MF1" s="15" t="str">
        <f t="shared" si="7"/>
        <v>12</v>
      </c>
      <c r="MG1" s="15" t="str">
        <f t="shared" si="7"/>
        <v>13*</v>
      </c>
      <c r="MH1" s="15" t="str">
        <f t="shared" si="7"/>
        <v>14*</v>
      </c>
      <c r="MI1" s="15" t="str">
        <f t="shared" si="7"/>
        <v>15*</v>
      </c>
      <c r="MJ1" s="15" t="str">
        <f t="shared" si="7"/>
        <v>16*</v>
      </c>
      <c r="MK1" s="15" t="str">
        <f t="shared" si="7"/>
        <v>17*</v>
      </c>
      <c r="ML1" s="15" t="str">
        <f t="shared" si="7"/>
        <v>18*</v>
      </c>
      <c r="MM1" s="15" t="str">
        <f t="shared" si="7"/>
        <v>19*</v>
      </c>
      <c r="MN1" s="15" t="str">
        <f t="shared" si="7"/>
        <v>20*</v>
      </c>
      <c r="MO1" s="15" t="str">
        <f t="shared" si="7"/>
        <v>21*</v>
      </c>
      <c r="MP1" s="15" t="str">
        <f t="shared" si="7"/>
        <v>22*</v>
      </c>
      <c r="MQ1" s="15" t="str">
        <f t="shared" si="7"/>
        <v>23*</v>
      </c>
      <c r="MR1" s="15" t="str">
        <f t="shared" si="7"/>
        <v>24*</v>
      </c>
      <c r="MS1" s="15" t="str">
        <f t="shared" si="7"/>
        <v>25*</v>
      </c>
      <c r="MT1" s="15" t="str">
        <f t="shared" si="7"/>
        <v>26*</v>
      </c>
      <c r="MU1" s="15" t="str">
        <f t="shared" si="7"/>
        <v>27*</v>
      </c>
      <c r="MV1" s="15" t="str">
        <f t="shared" si="7"/>
        <v>28*</v>
      </c>
      <c r="MW1" s="15" t="str">
        <f t="shared" si="7"/>
        <v>29*</v>
      </c>
      <c r="MX1" s="15" t="str">
        <f t="shared" si="7"/>
        <v>30*</v>
      </c>
      <c r="MY1" s="15" t="str">
        <f t="shared" ref="MY1:OT1" si="8">IF(RIGHT(MY$5,1)="Н",RIGHT(MY$5,3),MID(MY$5,FIND(".",MY$5)+1,5))</f>
        <v>н.Н</v>
      </c>
      <c r="MZ1" s="15" t="str">
        <f t="shared" si="8"/>
        <v>01</v>
      </c>
      <c r="NA1" s="15" t="str">
        <f t="shared" si="8"/>
        <v>02</v>
      </c>
      <c r="NB1" s="15" t="str">
        <f t="shared" si="8"/>
        <v>03</v>
      </c>
      <c r="NC1" s="15" t="str">
        <f t="shared" si="8"/>
        <v>04</v>
      </c>
      <c r="ND1" s="15" t="str">
        <f t="shared" si="8"/>
        <v>05</v>
      </c>
      <c r="NE1" s="15" t="str">
        <f t="shared" si="8"/>
        <v>06а</v>
      </c>
      <c r="NF1" s="15" t="str">
        <f t="shared" si="8"/>
        <v>06б</v>
      </c>
      <c r="NG1" s="15" t="str">
        <f t="shared" si="8"/>
        <v>07</v>
      </c>
      <c r="NH1" s="15" t="str">
        <f t="shared" si="8"/>
        <v>08а</v>
      </c>
      <c r="NI1" s="15" t="str">
        <f t="shared" si="8"/>
        <v>08б</v>
      </c>
      <c r="NJ1" s="15" t="str">
        <f t="shared" si="8"/>
        <v>09</v>
      </c>
      <c r="NK1" s="15" t="str">
        <f t="shared" si="8"/>
        <v>10</v>
      </c>
      <c r="NL1" s="15" t="str">
        <f t="shared" si="8"/>
        <v>11</v>
      </c>
      <c r="NM1" s="15" t="str">
        <f t="shared" si="8"/>
        <v>12</v>
      </c>
      <c r="NN1" s="15" t="str">
        <f t="shared" si="8"/>
        <v>15*</v>
      </c>
      <c r="NO1" s="15" t="str">
        <f t="shared" si="8"/>
        <v>16*</v>
      </c>
      <c r="NP1" s="15" t="str">
        <f t="shared" si="8"/>
        <v>17*</v>
      </c>
      <c r="NQ1" s="15" t="str">
        <f t="shared" si="8"/>
        <v>18*</v>
      </c>
      <c r="NR1" s="15" t="str">
        <f t="shared" si="8"/>
        <v>19*</v>
      </c>
      <c r="NS1" s="15" t="str">
        <f t="shared" si="8"/>
        <v>20*</v>
      </c>
      <c r="NT1" s="15" t="str">
        <f t="shared" si="8"/>
        <v>21*</v>
      </c>
      <c r="NU1" s="15" t="str">
        <f t="shared" si="8"/>
        <v>22*</v>
      </c>
      <c r="NV1" s="15" t="str">
        <f t="shared" si="8"/>
        <v>23*</v>
      </c>
      <c r="NW1" s="15" t="str">
        <f t="shared" si="8"/>
        <v>24*</v>
      </c>
      <c r="NX1" s="15" t="str">
        <f t="shared" si="8"/>
        <v>25*</v>
      </c>
      <c r="NY1" s="15" t="str">
        <f t="shared" si="8"/>
        <v>26*</v>
      </c>
      <c r="NZ1" s="15" t="str">
        <f t="shared" si="8"/>
        <v>27*</v>
      </c>
      <c r="OA1" s="15" t="str">
        <f t="shared" si="8"/>
        <v>28*</v>
      </c>
      <c r="OB1" s="15" t="str">
        <f t="shared" si="8"/>
        <v>29*</v>
      </c>
      <c r="OC1" s="15" t="str">
        <f t="shared" si="8"/>
        <v>30*</v>
      </c>
      <c r="OD1" s="15" t="str">
        <f t="shared" si="8"/>
        <v>п.Н</v>
      </c>
      <c r="OE1" s="15" t="str">
        <f t="shared" si="8"/>
        <v>01</v>
      </c>
      <c r="OF1" s="15" t="str">
        <f t="shared" si="8"/>
        <v>02</v>
      </c>
      <c r="OG1" s="15" t="str">
        <f t="shared" si="8"/>
        <v>03</v>
      </c>
      <c r="OH1" s="15" t="str">
        <f t="shared" si="8"/>
        <v>04</v>
      </c>
      <c r="OI1" s="15" t="str">
        <f t="shared" si="8"/>
        <v>05</v>
      </c>
      <c r="OJ1" s="15" t="str">
        <f t="shared" si="8"/>
        <v>06а</v>
      </c>
      <c r="OK1" s="15" t="str">
        <f t="shared" si="8"/>
        <v>06б</v>
      </c>
      <c r="OL1" s="15" t="str">
        <f t="shared" si="8"/>
        <v>07а</v>
      </c>
      <c r="OM1" s="15" t="str">
        <f t="shared" si="8"/>
        <v>07б</v>
      </c>
      <c r="ON1" s="15" t="str">
        <f t="shared" si="8"/>
        <v>08а</v>
      </c>
      <c r="OO1" s="15" t="str">
        <f t="shared" si="8"/>
        <v>08б</v>
      </c>
      <c r="OP1" s="15" t="str">
        <f t="shared" si="8"/>
        <v>09</v>
      </c>
      <c r="OQ1" s="15" t="str">
        <f t="shared" si="8"/>
        <v>10</v>
      </c>
      <c r="OR1" s="15" t="str">
        <f t="shared" si="8"/>
        <v>11</v>
      </c>
      <c r="OS1" s="15" t="str">
        <f t="shared" si="8"/>
        <v>12</v>
      </c>
      <c r="OT1" s="15" t="str">
        <f t="shared" si="8"/>
        <v>16*</v>
      </c>
      <c r="OU1" s="15" t="str">
        <f t="shared" ref="OU1:QA1" si="9">IF(RIGHT(OU$5,1)="Н",RIGHT(OU$5,3),MID(OU$5,FIND(".",OU$5)+1,5))</f>
        <v>17*</v>
      </c>
      <c r="OV1" s="15" t="str">
        <f t="shared" si="9"/>
        <v>18*</v>
      </c>
      <c r="OW1" s="15" t="str">
        <f t="shared" si="9"/>
        <v>19*</v>
      </c>
      <c r="OX1" s="15" t="str">
        <f t="shared" si="9"/>
        <v>20*</v>
      </c>
      <c r="OY1" s="15" t="str">
        <f t="shared" si="9"/>
        <v>21*</v>
      </c>
      <c r="OZ1" s="15" t="str">
        <f t="shared" si="9"/>
        <v>22*</v>
      </c>
      <c r="PA1" s="15" t="str">
        <f t="shared" si="9"/>
        <v>23*</v>
      </c>
      <c r="PB1" s="15" t="str">
        <f t="shared" si="9"/>
        <v>24*</v>
      </c>
      <c r="PC1" s="15" t="str">
        <f t="shared" si="9"/>
        <v>25*</v>
      </c>
      <c r="PD1" s="15" t="str">
        <f t="shared" si="9"/>
        <v>26*</v>
      </c>
      <c r="PE1" s="15" t="str">
        <f t="shared" si="9"/>
        <v>27*</v>
      </c>
      <c r="PF1" s="15" t="str">
        <f t="shared" si="9"/>
        <v>28*</v>
      </c>
      <c r="PG1" s="15" t="str">
        <f t="shared" si="9"/>
        <v>29*</v>
      </c>
      <c r="PH1" s="15" t="str">
        <f t="shared" si="9"/>
        <v>30*</v>
      </c>
      <c r="PI1" s="15" t="str">
        <f t="shared" si="9"/>
        <v>н.Н</v>
      </c>
      <c r="PJ1" s="15" t="str">
        <f t="shared" si="9"/>
        <v>01а</v>
      </c>
      <c r="PK1" s="15" t="str">
        <f t="shared" si="9"/>
        <v>01б</v>
      </c>
      <c r="PL1" s="15" t="str">
        <f t="shared" si="9"/>
        <v>02</v>
      </c>
      <c r="PM1" s="15" t="str">
        <f t="shared" si="9"/>
        <v>03а</v>
      </c>
      <c r="PN1" s="15" t="str">
        <f t="shared" si="9"/>
        <v>03б</v>
      </c>
      <c r="PO1" s="15" t="str">
        <f t="shared" si="9"/>
        <v>04</v>
      </c>
      <c r="PP1" s="15" t="str">
        <f t="shared" si="9"/>
        <v>05</v>
      </c>
      <c r="PQ1" s="15" t="str">
        <f t="shared" si="9"/>
        <v>06а</v>
      </c>
      <c r="PR1" s="15" t="str">
        <f t="shared" si="9"/>
        <v>06б</v>
      </c>
      <c r="PS1" s="15" t="str">
        <f t="shared" si="9"/>
        <v>07</v>
      </c>
      <c r="PT1" s="15" t="str">
        <f t="shared" si="9"/>
        <v>08а</v>
      </c>
      <c r="PU1" s="15" t="str">
        <f t="shared" si="9"/>
        <v>08б</v>
      </c>
      <c r="PV1" s="15" t="str">
        <f t="shared" si="9"/>
        <v>09</v>
      </c>
      <c r="PW1" s="15" t="str">
        <f t="shared" si="9"/>
        <v>10</v>
      </c>
      <c r="PX1" s="15" t="str">
        <f t="shared" si="9"/>
        <v>11</v>
      </c>
      <c r="PY1" s="15" t="str">
        <f t="shared" si="9"/>
        <v>12</v>
      </c>
      <c r="PZ1" s="15" t="str">
        <f t="shared" si="9"/>
        <v>17*</v>
      </c>
      <c r="QA1" s="15" t="str">
        <f t="shared" si="9"/>
        <v>18*</v>
      </c>
      <c r="QB1" s="15" t="str">
        <f t="shared" ref="QB1:RR1" si="10">IF(RIGHT(QB$5,1)="Н",RIGHT(QB$5,3),MID(QB$5,FIND(".",QB$5)+1,5))</f>
        <v>19*</v>
      </c>
      <c r="QC1" s="15" t="str">
        <f t="shared" si="10"/>
        <v>20*</v>
      </c>
      <c r="QD1" s="15" t="str">
        <f t="shared" si="10"/>
        <v>21*</v>
      </c>
      <c r="QE1" s="15" t="str">
        <f t="shared" si="10"/>
        <v>22*</v>
      </c>
      <c r="QF1" s="15" t="str">
        <f t="shared" si="10"/>
        <v>23*</v>
      </c>
      <c r="QG1" s="15" t="str">
        <f t="shared" si="10"/>
        <v>24*</v>
      </c>
      <c r="QH1" s="15" t="str">
        <f t="shared" si="10"/>
        <v>25*</v>
      </c>
      <c r="QI1" s="15" t="str">
        <f t="shared" si="10"/>
        <v>26*</v>
      </c>
      <c r="QJ1" s="15" t="str">
        <f t="shared" si="10"/>
        <v>27*</v>
      </c>
      <c r="QK1" s="15" t="str">
        <f t="shared" si="10"/>
        <v>28*</v>
      </c>
      <c r="QL1" s="15" t="str">
        <f t="shared" si="10"/>
        <v>29*</v>
      </c>
      <c r="QM1" s="15" t="str">
        <f t="shared" si="10"/>
        <v>30*</v>
      </c>
      <c r="QN1" s="15" t="str">
        <f t="shared" si="10"/>
        <v>п.Н</v>
      </c>
      <c r="QO1" s="15" t="str">
        <f t="shared" si="10"/>
        <v>01</v>
      </c>
      <c r="QP1" s="15" t="str">
        <f t="shared" si="10"/>
        <v>02</v>
      </c>
      <c r="QQ1" s="15" t="str">
        <f t="shared" si="10"/>
        <v>03</v>
      </c>
      <c r="QR1" s="15" t="str">
        <f t="shared" si="10"/>
        <v>04</v>
      </c>
      <c r="QS1" s="15" t="str">
        <f t="shared" si="10"/>
        <v>05</v>
      </c>
      <c r="QT1" s="15" t="str">
        <f t="shared" si="10"/>
        <v>06</v>
      </c>
      <c r="QU1" s="15" t="str">
        <f t="shared" si="10"/>
        <v>07</v>
      </c>
      <c r="QV1" s="15" t="str">
        <f t="shared" si="10"/>
        <v>08</v>
      </c>
      <c r="QW1" s="15" t="str">
        <f t="shared" si="10"/>
        <v>09</v>
      </c>
      <c r="QX1" s="15" t="str">
        <f t="shared" si="10"/>
        <v>10</v>
      </c>
      <c r="QY1" s="15" t="str">
        <f t="shared" si="10"/>
        <v>11</v>
      </c>
      <c r="QZ1" s="15" t="str">
        <f t="shared" si="10"/>
        <v>12</v>
      </c>
      <c r="RA1" s="15" t="str">
        <f t="shared" si="10"/>
        <v>13*</v>
      </c>
      <c r="RB1" s="15" t="str">
        <f t="shared" si="10"/>
        <v>14*</v>
      </c>
      <c r="RC1" s="15" t="str">
        <f t="shared" si="10"/>
        <v>15*</v>
      </c>
      <c r="RD1" s="15" t="str">
        <f t="shared" si="10"/>
        <v>16*</v>
      </c>
      <c r="RE1" s="15" t="str">
        <f t="shared" si="10"/>
        <v>17*</v>
      </c>
      <c r="RF1" s="15" t="str">
        <f t="shared" si="10"/>
        <v>18*</v>
      </c>
      <c r="RG1" s="15" t="str">
        <f t="shared" si="10"/>
        <v>19*</v>
      </c>
      <c r="RH1" s="15" t="str">
        <f t="shared" si="10"/>
        <v>20*</v>
      </c>
      <c r="RI1" s="15" t="str">
        <f t="shared" si="10"/>
        <v>21*</v>
      </c>
      <c r="RJ1" s="15" t="str">
        <f t="shared" si="10"/>
        <v>22*</v>
      </c>
      <c r="RK1" s="15" t="str">
        <f t="shared" si="10"/>
        <v>23*</v>
      </c>
      <c r="RL1" s="15" t="str">
        <f t="shared" si="10"/>
        <v>24*</v>
      </c>
      <c r="RM1" s="15" t="str">
        <f t="shared" si="10"/>
        <v>25*</v>
      </c>
      <c r="RN1" s="15" t="str">
        <f t="shared" si="10"/>
        <v>26*</v>
      </c>
      <c r="RO1" s="15" t="str">
        <f t="shared" si="10"/>
        <v>27*</v>
      </c>
      <c r="RP1" s="15" t="str">
        <f t="shared" si="10"/>
        <v>28*</v>
      </c>
      <c r="RQ1" s="15" t="str">
        <f t="shared" si="10"/>
        <v>29*</v>
      </c>
      <c r="RR1" s="15" t="str">
        <f t="shared" si="10"/>
        <v>30*</v>
      </c>
      <c r="RS1" s="15" t="str">
        <f t="shared" ref="RS1:TT1" si="11">IF(RIGHT(RS$5,1)="Н",RIGHT(RS$5,3),MID(RS$5,FIND(".",RS$5)+1,5))</f>
        <v>н.Н</v>
      </c>
      <c r="RT1" s="15" t="str">
        <f t="shared" si="11"/>
        <v>01</v>
      </c>
      <c r="RU1" s="15" t="str">
        <f t="shared" si="11"/>
        <v>02</v>
      </c>
      <c r="RV1" s="15" t="str">
        <f t="shared" si="11"/>
        <v>03а</v>
      </c>
      <c r="RW1" s="15" t="str">
        <f t="shared" si="11"/>
        <v>03б</v>
      </c>
      <c r="RX1" s="15" t="str">
        <f t="shared" si="11"/>
        <v>04а</v>
      </c>
      <c r="RY1" s="15" t="str">
        <f t="shared" si="11"/>
        <v>04б</v>
      </c>
      <c r="RZ1" s="15" t="str">
        <f t="shared" si="11"/>
        <v>04в</v>
      </c>
      <c r="SA1" s="15" t="str">
        <f t="shared" si="11"/>
        <v>05</v>
      </c>
      <c r="SB1" s="15" t="str">
        <f t="shared" si="11"/>
        <v>06</v>
      </c>
      <c r="SC1" s="15" t="str">
        <f t="shared" si="11"/>
        <v>07</v>
      </c>
      <c r="SD1" s="15" t="str">
        <f t="shared" si="11"/>
        <v>08</v>
      </c>
      <c r="SE1" s="15" t="str">
        <f t="shared" si="11"/>
        <v>09</v>
      </c>
      <c r="SF1" s="15" t="str">
        <f t="shared" si="11"/>
        <v>10</v>
      </c>
      <c r="SG1" s="15" t="str">
        <f t="shared" si="11"/>
        <v>11</v>
      </c>
      <c r="SH1" s="15" t="str">
        <f t="shared" si="11"/>
        <v>12</v>
      </c>
      <c r="SI1" s="15" t="str">
        <f t="shared" si="11"/>
        <v>16*</v>
      </c>
      <c r="SJ1" s="15" t="str">
        <f t="shared" si="11"/>
        <v>17*</v>
      </c>
      <c r="SK1" s="15" t="str">
        <f t="shared" si="11"/>
        <v>18*</v>
      </c>
      <c r="SL1" s="15" t="str">
        <f t="shared" si="11"/>
        <v>19*</v>
      </c>
      <c r="SM1" s="15" t="str">
        <f t="shared" si="11"/>
        <v>20*</v>
      </c>
      <c r="SN1" s="15" t="str">
        <f t="shared" si="11"/>
        <v>21*</v>
      </c>
      <c r="SO1" s="15" t="str">
        <f t="shared" si="11"/>
        <v>22*</v>
      </c>
      <c r="SP1" s="15" t="str">
        <f t="shared" si="11"/>
        <v>23*</v>
      </c>
      <c r="SQ1" s="15" t="str">
        <f t="shared" si="11"/>
        <v>24*</v>
      </c>
      <c r="SR1" s="15" t="str">
        <f t="shared" si="11"/>
        <v>25*</v>
      </c>
      <c r="SS1" s="15" t="str">
        <f t="shared" si="11"/>
        <v>26*</v>
      </c>
      <c r="ST1" s="15" t="str">
        <f t="shared" si="11"/>
        <v>27*</v>
      </c>
      <c r="SU1" s="15" t="str">
        <f t="shared" si="11"/>
        <v>28*</v>
      </c>
      <c r="SV1" s="15" t="str">
        <f t="shared" si="11"/>
        <v>29*</v>
      </c>
      <c r="SW1" s="15" t="str">
        <f t="shared" si="11"/>
        <v>30*</v>
      </c>
      <c r="SX1" s="15" t="str">
        <f t="shared" si="11"/>
        <v>п.Н</v>
      </c>
      <c r="SY1" s="15" t="str">
        <f t="shared" si="11"/>
        <v>01</v>
      </c>
      <c r="SZ1" s="15" t="str">
        <f t="shared" si="11"/>
        <v>02</v>
      </c>
      <c r="TA1" s="15" t="str">
        <f t="shared" si="11"/>
        <v>03</v>
      </c>
      <c r="TB1" s="15" t="str">
        <f t="shared" si="11"/>
        <v>04</v>
      </c>
      <c r="TC1" s="15" t="str">
        <f t="shared" si="11"/>
        <v>05а</v>
      </c>
      <c r="TD1" s="15" t="str">
        <f t="shared" si="11"/>
        <v>05б</v>
      </c>
      <c r="TE1" s="15" t="str">
        <f t="shared" si="11"/>
        <v>06</v>
      </c>
      <c r="TF1" s="15" t="str">
        <f t="shared" si="11"/>
        <v>07</v>
      </c>
      <c r="TG1" s="15" t="str">
        <f t="shared" si="11"/>
        <v>08</v>
      </c>
      <c r="TH1" s="15" t="str">
        <f t="shared" si="11"/>
        <v>09</v>
      </c>
      <c r="TI1" s="15" t="str">
        <f t="shared" si="11"/>
        <v>10</v>
      </c>
      <c r="TJ1" s="15" t="str">
        <f t="shared" si="11"/>
        <v>11</v>
      </c>
      <c r="TK1" s="15" t="str">
        <f t="shared" si="11"/>
        <v>12</v>
      </c>
      <c r="TL1" s="15" t="str">
        <f t="shared" si="11"/>
        <v>14*</v>
      </c>
      <c r="TM1" s="15" t="str">
        <f t="shared" si="11"/>
        <v>15*</v>
      </c>
      <c r="TN1" s="15" t="str">
        <f t="shared" si="11"/>
        <v>16*</v>
      </c>
      <c r="TO1" s="15" t="str">
        <f t="shared" si="11"/>
        <v>17*</v>
      </c>
      <c r="TP1" s="15" t="str">
        <f t="shared" si="11"/>
        <v>18*</v>
      </c>
      <c r="TQ1" s="15" t="str">
        <f t="shared" si="11"/>
        <v>19*</v>
      </c>
      <c r="TR1" s="15" t="str">
        <f t="shared" si="11"/>
        <v>20*</v>
      </c>
      <c r="TS1" s="15" t="str">
        <f t="shared" si="11"/>
        <v>21*</v>
      </c>
      <c r="TT1" s="15" t="str">
        <f t="shared" si="11"/>
        <v>22*</v>
      </c>
      <c r="TU1" s="15" t="str">
        <f t="shared" ref="TU1:VA1" si="12">IF(RIGHT(TU$5,1)="Н",RIGHT(TU$5,3),MID(TU$5,FIND(".",TU$5)+1,5))</f>
        <v>23*</v>
      </c>
      <c r="TV1" s="15" t="str">
        <f t="shared" si="12"/>
        <v>24*</v>
      </c>
      <c r="TW1" s="15" t="str">
        <f t="shared" si="12"/>
        <v>25*</v>
      </c>
      <c r="TX1" s="15" t="str">
        <f t="shared" si="12"/>
        <v>26*</v>
      </c>
      <c r="TY1" s="15" t="str">
        <f t="shared" si="12"/>
        <v>27*</v>
      </c>
      <c r="TZ1" s="15" t="str">
        <f t="shared" si="12"/>
        <v>28*</v>
      </c>
      <c r="UA1" s="15" t="str">
        <f t="shared" si="12"/>
        <v>29*</v>
      </c>
      <c r="UB1" s="15" t="str">
        <f t="shared" si="12"/>
        <v>30*</v>
      </c>
      <c r="UC1" s="15" t="str">
        <f t="shared" si="12"/>
        <v>Н*</v>
      </c>
      <c r="UD1" s="15" t="str">
        <f t="shared" si="12"/>
        <v>01*</v>
      </c>
      <c r="UE1" s="15" t="str">
        <f t="shared" si="12"/>
        <v>02*</v>
      </c>
      <c r="UF1" s="15" t="str">
        <f t="shared" si="12"/>
        <v>03а*</v>
      </c>
      <c r="UG1" s="15" t="str">
        <f t="shared" si="12"/>
        <v>03б*</v>
      </c>
      <c r="UH1" s="15" t="str">
        <f t="shared" si="12"/>
        <v>04а*</v>
      </c>
      <c r="UI1" s="15" t="str">
        <f t="shared" si="12"/>
        <v>04б*</v>
      </c>
      <c r="UJ1" s="15" t="str">
        <f t="shared" si="12"/>
        <v>04в*</v>
      </c>
      <c r="UK1" s="15" t="str">
        <f t="shared" si="12"/>
        <v>05*</v>
      </c>
      <c r="UL1" s="15" t="str">
        <f t="shared" si="12"/>
        <v>06*</v>
      </c>
      <c r="UM1" s="15" t="str">
        <f t="shared" si="12"/>
        <v>07*</v>
      </c>
      <c r="UN1" s="15" t="str">
        <f t="shared" si="12"/>
        <v>08*</v>
      </c>
      <c r="UO1" s="15" t="str">
        <f t="shared" si="12"/>
        <v>09*</v>
      </c>
      <c r="UP1" s="15" t="str">
        <f t="shared" si="12"/>
        <v>10*</v>
      </c>
      <c r="UQ1" s="15" t="str">
        <f t="shared" si="12"/>
        <v>11*</v>
      </c>
      <c r="UR1" s="15" t="str">
        <f t="shared" si="12"/>
        <v>12*</v>
      </c>
      <c r="US1" s="15" t="str">
        <f t="shared" si="12"/>
        <v>16*</v>
      </c>
      <c r="UT1" s="15" t="str">
        <f t="shared" si="12"/>
        <v>17*</v>
      </c>
      <c r="UU1" s="15" t="str">
        <f t="shared" si="12"/>
        <v>18*</v>
      </c>
      <c r="UV1" s="15" t="str">
        <f t="shared" si="12"/>
        <v>19*</v>
      </c>
      <c r="UW1" s="15" t="str">
        <f t="shared" si="12"/>
        <v>20*</v>
      </c>
      <c r="UX1" s="15" t="str">
        <f t="shared" si="12"/>
        <v>21*</v>
      </c>
      <c r="UY1" s="15" t="str">
        <f t="shared" si="12"/>
        <v>22*</v>
      </c>
      <c r="UZ1" s="15" t="str">
        <f t="shared" si="12"/>
        <v>23*</v>
      </c>
      <c r="VA1" s="15" t="str">
        <f t="shared" si="12"/>
        <v>24*</v>
      </c>
      <c r="VB1" s="15" t="str">
        <f t="shared" ref="VB1:WL1" si="13">IF(RIGHT(VB$5,1)="Н",RIGHT(VB$5,3),MID(VB$5,FIND(".",VB$5)+1,5))</f>
        <v>25*</v>
      </c>
      <c r="VC1" s="15" t="str">
        <f t="shared" si="13"/>
        <v>26*</v>
      </c>
      <c r="VD1" s="15" t="str">
        <f t="shared" si="13"/>
        <v>27*</v>
      </c>
      <c r="VE1" s="15" t="str">
        <f t="shared" si="13"/>
        <v>28*</v>
      </c>
      <c r="VF1" s="15" t="str">
        <f t="shared" si="13"/>
        <v>29*</v>
      </c>
      <c r="VG1" s="15" t="str">
        <f t="shared" si="13"/>
        <v>30*</v>
      </c>
      <c r="VH1" s="15" t="str">
        <f t="shared" si="13"/>
        <v>Н*</v>
      </c>
      <c r="VI1" s="15" t="str">
        <f t="shared" si="13"/>
        <v>01*</v>
      </c>
      <c r="VJ1" s="15" t="str">
        <f t="shared" si="13"/>
        <v>02*</v>
      </c>
      <c r="VK1" s="15" t="str">
        <f t="shared" si="13"/>
        <v>03*</v>
      </c>
      <c r="VL1" s="15" t="str">
        <f t="shared" si="13"/>
        <v>04*</v>
      </c>
      <c r="VM1" s="15" t="str">
        <f t="shared" si="13"/>
        <v>05а*</v>
      </c>
      <c r="VN1" s="15" t="str">
        <f t="shared" si="13"/>
        <v>05б*</v>
      </c>
      <c r="VO1" s="15" t="str">
        <f t="shared" si="13"/>
        <v>06*</v>
      </c>
      <c r="VP1" s="15" t="str">
        <f t="shared" si="13"/>
        <v>07*</v>
      </c>
      <c r="VQ1" s="15" t="str">
        <f t="shared" si="13"/>
        <v>08*</v>
      </c>
      <c r="VR1" s="15" t="str">
        <f t="shared" si="13"/>
        <v>09*</v>
      </c>
      <c r="VS1" s="15" t="str">
        <f t="shared" si="13"/>
        <v>10*</v>
      </c>
      <c r="VT1" s="15" t="str">
        <f t="shared" si="13"/>
        <v>11*</v>
      </c>
      <c r="VU1" s="15" t="str">
        <f t="shared" si="13"/>
        <v>12*</v>
      </c>
      <c r="VV1" s="15" t="str">
        <f t="shared" si="13"/>
        <v>13*</v>
      </c>
      <c r="VW1" s="15" t="str">
        <f t="shared" si="13"/>
        <v>15*</v>
      </c>
      <c r="VX1" s="15" t="str">
        <f t="shared" si="13"/>
        <v>16*</v>
      </c>
      <c r="VY1" s="15" t="str">
        <f t="shared" si="13"/>
        <v>17*</v>
      </c>
      <c r="VZ1" s="15" t="str">
        <f t="shared" si="13"/>
        <v>18*</v>
      </c>
      <c r="WA1" s="15" t="str">
        <f t="shared" si="13"/>
        <v>19*</v>
      </c>
      <c r="WB1" s="15" t="str">
        <f t="shared" si="13"/>
        <v>20*</v>
      </c>
      <c r="WC1" s="15" t="str">
        <f t="shared" si="13"/>
        <v>21*</v>
      </c>
      <c r="WD1" s="15" t="str">
        <f t="shared" si="13"/>
        <v>22*</v>
      </c>
      <c r="WE1" s="15" t="str">
        <f t="shared" si="13"/>
        <v>23*</v>
      </c>
      <c r="WF1" s="15" t="str">
        <f t="shared" si="13"/>
        <v>24*</v>
      </c>
      <c r="WG1" s="15" t="str">
        <f t="shared" si="13"/>
        <v>25*</v>
      </c>
      <c r="WH1" s="15" t="str">
        <f t="shared" si="13"/>
        <v>26*</v>
      </c>
      <c r="WI1" s="15" t="str">
        <f t="shared" si="13"/>
        <v>27*</v>
      </c>
      <c r="WJ1" s="15" t="str">
        <f t="shared" si="13"/>
        <v>28*</v>
      </c>
      <c r="WK1" s="15" t="str">
        <f t="shared" si="13"/>
        <v>29*</v>
      </c>
      <c r="WL1" s="15" t="str">
        <f t="shared" si="13"/>
        <v>30*</v>
      </c>
      <c r="WM1" s="15" t="str">
        <f t="shared" ref="WM1:YT1" si="14">IF(RIGHT(WM$5,1)="Н",RIGHT(WM$5,3),MID(WM$5,FIND(".",WM$5)+1,5))</f>
        <v>н.Н</v>
      </c>
      <c r="WN1" s="15" t="str">
        <f t="shared" si="14"/>
        <v>01</v>
      </c>
      <c r="WO1" s="15" t="str">
        <f t="shared" si="14"/>
        <v>02</v>
      </c>
      <c r="WP1" s="15" t="str">
        <f t="shared" si="14"/>
        <v>03а</v>
      </c>
      <c r="WQ1" s="15" t="str">
        <f t="shared" si="14"/>
        <v>03б</v>
      </c>
      <c r="WR1" s="15" t="str">
        <f t="shared" si="14"/>
        <v>03в</v>
      </c>
      <c r="WS1" s="15" t="str">
        <f t="shared" si="14"/>
        <v>03г</v>
      </c>
      <c r="WT1" s="15" t="str">
        <f t="shared" si="14"/>
        <v>04</v>
      </c>
      <c r="WU1" s="15" t="str">
        <f t="shared" si="14"/>
        <v>05</v>
      </c>
      <c r="WV1" s="15" t="str">
        <f t="shared" si="14"/>
        <v>06</v>
      </c>
      <c r="WW1" s="15" t="str">
        <f t="shared" si="14"/>
        <v>07</v>
      </c>
      <c r="WX1" s="15" t="str">
        <f t="shared" si="14"/>
        <v>08</v>
      </c>
      <c r="WY1" s="15" t="str">
        <f t="shared" si="14"/>
        <v>09</v>
      </c>
      <c r="WZ1" s="15" t="str">
        <f t="shared" si="14"/>
        <v>10а</v>
      </c>
      <c r="XA1" s="15" t="str">
        <f t="shared" si="14"/>
        <v>10б</v>
      </c>
      <c r="XB1" s="15" t="str">
        <f t="shared" si="14"/>
        <v>11</v>
      </c>
      <c r="XC1" s="15" t="str">
        <f t="shared" si="14"/>
        <v>12</v>
      </c>
      <c r="XD1" s="15" t="str">
        <f t="shared" si="14"/>
        <v>17*</v>
      </c>
      <c r="XE1" s="15" t="str">
        <f t="shared" si="14"/>
        <v>18*</v>
      </c>
      <c r="XF1" s="15" t="str">
        <f t="shared" si="14"/>
        <v>19*</v>
      </c>
      <c r="XG1" s="15" t="str">
        <f t="shared" si="14"/>
        <v>20*</v>
      </c>
      <c r="XH1" s="15" t="str">
        <f t="shared" si="14"/>
        <v>21*</v>
      </c>
      <c r="XI1" s="15" t="str">
        <f t="shared" si="14"/>
        <v>22*</v>
      </c>
      <c r="XJ1" s="15" t="str">
        <f t="shared" si="14"/>
        <v>23*</v>
      </c>
      <c r="XK1" s="15" t="str">
        <f t="shared" si="14"/>
        <v>24*</v>
      </c>
      <c r="XL1" s="15" t="str">
        <f t="shared" si="14"/>
        <v>25*</v>
      </c>
      <c r="XM1" s="15" t="str">
        <f t="shared" si="14"/>
        <v>26*</v>
      </c>
      <c r="XN1" s="15" t="str">
        <f t="shared" si="14"/>
        <v>27*</v>
      </c>
      <c r="XO1" s="15" t="str">
        <f t="shared" si="14"/>
        <v>28*</v>
      </c>
      <c r="XP1" s="15" t="str">
        <f t="shared" si="14"/>
        <v>29*</v>
      </c>
      <c r="XQ1" s="15" t="str">
        <f t="shared" si="14"/>
        <v>30*</v>
      </c>
      <c r="XR1" s="15" t="str">
        <f t="shared" si="14"/>
        <v>п.Н</v>
      </c>
      <c r="XS1" s="15" t="str">
        <f t="shared" si="14"/>
        <v>01</v>
      </c>
      <c r="XT1" s="15" t="str">
        <f t="shared" si="14"/>
        <v>02</v>
      </c>
      <c r="XU1" s="15" t="str">
        <f t="shared" si="14"/>
        <v>03</v>
      </c>
      <c r="XV1" s="15" t="str">
        <f t="shared" si="14"/>
        <v>04</v>
      </c>
      <c r="XW1" s="15" t="str">
        <f t="shared" si="14"/>
        <v>05</v>
      </c>
      <c r="XX1" s="15" t="str">
        <f t="shared" si="14"/>
        <v>06</v>
      </c>
      <c r="XY1" s="15" t="str">
        <f t="shared" si="14"/>
        <v>07</v>
      </c>
      <c r="XZ1" s="15" t="str">
        <f t="shared" si="14"/>
        <v>08</v>
      </c>
      <c r="YA1" s="15" t="str">
        <f t="shared" si="14"/>
        <v>09а</v>
      </c>
      <c r="YB1" s="15" t="str">
        <f t="shared" si="14"/>
        <v>09б</v>
      </c>
      <c r="YC1" s="15" t="str">
        <f t="shared" si="14"/>
        <v>10</v>
      </c>
      <c r="YD1" s="15" t="str">
        <f t="shared" si="14"/>
        <v>11</v>
      </c>
      <c r="YE1" s="15" t="str">
        <f t="shared" si="14"/>
        <v>12</v>
      </c>
      <c r="YF1" s="15" t="str">
        <f t="shared" si="14"/>
        <v>14*2</v>
      </c>
      <c r="YG1" s="15" t="str">
        <f t="shared" si="14"/>
        <v>15*3</v>
      </c>
      <c r="YH1" s="15" t="str">
        <f t="shared" si="14"/>
        <v>16*4</v>
      </c>
      <c r="YI1" s="15" t="str">
        <f t="shared" si="14"/>
        <v>17*5</v>
      </c>
      <c r="YJ1" s="15" t="str">
        <f t="shared" si="14"/>
        <v>18*6</v>
      </c>
      <c r="YK1" s="15" t="str">
        <f t="shared" si="14"/>
        <v>19*7</v>
      </c>
      <c r="YL1" s="15" t="str">
        <f t="shared" si="14"/>
        <v>20*8</v>
      </c>
      <c r="YM1" s="15" t="str">
        <f t="shared" si="14"/>
        <v>21*9</v>
      </c>
      <c r="YN1" s="15" t="str">
        <f t="shared" si="14"/>
        <v>22*10</v>
      </c>
      <c r="YO1" s="15" t="str">
        <f t="shared" si="14"/>
        <v>23*11</v>
      </c>
      <c r="YP1" s="15" t="str">
        <f t="shared" si="14"/>
        <v>24*12</v>
      </c>
      <c r="YQ1" s="15" t="str">
        <f t="shared" si="14"/>
        <v>25*13</v>
      </c>
      <c r="YR1" s="15" t="str">
        <f t="shared" si="14"/>
        <v>26*14</v>
      </c>
      <c r="YS1" s="15" t="str">
        <f t="shared" si="14"/>
        <v>27*15</v>
      </c>
      <c r="YT1" s="15" t="str">
        <f t="shared" si="14"/>
        <v>28*16</v>
      </c>
      <c r="YU1" s="15" t="str">
        <f t="shared" ref="YU1:AAA1" si="15">IF(RIGHT(YU$5,1)="Н",RIGHT(YU$5,3),MID(YU$5,FIND(".",YU$5)+1,5))</f>
        <v>29*17</v>
      </c>
      <c r="YV1" s="15" t="str">
        <f t="shared" si="15"/>
        <v>30*18</v>
      </c>
      <c r="YW1" s="15" t="str">
        <f t="shared" si="15"/>
        <v>н.Н</v>
      </c>
      <c r="YX1" s="15" t="str">
        <f t="shared" si="15"/>
        <v>01а</v>
      </c>
      <c r="YY1" s="15" t="str">
        <f t="shared" si="15"/>
        <v>01б</v>
      </c>
      <c r="YZ1" s="15" t="str">
        <f t="shared" si="15"/>
        <v>02</v>
      </c>
      <c r="ZA1" s="15" t="str">
        <f t="shared" si="15"/>
        <v>03</v>
      </c>
      <c r="ZB1" s="15" t="str">
        <f t="shared" si="15"/>
        <v>04</v>
      </c>
      <c r="ZC1" s="15" t="str">
        <f t="shared" si="15"/>
        <v>05</v>
      </c>
      <c r="ZD1" s="15" t="str">
        <f t="shared" si="15"/>
        <v>06а</v>
      </c>
      <c r="ZE1" s="15" t="str">
        <f t="shared" si="15"/>
        <v>06б</v>
      </c>
      <c r="ZF1" s="15" t="str">
        <f t="shared" si="15"/>
        <v>07а</v>
      </c>
      <c r="ZG1" s="15" t="str">
        <f t="shared" si="15"/>
        <v>07б</v>
      </c>
      <c r="ZH1" s="15" t="str">
        <f t="shared" si="15"/>
        <v>07в</v>
      </c>
      <c r="ZI1" s="15" t="str">
        <f t="shared" si="15"/>
        <v>08</v>
      </c>
      <c r="ZJ1" s="15" t="str">
        <f t="shared" si="15"/>
        <v>09</v>
      </c>
      <c r="ZK1" s="15" t="str">
        <f t="shared" si="15"/>
        <v>10а</v>
      </c>
      <c r="ZL1" s="15" t="str">
        <f t="shared" si="15"/>
        <v>10б</v>
      </c>
      <c r="ZM1" s="15" t="str">
        <f t="shared" si="15"/>
        <v>11</v>
      </c>
      <c r="ZN1" s="15" t="str">
        <f t="shared" si="15"/>
        <v>12</v>
      </c>
      <c r="ZO1" s="15" t="str">
        <f t="shared" si="15"/>
        <v>18*</v>
      </c>
      <c r="ZP1" s="15" t="str">
        <f t="shared" si="15"/>
        <v>19*</v>
      </c>
      <c r="ZQ1" s="15" t="str">
        <f t="shared" si="15"/>
        <v>20*</v>
      </c>
      <c r="ZR1" s="15" t="str">
        <f t="shared" si="15"/>
        <v>21*</v>
      </c>
      <c r="ZS1" s="15" t="str">
        <f t="shared" si="15"/>
        <v>22*</v>
      </c>
      <c r="ZT1" s="15" t="str">
        <f t="shared" si="15"/>
        <v>23*</v>
      </c>
      <c r="ZU1" s="15" t="str">
        <f t="shared" si="15"/>
        <v>24*</v>
      </c>
      <c r="ZV1" s="15" t="str">
        <f t="shared" si="15"/>
        <v>25*</v>
      </c>
      <c r="ZW1" s="15" t="str">
        <f t="shared" si="15"/>
        <v>26*</v>
      </c>
      <c r="ZX1" s="15" t="str">
        <f t="shared" si="15"/>
        <v>27*</v>
      </c>
      <c r="ZY1" s="15" t="str">
        <f t="shared" si="15"/>
        <v>28*</v>
      </c>
      <c r="ZZ1" s="15" t="str">
        <f t="shared" si="15"/>
        <v>29*</v>
      </c>
      <c r="AAA1" s="15" t="str">
        <f t="shared" si="15"/>
        <v>30*</v>
      </c>
      <c r="AAB1" s="15" t="str">
        <f t="shared" ref="AAB1:ABH1" si="16">IF(RIGHT(AAB$5,1)="Н",RIGHT(AAB$5,3),MID(AAB$5,FIND(".",AAB$5)+1,5))</f>
        <v>п.Н</v>
      </c>
      <c r="AAC1" s="15" t="str">
        <f t="shared" si="16"/>
        <v>01</v>
      </c>
      <c r="AAD1" s="15" t="str">
        <f t="shared" si="16"/>
        <v>02</v>
      </c>
      <c r="AAE1" s="15" t="str">
        <f t="shared" si="16"/>
        <v>03</v>
      </c>
      <c r="AAF1" s="15" t="str">
        <f t="shared" si="16"/>
        <v>04</v>
      </c>
      <c r="AAG1" s="15" t="str">
        <f t="shared" si="16"/>
        <v>05</v>
      </c>
      <c r="AAH1" s="15" t="str">
        <f t="shared" si="16"/>
        <v>06</v>
      </c>
      <c r="AAI1" s="15" t="str">
        <f t="shared" si="16"/>
        <v>07а</v>
      </c>
      <c r="AAJ1" s="15" t="str">
        <f t="shared" si="16"/>
        <v>07б</v>
      </c>
      <c r="AAK1" s="15" t="str">
        <f t="shared" si="16"/>
        <v>07в</v>
      </c>
      <c r="AAL1" s="15" t="str">
        <f t="shared" si="16"/>
        <v>08</v>
      </c>
      <c r="AAM1" s="15" t="str">
        <f t="shared" si="16"/>
        <v>09</v>
      </c>
      <c r="AAN1" s="15" t="str">
        <f t="shared" si="16"/>
        <v>10</v>
      </c>
      <c r="AAO1" s="15" t="str">
        <f t="shared" si="16"/>
        <v>11</v>
      </c>
      <c r="AAP1" s="15" t="str">
        <f t="shared" si="16"/>
        <v>12</v>
      </c>
      <c r="AAQ1" s="15" t="str">
        <f t="shared" si="16"/>
        <v>15*</v>
      </c>
      <c r="AAR1" s="15" t="str">
        <f t="shared" si="16"/>
        <v>16*</v>
      </c>
      <c r="AAS1" s="15" t="str">
        <f t="shared" si="16"/>
        <v>17*</v>
      </c>
      <c r="AAT1" s="15" t="str">
        <f t="shared" si="16"/>
        <v>18*</v>
      </c>
      <c r="AAU1" s="15" t="str">
        <f t="shared" si="16"/>
        <v>19*</v>
      </c>
      <c r="AAV1" s="15" t="str">
        <f t="shared" si="16"/>
        <v>20*</v>
      </c>
      <c r="AAW1" s="15" t="str">
        <f t="shared" si="16"/>
        <v>21*</v>
      </c>
      <c r="AAX1" s="15" t="str">
        <f t="shared" si="16"/>
        <v>22*</v>
      </c>
      <c r="AAY1" s="15" t="str">
        <f t="shared" si="16"/>
        <v>23*</v>
      </c>
      <c r="AAZ1" s="15" t="str">
        <f t="shared" si="16"/>
        <v>24*</v>
      </c>
      <c r="ABA1" s="15" t="str">
        <f t="shared" si="16"/>
        <v>25*</v>
      </c>
      <c r="ABB1" s="15" t="str">
        <f t="shared" si="16"/>
        <v>26*</v>
      </c>
      <c r="ABC1" s="15" t="str">
        <f t="shared" si="16"/>
        <v>27*</v>
      </c>
      <c r="ABD1" s="15" t="str">
        <f t="shared" si="16"/>
        <v>28*</v>
      </c>
      <c r="ABE1" s="15" t="str">
        <f t="shared" si="16"/>
        <v>29*</v>
      </c>
      <c r="ABF1" s="15" t="str">
        <f t="shared" si="16"/>
        <v>30*</v>
      </c>
      <c r="ABG1" s="15" t="str">
        <f t="shared" si="16"/>
        <v>н.Н</v>
      </c>
      <c r="ABH1" s="15" t="str">
        <f t="shared" si="16"/>
        <v>01</v>
      </c>
      <c r="ABI1" s="15" t="str">
        <f t="shared" ref="ABI1:ADP1" si="17">IF(RIGHT(ABI$5,1)="Н",RIGHT(ABI$5,3),MID(ABI$5,FIND(".",ABI$5)+1,5))</f>
        <v>02а</v>
      </c>
      <c r="ABJ1" s="15" t="str">
        <f t="shared" si="17"/>
        <v>02б</v>
      </c>
      <c r="ABK1" s="15" t="str">
        <f t="shared" si="17"/>
        <v>03а</v>
      </c>
      <c r="ABL1" s="15" t="str">
        <f t="shared" si="17"/>
        <v>03б</v>
      </c>
      <c r="ABM1" s="15" t="str">
        <f t="shared" si="17"/>
        <v>04</v>
      </c>
      <c r="ABN1" s="15" t="str">
        <f t="shared" si="17"/>
        <v>05</v>
      </c>
      <c r="ABO1" s="15" t="str">
        <f t="shared" si="17"/>
        <v>06</v>
      </c>
      <c r="ABP1" s="15" t="str">
        <f t="shared" si="17"/>
        <v>07а</v>
      </c>
      <c r="ABQ1" s="15" t="str">
        <f t="shared" si="17"/>
        <v>07б</v>
      </c>
      <c r="ABR1" s="15" t="str">
        <f t="shared" si="17"/>
        <v>07в</v>
      </c>
      <c r="ABS1" s="15" t="str">
        <f t="shared" si="17"/>
        <v>08а</v>
      </c>
      <c r="ABT1" s="15" t="str">
        <f t="shared" si="17"/>
        <v>08б</v>
      </c>
      <c r="ABU1" s="15" t="str">
        <f t="shared" si="17"/>
        <v>08в</v>
      </c>
      <c r="ABV1" s="15" t="str">
        <f t="shared" si="17"/>
        <v>09</v>
      </c>
      <c r="ABW1" s="15" t="str">
        <f t="shared" si="17"/>
        <v>10</v>
      </c>
      <c r="ABX1" s="15" t="str">
        <f t="shared" si="17"/>
        <v>11</v>
      </c>
      <c r="ABY1" s="15" t="str">
        <f t="shared" si="17"/>
        <v>12</v>
      </c>
      <c r="ABZ1" s="15" t="str">
        <f t="shared" si="17"/>
        <v>19*</v>
      </c>
      <c r="ACA1" s="15" t="str">
        <f t="shared" si="17"/>
        <v>20*</v>
      </c>
      <c r="ACB1" s="15" t="str">
        <f t="shared" si="17"/>
        <v>21*</v>
      </c>
      <c r="ACC1" s="15" t="str">
        <f t="shared" si="17"/>
        <v>22*</v>
      </c>
      <c r="ACD1" s="15" t="str">
        <f t="shared" si="17"/>
        <v>23*</v>
      </c>
      <c r="ACE1" s="15" t="str">
        <f t="shared" si="17"/>
        <v>24*</v>
      </c>
      <c r="ACF1" s="15" t="str">
        <f t="shared" si="17"/>
        <v>25*</v>
      </c>
      <c r="ACG1" s="15" t="str">
        <f t="shared" si="17"/>
        <v>26*</v>
      </c>
      <c r="ACH1" s="15" t="str">
        <f t="shared" si="17"/>
        <v>27*</v>
      </c>
      <c r="ACI1" s="15" t="str">
        <f t="shared" si="17"/>
        <v>28*</v>
      </c>
      <c r="ACJ1" s="15" t="str">
        <f t="shared" si="17"/>
        <v>29*</v>
      </c>
      <c r="ACK1" s="15" t="str">
        <f t="shared" si="17"/>
        <v>30*</v>
      </c>
      <c r="ACL1" s="15" t="str">
        <f t="shared" si="17"/>
        <v>п.Н</v>
      </c>
      <c r="ACM1" s="15" t="str">
        <f t="shared" si="17"/>
        <v>01а</v>
      </c>
      <c r="ACN1" s="15" t="str">
        <f t="shared" si="17"/>
        <v>01б</v>
      </c>
      <c r="ACO1" s="15" t="str">
        <f t="shared" si="17"/>
        <v>02</v>
      </c>
      <c r="ACP1" s="15" t="str">
        <f t="shared" si="17"/>
        <v>03</v>
      </c>
      <c r="ACQ1" s="15" t="str">
        <f t="shared" si="17"/>
        <v>04</v>
      </c>
      <c r="ACR1" s="15" t="str">
        <f t="shared" si="17"/>
        <v>05</v>
      </c>
      <c r="ACS1" s="15" t="str">
        <f t="shared" si="17"/>
        <v>06</v>
      </c>
      <c r="ACT1" s="15" t="str">
        <f t="shared" si="17"/>
        <v>07</v>
      </c>
      <c r="ACU1" s="15" t="str">
        <f t="shared" si="17"/>
        <v>08а</v>
      </c>
      <c r="ACV1" s="15" t="str">
        <f t="shared" si="17"/>
        <v>08б</v>
      </c>
      <c r="ACW1" s="15" t="str">
        <f t="shared" si="17"/>
        <v>09</v>
      </c>
      <c r="ACX1" s="15" t="str">
        <f t="shared" si="17"/>
        <v>10</v>
      </c>
      <c r="ACY1" s="15" t="str">
        <f t="shared" si="17"/>
        <v>11</v>
      </c>
      <c r="ACZ1" s="15" t="str">
        <f t="shared" si="17"/>
        <v>12</v>
      </c>
      <c r="ADA1" s="15" t="str">
        <f t="shared" si="17"/>
        <v>15*</v>
      </c>
      <c r="ADB1" s="15" t="str">
        <f t="shared" si="17"/>
        <v>16*</v>
      </c>
      <c r="ADC1" s="15" t="str">
        <f t="shared" si="17"/>
        <v>17*</v>
      </c>
      <c r="ADD1" s="15" t="str">
        <f t="shared" si="17"/>
        <v>18*</v>
      </c>
      <c r="ADE1" s="15" t="str">
        <f t="shared" si="17"/>
        <v>19*</v>
      </c>
      <c r="ADF1" s="15" t="str">
        <f t="shared" si="17"/>
        <v>20*</v>
      </c>
      <c r="ADG1" s="15" t="str">
        <f t="shared" si="17"/>
        <v>21*</v>
      </c>
      <c r="ADH1" s="15" t="str">
        <f t="shared" si="17"/>
        <v>22*</v>
      </c>
      <c r="ADI1" s="15" t="str">
        <f t="shared" si="17"/>
        <v>23*</v>
      </c>
      <c r="ADJ1" s="15" t="str">
        <f t="shared" si="17"/>
        <v>24*</v>
      </c>
      <c r="ADK1" s="15" t="str">
        <f t="shared" si="17"/>
        <v>25*</v>
      </c>
      <c r="ADL1" s="15" t="str">
        <f t="shared" si="17"/>
        <v>26*</v>
      </c>
      <c r="ADM1" s="15" t="str">
        <f t="shared" si="17"/>
        <v>27*</v>
      </c>
      <c r="ADN1" s="15" t="str">
        <f t="shared" si="17"/>
        <v>28*</v>
      </c>
      <c r="ADO1" s="15" t="str">
        <f t="shared" si="17"/>
        <v>29*</v>
      </c>
      <c r="ADP1" s="15" t="str">
        <f t="shared" si="17"/>
        <v>30*</v>
      </c>
      <c r="ADQ1" s="15" t="str">
        <f t="shared" ref="ADQ1:AFA1" si="18">IF(RIGHT(ADQ$5,1)="Н",RIGHT(ADQ$5,3),MID(ADQ$5,FIND(".",ADQ$5)+1,5))</f>
        <v>н.Н</v>
      </c>
      <c r="ADR1" s="15" t="str">
        <f t="shared" si="18"/>
        <v>01</v>
      </c>
      <c r="ADS1" s="15" t="str">
        <f t="shared" si="18"/>
        <v>02</v>
      </c>
      <c r="ADT1" s="15" t="str">
        <f t="shared" si="18"/>
        <v>03а</v>
      </c>
      <c r="ADU1" s="15" t="str">
        <f t="shared" si="18"/>
        <v>03б</v>
      </c>
      <c r="ADV1" s="15" t="str">
        <f t="shared" si="18"/>
        <v>04а</v>
      </c>
      <c r="ADW1" s="15" t="str">
        <f t="shared" si="18"/>
        <v>04б</v>
      </c>
      <c r="ADX1" s="15" t="str">
        <f t="shared" si="18"/>
        <v>05а</v>
      </c>
      <c r="ADY1" s="15" t="str">
        <f t="shared" si="18"/>
        <v>05б</v>
      </c>
      <c r="ADZ1" s="15" t="str">
        <f t="shared" si="18"/>
        <v>06</v>
      </c>
      <c r="AEA1" s="15" t="str">
        <f t="shared" si="18"/>
        <v>07</v>
      </c>
      <c r="AEB1" s="15" t="str">
        <f t="shared" si="18"/>
        <v>08а</v>
      </c>
      <c r="AEC1" s="15" t="str">
        <f t="shared" si="18"/>
        <v>08б</v>
      </c>
      <c r="AED1" s="15" t="str">
        <f t="shared" si="18"/>
        <v>08в</v>
      </c>
      <c r="AEE1" s="15" t="str">
        <f t="shared" si="18"/>
        <v>09</v>
      </c>
      <c r="AEF1" s="15" t="str">
        <f t="shared" si="18"/>
        <v>10</v>
      </c>
      <c r="AEG1" s="15" t="str">
        <f t="shared" si="18"/>
        <v>11а</v>
      </c>
      <c r="AEH1" s="15" t="str">
        <f t="shared" si="18"/>
        <v>11б</v>
      </c>
      <c r="AEI1" s="15" t="str">
        <f t="shared" si="18"/>
        <v>12</v>
      </c>
      <c r="AEJ1" s="15" t="str">
        <f t="shared" si="18"/>
        <v>19*</v>
      </c>
      <c r="AEK1" s="15" t="str">
        <f t="shared" si="18"/>
        <v>20*</v>
      </c>
      <c r="AEL1" s="15" t="str">
        <f t="shared" si="18"/>
        <v>21*</v>
      </c>
      <c r="AEM1" s="15" t="str">
        <f t="shared" si="18"/>
        <v>22*</v>
      </c>
      <c r="AEN1" s="15" t="str">
        <f t="shared" si="18"/>
        <v>23*</v>
      </c>
      <c r="AEO1" s="15" t="str">
        <f t="shared" si="18"/>
        <v>24*</v>
      </c>
      <c r="AEP1" s="15" t="str">
        <f t="shared" si="18"/>
        <v>25*</v>
      </c>
      <c r="AEQ1" s="15" t="str">
        <f t="shared" si="18"/>
        <v>26*</v>
      </c>
      <c r="AER1" s="15" t="str">
        <f t="shared" si="18"/>
        <v>27*</v>
      </c>
      <c r="AES1" s="15" t="str">
        <f t="shared" si="18"/>
        <v>28*</v>
      </c>
      <c r="AET1" s="15" t="str">
        <f t="shared" si="18"/>
        <v>29*</v>
      </c>
      <c r="AEU1" s="15" t="str">
        <f t="shared" si="18"/>
        <v>30*</v>
      </c>
      <c r="AEV1" s="15" t="str">
        <f t="shared" si="18"/>
        <v>п.Н</v>
      </c>
      <c r="AEW1" s="15" t="str">
        <f t="shared" si="18"/>
        <v>01</v>
      </c>
      <c r="AEX1" s="15" t="str">
        <f t="shared" si="18"/>
        <v>02а</v>
      </c>
      <c r="AEY1" s="15" t="str">
        <f t="shared" si="18"/>
        <v>02б</v>
      </c>
      <c r="AEZ1" s="15" t="str">
        <f t="shared" si="18"/>
        <v>03</v>
      </c>
      <c r="AFA1" s="15" t="str">
        <f t="shared" si="18"/>
        <v>04</v>
      </c>
      <c r="AFB1" s="15" t="str">
        <f t="shared" ref="AFB1:AGH1" si="19">IF(RIGHT(AFB$5,1)="Н",RIGHT(AFB$5,3),MID(AFB$5,FIND(".",AFB$5)+1,5))</f>
        <v>05</v>
      </c>
      <c r="AFC1" s="15" t="str">
        <f t="shared" si="19"/>
        <v>06а</v>
      </c>
      <c r="AFD1" s="15" t="str">
        <f t="shared" si="19"/>
        <v>06б</v>
      </c>
      <c r="AFE1" s="15" t="str">
        <f t="shared" si="19"/>
        <v>07</v>
      </c>
      <c r="AFF1" s="15" t="str">
        <f t="shared" si="19"/>
        <v>08</v>
      </c>
      <c r="AFG1" s="15" t="str">
        <f t="shared" si="19"/>
        <v>09</v>
      </c>
      <c r="AFH1" s="15" t="str">
        <f t="shared" si="19"/>
        <v>10</v>
      </c>
      <c r="AFI1" s="15" t="str">
        <f t="shared" si="19"/>
        <v>11</v>
      </c>
      <c r="AFJ1" s="15" t="str">
        <f t="shared" si="19"/>
        <v>12</v>
      </c>
      <c r="AFK1" s="15" t="str">
        <f t="shared" si="19"/>
        <v>15*</v>
      </c>
      <c r="AFL1" s="15" t="str">
        <f t="shared" si="19"/>
        <v>16*</v>
      </c>
      <c r="AFM1" s="15" t="str">
        <f t="shared" si="19"/>
        <v>17*</v>
      </c>
      <c r="AFN1" s="15" t="str">
        <f t="shared" si="19"/>
        <v>18*</v>
      </c>
      <c r="AFO1" s="15" t="str">
        <f t="shared" si="19"/>
        <v>19*</v>
      </c>
      <c r="AFP1" s="15" t="str">
        <f t="shared" si="19"/>
        <v>20*</v>
      </c>
      <c r="AFQ1" s="15" t="str">
        <f t="shared" si="19"/>
        <v>21*</v>
      </c>
      <c r="AFR1" s="15" t="str">
        <f t="shared" si="19"/>
        <v>22*</v>
      </c>
      <c r="AFS1" s="15" t="str">
        <f t="shared" si="19"/>
        <v>23*</v>
      </c>
      <c r="AFT1" s="15" t="str">
        <f t="shared" si="19"/>
        <v>24*</v>
      </c>
      <c r="AFU1" s="15" t="str">
        <f t="shared" si="19"/>
        <v>25*</v>
      </c>
      <c r="AFV1" s="15" t="str">
        <f t="shared" si="19"/>
        <v>26*</v>
      </c>
      <c r="AFW1" s="15" t="str">
        <f t="shared" si="19"/>
        <v>27*</v>
      </c>
      <c r="AFX1" s="15" t="str">
        <f t="shared" si="19"/>
        <v>28*</v>
      </c>
      <c r="AFY1" s="15" t="str">
        <f t="shared" si="19"/>
        <v>29*</v>
      </c>
      <c r="AFZ1" s="15" t="str">
        <f t="shared" si="19"/>
        <v>30*</v>
      </c>
      <c r="AGA1" s="15" t="str">
        <f t="shared" si="19"/>
        <v>н.Н</v>
      </c>
      <c r="AGB1" s="15" t="str">
        <f t="shared" si="19"/>
        <v>01</v>
      </c>
      <c r="AGC1" s="15" t="str">
        <f t="shared" si="19"/>
        <v>02</v>
      </c>
      <c r="AGD1" s="15" t="str">
        <f t="shared" si="19"/>
        <v>03а</v>
      </c>
      <c r="AGE1" s="15" t="str">
        <f t="shared" si="19"/>
        <v>03б</v>
      </c>
      <c r="AGF1" s="15" t="str">
        <f t="shared" si="19"/>
        <v>04</v>
      </c>
      <c r="AGG1" s="15" t="str">
        <f t="shared" si="19"/>
        <v>05а</v>
      </c>
      <c r="AGH1" s="15" t="str">
        <f t="shared" si="19"/>
        <v>05б</v>
      </c>
      <c r="AGI1" s="15" t="str">
        <f t="shared" ref="AGI1:AIJ1" si="20">IF(RIGHT(AGI$5,1)="Н",RIGHT(AGI$5,3),MID(AGI$5,FIND(".",AGI$5)+1,5))</f>
        <v>05в</v>
      </c>
      <c r="AGJ1" s="15" t="str">
        <f t="shared" si="20"/>
        <v>06</v>
      </c>
      <c r="AGK1" s="15" t="str">
        <f t="shared" si="20"/>
        <v>07</v>
      </c>
      <c r="AGL1" s="15" t="str">
        <f t="shared" si="20"/>
        <v>08а</v>
      </c>
      <c r="AGM1" s="15" t="str">
        <f t="shared" si="20"/>
        <v>08б</v>
      </c>
      <c r="AGN1" s="15" t="str">
        <f t="shared" si="20"/>
        <v>08в</v>
      </c>
      <c r="AGO1" s="15" t="str">
        <f t="shared" si="20"/>
        <v>08г</v>
      </c>
      <c r="AGP1" s="15" t="str">
        <f t="shared" si="20"/>
        <v>08д</v>
      </c>
      <c r="AGQ1" s="15" t="str">
        <f t="shared" si="20"/>
        <v>09</v>
      </c>
      <c r="AGR1" s="15" t="str">
        <f t="shared" si="20"/>
        <v>10</v>
      </c>
      <c r="AGS1" s="15" t="str">
        <f t="shared" si="20"/>
        <v>11</v>
      </c>
      <c r="AGT1" s="15" t="str">
        <f t="shared" si="20"/>
        <v>12</v>
      </c>
      <c r="AGU1" s="15" t="str">
        <f t="shared" si="20"/>
        <v>20*</v>
      </c>
      <c r="AGV1" s="15" t="str">
        <f t="shared" si="20"/>
        <v>21*</v>
      </c>
      <c r="AGW1" s="15" t="str">
        <f t="shared" si="20"/>
        <v>22*</v>
      </c>
      <c r="AGX1" s="15" t="str">
        <f t="shared" si="20"/>
        <v>23*</v>
      </c>
      <c r="AGY1" s="15" t="str">
        <f t="shared" si="20"/>
        <v>24*</v>
      </c>
      <c r="AGZ1" s="15" t="str">
        <f t="shared" si="20"/>
        <v>25*</v>
      </c>
      <c r="AHA1" s="15" t="str">
        <f t="shared" si="20"/>
        <v>26*</v>
      </c>
      <c r="AHB1" s="15" t="str">
        <f t="shared" si="20"/>
        <v>27*</v>
      </c>
      <c r="AHC1" s="15" t="str">
        <f t="shared" si="20"/>
        <v>28*</v>
      </c>
      <c r="AHD1" s="15" t="str">
        <f t="shared" si="20"/>
        <v>29*</v>
      </c>
      <c r="AHE1" s="15" t="str">
        <f t="shared" si="20"/>
        <v>30*</v>
      </c>
      <c r="AHF1" s="15" t="str">
        <f t="shared" si="20"/>
        <v>п.Н</v>
      </c>
      <c r="AHG1" s="15" t="str">
        <f t="shared" si="20"/>
        <v>01</v>
      </c>
      <c r="AHH1" s="15" t="str">
        <f t="shared" si="20"/>
        <v>02</v>
      </c>
      <c r="AHI1" s="15" t="str">
        <f t="shared" si="20"/>
        <v>03</v>
      </c>
      <c r="AHJ1" s="15" t="str">
        <f t="shared" si="20"/>
        <v>04</v>
      </c>
      <c r="AHK1" s="15" t="str">
        <f t="shared" si="20"/>
        <v>05</v>
      </c>
      <c r="AHL1" s="15" t="str">
        <f t="shared" si="20"/>
        <v>06</v>
      </c>
      <c r="AHM1" s="15" t="str">
        <f t="shared" si="20"/>
        <v>07а</v>
      </c>
      <c r="AHN1" s="15" t="str">
        <f t="shared" si="20"/>
        <v>07б</v>
      </c>
      <c r="AHO1" s="15" t="str">
        <f t="shared" si="20"/>
        <v>08</v>
      </c>
      <c r="AHP1" s="15" t="str">
        <f t="shared" si="20"/>
        <v>09</v>
      </c>
      <c r="AHQ1" s="15" t="str">
        <f t="shared" si="20"/>
        <v>10</v>
      </c>
      <c r="AHR1" s="15" t="str">
        <f t="shared" si="20"/>
        <v>11</v>
      </c>
      <c r="AHS1" s="15" t="str">
        <f t="shared" si="20"/>
        <v>12</v>
      </c>
      <c r="AHT1" s="15" t="str">
        <f t="shared" si="20"/>
        <v>14*</v>
      </c>
      <c r="AHU1" s="15" t="str">
        <f t="shared" si="20"/>
        <v>15*</v>
      </c>
      <c r="AHV1" s="15" t="str">
        <f t="shared" si="20"/>
        <v>16*</v>
      </c>
      <c r="AHW1" s="15" t="str">
        <f t="shared" si="20"/>
        <v>17*</v>
      </c>
      <c r="AHX1" s="15" t="str">
        <f t="shared" si="20"/>
        <v>18*</v>
      </c>
      <c r="AHY1" s="15" t="str">
        <f t="shared" si="20"/>
        <v>19*</v>
      </c>
      <c r="AHZ1" s="15" t="str">
        <f t="shared" si="20"/>
        <v>20*</v>
      </c>
      <c r="AIA1" s="15" t="str">
        <f t="shared" si="20"/>
        <v>21*</v>
      </c>
      <c r="AIB1" s="15" t="str">
        <f t="shared" si="20"/>
        <v>22*</v>
      </c>
      <c r="AIC1" s="15" t="str">
        <f t="shared" si="20"/>
        <v>23*</v>
      </c>
      <c r="AID1" s="15" t="str">
        <f t="shared" si="20"/>
        <v>24*</v>
      </c>
      <c r="AIE1" s="15" t="str">
        <f t="shared" si="20"/>
        <v>25*</v>
      </c>
      <c r="AIF1" s="15" t="str">
        <f t="shared" si="20"/>
        <v>26*</v>
      </c>
      <c r="AIG1" s="15" t="str">
        <f t="shared" si="20"/>
        <v>27*</v>
      </c>
      <c r="AIH1" s="15" t="str">
        <f t="shared" si="20"/>
        <v>28*</v>
      </c>
      <c r="AII1" s="15" t="str">
        <f t="shared" si="20"/>
        <v>29*</v>
      </c>
      <c r="AIJ1" s="15" t="str">
        <f t="shared" si="20"/>
        <v>30*</v>
      </c>
      <c r="AIK1" s="15" t="str">
        <f t="shared" ref="AIK1:AKA1" si="21">IF(RIGHT(AIK$5,1)="Н",RIGHT(AIK$5,3),MID(AIK$5,FIND(".",AIK$5)+1,5))</f>
        <v>н.Н</v>
      </c>
      <c r="AIL1" s="15" t="str">
        <f t="shared" si="21"/>
        <v>01*</v>
      </c>
      <c r="AIM1" s="15" t="str">
        <f t="shared" si="21"/>
        <v>02*</v>
      </c>
      <c r="AIN1" s="15" t="str">
        <f t="shared" si="21"/>
        <v>03*</v>
      </c>
      <c r="AIO1" s="15" t="str">
        <f t="shared" si="21"/>
        <v>04*</v>
      </c>
      <c r="AIP1" s="15" t="str">
        <f t="shared" si="21"/>
        <v>05*</v>
      </c>
      <c r="AIQ1" s="15" t="str">
        <f t="shared" si="21"/>
        <v>06*</v>
      </c>
      <c r="AIR1" s="15" t="str">
        <f t="shared" si="21"/>
        <v>07*</v>
      </c>
      <c r="AIS1" s="15" t="str">
        <f t="shared" si="21"/>
        <v>08*</v>
      </c>
      <c r="AIT1" s="15" t="str">
        <f t="shared" si="21"/>
        <v>09*</v>
      </c>
      <c r="AIU1" s="15" t="str">
        <f t="shared" si="21"/>
        <v>10*</v>
      </c>
      <c r="AIV1" s="15" t="str">
        <f t="shared" si="21"/>
        <v>11*</v>
      </c>
      <c r="AIW1" s="15" t="str">
        <f t="shared" si="21"/>
        <v>12*</v>
      </c>
      <c r="AIX1" s="15" t="str">
        <f t="shared" si="21"/>
        <v>13*</v>
      </c>
      <c r="AIY1" s="15" t="str">
        <f t="shared" si="21"/>
        <v>14*</v>
      </c>
      <c r="AIZ1" s="15" t="str">
        <f t="shared" si="21"/>
        <v>15*</v>
      </c>
      <c r="AJA1" s="15" t="str">
        <f t="shared" si="21"/>
        <v>16*</v>
      </c>
      <c r="AJB1" s="15" t="str">
        <f t="shared" si="21"/>
        <v>17*</v>
      </c>
      <c r="AJC1" s="15" t="str">
        <f t="shared" si="21"/>
        <v>18*</v>
      </c>
      <c r="AJD1" s="15" t="str">
        <f t="shared" si="21"/>
        <v>19*</v>
      </c>
      <c r="AJE1" s="15" t="str">
        <f t="shared" si="21"/>
        <v>20*</v>
      </c>
      <c r="AJF1" s="15" t="str">
        <f t="shared" si="21"/>
        <v>21*</v>
      </c>
      <c r="AJG1" s="15" t="str">
        <f t="shared" si="21"/>
        <v>22*</v>
      </c>
      <c r="AJH1" s="15" t="str">
        <f t="shared" si="21"/>
        <v>23*</v>
      </c>
      <c r="AJI1" s="15" t="str">
        <f t="shared" si="21"/>
        <v>24*</v>
      </c>
      <c r="AJJ1" s="15" t="str">
        <f t="shared" si="21"/>
        <v>25*</v>
      </c>
      <c r="AJK1" s="15" t="str">
        <f t="shared" si="21"/>
        <v>26*</v>
      </c>
      <c r="AJL1" s="15" t="str">
        <f t="shared" si="21"/>
        <v>27*</v>
      </c>
      <c r="AJM1" s="15" t="str">
        <f t="shared" si="21"/>
        <v>28*</v>
      </c>
      <c r="AJN1" s="15" t="str">
        <f t="shared" si="21"/>
        <v>29*</v>
      </c>
      <c r="AJO1" s="15" t="str">
        <f t="shared" si="21"/>
        <v>30*</v>
      </c>
      <c r="AJP1" s="15" t="str">
        <f t="shared" si="21"/>
        <v>п.Н</v>
      </c>
      <c r="AJQ1" s="15" t="str">
        <f t="shared" si="21"/>
        <v>01*</v>
      </c>
      <c r="AJR1" s="15" t="str">
        <f t="shared" si="21"/>
        <v>02*</v>
      </c>
      <c r="AJS1" s="15" t="str">
        <f t="shared" si="21"/>
        <v>03*</v>
      </c>
      <c r="AJT1" s="15" t="str">
        <f t="shared" si="21"/>
        <v>04*</v>
      </c>
      <c r="AJU1" s="15" t="str">
        <f t="shared" si="21"/>
        <v>05*</v>
      </c>
      <c r="AJV1" s="15" t="str">
        <f t="shared" si="21"/>
        <v>06*</v>
      </c>
      <c r="AJW1" s="15" t="str">
        <f t="shared" si="21"/>
        <v>07*</v>
      </c>
      <c r="AJX1" s="15" t="str">
        <f t="shared" si="21"/>
        <v>08*</v>
      </c>
      <c r="AJY1" s="15" t="str">
        <f t="shared" si="21"/>
        <v>09*</v>
      </c>
      <c r="AJZ1" s="15" t="str">
        <f t="shared" si="21"/>
        <v>10*</v>
      </c>
      <c r="AKA1" s="15" t="str">
        <f t="shared" si="21"/>
        <v>11*</v>
      </c>
      <c r="AKB1" s="15" t="str">
        <f t="shared" ref="AKB1:ALH1" si="22">IF(RIGHT(AKB$5,1)="Н",RIGHT(AKB$5,3),MID(AKB$5,FIND(".",AKB$5)+1,5))</f>
        <v>12*</v>
      </c>
      <c r="AKC1" s="15" t="str">
        <f t="shared" si="22"/>
        <v>13*</v>
      </c>
      <c r="AKD1" s="15" t="str">
        <f t="shared" si="22"/>
        <v>14*</v>
      </c>
      <c r="AKE1" s="15" t="str">
        <f t="shared" si="22"/>
        <v>15*</v>
      </c>
      <c r="AKF1" s="15" t="str">
        <f t="shared" si="22"/>
        <v>16*</v>
      </c>
      <c r="AKG1" s="15" t="str">
        <f t="shared" si="22"/>
        <v>17*</v>
      </c>
      <c r="AKH1" s="15" t="str">
        <f t="shared" si="22"/>
        <v>18*</v>
      </c>
      <c r="AKI1" s="15" t="str">
        <f t="shared" si="22"/>
        <v>19*</v>
      </c>
      <c r="AKJ1" s="15" t="str">
        <f t="shared" si="22"/>
        <v>20*</v>
      </c>
      <c r="AKK1" s="15" t="str">
        <f t="shared" si="22"/>
        <v>21*</v>
      </c>
      <c r="AKL1" s="15" t="str">
        <f t="shared" si="22"/>
        <v>22*</v>
      </c>
      <c r="AKM1" s="15" t="str">
        <f t="shared" si="22"/>
        <v>23*</v>
      </c>
      <c r="AKN1" s="15" t="str">
        <f t="shared" si="22"/>
        <v>24*</v>
      </c>
      <c r="AKO1" s="15" t="str">
        <f t="shared" si="22"/>
        <v>25*</v>
      </c>
      <c r="AKP1" s="15" t="str">
        <f t="shared" si="22"/>
        <v>26*</v>
      </c>
      <c r="AKQ1" s="15" t="str">
        <f t="shared" si="22"/>
        <v>27*</v>
      </c>
      <c r="AKR1" s="15" t="str">
        <f t="shared" si="22"/>
        <v>28*</v>
      </c>
      <c r="AKS1" s="15" t="str">
        <f t="shared" si="22"/>
        <v>29*</v>
      </c>
      <c r="AKT1" s="15" t="str">
        <f t="shared" si="22"/>
        <v>30*</v>
      </c>
      <c r="AKU1" s="15" t="str">
        <f t="shared" si="22"/>
        <v>н.Н</v>
      </c>
      <c r="AKV1" s="15" t="str">
        <f t="shared" si="22"/>
        <v>01*</v>
      </c>
      <c r="AKW1" s="15" t="str">
        <f t="shared" si="22"/>
        <v>02*</v>
      </c>
      <c r="AKX1" s="15" t="str">
        <f t="shared" si="22"/>
        <v>03*</v>
      </c>
      <c r="AKY1" s="15" t="str">
        <f t="shared" si="22"/>
        <v>04*</v>
      </c>
      <c r="AKZ1" s="15" t="str">
        <f t="shared" si="22"/>
        <v>05*</v>
      </c>
      <c r="ALA1" s="15" t="str">
        <f t="shared" si="22"/>
        <v>06*</v>
      </c>
      <c r="ALB1" s="15" t="str">
        <f t="shared" si="22"/>
        <v>07*</v>
      </c>
      <c r="ALC1" s="15" t="str">
        <f t="shared" si="22"/>
        <v>08*</v>
      </c>
      <c r="ALD1" s="15" t="str">
        <f t="shared" si="22"/>
        <v>09*</v>
      </c>
      <c r="ALE1" s="15" t="str">
        <f t="shared" si="22"/>
        <v>10*</v>
      </c>
      <c r="ALF1" s="15" t="str">
        <f t="shared" si="22"/>
        <v>11*</v>
      </c>
      <c r="ALG1" s="15" t="str">
        <f t="shared" si="22"/>
        <v>12*</v>
      </c>
      <c r="ALH1" s="15" t="str">
        <f t="shared" si="22"/>
        <v>13*</v>
      </c>
      <c r="ALI1" s="15" t="str">
        <f t="shared" ref="ALI1:AND1" si="23">IF(RIGHT(ALI$5,1)="Н",RIGHT(ALI$5,3),MID(ALI$5,FIND(".",ALI$5)+1,5))</f>
        <v>14*</v>
      </c>
      <c r="ALJ1" s="15" t="str">
        <f t="shared" si="23"/>
        <v>15*</v>
      </c>
      <c r="ALK1" s="15" t="str">
        <f t="shared" si="23"/>
        <v>16*</v>
      </c>
      <c r="ALL1" s="15" t="str">
        <f t="shared" si="23"/>
        <v>17*</v>
      </c>
      <c r="ALM1" s="15" t="str">
        <f t="shared" si="23"/>
        <v>18*</v>
      </c>
      <c r="ALN1" s="15" t="str">
        <f t="shared" si="23"/>
        <v>19*</v>
      </c>
      <c r="ALO1" s="15" t="str">
        <f t="shared" si="23"/>
        <v>20*</v>
      </c>
      <c r="ALP1" s="15" t="str">
        <f t="shared" si="23"/>
        <v>21*</v>
      </c>
      <c r="ALQ1" s="15" t="str">
        <f t="shared" si="23"/>
        <v>22*</v>
      </c>
      <c r="ALR1" s="15" t="str">
        <f t="shared" si="23"/>
        <v>23*</v>
      </c>
      <c r="ALS1" s="15" t="str">
        <f t="shared" si="23"/>
        <v>24*</v>
      </c>
      <c r="ALT1" s="15" t="str">
        <f t="shared" si="23"/>
        <v>25*</v>
      </c>
      <c r="ALU1" s="15" t="str">
        <f t="shared" si="23"/>
        <v>26*</v>
      </c>
      <c r="ALV1" s="15" t="str">
        <f t="shared" si="23"/>
        <v>27*</v>
      </c>
      <c r="ALW1" s="15" t="str">
        <f t="shared" si="23"/>
        <v>28*</v>
      </c>
      <c r="ALX1" s="15" t="str">
        <f t="shared" si="23"/>
        <v>29*</v>
      </c>
      <c r="ALY1" s="15" t="str">
        <f t="shared" si="23"/>
        <v>30*</v>
      </c>
      <c r="ALZ1" s="15" t="str">
        <f t="shared" si="23"/>
        <v>п.Н</v>
      </c>
      <c r="AMA1" s="15" t="str">
        <f t="shared" si="23"/>
        <v>01*</v>
      </c>
      <c r="AMB1" s="15" t="str">
        <f t="shared" si="23"/>
        <v>02*</v>
      </c>
      <c r="AMC1" s="15" t="str">
        <f t="shared" si="23"/>
        <v>03*</v>
      </c>
      <c r="AMD1" s="15" t="str">
        <f t="shared" si="23"/>
        <v>04*</v>
      </c>
      <c r="AME1" s="15" t="str">
        <f t="shared" si="23"/>
        <v>05*</v>
      </c>
      <c r="AMF1" s="15" t="str">
        <f t="shared" si="23"/>
        <v>06*</v>
      </c>
      <c r="AMG1" s="15" t="str">
        <f t="shared" si="23"/>
        <v>07*</v>
      </c>
      <c r="AMH1" s="15" t="str">
        <f t="shared" si="23"/>
        <v>08*</v>
      </c>
      <c r="AMI1" s="15" t="str">
        <f t="shared" si="23"/>
        <v>09*</v>
      </c>
      <c r="AMJ1" s="15" t="str">
        <f t="shared" si="23"/>
        <v>10*</v>
      </c>
      <c r="AMK1" s="15" t="str">
        <f t="shared" si="23"/>
        <v>11*</v>
      </c>
      <c r="AML1" s="15" t="str">
        <f t="shared" si="23"/>
        <v>12*</v>
      </c>
      <c r="AMM1" s="15" t="str">
        <f t="shared" si="23"/>
        <v>13*</v>
      </c>
      <c r="AMN1" s="15" t="str">
        <f t="shared" si="23"/>
        <v>14*</v>
      </c>
      <c r="AMO1" s="15" t="str">
        <f t="shared" si="23"/>
        <v>15*</v>
      </c>
      <c r="AMP1" s="15" t="str">
        <f t="shared" si="23"/>
        <v>16*</v>
      </c>
      <c r="AMQ1" s="15" t="str">
        <f t="shared" si="23"/>
        <v>17*</v>
      </c>
      <c r="AMR1" s="15" t="str">
        <f t="shared" si="23"/>
        <v>18*</v>
      </c>
      <c r="AMS1" s="15" t="str">
        <f t="shared" si="23"/>
        <v>19*</v>
      </c>
      <c r="AMT1" s="15" t="str">
        <f t="shared" si="23"/>
        <v>20*</v>
      </c>
      <c r="AMU1" s="15" t="str">
        <f t="shared" si="23"/>
        <v>21*</v>
      </c>
      <c r="AMV1" s="15" t="str">
        <f t="shared" si="23"/>
        <v>22*</v>
      </c>
      <c r="AMW1" s="15" t="str">
        <f t="shared" si="23"/>
        <v>23*</v>
      </c>
      <c r="AMX1" s="15" t="str">
        <f t="shared" si="23"/>
        <v>24*</v>
      </c>
      <c r="AMY1" s="15" t="str">
        <f t="shared" si="23"/>
        <v>25*</v>
      </c>
      <c r="AMZ1" s="15" t="str">
        <f t="shared" si="23"/>
        <v>26*</v>
      </c>
      <c r="ANA1" s="15" t="str">
        <f t="shared" si="23"/>
        <v>27*</v>
      </c>
      <c r="ANB1" s="15" t="str">
        <f t="shared" si="23"/>
        <v>28*</v>
      </c>
      <c r="ANC1" s="15" t="str">
        <f t="shared" si="23"/>
        <v>29*</v>
      </c>
      <c r="AND1" s="15" t="str">
        <f t="shared" si="23"/>
        <v>30*</v>
      </c>
      <c r="ANE1" s="15" t="str">
        <f t="shared" ref="ANE1:APA1" si="24">IF(RIGHT(ANE$5,1)="Н",RIGHT(ANE$5,3),MID(ANE$5,FIND(".",ANE$5)+1,5))</f>
        <v>н.Н</v>
      </c>
      <c r="ANF1" s="15" t="str">
        <f t="shared" si="24"/>
        <v>01*</v>
      </c>
      <c r="ANG1" s="15" t="str">
        <f t="shared" si="24"/>
        <v>02*</v>
      </c>
      <c r="ANH1" s="15" t="str">
        <f t="shared" si="24"/>
        <v>03*</v>
      </c>
      <c r="ANI1" s="15" t="str">
        <f t="shared" si="24"/>
        <v>04*</v>
      </c>
      <c r="ANJ1" s="15" t="str">
        <f t="shared" si="24"/>
        <v>05*</v>
      </c>
      <c r="ANK1" s="15" t="str">
        <f t="shared" si="24"/>
        <v>06*</v>
      </c>
      <c r="ANL1" s="15" t="str">
        <f t="shared" si="24"/>
        <v>07*</v>
      </c>
      <c r="ANM1" s="15" t="str">
        <f t="shared" si="24"/>
        <v>08*</v>
      </c>
      <c r="ANN1" s="15" t="str">
        <f t="shared" si="24"/>
        <v>09*</v>
      </c>
      <c r="ANO1" s="15" t="str">
        <f t="shared" si="24"/>
        <v>10*</v>
      </c>
      <c r="ANP1" s="15" t="str">
        <f t="shared" si="24"/>
        <v>11*</v>
      </c>
      <c r="ANQ1" s="15" t="str">
        <f t="shared" si="24"/>
        <v>12*</v>
      </c>
      <c r="ANR1" s="15" t="str">
        <f t="shared" si="24"/>
        <v>13*</v>
      </c>
      <c r="ANS1" s="15" t="str">
        <f t="shared" si="24"/>
        <v>14*</v>
      </c>
      <c r="ANT1" s="15" t="str">
        <f t="shared" si="24"/>
        <v>15*</v>
      </c>
      <c r="ANU1" s="15" t="str">
        <f t="shared" si="24"/>
        <v>16*</v>
      </c>
      <c r="ANV1" s="15" t="str">
        <f t="shared" si="24"/>
        <v>17*</v>
      </c>
      <c r="ANW1" s="15" t="str">
        <f t="shared" si="24"/>
        <v>18*</v>
      </c>
      <c r="ANX1" s="15" t="str">
        <f t="shared" si="24"/>
        <v>19*</v>
      </c>
      <c r="ANY1" s="15" t="str">
        <f t="shared" si="24"/>
        <v>20*</v>
      </c>
      <c r="ANZ1" s="15" t="str">
        <f t="shared" si="24"/>
        <v>21*</v>
      </c>
      <c r="AOA1" s="15" t="str">
        <f t="shared" si="24"/>
        <v>22*</v>
      </c>
      <c r="AOB1" s="15" t="str">
        <f t="shared" si="24"/>
        <v>23*</v>
      </c>
      <c r="AOC1" s="15" t="str">
        <f t="shared" si="24"/>
        <v>24*</v>
      </c>
      <c r="AOD1" s="15" t="str">
        <f t="shared" si="24"/>
        <v>25*</v>
      </c>
      <c r="AOE1" s="15" t="str">
        <f t="shared" si="24"/>
        <v>26*</v>
      </c>
      <c r="AOF1" s="15" t="str">
        <f t="shared" si="24"/>
        <v>27*</v>
      </c>
      <c r="AOG1" s="15" t="str">
        <f t="shared" si="24"/>
        <v>28*</v>
      </c>
      <c r="AOH1" s="15" t="str">
        <f t="shared" si="24"/>
        <v>29*</v>
      </c>
      <c r="AOI1" s="15" t="str">
        <f t="shared" si="24"/>
        <v>30*</v>
      </c>
      <c r="AOJ1" s="15" t="str">
        <f t="shared" si="24"/>
        <v>п.Н</v>
      </c>
      <c r="AOK1" s="15" t="str">
        <f t="shared" si="24"/>
        <v>01*</v>
      </c>
      <c r="AOL1" s="15" t="str">
        <f t="shared" si="24"/>
        <v>02*</v>
      </c>
      <c r="AOM1" s="15" t="str">
        <f t="shared" si="24"/>
        <v>03*</v>
      </c>
      <c r="AON1" s="15" t="str">
        <f t="shared" si="24"/>
        <v>04*</v>
      </c>
      <c r="AOO1" s="15" t="str">
        <f t="shared" si="24"/>
        <v>05*</v>
      </c>
      <c r="AOP1" s="15" t="str">
        <f t="shared" si="24"/>
        <v>06*</v>
      </c>
      <c r="AOQ1" s="15" t="str">
        <f t="shared" si="24"/>
        <v>07*</v>
      </c>
      <c r="AOR1" s="15" t="str">
        <f t="shared" si="24"/>
        <v>08*</v>
      </c>
      <c r="AOS1" s="15" t="str">
        <f t="shared" si="24"/>
        <v>09*</v>
      </c>
      <c r="AOT1" s="15" t="str">
        <f t="shared" si="24"/>
        <v>10*</v>
      </c>
      <c r="AOU1" s="15" t="str">
        <f t="shared" si="24"/>
        <v>11*</v>
      </c>
      <c r="AOV1" s="15" t="str">
        <f t="shared" si="24"/>
        <v>12*</v>
      </c>
      <c r="AOW1" s="15" t="str">
        <f t="shared" si="24"/>
        <v>13*</v>
      </c>
      <c r="AOX1" s="15" t="str">
        <f t="shared" si="24"/>
        <v>14*</v>
      </c>
      <c r="AOY1" s="15" t="str">
        <f t="shared" si="24"/>
        <v>15*</v>
      </c>
      <c r="AOZ1" s="15" t="str">
        <f t="shared" si="24"/>
        <v>16*</v>
      </c>
      <c r="APA1" s="15" t="str">
        <f t="shared" si="24"/>
        <v>17*</v>
      </c>
      <c r="APB1" s="15" t="str">
        <f t="shared" ref="APB1:AQH1" si="25">IF(RIGHT(APB$5,1)="Н",RIGHT(APB$5,3),MID(APB$5,FIND(".",APB$5)+1,5))</f>
        <v>18*</v>
      </c>
      <c r="APC1" s="15" t="str">
        <f t="shared" si="25"/>
        <v>19*</v>
      </c>
      <c r="APD1" s="15" t="str">
        <f t="shared" si="25"/>
        <v>20*</v>
      </c>
      <c r="APE1" s="15" t="str">
        <f t="shared" si="25"/>
        <v>21*</v>
      </c>
      <c r="APF1" s="15" t="str">
        <f t="shared" si="25"/>
        <v>22*</v>
      </c>
      <c r="APG1" s="15" t="str">
        <f t="shared" si="25"/>
        <v>23*</v>
      </c>
      <c r="APH1" s="15" t="str">
        <f t="shared" si="25"/>
        <v>24*</v>
      </c>
      <c r="API1" s="15" t="str">
        <f t="shared" si="25"/>
        <v>25*</v>
      </c>
      <c r="APJ1" s="15" t="str">
        <f t="shared" si="25"/>
        <v>26*</v>
      </c>
      <c r="APK1" s="15" t="str">
        <f t="shared" si="25"/>
        <v>27*</v>
      </c>
      <c r="APL1" s="15" t="str">
        <f t="shared" si="25"/>
        <v>28*</v>
      </c>
      <c r="APM1" s="15" t="str">
        <f t="shared" si="25"/>
        <v>29*</v>
      </c>
      <c r="APN1" s="15" t="str">
        <f t="shared" si="25"/>
        <v>30*</v>
      </c>
      <c r="APO1" s="15" t="str">
        <f t="shared" si="25"/>
        <v>н.Н</v>
      </c>
      <c r="APP1" s="15" t="str">
        <f t="shared" si="25"/>
        <v>01*</v>
      </c>
      <c r="APQ1" s="15" t="str">
        <f t="shared" si="25"/>
        <v>02*</v>
      </c>
      <c r="APR1" s="15" t="str">
        <f t="shared" si="25"/>
        <v>03*</v>
      </c>
      <c r="APS1" s="15" t="str">
        <f t="shared" si="25"/>
        <v>04*</v>
      </c>
      <c r="APT1" s="15" t="str">
        <f t="shared" si="25"/>
        <v>05*</v>
      </c>
      <c r="APU1" s="15" t="str">
        <f t="shared" si="25"/>
        <v>06*</v>
      </c>
      <c r="APV1" s="15" t="str">
        <f t="shared" si="25"/>
        <v>07*</v>
      </c>
      <c r="APW1" s="15" t="str">
        <f t="shared" si="25"/>
        <v>08*</v>
      </c>
      <c r="APX1" s="15" t="str">
        <f t="shared" si="25"/>
        <v>09*</v>
      </c>
      <c r="APY1" s="15" t="str">
        <f t="shared" si="25"/>
        <v>10*</v>
      </c>
      <c r="APZ1" s="15" t="str">
        <f t="shared" si="25"/>
        <v>11*</v>
      </c>
      <c r="AQA1" s="15" t="str">
        <f t="shared" si="25"/>
        <v>12*</v>
      </c>
      <c r="AQB1" s="15" t="str">
        <f t="shared" si="25"/>
        <v>13*</v>
      </c>
      <c r="AQC1" s="15" t="str">
        <f t="shared" si="25"/>
        <v>14*</v>
      </c>
      <c r="AQD1" s="15" t="str">
        <f t="shared" si="25"/>
        <v>15*</v>
      </c>
      <c r="AQE1" s="15" t="str">
        <f t="shared" si="25"/>
        <v>16*</v>
      </c>
      <c r="AQF1" s="15" t="str">
        <f t="shared" si="25"/>
        <v>17*</v>
      </c>
      <c r="AQG1" s="15" t="str">
        <f t="shared" si="25"/>
        <v>18*</v>
      </c>
      <c r="AQH1" s="15" t="str">
        <f t="shared" si="25"/>
        <v>19*</v>
      </c>
      <c r="AQI1" s="15" t="str">
        <f t="shared" ref="AQI1:ARX1" si="26">IF(RIGHT(AQI$5,1)="Н",RIGHT(AQI$5,3),MID(AQI$5,FIND(".",AQI$5)+1,5))</f>
        <v>20*</v>
      </c>
      <c r="AQJ1" s="15" t="str">
        <f t="shared" si="26"/>
        <v>21*</v>
      </c>
      <c r="AQK1" s="15" t="str">
        <f t="shared" si="26"/>
        <v>22*</v>
      </c>
      <c r="AQL1" s="15" t="str">
        <f t="shared" si="26"/>
        <v>23*</v>
      </c>
      <c r="AQM1" s="15" t="str">
        <f t="shared" si="26"/>
        <v>24*</v>
      </c>
      <c r="AQN1" s="15" t="str">
        <f t="shared" si="26"/>
        <v>25*</v>
      </c>
      <c r="AQO1" s="15" t="str">
        <f t="shared" si="26"/>
        <v>26*</v>
      </c>
      <c r="AQP1" s="15" t="str">
        <f t="shared" si="26"/>
        <v>27*</v>
      </c>
      <c r="AQQ1" s="15" t="str">
        <f t="shared" si="26"/>
        <v>28*</v>
      </c>
      <c r="AQR1" s="15" t="str">
        <f t="shared" si="26"/>
        <v>29*</v>
      </c>
      <c r="AQS1" s="15" t="str">
        <f t="shared" si="26"/>
        <v>30*</v>
      </c>
      <c r="AQT1" s="15" t="str">
        <f t="shared" si="26"/>
        <v>п.Н</v>
      </c>
      <c r="AQU1" s="15" t="str">
        <f t="shared" si="26"/>
        <v>01*</v>
      </c>
      <c r="AQV1" s="15" t="str">
        <f t="shared" si="26"/>
        <v>02*</v>
      </c>
      <c r="AQW1" s="15" t="str">
        <f t="shared" si="26"/>
        <v>03*</v>
      </c>
      <c r="AQX1" s="15" t="str">
        <f t="shared" si="26"/>
        <v>04*</v>
      </c>
      <c r="AQY1" s="15" t="str">
        <f t="shared" si="26"/>
        <v>05*</v>
      </c>
      <c r="AQZ1" s="15" t="str">
        <f t="shared" si="26"/>
        <v>06*</v>
      </c>
      <c r="ARA1" s="15" t="str">
        <f t="shared" si="26"/>
        <v>07*</v>
      </c>
      <c r="ARB1" s="15" t="str">
        <f t="shared" si="26"/>
        <v>08*</v>
      </c>
      <c r="ARC1" s="15" t="str">
        <f t="shared" si="26"/>
        <v>09*</v>
      </c>
      <c r="ARD1" s="15" t="str">
        <f t="shared" si="26"/>
        <v>10*</v>
      </c>
      <c r="ARE1" s="15" t="str">
        <f t="shared" si="26"/>
        <v>11*</v>
      </c>
      <c r="ARF1" s="15" t="str">
        <f t="shared" si="26"/>
        <v>12*</v>
      </c>
      <c r="ARG1" s="15" t="str">
        <f t="shared" si="26"/>
        <v>13*</v>
      </c>
      <c r="ARH1" s="15" t="str">
        <f t="shared" si="26"/>
        <v>14*</v>
      </c>
      <c r="ARI1" s="15" t="str">
        <f t="shared" si="26"/>
        <v>15*</v>
      </c>
      <c r="ARJ1" s="15" t="str">
        <f t="shared" si="26"/>
        <v>16*</v>
      </c>
      <c r="ARK1" s="15" t="str">
        <f t="shared" si="26"/>
        <v>17*</v>
      </c>
      <c r="ARL1" s="15" t="str">
        <f t="shared" si="26"/>
        <v>18*</v>
      </c>
      <c r="ARM1" s="15" t="str">
        <f t="shared" si="26"/>
        <v>19*</v>
      </c>
      <c r="ARN1" s="15" t="str">
        <f t="shared" si="26"/>
        <v>20*</v>
      </c>
      <c r="ARO1" s="15" t="str">
        <f t="shared" si="26"/>
        <v>21*</v>
      </c>
      <c r="ARP1" s="15" t="str">
        <f t="shared" si="26"/>
        <v>22*</v>
      </c>
      <c r="ARQ1" s="15" t="str">
        <f t="shared" si="26"/>
        <v>23*</v>
      </c>
      <c r="ARR1" s="15" t="str">
        <f t="shared" si="26"/>
        <v>24*</v>
      </c>
      <c r="ARS1" s="15" t="str">
        <f t="shared" si="26"/>
        <v>25*</v>
      </c>
      <c r="ART1" s="15" t="str">
        <f t="shared" si="26"/>
        <v>26*</v>
      </c>
      <c r="ARU1" s="15" t="str">
        <f t="shared" si="26"/>
        <v>27*</v>
      </c>
      <c r="ARV1" s="15" t="str">
        <f t="shared" si="26"/>
        <v>28*</v>
      </c>
      <c r="ARW1" s="15" t="str">
        <f t="shared" si="26"/>
        <v>29*</v>
      </c>
      <c r="ARX1" s="15" t="str">
        <f t="shared" si="26"/>
        <v>30*</v>
      </c>
      <c r="ARY1" s="15" t="str">
        <f t="shared" ref="ARY1:AUA1" si="27">IF(RIGHT(ARY$5,1)="Н",RIGHT(ARY$5,3),MID(ARY$5,FIND(".",ARY$5)+1,5))</f>
        <v>н.Н</v>
      </c>
      <c r="ARZ1" s="15" t="str">
        <f t="shared" si="27"/>
        <v>01*</v>
      </c>
      <c r="ASA1" s="15" t="str">
        <f t="shared" si="27"/>
        <v>02*</v>
      </c>
      <c r="ASB1" s="15" t="str">
        <f t="shared" si="27"/>
        <v>03*</v>
      </c>
      <c r="ASC1" s="15" t="str">
        <f t="shared" si="27"/>
        <v>04*</v>
      </c>
      <c r="ASD1" s="15" t="str">
        <f t="shared" si="27"/>
        <v>05*</v>
      </c>
      <c r="ASE1" s="15" t="str">
        <f t="shared" si="27"/>
        <v>06*</v>
      </c>
      <c r="ASF1" s="15" t="str">
        <f t="shared" si="27"/>
        <v>07*</v>
      </c>
      <c r="ASG1" s="15" t="str">
        <f t="shared" si="27"/>
        <v>08*</v>
      </c>
      <c r="ASH1" s="15" t="str">
        <f t="shared" si="27"/>
        <v>09*</v>
      </c>
      <c r="ASI1" s="15" t="str">
        <f t="shared" si="27"/>
        <v>10*</v>
      </c>
      <c r="ASJ1" s="15" t="str">
        <f t="shared" si="27"/>
        <v>11*</v>
      </c>
      <c r="ASK1" s="15" t="str">
        <f t="shared" si="27"/>
        <v>12*</v>
      </c>
      <c r="ASL1" s="15" t="str">
        <f t="shared" si="27"/>
        <v>13*</v>
      </c>
      <c r="ASM1" s="15" t="str">
        <f t="shared" si="27"/>
        <v>14*</v>
      </c>
      <c r="ASN1" s="15" t="str">
        <f t="shared" si="27"/>
        <v>15*</v>
      </c>
      <c r="ASO1" s="15" t="str">
        <f t="shared" si="27"/>
        <v>16*</v>
      </c>
      <c r="ASP1" s="15" t="str">
        <f t="shared" si="27"/>
        <v>17*</v>
      </c>
      <c r="ASQ1" s="15" t="str">
        <f t="shared" si="27"/>
        <v>18*</v>
      </c>
      <c r="ASR1" s="15" t="str">
        <f t="shared" si="27"/>
        <v>19*</v>
      </c>
      <c r="ASS1" s="15" t="str">
        <f t="shared" si="27"/>
        <v>20*</v>
      </c>
      <c r="AST1" s="15" t="str">
        <f t="shared" si="27"/>
        <v>21*</v>
      </c>
      <c r="ASU1" s="15" t="str">
        <f t="shared" si="27"/>
        <v>22*</v>
      </c>
      <c r="ASV1" s="15" t="str">
        <f t="shared" si="27"/>
        <v>23*</v>
      </c>
      <c r="ASW1" s="15" t="str">
        <f t="shared" si="27"/>
        <v>24*</v>
      </c>
      <c r="ASX1" s="15" t="str">
        <f t="shared" si="27"/>
        <v>25*</v>
      </c>
      <c r="ASY1" s="15" t="str">
        <f t="shared" si="27"/>
        <v>26*</v>
      </c>
      <c r="ASZ1" s="15" t="str">
        <f t="shared" si="27"/>
        <v>27*</v>
      </c>
      <c r="ATA1" s="15" t="str">
        <f t="shared" si="27"/>
        <v>28*</v>
      </c>
      <c r="ATB1" s="15" t="str">
        <f t="shared" si="27"/>
        <v>29*</v>
      </c>
      <c r="ATC1" s="15" t="str">
        <f t="shared" si="27"/>
        <v>30*</v>
      </c>
      <c r="ATD1" s="15" t="str">
        <f t="shared" si="27"/>
        <v>п.Н</v>
      </c>
      <c r="ATE1" s="15" t="str">
        <f t="shared" si="27"/>
        <v>01*</v>
      </c>
      <c r="ATF1" s="15" t="str">
        <f t="shared" si="27"/>
        <v>02*</v>
      </c>
      <c r="ATG1" s="15" t="str">
        <f t="shared" si="27"/>
        <v>03*</v>
      </c>
      <c r="ATH1" s="15" t="str">
        <f t="shared" si="27"/>
        <v>04*</v>
      </c>
      <c r="ATI1" s="15" t="str">
        <f t="shared" si="27"/>
        <v>05*</v>
      </c>
      <c r="ATJ1" s="15" t="str">
        <f t="shared" si="27"/>
        <v>06*</v>
      </c>
      <c r="ATK1" s="15" t="str">
        <f t="shared" si="27"/>
        <v>07*</v>
      </c>
      <c r="ATL1" s="15" t="str">
        <f t="shared" si="27"/>
        <v>08*</v>
      </c>
      <c r="ATM1" s="15" t="str">
        <f t="shared" si="27"/>
        <v>09*</v>
      </c>
      <c r="ATN1" s="15" t="str">
        <f t="shared" si="27"/>
        <v>10*</v>
      </c>
      <c r="ATO1" s="15" t="str">
        <f t="shared" si="27"/>
        <v>11*</v>
      </c>
      <c r="ATP1" s="15" t="str">
        <f t="shared" si="27"/>
        <v>12*</v>
      </c>
      <c r="ATQ1" s="15" t="str">
        <f t="shared" si="27"/>
        <v>13*</v>
      </c>
      <c r="ATR1" s="15" t="str">
        <f t="shared" si="27"/>
        <v>14*</v>
      </c>
      <c r="ATS1" s="15" t="str">
        <f t="shared" si="27"/>
        <v>15*</v>
      </c>
      <c r="ATT1" s="15" t="str">
        <f t="shared" si="27"/>
        <v>16*</v>
      </c>
      <c r="ATU1" s="15" t="str">
        <f t="shared" si="27"/>
        <v>17*</v>
      </c>
      <c r="ATV1" s="15" t="str">
        <f t="shared" si="27"/>
        <v>18*</v>
      </c>
      <c r="ATW1" s="15" t="str">
        <f t="shared" si="27"/>
        <v>19*</v>
      </c>
      <c r="ATX1" s="15" t="str">
        <f t="shared" si="27"/>
        <v>20*</v>
      </c>
      <c r="ATY1" s="15" t="str">
        <f t="shared" si="27"/>
        <v>21*</v>
      </c>
      <c r="ATZ1" s="15" t="str">
        <f t="shared" si="27"/>
        <v>22*</v>
      </c>
      <c r="AUA1" s="15" t="str">
        <f t="shared" si="27"/>
        <v>23*</v>
      </c>
      <c r="AUB1" s="15" t="str">
        <f t="shared" ref="AUB1:AVH1" si="28">IF(RIGHT(AUB$5,1)="Н",RIGHT(AUB$5,3),MID(AUB$5,FIND(".",AUB$5)+1,5))</f>
        <v>24*</v>
      </c>
      <c r="AUC1" s="15" t="str">
        <f t="shared" si="28"/>
        <v>25*</v>
      </c>
      <c r="AUD1" s="15" t="str">
        <f t="shared" si="28"/>
        <v>26*</v>
      </c>
      <c r="AUE1" s="15" t="str">
        <f t="shared" si="28"/>
        <v>27*</v>
      </c>
      <c r="AUF1" s="15" t="str">
        <f t="shared" si="28"/>
        <v>28*</v>
      </c>
      <c r="AUG1" s="15" t="str">
        <f t="shared" si="28"/>
        <v>29*</v>
      </c>
      <c r="AUH1" s="15" t="str">
        <f t="shared" si="28"/>
        <v>30*</v>
      </c>
      <c r="AUI1" s="15" t="str">
        <f t="shared" si="28"/>
        <v>н.Н</v>
      </c>
      <c r="AUJ1" s="15" t="str">
        <f t="shared" si="28"/>
        <v>01*</v>
      </c>
      <c r="AUK1" s="15" t="str">
        <f t="shared" si="28"/>
        <v>02*</v>
      </c>
      <c r="AUL1" s="15" t="str">
        <f t="shared" si="28"/>
        <v>03*</v>
      </c>
      <c r="AUM1" s="15" t="str">
        <f t="shared" si="28"/>
        <v>04*</v>
      </c>
      <c r="AUN1" s="15" t="str">
        <f t="shared" si="28"/>
        <v>05*</v>
      </c>
      <c r="AUO1" s="15" t="str">
        <f t="shared" si="28"/>
        <v>06*</v>
      </c>
      <c r="AUP1" s="15" t="str">
        <f t="shared" si="28"/>
        <v>07*</v>
      </c>
      <c r="AUQ1" s="15" t="str">
        <f t="shared" si="28"/>
        <v>08*</v>
      </c>
      <c r="AUR1" s="15" t="str">
        <f t="shared" si="28"/>
        <v>09*</v>
      </c>
      <c r="AUS1" s="15" t="str">
        <f t="shared" si="28"/>
        <v>10*</v>
      </c>
      <c r="AUT1" s="15" t="str">
        <f t="shared" si="28"/>
        <v>11*</v>
      </c>
      <c r="AUU1" s="15" t="str">
        <f t="shared" si="28"/>
        <v>12*</v>
      </c>
      <c r="AUV1" s="15" t="str">
        <f t="shared" si="28"/>
        <v>13*</v>
      </c>
      <c r="AUW1" s="15" t="str">
        <f t="shared" si="28"/>
        <v>14*</v>
      </c>
      <c r="AUX1" s="15" t="str">
        <f t="shared" si="28"/>
        <v>15*</v>
      </c>
      <c r="AUY1" s="15" t="str">
        <f t="shared" si="28"/>
        <v>16*</v>
      </c>
      <c r="AUZ1" s="15" t="str">
        <f t="shared" si="28"/>
        <v>17*</v>
      </c>
      <c r="AVA1" s="15" t="str">
        <f t="shared" si="28"/>
        <v>18*</v>
      </c>
      <c r="AVB1" s="15" t="str">
        <f t="shared" si="28"/>
        <v>19*</v>
      </c>
      <c r="AVC1" s="15" t="str">
        <f t="shared" si="28"/>
        <v>20*</v>
      </c>
      <c r="AVD1" s="15" t="str">
        <f t="shared" si="28"/>
        <v>21*</v>
      </c>
      <c r="AVE1" s="15" t="str">
        <f t="shared" si="28"/>
        <v>22*</v>
      </c>
      <c r="AVF1" s="15" t="str">
        <f t="shared" si="28"/>
        <v>23*</v>
      </c>
      <c r="AVG1" s="15" t="str">
        <f t="shared" si="28"/>
        <v>24*</v>
      </c>
      <c r="AVH1" s="15" t="str">
        <f t="shared" si="28"/>
        <v>25*</v>
      </c>
      <c r="AVI1" s="15" t="str">
        <f t="shared" ref="AVI1:AWR1" si="29">IF(RIGHT(AVI$5,1)="Н",RIGHT(AVI$5,3),MID(AVI$5,FIND(".",AVI$5)+1,5))</f>
        <v>26*</v>
      </c>
      <c r="AVJ1" s="15" t="str">
        <f t="shared" si="29"/>
        <v>27*</v>
      </c>
      <c r="AVK1" s="15" t="str">
        <f t="shared" si="29"/>
        <v>28*</v>
      </c>
      <c r="AVL1" s="15" t="str">
        <f t="shared" si="29"/>
        <v>29*</v>
      </c>
      <c r="AVM1" s="15" t="str">
        <f t="shared" si="29"/>
        <v>30*</v>
      </c>
      <c r="AVN1" s="15" t="str">
        <f t="shared" si="29"/>
        <v>п.Н</v>
      </c>
      <c r="AVO1" s="15" t="str">
        <f t="shared" si="29"/>
        <v>01*</v>
      </c>
      <c r="AVP1" s="15" t="str">
        <f t="shared" si="29"/>
        <v>02*</v>
      </c>
      <c r="AVQ1" s="15" t="str">
        <f t="shared" si="29"/>
        <v>03*</v>
      </c>
      <c r="AVR1" s="15" t="str">
        <f t="shared" si="29"/>
        <v>04*</v>
      </c>
      <c r="AVS1" s="15" t="str">
        <f t="shared" si="29"/>
        <v>05*</v>
      </c>
      <c r="AVT1" s="15" t="str">
        <f t="shared" si="29"/>
        <v>06*</v>
      </c>
      <c r="AVU1" s="15" t="str">
        <f t="shared" si="29"/>
        <v>07*</v>
      </c>
      <c r="AVV1" s="15" t="str">
        <f t="shared" si="29"/>
        <v>08*</v>
      </c>
      <c r="AVW1" s="15" t="str">
        <f t="shared" si="29"/>
        <v>09*</v>
      </c>
      <c r="AVX1" s="15" t="str">
        <f t="shared" si="29"/>
        <v>10*</v>
      </c>
      <c r="AVY1" s="15" t="str">
        <f t="shared" si="29"/>
        <v>11*</v>
      </c>
      <c r="AVZ1" s="15" t="str">
        <f t="shared" si="29"/>
        <v>12*</v>
      </c>
      <c r="AWA1" s="15" t="str">
        <f t="shared" si="29"/>
        <v>13*</v>
      </c>
      <c r="AWB1" s="15" t="str">
        <f t="shared" si="29"/>
        <v>14*</v>
      </c>
      <c r="AWC1" s="15" t="str">
        <f t="shared" si="29"/>
        <v>15*</v>
      </c>
      <c r="AWD1" s="15" t="str">
        <f t="shared" si="29"/>
        <v>16*</v>
      </c>
      <c r="AWE1" s="15" t="str">
        <f t="shared" si="29"/>
        <v>17*</v>
      </c>
      <c r="AWF1" s="15" t="str">
        <f t="shared" si="29"/>
        <v>18*</v>
      </c>
      <c r="AWG1" s="15" t="str">
        <f t="shared" si="29"/>
        <v>19*</v>
      </c>
      <c r="AWH1" s="15" t="str">
        <f t="shared" si="29"/>
        <v>20*</v>
      </c>
      <c r="AWI1" s="15" t="str">
        <f t="shared" si="29"/>
        <v>21*</v>
      </c>
      <c r="AWJ1" s="15" t="str">
        <f t="shared" si="29"/>
        <v>22*</v>
      </c>
      <c r="AWK1" s="15" t="str">
        <f t="shared" si="29"/>
        <v>23*</v>
      </c>
      <c r="AWL1" s="15" t="str">
        <f t="shared" si="29"/>
        <v>24*</v>
      </c>
      <c r="AWM1" s="15" t="str">
        <f t="shared" si="29"/>
        <v>25*</v>
      </c>
      <c r="AWN1" s="15" t="str">
        <f t="shared" si="29"/>
        <v>26*</v>
      </c>
      <c r="AWO1" s="15" t="str">
        <f t="shared" si="29"/>
        <v>27*</v>
      </c>
      <c r="AWP1" s="15" t="str">
        <f t="shared" si="29"/>
        <v>28*</v>
      </c>
      <c r="AWQ1" s="15" t="str">
        <f t="shared" si="29"/>
        <v>29*</v>
      </c>
      <c r="AWR1" s="15" t="str">
        <f t="shared" si="29"/>
        <v>30*</v>
      </c>
      <c r="AWS1" s="15" t="str">
        <f t="shared" ref="AWS1:AZA1" si="30">IF(RIGHT(AWS$5,1)="Н",RIGHT(AWS$5,3),MID(AWS$5,FIND(".",AWS$5)+1,5))</f>
        <v>н.Н</v>
      </c>
      <c r="AWT1" s="15" t="str">
        <f t="shared" si="30"/>
        <v>01*</v>
      </c>
      <c r="AWU1" s="15" t="str">
        <f t="shared" si="30"/>
        <v>02*</v>
      </c>
      <c r="AWV1" s="15" t="str">
        <f t="shared" si="30"/>
        <v>03*</v>
      </c>
      <c r="AWW1" s="15" t="str">
        <f t="shared" si="30"/>
        <v>04*</v>
      </c>
      <c r="AWX1" s="15" t="str">
        <f t="shared" si="30"/>
        <v>05*</v>
      </c>
      <c r="AWY1" s="15" t="str">
        <f t="shared" si="30"/>
        <v>06*</v>
      </c>
      <c r="AWZ1" s="15" t="str">
        <f t="shared" si="30"/>
        <v>07*</v>
      </c>
      <c r="AXA1" s="15" t="str">
        <f t="shared" si="30"/>
        <v>08*</v>
      </c>
      <c r="AXB1" s="15" t="str">
        <f t="shared" si="30"/>
        <v>09*</v>
      </c>
      <c r="AXC1" s="15" t="str">
        <f t="shared" si="30"/>
        <v>10*</v>
      </c>
      <c r="AXD1" s="15" t="str">
        <f t="shared" si="30"/>
        <v>11*</v>
      </c>
      <c r="AXE1" s="15" t="str">
        <f t="shared" si="30"/>
        <v>12*</v>
      </c>
      <c r="AXF1" s="15" t="str">
        <f t="shared" si="30"/>
        <v>13*</v>
      </c>
      <c r="AXG1" s="15" t="str">
        <f t="shared" si="30"/>
        <v>14*</v>
      </c>
      <c r="AXH1" s="15" t="str">
        <f t="shared" si="30"/>
        <v>15*</v>
      </c>
      <c r="AXI1" s="15" t="str">
        <f t="shared" si="30"/>
        <v>16*</v>
      </c>
      <c r="AXJ1" s="15" t="str">
        <f t="shared" si="30"/>
        <v>17*</v>
      </c>
      <c r="AXK1" s="15" t="str">
        <f t="shared" si="30"/>
        <v>18*</v>
      </c>
      <c r="AXL1" s="15" t="str">
        <f t="shared" si="30"/>
        <v>19*</v>
      </c>
      <c r="AXM1" s="15" t="str">
        <f t="shared" si="30"/>
        <v>20*</v>
      </c>
      <c r="AXN1" s="15" t="str">
        <f t="shared" si="30"/>
        <v>21*</v>
      </c>
      <c r="AXO1" s="15" t="str">
        <f t="shared" si="30"/>
        <v>22*</v>
      </c>
      <c r="AXP1" s="15" t="str">
        <f t="shared" si="30"/>
        <v>23*</v>
      </c>
      <c r="AXQ1" s="15" t="str">
        <f t="shared" si="30"/>
        <v>24*</v>
      </c>
      <c r="AXR1" s="15" t="str">
        <f t="shared" si="30"/>
        <v>25*</v>
      </c>
      <c r="AXS1" s="15" t="str">
        <f t="shared" si="30"/>
        <v>26*</v>
      </c>
      <c r="AXT1" s="15" t="str">
        <f t="shared" si="30"/>
        <v>27*</v>
      </c>
      <c r="AXU1" s="15" t="str">
        <f t="shared" si="30"/>
        <v>28*</v>
      </c>
      <c r="AXV1" s="15" t="str">
        <f t="shared" si="30"/>
        <v>29*</v>
      </c>
      <c r="AXW1" s="15" t="str">
        <f t="shared" si="30"/>
        <v>30*</v>
      </c>
      <c r="AXX1" s="15" t="str">
        <f t="shared" si="30"/>
        <v>п.Н</v>
      </c>
      <c r="AXY1" s="15" t="str">
        <f t="shared" si="30"/>
        <v>01*</v>
      </c>
      <c r="AXZ1" s="15" t="str">
        <f t="shared" si="30"/>
        <v>02*</v>
      </c>
      <c r="AYA1" s="15" t="str">
        <f t="shared" si="30"/>
        <v>03*</v>
      </c>
      <c r="AYB1" s="15" t="str">
        <f t="shared" si="30"/>
        <v>04*</v>
      </c>
      <c r="AYC1" s="15" t="str">
        <f t="shared" si="30"/>
        <v>05*</v>
      </c>
      <c r="AYD1" s="15" t="str">
        <f t="shared" si="30"/>
        <v>06*</v>
      </c>
      <c r="AYE1" s="15" t="str">
        <f t="shared" si="30"/>
        <v>07*</v>
      </c>
      <c r="AYF1" s="15" t="str">
        <f t="shared" si="30"/>
        <v>08*</v>
      </c>
      <c r="AYG1" s="15" t="str">
        <f t="shared" si="30"/>
        <v>09*</v>
      </c>
      <c r="AYH1" s="15" t="str">
        <f t="shared" si="30"/>
        <v>10*</v>
      </c>
      <c r="AYI1" s="15" t="str">
        <f t="shared" si="30"/>
        <v>11*</v>
      </c>
      <c r="AYJ1" s="15" t="str">
        <f t="shared" si="30"/>
        <v>12*</v>
      </c>
      <c r="AYK1" s="15" t="str">
        <f t="shared" si="30"/>
        <v>13*</v>
      </c>
      <c r="AYL1" s="15" t="str">
        <f t="shared" si="30"/>
        <v>14*</v>
      </c>
      <c r="AYM1" s="15" t="str">
        <f t="shared" si="30"/>
        <v>15*</v>
      </c>
      <c r="AYN1" s="15" t="str">
        <f t="shared" si="30"/>
        <v>16*</v>
      </c>
      <c r="AYO1" s="15" t="str">
        <f t="shared" si="30"/>
        <v>17*</v>
      </c>
      <c r="AYP1" s="15" t="str">
        <f t="shared" si="30"/>
        <v>18*</v>
      </c>
      <c r="AYQ1" s="15" t="str">
        <f t="shared" si="30"/>
        <v>19*</v>
      </c>
      <c r="AYR1" s="15" t="str">
        <f t="shared" si="30"/>
        <v>20*</v>
      </c>
      <c r="AYS1" s="15" t="str">
        <f t="shared" si="30"/>
        <v>21*</v>
      </c>
      <c r="AYT1" s="15" t="str">
        <f t="shared" si="30"/>
        <v>22*</v>
      </c>
      <c r="AYU1" s="15" t="str">
        <f t="shared" si="30"/>
        <v>23*</v>
      </c>
      <c r="AYV1" s="15" t="str">
        <f t="shared" si="30"/>
        <v>24*</v>
      </c>
      <c r="AYW1" s="15" t="str">
        <f t="shared" si="30"/>
        <v>25*</v>
      </c>
      <c r="AYX1" s="15" t="str">
        <f t="shared" si="30"/>
        <v>26*</v>
      </c>
      <c r="AYY1" s="15" t="str">
        <f t="shared" si="30"/>
        <v>27*</v>
      </c>
      <c r="AYZ1" s="15" t="str">
        <f t="shared" si="30"/>
        <v>28*</v>
      </c>
      <c r="AZA1" s="15" t="str">
        <f t="shared" si="30"/>
        <v>29*</v>
      </c>
      <c r="AZB1" s="15" t="str">
        <f t="shared" ref="AZB1:BAH1" si="31">IF(RIGHT(AZB$5,1)="Н",RIGHT(AZB$5,3),MID(AZB$5,FIND(".",AZB$5)+1,5))</f>
        <v>30*</v>
      </c>
      <c r="AZC1" s="15" t="str">
        <f t="shared" si="31"/>
        <v>н.Н</v>
      </c>
      <c r="AZD1" s="15" t="str">
        <f t="shared" si="31"/>
        <v>01*</v>
      </c>
      <c r="AZE1" s="15" t="str">
        <f t="shared" si="31"/>
        <v>02*</v>
      </c>
      <c r="AZF1" s="15" t="str">
        <f t="shared" si="31"/>
        <v>03*</v>
      </c>
      <c r="AZG1" s="15" t="str">
        <f t="shared" si="31"/>
        <v>04*</v>
      </c>
      <c r="AZH1" s="15" t="str">
        <f t="shared" si="31"/>
        <v>05*</v>
      </c>
      <c r="AZI1" s="15" t="str">
        <f t="shared" si="31"/>
        <v>06*</v>
      </c>
      <c r="AZJ1" s="15" t="str">
        <f t="shared" si="31"/>
        <v>07*</v>
      </c>
      <c r="AZK1" s="15" t="str">
        <f t="shared" si="31"/>
        <v>08*</v>
      </c>
      <c r="AZL1" s="15" t="str">
        <f t="shared" si="31"/>
        <v>09*</v>
      </c>
      <c r="AZM1" s="15" t="str">
        <f t="shared" si="31"/>
        <v>10*</v>
      </c>
      <c r="AZN1" s="15" t="str">
        <f t="shared" si="31"/>
        <v>11*</v>
      </c>
      <c r="AZO1" s="15" t="str">
        <f t="shared" si="31"/>
        <v>12*</v>
      </c>
      <c r="AZP1" s="15" t="str">
        <f t="shared" si="31"/>
        <v>13*</v>
      </c>
      <c r="AZQ1" s="15" t="str">
        <f t="shared" si="31"/>
        <v>14*</v>
      </c>
      <c r="AZR1" s="15" t="str">
        <f t="shared" si="31"/>
        <v>15*</v>
      </c>
      <c r="AZS1" s="15" t="str">
        <f t="shared" si="31"/>
        <v>16*</v>
      </c>
      <c r="AZT1" s="15" t="str">
        <f t="shared" si="31"/>
        <v>17*</v>
      </c>
      <c r="AZU1" s="15" t="str">
        <f t="shared" si="31"/>
        <v>18*</v>
      </c>
      <c r="AZV1" s="15" t="str">
        <f t="shared" si="31"/>
        <v>19*</v>
      </c>
      <c r="AZW1" s="15" t="str">
        <f t="shared" si="31"/>
        <v>20*</v>
      </c>
      <c r="AZX1" s="15" t="str">
        <f t="shared" si="31"/>
        <v>21*</v>
      </c>
      <c r="AZY1" s="15" t="str">
        <f t="shared" si="31"/>
        <v>22*</v>
      </c>
      <c r="AZZ1" s="15" t="str">
        <f t="shared" si="31"/>
        <v>23*</v>
      </c>
      <c r="BAA1" s="15" t="str">
        <f t="shared" si="31"/>
        <v>24*</v>
      </c>
      <c r="BAB1" s="15" t="str">
        <f t="shared" si="31"/>
        <v>25*</v>
      </c>
      <c r="BAC1" s="15" t="str">
        <f t="shared" si="31"/>
        <v>26*</v>
      </c>
      <c r="BAD1" s="15" t="str">
        <f t="shared" si="31"/>
        <v>27*</v>
      </c>
      <c r="BAE1" s="15" t="str">
        <f t="shared" si="31"/>
        <v>28*</v>
      </c>
      <c r="BAF1" s="15" t="str">
        <f t="shared" si="31"/>
        <v>29*</v>
      </c>
      <c r="BAG1" s="15" t="str">
        <f t="shared" si="31"/>
        <v>30*</v>
      </c>
      <c r="BAH1" s="15" t="str">
        <f t="shared" si="31"/>
        <v>п.Н</v>
      </c>
      <c r="BAI1" s="15" t="str">
        <f t="shared" ref="BAI1:BBO1" si="32">IF(RIGHT(BAI$5,1)="Н",RIGHT(BAI$5,3),MID(BAI$5,FIND(".",BAI$5)+1,5))</f>
        <v>01*</v>
      </c>
      <c r="BAJ1" s="15" t="str">
        <f t="shared" si="32"/>
        <v>02*</v>
      </c>
      <c r="BAK1" s="15" t="str">
        <f t="shared" si="32"/>
        <v>03*</v>
      </c>
      <c r="BAL1" s="15" t="str">
        <f t="shared" si="32"/>
        <v>04*</v>
      </c>
      <c r="BAM1" s="15" t="str">
        <f t="shared" si="32"/>
        <v>05*</v>
      </c>
      <c r="BAN1" s="15" t="str">
        <f t="shared" si="32"/>
        <v>06*</v>
      </c>
      <c r="BAO1" s="15" t="str">
        <f t="shared" si="32"/>
        <v>07*</v>
      </c>
      <c r="BAP1" s="15" t="str">
        <f t="shared" si="32"/>
        <v>08*</v>
      </c>
      <c r="BAQ1" s="15" t="str">
        <f t="shared" si="32"/>
        <v>09*</v>
      </c>
      <c r="BAR1" s="15" t="str">
        <f t="shared" si="32"/>
        <v>10*</v>
      </c>
      <c r="BAS1" s="15" t="str">
        <f t="shared" si="32"/>
        <v>11*</v>
      </c>
      <c r="BAT1" s="15" t="str">
        <f t="shared" si="32"/>
        <v>12*</v>
      </c>
      <c r="BAU1" s="15" t="str">
        <f t="shared" si="32"/>
        <v>13*</v>
      </c>
      <c r="BAV1" s="15" t="str">
        <f t="shared" si="32"/>
        <v>14*</v>
      </c>
      <c r="BAW1" s="15" t="str">
        <f t="shared" si="32"/>
        <v>15*</v>
      </c>
      <c r="BAX1" s="15" t="str">
        <f t="shared" si="32"/>
        <v>16*</v>
      </c>
      <c r="BAY1" s="15" t="str">
        <f t="shared" si="32"/>
        <v>17*</v>
      </c>
      <c r="BAZ1" s="15" t="str">
        <f t="shared" si="32"/>
        <v>18*</v>
      </c>
      <c r="BBA1" s="15" t="str">
        <f t="shared" si="32"/>
        <v>19*</v>
      </c>
      <c r="BBB1" s="15" t="str">
        <f t="shared" si="32"/>
        <v>20*</v>
      </c>
      <c r="BBC1" s="15" t="str">
        <f t="shared" si="32"/>
        <v>21*</v>
      </c>
      <c r="BBD1" s="15" t="str">
        <f t="shared" si="32"/>
        <v>22*</v>
      </c>
      <c r="BBE1" s="15" t="str">
        <f t="shared" si="32"/>
        <v>23*</v>
      </c>
      <c r="BBF1" s="15" t="str">
        <f t="shared" si="32"/>
        <v>24*</v>
      </c>
      <c r="BBG1" s="15" t="str">
        <f t="shared" si="32"/>
        <v>25*</v>
      </c>
      <c r="BBH1" s="15" t="str">
        <f t="shared" si="32"/>
        <v>26*</v>
      </c>
      <c r="BBI1" s="15" t="str">
        <f t="shared" si="32"/>
        <v>27*</v>
      </c>
      <c r="BBJ1" s="15" t="str">
        <f t="shared" si="32"/>
        <v>28*</v>
      </c>
      <c r="BBK1" s="15" t="str">
        <f t="shared" si="32"/>
        <v>29*</v>
      </c>
      <c r="BBL1" s="15" t="str">
        <f t="shared" si="32"/>
        <v>30*</v>
      </c>
      <c r="BBM1" s="15" t="str">
        <f t="shared" si="32"/>
        <v>н.Н</v>
      </c>
      <c r="BBN1" s="15" t="str">
        <f t="shared" si="32"/>
        <v>01*</v>
      </c>
      <c r="BBO1" s="15" t="str">
        <f t="shared" si="32"/>
        <v>02*</v>
      </c>
      <c r="BBP1" s="15" t="str">
        <f t="shared" ref="BBP1:BDV1" si="33">IF(RIGHT(BBP$5,1)="Н",RIGHT(BBP$5,3),MID(BBP$5,FIND(".",BBP$5)+1,5))</f>
        <v>03*</v>
      </c>
      <c r="BBQ1" s="15" t="str">
        <f t="shared" si="33"/>
        <v>04*</v>
      </c>
      <c r="BBR1" s="15" t="str">
        <f t="shared" si="33"/>
        <v>05*</v>
      </c>
      <c r="BBS1" s="15" t="str">
        <f t="shared" si="33"/>
        <v>06*</v>
      </c>
      <c r="BBT1" s="15" t="str">
        <f t="shared" si="33"/>
        <v>07*</v>
      </c>
      <c r="BBU1" s="15" t="str">
        <f t="shared" si="33"/>
        <v>08*</v>
      </c>
      <c r="BBV1" s="15" t="str">
        <f t="shared" si="33"/>
        <v>09*</v>
      </c>
      <c r="BBW1" s="15" t="str">
        <f t="shared" si="33"/>
        <v>10*</v>
      </c>
      <c r="BBX1" s="15" t="str">
        <f t="shared" si="33"/>
        <v>11*</v>
      </c>
      <c r="BBY1" s="15" t="str">
        <f t="shared" si="33"/>
        <v>12*</v>
      </c>
      <c r="BBZ1" s="15" t="str">
        <f t="shared" si="33"/>
        <v>13*</v>
      </c>
      <c r="BCA1" s="15" t="str">
        <f t="shared" si="33"/>
        <v>14*</v>
      </c>
      <c r="BCB1" s="15" t="str">
        <f t="shared" si="33"/>
        <v>15*</v>
      </c>
      <c r="BCC1" s="15" t="str">
        <f t="shared" si="33"/>
        <v>16*</v>
      </c>
      <c r="BCD1" s="15" t="str">
        <f t="shared" si="33"/>
        <v>17*</v>
      </c>
      <c r="BCE1" s="15" t="str">
        <f t="shared" si="33"/>
        <v>18*</v>
      </c>
      <c r="BCF1" s="15" t="str">
        <f t="shared" si="33"/>
        <v>19*</v>
      </c>
      <c r="BCG1" s="15" t="str">
        <f t="shared" si="33"/>
        <v>20*</v>
      </c>
      <c r="BCH1" s="15" t="str">
        <f t="shared" si="33"/>
        <v>21*</v>
      </c>
      <c r="BCI1" s="15" t="str">
        <f t="shared" si="33"/>
        <v>22*</v>
      </c>
      <c r="BCJ1" s="15" t="str">
        <f t="shared" si="33"/>
        <v>23*</v>
      </c>
      <c r="BCK1" s="15" t="str">
        <f t="shared" si="33"/>
        <v>24*</v>
      </c>
      <c r="BCL1" s="15" t="str">
        <f t="shared" si="33"/>
        <v>25*</v>
      </c>
      <c r="BCM1" s="15" t="str">
        <f t="shared" si="33"/>
        <v>26*</v>
      </c>
      <c r="BCN1" s="15" t="str">
        <f t="shared" si="33"/>
        <v>27*</v>
      </c>
      <c r="BCO1" s="15" t="str">
        <f t="shared" si="33"/>
        <v>28*</v>
      </c>
      <c r="BCP1" s="15" t="str">
        <f t="shared" si="33"/>
        <v>29*</v>
      </c>
      <c r="BCQ1" s="15" t="str">
        <f t="shared" si="33"/>
        <v>30*</v>
      </c>
      <c r="BCR1" s="15" t="str">
        <f t="shared" si="33"/>
        <v>п.Н</v>
      </c>
      <c r="BCS1" s="15" t="str">
        <f t="shared" si="33"/>
        <v>01*</v>
      </c>
      <c r="BCT1" s="15" t="str">
        <f t="shared" si="33"/>
        <v>02*</v>
      </c>
      <c r="BCU1" s="15" t="str">
        <f t="shared" si="33"/>
        <v>03*</v>
      </c>
      <c r="BCV1" s="15" t="str">
        <f t="shared" si="33"/>
        <v>04*</v>
      </c>
      <c r="BCW1" s="15" t="str">
        <f t="shared" si="33"/>
        <v>05*</v>
      </c>
      <c r="BCX1" s="15" t="str">
        <f t="shared" si="33"/>
        <v>06*</v>
      </c>
      <c r="BCY1" s="15" t="str">
        <f t="shared" si="33"/>
        <v>07*</v>
      </c>
      <c r="BCZ1" s="15" t="str">
        <f t="shared" si="33"/>
        <v>08*</v>
      </c>
      <c r="BDA1" s="15" t="str">
        <f t="shared" si="33"/>
        <v>09*</v>
      </c>
      <c r="BDB1" s="15" t="str">
        <f t="shared" si="33"/>
        <v>10*</v>
      </c>
      <c r="BDC1" s="15" t="str">
        <f t="shared" si="33"/>
        <v>11*</v>
      </c>
      <c r="BDD1" s="15" t="str">
        <f t="shared" si="33"/>
        <v>12*</v>
      </c>
      <c r="BDE1" s="15" t="str">
        <f t="shared" si="33"/>
        <v>13*</v>
      </c>
      <c r="BDF1" s="15" t="str">
        <f t="shared" si="33"/>
        <v>14*</v>
      </c>
      <c r="BDG1" s="15" t="str">
        <f t="shared" si="33"/>
        <v>15*</v>
      </c>
      <c r="BDH1" s="15" t="str">
        <f t="shared" si="33"/>
        <v>16*</v>
      </c>
      <c r="BDI1" s="15" t="str">
        <f t="shared" si="33"/>
        <v>17*</v>
      </c>
      <c r="BDJ1" s="15" t="str">
        <f t="shared" si="33"/>
        <v>18*</v>
      </c>
      <c r="BDK1" s="15" t="str">
        <f t="shared" si="33"/>
        <v>19*</v>
      </c>
      <c r="BDL1" s="15" t="str">
        <f t="shared" si="33"/>
        <v>20*</v>
      </c>
      <c r="BDM1" s="15" t="str">
        <f t="shared" si="33"/>
        <v>21*</v>
      </c>
      <c r="BDN1" s="15" t="str">
        <f t="shared" si="33"/>
        <v>22*</v>
      </c>
      <c r="BDO1" s="15" t="str">
        <f t="shared" si="33"/>
        <v>23*</v>
      </c>
      <c r="BDP1" s="15" t="str">
        <f t="shared" si="33"/>
        <v>24*</v>
      </c>
      <c r="BDQ1" s="15" t="str">
        <f t="shared" si="33"/>
        <v>25*</v>
      </c>
      <c r="BDR1" s="15" t="str">
        <f t="shared" si="33"/>
        <v>26*</v>
      </c>
      <c r="BDS1" s="15" t="str">
        <f t="shared" si="33"/>
        <v>27*</v>
      </c>
      <c r="BDT1" s="15" t="str">
        <f t="shared" si="33"/>
        <v>28*</v>
      </c>
      <c r="BDU1" s="15" t="str">
        <f t="shared" si="33"/>
        <v>29*</v>
      </c>
      <c r="BDV1" s="15" t="str">
        <f t="shared" si="33"/>
        <v>30*</v>
      </c>
      <c r="BDW1" s="15" t="str">
        <f t="shared" ref="BDW1:BFH1" si="34">IF(RIGHT(BDW$5,1)="Н",RIGHT(BDW$5,3),MID(BDW$5,FIND(".",BDW$5)+1,5))</f>
        <v>н.Н</v>
      </c>
      <c r="BDX1" s="15" t="str">
        <f t="shared" si="34"/>
        <v>01*</v>
      </c>
      <c r="BDY1" s="15" t="str">
        <f t="shared" si="34"/>
        <v>02*</v>
      </c>
      <c r="BDZ1" s="15" t="str">
        <f t="shared" si="34"/>
        <v>03*</v>
      </c>
      <c r="BEA1" s="15" t="str">
        <f t="shared" si="34"/>
        <v>04*</v>
      </c>
      <c r="BEB1" s="15" t="str">
        <f t="shared" si="34"/>
        <v>05*</v>
      </c>
      <c r="BEC1" s="15" t="str">
        <f t="shared" si="34"/>
        <v>06*</v>
      </c>
      <c r="BED1" s="15" t="str">
        <f t="shared" si="34"/>
        <v>07*</v>
      </c>
      <c r="BEE1" s="15" t="str">
        <f t="shared" si="34"/>
        <v>08*</v>
      </c>
      <c r="BEF1" s="15" t="str">
        <f t="shared" si="34"/>
        <v>09*</v>
      </c>
      <c r="BEG1" s="15" t="str">
        <f t="shared" si="34"/>
        <v>10*</v>
      </c>
      <c r="BEH1" s="15" t="str">
        <f t="shared" si="34"/>
        <v>11*</v>
      </c>
      <c r="BEI1" s="15" t="str">
        <f t="shared" si="34"/>
        <v>12*</v>
      </c>
      <c r="BEJ1" s="15" t="str">
        <f t="shared" si="34"/>
        <v>13*</v>
      </c>
      <c r="BEK1" s="15" t="str">
        <f t="shared" si="34"/>
        <v>14*</v>
      </c>
      <c r="BEL1" s="15" t="str">
        <f t="shared" si="34"/>
        <v>15*</v>
      </c>
      <c r="BEM1" s="15" t="str">
        <f t="shared" si="34"/>
        <v>16*</v>
      </c>
      <c r="BEN1" s="15" t="str">
        <f t="shared" si="34"/>
        <v>17*</v>
      </c>
      <c r="BEO1" s="15" t="str">
        <f t="shared" si="34"/>
        <v>18*</v>
      </c>
      <c r="BEP1" s="15" t="str">
        <f t="shared" si="34"/>
        <v>19*</v>
      </c>
      <c r="BEQ1" s="15" t="str">
        <f t="shared" si="34"/>
        <v>20*</v>
      </c>
      <c r="BER1" s="15" t="str">
        <f t="shared" si="34"/>
        <v>21*</v>
      </c>
      <c r="BES1" s="15" t="str">
        <f t="shared" si="34"/>
        <v>22*</v>
      </c>
      <c r="BET1" s="15" t="str">
        <f t="shared" si="34"/>
        <v>23*</v>
      </c>
      <c r="BEU1" s="15" t="str">
        <f t="shared" si="34"/>
        <v>24*</v>
      </c>
      <c r="BEV1" s="15" t="str">
        <f t="shared" si="34"/>
        <v>25*</v>
      </c>
      <c r="BEW1" s="15" t="str">
        <f t="shared" si="34"/>
        <v>26*</v>
      </c>
      <c r="BEX1" s="15" t="str">
        <f t="shared" si="34"/>
        <v>27*</v>
      </c>
      <c r="BEY1" s="15" t="str">
        <f t="shared" si="34"/>
        <v>28*</v>
      </c>
      <c r="BEZ1" s="15" t="str">
        <f t="shared" si="34"/>
        <v>29*</v>
      </c>
      <c r="BFA1" s="15" t="str">
        <f t="shared" si="34"/>
        <v>30*</v>
      </c>
      <c r="BFB1" s="15" t="str">
        <f t="shared" si="34"/>
        <v>п.Н</v>
      </c>
      <c r="BFC1" s="15" t="str">
        <f t="shared" si="34"/>
        <v>01*</v>
      </c>
      <c r="BFD1" s="15" t="str">
        <f t="shared" si="34"/>
        <v>02*</v>
      </c>
      <c r="BFE1" s="15" t="str">
        <f t="shared" si="34"/>
        <v>03*</v>
      </c>
      <c r="BFF1" s="15" t="str">
        <f t="shared" si="34"/>
        <v>04*</v>
      </c>
      <c r="BFG1" s="15" t="str">
        <f t="shared" si="34"/>
        <v>05*</v>
      </c>
      <c r="BFH1" s="15" t="str">
        <f t="shared" si="34"/>
        <v>06*</v>
      </c>
      <c r="BFI1" s="15" t="str">
        <f t="shared" ref="BFI1:BGO1" si="35">IF(RIGHT(BFI$5,1)="Н",RIGHT(BFI$5,3),MID(BFI$5,FIND(".",BFI$5)+1,5))</f>
        <v>07*</v>
      </c>
      <c r="BFJ1" s="15" t="str">
        <f t="shared" si="35"/>
        <v>08*</v>
      </c>
      <c r="BFK1" s="15" t="str">
        <f t="shared" si="35"/>
        <v>09*</v>
      </c>
      <c r="BFL1" s="15" t="str">
        <f t="shared" si="35"/>
        <v>10*</v>
      </c>
      <c r="BFM1" s="15" t="str">
        <f t="shared" si="35"/>
        <v>11*</v>
      </c>
      <c r="BFN1" s="15" t="str">
        <f t="shared" si="35"/>
        <v>12*</v>
      </c>
      <c r="BFO1" s="15" t="str">
        <f t="shared" si="35"/>
        <v>13*</v>
      </c>
      <c r="BFP1" s="15" t="str">
        <f t="shared" si="35"/>
        <v>14*</v>
      </c>
      <c r="BFQ1" s="15" t="str">
        <f t="shared" si="35"/>
        <v>15*</v>
      </c>
      <c r="BFR1" s="15" t="str">
        <f t="shared" si="35"/>
        <v>16*</v>
      </c>
      <c r="BFS1" s="15" t="str">
        <f t="shared" si="35"/>
        <v>17*</v>
      </c>
      <c r="BFT1" s="15" t="str">
        <f t="shared" si="35"/>
        <v>18*</v>
      </c>
      <c r="BFU1" s="15" t="str">
        <f t="shared" si="35"/>
        <v>19*</v>
      </c>
      <c r="BFV1" s="15" t="str">
        <f t="shared" si="35"/>
        <v>20*</v>
      </c>
      <c r="BFW1" s="15" t="str">
        <f t="shared" si="35"/>
        <v>21*</v>
      </c>
      <c r="BFX1" s="15" t="str">
        <f t="shared" si="35"/>
        <v>22*</v>
      </c>
      <c r="BFY1" s="15" t="str">
        <f t="shared" si="35"/>
        <v>23*</v>
      </c>
      <c r="BFZ1" s="15" t="str">
        <f t="shared" si="35"/>
        <v>24*</v>
      </c>
      <c r="BGA1" s="15" t="str">
        <f t="shared" si="35"/>
        <v>25*</v>
      </c>
      <c r="BGB1" s="15" t="str">
        <f t="shared" si="35"/>
        <v>26*</v>
      </c>
      <c r="BGC1" s="15" t="str">
        <f t="shared" si="35"/>
        <v>27*</v>
      </c>
      <c r="BGD1" s="15" t="str">
        <f t="shared" si="35"/>
        <v>28*</v>
      </c>
      <c r="BGE1" s="15" t="str">
        <f t="shared" si="35"/>
        <v>29*</v>
      </c>
      <c r="BGF1" s="15" t="str">
        <f t="shared" si="35"/>
        <v>30*</v>
      </c>
      <c r="BGG1" s="15" t="str">
        <f t="shared" si="35"/>
        <v>н.Н</v>
      </c>
      <c r="BGH1" s="15" t="str">
        <f t="shared" si="35"/>
        <v>01*</v>
      </c>
      <c r="BGI1" s="15" t="str">
        <f t="shared" si="35"/>
        <v>02*</v>
      </c>
      <c r="BGJ1" s="15" t="str">
        <f t="shared" si="35"/>
        <v>03*</v>
      </c>
      <c r="BGK1" s="15" t="str">
        <f t="shared" si="35"/>
        <v>04*</v>
      </c>
      <c r="BGL1" s="15" t="str">
        <f t="shared" si="35"/>
        <v>05*</v>
      </c>
      <c r="BGM1" s="15" t="str">
        <f t="shared" si="35"/>
        <v>06*</v>
      </c>
      <c r="BGN1" s="15" t="str">
        <f t="shared" si="35"/>
        <v>07*</v>
      </c>
      <c r="BGO1" s="15" t="str">
        <f t="shared" si="35"/>
        <v>08*</v>
      </c>
      <c r="BGP1" s="15" t="str">
        <f t="shared" ref="BGP1:BIP1" si="36">IF(RIGHT(BGP$5,1)="Н",RIGHT(BGP$5,3),MID(BGP$5,FIND(".",BGP$5)+1,5))</f>
        <v>09*</v>
      </c>
      <c r="BGQ1" s="15" t="str">
        <f t="shared" si="36"/>
        <v>10*</v>
      </c>
      <c r="BGR1" s="15" t="str">
        <f t="shared" si="36"/>
        <v>11*</v>
      </c>
      <c r="BGS1" s="15" t="str">
        <f t="shared" si="36"/>
        <v>12*</v>
      </c>
      <c r="BGT1" s="15" t="str">
        <f t="shared" si="36"/>
        <v>13*</v>
      </c>
      <c r="BGU1" s="15" t="str">
        <f t="shared" si="36"/>
        <v>14*</v>
      </c>
      <c r="BGV1" s="15" t="str">
        <f t="shared" si="36"/>
        <v>15*</v>
      </c>
      <c r="BGW1" s="15" t="str">
        <f t="shared" si="36"/>
        <v>16*</v>
      </c>
      <c r="BGX1" s="15" t="str">
        <f t="shared" si="36"/>
        <v>17*</v>
      </c>
      <c r="BGY1" s="15" t="str">
        <f t="shared" si="36"/>
        <v>18*</v>
      </c>
      <c r="BGZ1" s="15" t="str">
        <f t="shared" si="36"/>
        <v>19*</v>
      </c>
      <c r="BHA1" s="15" t="str">
        <f t="shared" si="36"/>
        <v>20*</v>
      </c>
      <c r="BHB1" s="15" t="str">
        <f t="shared" si="36"/>
        <v>21*</v>
      </c>
      <c r="BHC1" s="15" t="str">
        <f t="shared" si="36"/>
        <v>22*</v>
      </c>
      <c r="BHD1" s="15" t="str">
        <f t="shared" si="36"/>
        <v>23*</v>
      </c>
      <c r="BHE1" s="15" t="str">
        <f t="shared" si="36"/>
        <v>24*</v>
      </c>
      <c r="BHF1" s="15" t="str">
        <f t="shared" si="36"/>
        <v>25*</v>
      </c>
      <c r="BHG1" s="15" t="str">
        <f t="shared" si="36"/>
        <v>26*</v>
      </c>
      <c r="BHH1" s="15" t="str">
        <f t="shared" si="36"/>
        <v>27*</v>
      </c>
      <c r="BHI1" s="15" t="str">
        <f t="shared" si="36"/>
        <v>28*</v>
      </c>
      <c r="BHJ1" s="15" t="str">
        <f t="shared" si="36"/>
        <v>29*</v>
      </c>
      <c r="BHK1" s="15" t="str">
        <f t="shared" si="36"/>
        <v>30*</v>
      </c>
      <c r="BHL1" s="15" t="str">
        <f t="shared" si="36"/>
        <v>п.Н</v>
      </c>
      <c r="BHM1" s="15" t="str">
        <f t="shared" si="36"/>
        <v>01*</v>
      </c>
      <c r="BHN1" s="15" t="str">
        <f t="shared" si="36"/>
        <v>02*</v>
      </c>
      <c r="BHO1" s="15" t="str">
        <f t="shared" si="36"/>
        <v>03*</v>
      </c>
      <c r="BHP1" s="15" t="str">
        <f t="shared" si="36"/>
        <v>04*</v>
      </c>
      <c r="BHQ1" s="15" t="str">
        <f t="shared" si="36"/>
        <v>05*</v>
      </c>
      <c r="BHR1" s="15" t="str">
        <f t="shared" si="36"/>
        <v>06*</v>
      </c>
      <c r="BHS1" s="15" t="str">
        <f t="shared" si="36"/>
        <v>07*</v>
      </c>
      <c r="BHT1" s="15" t="str">
        <f t="shared" si="36"/>
        <v>08*</v>
      </c>
      <c r="BHU1" s="15" t="str">
        <f t="shared" si="36"/>
        <v>09*</v>
      </c>
      <c r="BHV1" s="15" t="str">
        <f t="shared" si="36"/>
        <v>10*</v>
      </c>
      <c r="BHW1" s="15" t="str">
        <f t="shared" si="36"/>
        <v>11*</v>
      </c>
      <c r="BHX1" s="15" t="str">
        <f t="shared" si="36"/>
        <v>12*</v>
      </c>
      <c r="BHY1" s="15" t="str">
        <f t="shared" si="36"/>
        <v>13*</v>
      </c>
      <c r="BHZ1" s="15" t="str">
        <f t="shared" si="36"/>
        <v>14*</v>
      </c>
      <c r="BIA1" s="15" t="str">
        <f t="shared" si="36"/>
        <v>15*</v>
      </c>
      <c r="BIB1" s="15" t="str">
        <f t="shared" si="36"/>
        <v>16*</v>
      </c>
      <c r="BIC1" s="15" t="str">
        <f t="shared" si="36"/>
        <v>17*</v>
      </c>
      <c r="BID1" s="15" t="str">
        <f t="shared" si="36"/>
        <v>18*</v>
      </c>
      <c r="BIE1" s="15" t="str">
        <f t="shared" si="36"/>
        <v>19*</v>
      </c>
      <c r="BIF1" s="15" t="str">
        <f t="shared" si="36"/>
        <v>20*</v>
      </c>
      <c r="BIG1" s="15" t="str">
        <f t="shared" si="36"/>
        <v>21*</v>
      </c>
      <c r="BIH1" s="15" t="str">
        <f t="shared" si="36"/>
        <v>22*</v>
      </c>
      <c r="BII1" s="15" t="str">
        <f t="shared" si="36"/>
        <v>23*</v>
      </c>
      <c r="BIJ1" s="15" t="str">
        <f t="shared" si="36"/>
        <v>24*</v>
      </c>
      <c r="BIK1" s="15" t="str">
        <f t="shared" si="36"/>
        <v>25*</v>
      </c>
      <c r="BIL1" s="15" t="str">
        <f t="shared" si="36"/>
        <v>26*</v>
      </c>
      <c r="BIM1" s="15" t="str">
        <f t="shared" si="36"/>
        <v>27*</v>
      </c>
      <c r="BIN1" s="15" t="str">
        <f t="shared" si="36"/>
        <v>28*</v>
      </c>
      <c r="BIO1" s="15" t="str">
        <f t="shared" si="36"/>
        <v>29*</v>
      </c>
      <c r="BIP1" s="15" t="str">
        <f t="shared" si="36"/>
        <v>30*</v>
      </c>
      <c r="BIQ1" s="15" t="str">
        <f t="shared" ref="BIQ1:BKH1" si="37">IF(RIGHT(BIQ$5,1)="Н",RIGHT(BIQ$5,3),MID(BIQ$5,FIND(".",BIQ$5)+1,5))</f>
        <v>н.Н</v>
      </c>
      <c r="BIR1" s="15" t="str">
        <f t="shared" si="37"/>
        <v>01*</v>
      </c>
      <c r="BIS1" s="15" t="str">
        <f t="shared" si="37"/>
        <v>02*</v>
      </c>
      <c r="BIT1" s="15" t="str">
        <f t="shared" si="37"/>
        <v>03*</v>
      </c>
      <c r="BIU1" s="15" t="str">
        <f t="shared" si="37"/>
        <v>04*</v>
      </c>
      <c r="BIV1" s="15" t="str">
        <f t="shared" si="37"/>
        <v>05*</v>
      </c>
      <c r="BIW1" s="15" t="str">
        <f t="shared" si="37"/>
        <v>06*</v>
      </c>
      <c r="BIX1" s="15" t="str">
        <f t="shared" si="37"/>
        <v>07*</v>
      </c>
      <c r="BIY1" s="15" t="str">
        <f t="shared" si="37"/>
        <v>08*</v>
      </c>
      <c r="BIZ1" s="15" t="str">
        <f t="shared" si="37"/>
        <v>09*</v>
      </c>
      <c r="BJA1" s="15" t="str">
        <f t="shared" si="37"/>
        <v>10*</v>
      </c>
      <c r="BJB1" s="15" t="str">
        <f t="shared" si="37"/>
        <v>11*</v>
      </c>
      <c r="BJC1" s="15" t="str">
        <f t="shared" si="37"/>
        <v>12*</v>
      </c>
      <c r="BJD1" s="15" t="str">
        <f t="shared" si="37"/>
        <v>13*</v>
      </c>
      <c r="BJE1" s="15" t="str">
        <f t="shared" si="37"/>
        <v>14*</v>
      </c>
      <c r="BJF1" s="15" t="str">
        <f t="shared" si="37"/>
        <v>15*</v>
      </c>
      <c r="BJG1" s="15" t="str">
        <f t="shared" si="37"/>
        <v>16*</v>
      </c>
      <c r="BJH1" s="15" t="str">
        <f t="shared" si="37"/>
        <v>17*</v>
      </c>
      <c r="BJI1" s="15" t="str">
        <f t="shared" si="37"/>
        <v>18*</v>
      </c>
      <c r="BJJ1" s="15" t="str">
        <f t="shared" si="37"/>
        <v>19*</v>
      </c>
      <c r="BJK1" s="15" t="str">
        <f t="shared" si="37"/>
        <v>20*</v>
      </c>
      <c r="BJL1" s="15" t="str">
        <f t="shared" si="37"/>
        <v>21*</v>
      </c>
      <c r="BJM1" s="15" t="str">
        <f t="shared" si="37"/>
        <v>22*</v>
      </c>
      <c r="BJN1" s="15" t="str">
        <f t="shared" si="37"/>
        <v>23*</v>
      </c>
      <c r="BJO1" s="15" t="str">
        <f t="shared" si="37"/>
        <v>24*</v>
      </c>
      <c r="BJP1" s="15" t="str">
        <f t="shared" si="37"/>
        <v>25*</v>
      </c>
      <c r="BJQ1" s="15" t="str">
        <f t="shared" si="37"/>
        <v>26*</v>
      </c>
      <c r="BJR1" s="15" t="str">
        <f t="shared" si="37"/>
        <v>27*</v>
      </c>
      <c r="BJS1" s="15" t="str">
        <f t="shared" si="37"/>
        <v>28*</v>
      </c>
      <c r="BJT1" s="15" t="str">
        <f t="shared" si="37"/>
        <v>29*</v>
      </c>
      <c r="BJU1" s="15" t="str">
        <f t="shared" si="37"/>
        <v>30*</v>
      </c>
      <c r="BJV1" s="15" t="str">
        <f t="shared" si="37"/>
        <v>п.Н</v>
      </c>
      <c r="BJW1" s="15" t="str">
        <f t="shared" si="37"/>
        <v>01*</v>
      </c>
      <c r="BJX1" s="15" t="str">
        <f t="shared" si="37"/>
        <v>02*</v>
      </c>
      <c r="BJY1" s="15" t="str">
        <f t="shared" si="37"/>
        <v>03*</v>
      </c>
      <c r="BJZ1" s="15" t="str">
        <f t="shared" si="37"/>
        <v>04*</v>
      </c>
      <c r="BKA1" s="15" t="str">
        <f t="shared" si="37"/>
        <v>05*</v>
      </c>
      <c r="BKB1" s="15" t="str">
        <f t="shared" si="37"/>
        <v>06*</v>
      </c>
      <c r="BKC1" s="15" t="str">
        <f t="shared" si="37"/>
        <v>07*</v>
      </c>
      <c r="BKD1" s="15" t="str">
        <f t="shared" si="37"/>
        <v>08*</v>
      </c>
      <c r="BKE1" s="15" t="str">
        <f t="shared" si="37"/>
        <v>09*</v>
      </c>
      <c r="BKF1" s="15" t="str">
        <f t="shared" si="37"/>
        <v>10*</v>
      </c>
      <c r="BKG1" s="15" t="str">
        <f t="shared" si="37"/>
        <v>11*</v>
      </c>
      <c r="BKH1" s="15" t="str">
        <f t="shared" si="37"/>
        <v>12*</v>
      </c>
      <c r="BKI1" s="15" t="str">
        <f t="shared" ref="BKI1:BLO1" si="38">IF(RIGHT(BKI$5,1)="Н",RIGHT(BKI$5,3),MID(BKI$5,FIND(".",BKI$5)+1,5))</f>
        <v>13*</v>
      </c>
      <c r="BKJ1" s="15" t="str">
        <f t="shared" si="38"/>
        <v>14*</v>
      </c>
      <c r="BKK1" s="15" t="str">
        <f t="shared" si="38"/>
        <v>15*</v>
      </c>
      <c r="BKL1" s="15" t="str">
        <f t="shared" si="38"/>
        <v>16*</v>
      </c>
      <c r="BKM1" s="15" t="str">
        <f t="shared" si="38"/>
        <v>17*</v>
      </c>
      <c r="BKN1" s="15" t="str">
        <f t="shared" si="38"/>
        <v>18*</v>
      </c>
      <c r="BKO1" s="15" t="str">
        <f t="shared" si="38"/>
        <v>19*</v>
      </c>
      <c r="BKP1" s="15" t="str">
        <f t="shared" si="38"/>
        <v>20*</v>
      </c>
      <c r="BKQ1" s="15" t="str">
        <f t="shared" si="38"/>
        <v>21*</v>
      </c>
      <c r="BKR1" s="15" t="str">
        <f t="shared" si="38"/>
        <v>22*</v>
      </c>
      <c r="BKS1" s="15" t="str">
        <f t="shared" si="38"/>
        <v>23*</v>
      </c>
      <c r="BKT1" s="15" t="str">
        <f t="shared" si="38"/>
        <v>24*</v>
      </c>
      <c r="BKU1" s="15" t="str">
        <f t="shared" si="38"/>
        <v>25*</v>
      </c>
      <c r="BKV1" s="15" t="str">
        <f t="shared" si="38"/>
        <v>26*</v>
      </c>
      <c r="BKW1" s="15" t="str">
        <f t="shared" si="38"/>
        <v>27*</v>
      </c>
      <c r="BKX1" s="15" t="str">
        <f t="shared" si="38"/>
        <v>28*</v>
      </c>
      <c r="BKY1" s="15" t="str">
        <f t="shared" si="38"/>
        <v>29*</v>
      </c>
      <c r="BKZ1" s="15" t="str">
        <f t="shared" si="38"/>
        <v>30*</v>
      </c>
      <c r="BLA1" s="15" t="str">
        <f t="shared" si="38"/>
        <v>н.Н</v>
      </c>
      <c r="BLB1" s="15" t="str">
        <f t="shared" si="38"/>
        <v>01*</v>
      </c>
      <c r="BLC1" s="15" t="str">
        <f t="shared" si="38"/>
        <v>02*</v>
      </c>
      <c r="BLD1" s="15" t="str">
        <f t="shared" si="38"/>
        <v>03*</v>
      </c>
      <c r="BLE1" s="15" t="str">
        <f t="shared" si="38"/>
        <v>04*</v>
      </c>
      <c r="BLF1" s="15" t="str">
        <f t="shared" si="38"/>
        <v>05*</v>
      </c>
      <c r="BLG1" s="15" t="str">
        <f t="shared" si="38"/>
        <v>06*</v>
      </c>
      <c r="BLH1" s="15" t="str">
        <f t="shared" si="38"/>
        <v>07*</v>
      </c>
      <c r="BLI1" s="15" t="str">
        <f t="shared" si="38"/>
        <v>08*</v>
      </c>
      <c r="BLJ1" s="15" t="str">
        <f t="shared" si="38"/>
        <v>09*</v>
      </c>
      <c r="BLK1" s="15" t="str">
        <f t="shared" si="38"/>
        <v>10*</v>
      </c>
      <c r="BLL1" s="15" t="str">
        <f t="shared" si="38"/>
        <v>11*</v>
      </c>
      <c r="BLM1" s="15" t="str">
        <f t="shared" si="38"/>
        <v>12*</v>
      </c>
      <c r="BLN1" s="15" t="str">
        <f t="shared" si="38"/>
        <v>13*</v>
      </c>
      <c r="BLO1" s="15" t="str">
        <f t="shared" si="38"/>
        <v>14*</v>
      </c>
      <c r="BLP1" s="15" t="str">
        <f t="shared" ref="BLP1:BNJ1" si="39">IF(RIGHT(BLP$5,1)="Н",RIGHT(BLP$5,3),MID(BLP$5,FIND(".",BLP$5)+1,5))</f>
        <v>15*</v>
      </c>
      <c r="BLQ1" s="15" t="str">
        <f t="shared" si="39"/>
        <v>16*</v>
      </c>
      <c r="BLR1" s="15" t="str">
        <f t="shared" si="39"/>
        <v>17*</v>
      </c>
      <c r="BLS1" s="15" t="str">
        <f t="shared" si="39"/>
        <v>18*</v>
      </c>
      <c r="BLT1" s="15" t="str">
        <f t="shared" si="39"/>
        <v>19*</v>
      </c>
      <c r="BLU1" s="15" t="str">
        <f t="shared" si="39"/>
        <v>20*</v>
      </c>
      <c r="BLV1" s="15" t="str">
        <f t="shared" si="39"/>
        <v>21*</v>
      </c>
      <c r="BLW1" s="15" t="str">
        <f t="shared" si="39"/>
        <v>22*</v>
      </c>
      <c r="BLX1" s="15" t="str">
        <f t="shared" si="39"/>
        <v>23*</v>
      </c>
      <c r="BLY1" s="15" t="str">
        <f t="shared" si="39"/>
        <v>24*</v>
      </c>
      <c r="BLZ1" s="15" t="str">
        <f t="shared" si="39"/>
        <v>25*</v>
      </c>
      <c r="BMA1" s="15" t="str">
        <f t="shared" si="39"/>
        <v>26*</v>
      </c>
      <c r="BMB1" s="15" t="str">
        <f t="shared" si="39"/>
        <v>27*</v>
      </c>
      <c r="BMC1" s="15" t="str">
        <f t="shared" si="39"/>
        <v>28*</v>
      </c>
      <c r="BMD1" s="15" t="str">
        <f t="shared" si="39"/>
        <v>29*</v>
      </c>
      <c r="BME1" s="15" t="str">
        <f t="shared" si="39"/>
        <v>30*</v>
      </c>
      <c r="BMF1" s="15" t="str">
        <f t="shared" si="39"/>
        <v>п.Н</v>
      </c>
      <c r="BMG1" s="15" t="str">
        <f t="shared" si="39"/>
        <v>01*</v>
      </c>
      <c r="BMH1" s="15" t="str">
        <f t="shared" si="39"/>
        <v>02*</v>
      </c>
      <c r="BMI1" s="15" t="str">
        <f t="shared" si="39"/>
        <v>03*</v>
      </c>
      <c r="BMJ1" s="15" t="str">
        <f t="shared" si="39"/>
        <v>04*</v>
      </c>
      <c r="BMK1" s="15" t="str">
        <f t="shared" si="39"/>
        <v>05*</v>
      </c>
      <c r="BML1" s="15" t="str">
        <f t="shared" si="39"/>
        <v>06*</v>
      </c>
      <c r="BMM1" s="15" t="str">
        <f t="shared" si="39"/>
        <v>07*</v>
      </c>
      <c r="BMN1" s="15" t="str">
        <f t="shared" si="39"/>
        <v>08*</v>
      </c>
      <c r="BMO1" s="15" t="str">
        <f t="shared" si="39"/>
        <v>09*</v>
      </c>
      <c r="BMP1" s="15" t="str">
        <f t="shared" si="39"/>
        <v>10*</v>
      </c>
      <c r="BMQ1" s="15" t="str">
        <f t="shared" si="39"/>
        <v>11*</v>
      </c>
      <c r="BMR1" s="15" t="str">
        <f t="shared" si="39"/>
        <v>12*</v>
      </c>
      <c r="BMS1" s="15" t="str">
        <f t="shared" si="39"/>
        <v>13*</v>
      </c>
      <c r="BMT1" s="15" t="str">
        <f t="shared" si="39"/>
        <v>14*</v>
      </c>
      <c r="BMU1" s="15" t="str">
        <f t="shared" si="39"/>
        <v>15*</v>
      </c>
      <c r="BMV1" s="15" t="str">
        <f t="shared" si="39"/>
        <v>16*</v>
      </c>
      <c r="BMW1" s="15" t="str">
        <f t="shared" si="39"/>
        <v>17*</v>
      </c>
      <c r="BMX1" s="15" t="str">
        <f t="shared" si="39"/>
        <v>18*</v>
      </c>
      <c r="BMY1" s="15" t="str">
        <f t="shared" si="39"/>
        <v>19*</v>
      </c>
      <c r="BMZ1" s="15" t="str">
        <f t="shared" si="39"/>
        <v>20*</v>
      </c>
      <c r="BNA1" s="15" t="str">
        <f t="shared" si="39"/>
        <v>21*</v>
      </c>
      <c r="BNB1" s="15" t="str">
        <f t="shared" si="39"/>
        <v>22*</v>
      </c>
      <c r="BNC1" s="15" t="str">
        <f t="shared" si="39"/>
        <v>23*</v>
      </c>
      <c r="BND1" s="15" t="str">
        <f t="shared" si="39"/>
        <v>24*</v>
      </c>
      <c r="BNE1" s="15" t="str">
        <f t="shared" si="39"/>
        <v>25*</v>
      </c>
      <c r="BNF1" s="15" t="str">
        <f t="shared" si="39"/>
        <v>26*</v>
      </c>
      <c r="BNG1" s="15" t="str">
        <f t="shared" si="39"/>
        <v>27*</v>
      </c>
      <c r="BNH1" s="15" t="str">
        <f t="shared" si="39"/>
        <v>28*</v>
      </c>
      <c r="BNI1" s="15" t="str">
        <f t="shared" si="39"/>
        <v>29*</v>
      </c>
      <c r="BNJ1" s="15" t="str">
        <f t="shared" si="39"/>
        <v>30*</v>
      </c>
      <c r="BNK1" s="15" t="str">
        <f t="shared" ref="BNK1:BPH1" si="40">IF(RIGHT(BNK$5,1)="Н",RIGHT(BNK$5,3),MID(BNK$5,FIND(".",BNK$5)+1,5))</f>
        <v>н.Н</v>
      </c>
      <c r="BNL1" s="15" t="str">
        <f t="shared" si="40"/>
        <v>01*</v>
      </c>
      <c r="BNM1" s="15" t="str">
        <f t="shared" si="40"/>
        <v>02*</v>
      </c>
      <c r="BNN1" s="15" t="str">
        <f t="shared" si="40"/>
        <v>03*</v>
      </c>
      <c r="BNO1" s="15" t="str">
        <f t="shared" si="40"/>
        <v>04*</v>
      </c>
      <c r="BNP1" s="15" t="str">
        <f t="shared" si="40"/>
        <v>05*</v>
      </c>
      <c r="BNQ1" s="15" t="str">
        <f t="shared" si="40"/>
        <v>06*</v>
      </c>
      <c r="BNR1" s="15" t="str">
        <f t="shared" si="40"/>
        <v>07*</v>
      </c>
      <c r="BNS1" s="15" t="str">
        <f t="shared" si="40"/>
        <v>08*</v>
      </c>
      <c r="BNT1" s="15" t="str">
        <f t="shared" si="40"/>
        <v>09*</v>
      </c>
      <c r="BNU1" s="15" t="str">
        <f t="shared" si="40"/>
        <v>10*</v>
      </c>
      <c r="BNV1" s="15" t="str">
        <f t="shared" si="40"/>
        <v>11*</v>
      </c>
      <c r="BNW1" s="15" t="str">
        <f t="shared" si="40"/>
        <v>12*</v>
      </c>
      <c r="BNX1" s="15" t="str">
        <f t="shared" si="40"/>
        <v>13*</v>
      </c>
      <c r="BNY1" s="15" t="str">
        <f t="shared" si="40"/>
        <v>14*</v>
      </c>
      <c r="BNZ1" s="15" t="str">
        <f t="shared" si="40"/>
        <v>15*</v>
      </c>
      <c r="BOA1" s="15" t="str">
        <f t="shared" si="40"/>
        <v>16*</v>
      </c>
      <c r="BOB1" s="15" t="str">
        <f t="shared" si="40"/>
        <v>17*</v>
      </c>
      <c r="BOC1" s="15" t="str">
        <f t="shared" si="40"/>
        <v>18*</v>
      </c>
      <c r="BOD1" s="15" t="str">
        <f t="shared" si="40"/>
        <v>19*</v>
      </c>
      <c r="BOE1" s="15" t="str">
        <f t="shared" si="40"/>
        <v>20*</v>
      </c>
      <c r="BOF1" s="15" t="str">
        <f t="shared" si="40"/>
        <v>21*</v>
      </c>
      <c r="BOG1" s="15" t="str">
        <f t="shared" si="40"/>
        <v>22*</v>
      </c>
      <c r="BOH1" s="15" t="str">
        <f t="shared" si="40"/>
        <v>23*</v>
      </c>
      <c r="BOI1" s="15" t="str">
        <f t="shared" si="40"/>
        <v>24*</v>
      </c>
      <c r="BOJ1" s="15" t="str">
        <f t="shared" si="40"/>
        <v>25*</v>
      </c>
      <c r="BOK1" s="15" t="str">
        <f t="shared" si="40"/>
        <v>26*</v>
      </c>
      <c r="BOL1" s="15" t="str">
        <f t="shared" si="40"/>
        <v>27*</v>
      </c>
      <c r="BOM1" s="15" t="str">
        <f t="shared" si="40"/>
        <v>28*</v>
      </c>
      <c r="BON1" s="15" t="str">
        <f t="shared" si="40"/>
        <v>29*</v>
      </c>
      <c r="BOO1" s="15" t="str">
        <f t="shared" si="40"/>
        <v>30*</v>
      </c>
      <c r="BOP1" s="15" t="str">
        <f t="shared" si="40"/>
        <v>п.Н</v>
      </c>
      <c r="BOQ1" s="15" t="str">
        <f t="shared" si="40"/>
        <v>01*</v>
      </c>
      <c r="BOR1" s="15" t="str">
        <f t="shared" si="40"/>
        <v>02*</v>
      </c>
      <c r="BOS1" s="15" t="str">
        <f t="shared" si="40"/>
        <v>03*</v>
      </c>
      <c r="BOT1" s="15" t="str">
        <f t="shared" si="40"/>
        <v>04*</v>
      </c>
      <c r="BOU1" s="15" t="str">
        <f t="shared" si="40"/>
        <v>05*</v>
      </c>
      <c r="BOV1" s="15" t="str">
        <f t="shared" si="40"/>
        <v>06*</v>
      </c>
      <c r="BOW1" s="15" t="str">
        <f t="shared" si="40"/>
        <v>07*</v>
      </c>
      <c r="BOX1" s="15" t="str">
        <f t="shared" si="40"/>
        <v>08*</v>
      </c>
      <c r="BOY1" s="15" t="str">
        <f t="shared" si="40"/>
        <v>09*</v>
      </c>
      <c r="BOZ1" s="15" t="str">
        <f t="shared" si="40"/>
        <v>10*</v>
      </c>
      <c r="BPA1" s="15" t="str">
        <f t="shared" si="40"/>
        <v>11*</v>
      </c>
      <c r="BPB1" s="15" t="str">
        <f t="shared" si="40"/>
        <v>12*</v>
      </c>
      <c r="BPC1" s="15" t="str">
        <f t="shared" si="40"/>
        <v>13*</v>
      </c>
      <c r="BPD1" s="15" t="str">
        <f t="shared" si="40"/>
        <v>14*</v>
      </c>
      <c r="BPE1" s="15" t="str">
        <f t="shared" si="40"/>
        <v>15*</v>
      </c>
      <c r="BPF1" s="15" t="str">
        <f t="shared" si="40"/>
        <v>16*</v>
      </c>
      <c r="BPG1" s="15" t="str">
        <f t="shared" si="40"/>
        <v>17*</v>
      </c>
      <c r="BPH1" s="15" t="str">
        <f t="shared" si="40"/>
        <v>18*</v>
      </c>
      <c r="BPI1" s="15" t="str">
        <f t="shared" ref="BPI1:BQO1" si="41">IF(RIGHT(BPI$5,1)="Н",RIGHT(BPI$5,3),MID(BPI$5,FIND(".",BPI$5)+1,5))</f>
        <v>19*</v>
      </c>
      <c r="BPJ1" s="15" t="str">
        <f t="shared" si="41"/>
        <v>20*</v>
      </c>
      <c r="BPK1" s="15" t="str">
        <f t="shared" si="41"/>
        <v>21*</v>
      </c>
      <c r="BPL1" s="15" t="str">
        <f t="shared" si="41"/>
        <v>22*</v>
      </c>
      <c r="BPM1" s="15" t="str">
        <f t="shared" si="41"/>
        <v>23*</v>
      </c>
      <c r="BPN1" s="15" t="str">
        <f t="shared" si="41"/>
        <v>24*</v>
      </c>
      <c r="BPO1" s="15" t="str">
        <f t="shared" si="41"/>
        <v>25*</v>
      </c>
      <c r="BPP1" s="15" t="str">
        <f t="shared" si="41"/>
        <v>26*</v>
      </c>
      <c r="BPQ1" s="15" t="str">
        <f t="shared" si="41"/>
        <v>27*</v>
      </c>
      <c r="BPR1" s="15" t="str">
        <f t="shared" si="41"/>
        <v>28*</v>
      </c>
      <c r="BPS1" s="15" t="str">
        <f t="shared" si="41"/>
        <v>29*</v>
      </c>
      <c r="BPT1" s="15" t="str">
        <f t="shared" si="41"/>
        <v>30*</v>
      </c>
      <c r="BPU1" s="15" t="str">
        <f t="shared" si="41"/>
        <v>н.Н</v>
      </c>
      <c r="BPV1" s="15" t="str">
        <f t="shared" si="41"/>
        <v>01*</v>
      </c>
      <c r="BPW1" s="15" t="str">
        <f t="shared" si="41"/>
        <v>02*</v>
      </c>
      <c r="BPX1" s="15" t="str">
        <f t="shared" si="41"/>
        <v>03*</v>
      </c>
      <c r="BPY1" s="15" t="str">
        <f t="shared" si="41"/>
        <v>04*</v>
      </c>
      <c r="BPZ1" s="15" t="str">
        <f t="shared" si="41"/>
        <v>05*</v>
      </c>
      <c r="BQA1" s="15" t="str">
        <f t="shared" si="41"/>
        <v>06*</v>
      </c>
      <c r="BQB1" s="15" t="str">
        <f t="shared" si="41"/>
        <v>07*</v>
      </c>
      <c r="BQC1" s="15" t="str">
        <f t="shared" si="41"/>
        <v>08*</v>
      </c>
      <c r="BQD1" s="15" t="str">
        <f t="shared" si="41"/>
        <v>09*</v>
      </c>
      <c r="BQE1" s="15" t="str">
        <f t="shared" si="41"/>
        <v>10*</v>
      </c>
      <c r="BQF1" s="15" t="str">
        <f t="shared" si="41"/>
        <v>11*</v>
      </c>
      <c r="BQG1" s="15" t="str">
        <f t="shared" si="41"/>
        <v>12*</v>
      </c>
      <c r="BQH1" s="15" t="str">
        <f t="shared" si="41"/>
        <v>13*</v>
      </c>
      <c r="BQI1" s="15" t="str">
        <f t="shared" si="41"/>
        <v>14*</v>
      </c>
      <c r="BQJ1" s="15" t="str">
        <f t="shared" si="41"/>
        <v>15*</v>
      </c>
      <c r="BQK1" s="15" t="str">
        <f t="shared" si="41"/>
        <v>16*</v>
      </c>
      <c r="BQL1" s="15" t="str">
        <f t="shared" si="41"/>
        <v>17*</v>
      </c>
      <c r="BQM1" s="15" t="str">
        <f t="shared" si="41"/>
        <v>18*</v>
      </c>
      <c r="BQN1" s="15" t="str">
        <f t="shared" si="41"/>
        <v>19*</v>
      </c>
      <c r="BQO1" s="15" t="str">
        <f t="shared" si="41"/>
        <v>20*</v>
      </c>
      <c r="BQP1" s="15" t="str">
        <f t="shared" ref="BQP1:BSD1" si="42">IF(RIGHT(BQP$5,1)="Н",RIGHT(BQP$5,3),MID(BQP$5,FIND(".",BQP$5)+1,5))</f>
        <v>21*</v>
      </c>
      <c r="BQQ1" s="15" t="str">
        <f t="shared" si="42"/>
        <v>22*</v>
      </c>
      <c r="BQR1" s="15" t="str">
        <f t="shared" si="42"/>
        <v>23*</v>
      </c>
      <c r="BQS1" s="15" t="str">
        <f t="shared" si="42"/>
        <v>24*</v>
      </c>
      <c r="BQT1" s="15" t="str">
        <f t="shared" si="42"/>
        <v>25*</v>
      </c>
      <c r="BQU1" s="15" t="str">
        <f t="shared" si="42"/>
        <v>26*</v>
      </c>
      <c r="BQV1" s="15" t="str">
        <f t="shared" si="42"/>
        <v>27*</v>
      </c>
      <c r="BQW1" s="15" t="str">
        <f t="shared" si="42"/>
        <v>28*</v>
      </c>
      <c r="BQX1" s="15" t="str">
        <f t="shared" si="42"/>
        <v>29*</v>
      </c>
      <c r="BQY1" s="15" t="str">
        <f t="shared" si="42"/>
        <v>30*</v>
      </c>
      <c r="BQZ1" s="15" t="str">
        <f t="shared" si="42"/>
        <v>п.Н</v>
      </c>
      <c r="BRA1" s="15" t="str">
        <f t="shared" si="42"/>
        <v>01*</v>
      </c>
      <c r="BRB1" s="15" t="str">
        <f t="shared" si="42"/>
        <v>02*</v>
      </c>
      <c r="BRC1" s="15" t="str">
        <f t="shared" si="42"/>
        <v>03*</v>
      </c>
      <c r="BRD1" s="15" t="str">
        <f t="shared" si="42"/>
        <v>04*</v>
      </c>
      <c r="BRE1" s="15" t="str">
        <f t="shared" si="42"/>
        <v>05*</v>
      </c>
      <c r="BRF1" s="15" t="str">
        <f t="shared" si="42"/>
        <v>06*</v>
      </c>
      <c r="BRG1" s="15" t="str">
        <f t="shared" si="42"/>
        <v>07*</v>
      </c>
      <c r="BRH1" s="15" t="str">
        <f t="shared" si="42"/>
        <v>08*</v>
      </c>
      <c r="BRI1" s="15" t="str">
        <f t="shared" si="42"/>
        <v>09*</v>
      </c>
      <c r="BRJ1" s="15" t="str">
        <f t="shared" si="42"/>
        <v>10*</v>
      </c>
      <c r="BRK1" s="15" t="str">
        <f t="shared" si="42"/>
        <v>11*</v>
      </c>
      <c r="BRL1" s="15" t="str">
        <f t="shared" si="42"/>
        <v>12*</v>
      </c>
      <c r="BRM1" s="15" t="str">
        <f t="shared" si="42"/>
        <v>13*</v>
      </c>
      <c r="BRN1" s="15" t="str">
        <f t="shared" si="42"/>
        <v>14*</v>
      </c>
      <c r="BRO1" s="15" t="str">
        <f t="shared" si="42"/>
        <v>15*</v>
      </c>
      <c r="BRP1" s="15" t="str">
        <f t="shared" si="42"/>
        <v>16*</v>
      </c>
      <c r="BRQ1" s="15" t="str">
        <f t="shared" si="42"/>
        <v>17*</v>
      </c>
      <c r="BRR1" s="15" t="str">
        <f t="shared" si="42"/>
        <v>18*</v>
      </c>
      <c r="BRS1" s="15" t="str">
        <f t="shared" si="42"/>
        <v>19*</v>
      </c>
      <c r="BRT1" s="15" t="str">
        <f t="shared" si="42"/>
        <v>20*</v>
      </c>
      <c r="BRU1" s="15" t="str">
        <f t="shared" si="42"/>
        <v>21*</v>
      </c>
      <c r="BRV1" s="15" t="str">
        <f t="shared" si="42"/>
        <v>22*</v>
      </c>
      <c r="BRW1" s="15" t="str">
        <f t="shared" si="42"/>
        <v>23*</v>
      </c>
      <c r="BRX1" s="15" t="str">
        <f t="shared" si="42"/>
        <v>24*</v>
      </c>
      <c r="BRY1" s="15" t="str">
        <f t="shared" si="42"/>
        <v>25*</v>
      </c>
      <c r="BRZ1" s="15" t="str">
        <f t="shared" si="42"/>
        <v>26*</v>
      </c>
      <c r="BSA1" s="15" t="str">
        <f t="shared" si="42"/>
        <v>27*</v>
      </c>
      <c r="BSB1" s="15" t="str">
        <f t="shared" si="42"/>
        <v>28*</v>
      </c>
      <c r="BSC1" s="15" t="str">
        <f t="shared" si="42"/>
        <v>29*</v>
      </c>
      <c r="BSD1" s="15" t="str">
        <f t="shared" si="42"/>
        <v>30*</v>
      </c>
      <c r="BSE1" s="15" t="str">
        <f t="shared" ref="BSE1:BUH1" si="43">IF(RIGHT(BSE$5,1)="Н",RIGHT(BSE$5,3),MID(BSE$5,FIND(".",BSE$5)+1,5))</f>
        <v>н.Н</v>
      </c>
      <c r="BSF1" s="15" t="str">
        <f t="shared" si="43"/>
        <v>01*</v>
      </c>
      <c r="BSG1" s="15" t="str">
        <f t="shared" si="43"/>
        <v>02*</v>
      </c>
      <c r="BSH1" s="15" t="str">
        <f t="shared" si="43"/>
        <v>03*</v>
      </c>
      <c r="BSI1" s="15" t="str">
        <f t="shared" si="43"/>
        <v>04*</v>
      </c>
      <c r="BSJ1" s="15" t="str">
        <f t="shared" si="43"/>
        <v>05*</v>
      </c>
      <c r="BSK1" s="15" t="str">
        <f t="shared" si="43"/>
        <v>06*</v>
      </c>
      <c r="BSL1" s="15" t="str">
        <f t="shared" si="43"/>
        <v>07*</v>
      </c>
      <c r="BSM1" s="15" t="str">
        <f t="shared" si="43"/>
        <v>08*</v>
      </c>
      <c r="BSN1" s="15" t="str">
        <f t="shared" si="43"/>
        <v>09*</v>
      </c>
      <c r="BSO1" s="15" t="str">
        <f t="shared" si="43"/>
        <v>10*</v>
      </c>
      <c r="BSP1" s="15" t="str">
        <f t="shared" si="43"/>
        <v>11*</v>
      </c>
      <c r="BSQ1" s="15" t="str">
        <f t="shared" si="43"/>
        <v>12*</v>
      </c>
      <c r="BSR1" s="15" t="str">
        <f t="shared" si="43"/>
        <v>13*</v>
      </c>
      <c r="BSS1" s="15" t="str">
        <f t="shared" si="43"/>
        <v>14*</v>
      </c>
      <c r="BST1" s="15" t="str">
        <f t="shared" si="43"/>
        <v>15*</v>
      </c>
      <c r="BSU1" s="15" t="str">
        <f t="shared" si="43"/>
        <v>16*</v>
      </c>
      <c r="BSV1" s="15" t="str">
        <f t="shared" si="43"/>
        <v>17*</v>
      </c>
      <c r="BSW1" s="15" t="str">
        <f t="shared" si="43"/>
        <v>18*</v>
      </c>
      <c r="BSX1" s="15" t="str">
        <f t="shared" si="43"/>
        <v>19*</v>
      </c>
      <c r="BSY1" s="15" t="str">
        <f t="shared" si="43"/>
        <v>20*</v>
      </c>
      <c r="BSZ1" s="15" t="str">
        <f t="shared" si="43"/>
        <v>21*</v>
      </c>
      <c r="BTA1" s="15" t="str">
        <f t="shared" si="43"/>
        <v>22*</v>
      </c>
      <c r="BTB1" s="15" t="str">
        <f t="shared" si="43"/>
        <v>23*</v>
      </c>
      <c r="BTC1" s="15" t="str">
        <f t="shared" si="43"/>
        <v>24*</v>
      </c>
      <c r="BTD1" s="15" t="str">
        <f t="shared" si="43"/>
        <v>25*</v>
      </c>
      <c r="BTE1" s="15" t="str">
        <f t="shared" si="43"/>
        <v>26*</v>
      </c>
      <c r="BTF1" s="15" t="str">
        <f t="shared" si="43"/>
        <v>27*</v>
      </c>
      <c r="BTG1" s="15" t="str">
        <f t="shared" si="43"/>
        <v>28*</v>
      </c>
      <c r="BTH1" s="15" t="str">
        <f t="shared" si="43"/>
        <v>29*</v>
      </c>
      <c r="BTI1" s="15" t="str">
        <f t="shared" si="43"/>
        <v>30*</v>
      </c>
      <c r="BTJ1" s="15" t="str">
        <f t="shared" si="43"/>
        <v>п.Н</v>
      </c>
      <c r="BTK1" s="15" t="str">
        <f t="shared" si="43"/>
        <v>01*</v>
      </c>
      <c r="BTL1" s="15" t="str">
        <f t="shared" si="43"/>
        <v>02*</v>
      </c>
      <c r="BTM1" s="15" t="str">
        <f t="shared" si="43"/>
        <v>03*</v>
      </c>
      <c r="BTN1" s="15" t="str">
        <f t="shared" si="43"/>
        <v>04*</v>
      </c>
      <c r="BTO1" s="15" t="str">
        <f t="shared" si="43"/>
        <v>05*</v>
      </c>
      <c r="BTP1" s="15" t="str">
        <f t="shared" si="43"/>
        <v>06*</v>
      </c>
      <c r="BTQ1" s="15" t="str">
        <f t="shared" si="43"/>
        <v>07*</v>
      </c>
      <c r="BTR1" s="15" t="str">
        <f t="shared" si="43"/>
        <v>08*</v>
      </c>
      <c r="BTS1" s="15" t="str">
        <f t="shared" si="43"/>
        <v>09*</v>
      </c>
      <c r="BTT1" s="15" t="str">
        <f t="shared" si="43"/>
        <v>10*</v>
      </c>
      <c r="BTU1" s="15" t="str">
        <f t="shared" si="43"/>
        <v>11*</v>
      </c>
      <c r="BTV1" s="15" t="str">
        <f t="shared" si="43"/>
        <v>12*</v>
      </c>
      <c r="BTW1" s="15" t="str">
        <f t="shared" si="43"/>
        <v>13*</v>
      </c>
      <c r="BTX1" s="15" t="str">
        <f t="shared" si="43"/>
        <v>14*</v>
      </c>
      <c r="BTY1" s="15" t="str">
        <f t="shared" si="43"/>
        <v>15*</v>
      </c>
      <c r="BTZ1" s="15" t="str">
        <f t="shared" si="43"/>
        <v>16*</v>
      </c>
      <c r="BUA1" s="15" t="str">
        <f t="shared" si="43"/>
        <v>17*</v>
      </c>
      <c r="BUB1" s="15" t="str">
        <f t="shared" si="43"/>
        <v>18*</v>
      </c>
      <c r="BUC1" s="15" t="str">
        <f t="shared" si="43"/>
        <v>19*</v>
      </c>
      <c r="BUD1" s="15" t="str">
        <f t="shared" si="43"/>
        <v>20*</v>
      </c>
      <c r="BUE1" s="15" t="str">
        <f t="shared" si="43"/>
        <v>21*</v>
      </c>
      <c r="BUF1" s="15" t="str">
        <f t="shared" si="43"/>
        <v>22*</v>
      </c>
      <c r="BUG1" s="15" t="str">
        <f t="shared" si="43"/>
        <v>23*</v>
      </c>
      <c r="BUH1" s="15" t="str">
        <f t="shared" si="43"/>
        <v>24*</v>
      </c>
      <c r="BUI1" s="15" t="str">
        <f t="shared" ref="BUI1:BVO1" si="44">IF(RIGHT(BUI$5,1)="Н",RIGHT(BUI$5,3),MID(BUI$5,FIND(".",BUI$5)+1,5))</f>
        <v>25*</v>
      </c>
      <c r="BUJ1" s="15" t="str">
        <f t="shared" si="44"/>
        <v>26*</v>
      </c>
      <c r="BUK1" s="15" t="str">
        <f t="shared" si="44"/>
        <v>27*</v>
      </c>
      <c r="BUL1" s="15" t="str">
        <f t="shared" si="44"/>
        <v>28*</v>
      </c>
      <c r="BUM1" s="15" t="str">
        <f t="shared" si="44"/>
        <v>29*</v>
      </c>
      <c r="BUN1" s="15" t="str">
        <f t="shared" si="44"/>
        <v>30*</v>
      </c>
      <c r="BUO1" s="15" t="str">
        <f t="shared" si="44"/>
        <v>н.Н</v>
      </c>
      <c r="BUP1" s="15" t="str">
        <f t="shared" si="44"/>
        <v>01*</v>
      </c>
      <c r="BUQ1" s="15" t="str">
        <f t="shared" si="44"/>
        <v>02*</v>
      </c>
      <c r="BUR1" s="15" t="str">
        <f t="shared" si="44"/>
        <v>03*</v>
      </c>
      <c r="BUS1" s="15" t="str">
        <f t="shared" si="44"/>
        <v>04*</v>
      </c>
      <c r="BUT1" s="15" t="str">
        <f t="shared" si="44"/>
        <v>05*</v>
      </c>
      <c r="BUU1" s="15" t="str">
        <f t="shared" si="44"/>
        <v>06*</v>
      </c>
      <c r="BUV1" s="15" t="str">
        <f t="shared" si="44"/>
        <v>07*</v>
      </c>
      <c r="BUW1" s="15" t="str">
        <f t="shared" si="44"/>
        <v>08*</v>
      </c>
      <c r="BUX1" s="15" t="str">
        <f t="shared" si="44"/>
        <v>09*</v>
      </c>
      <c r="BUY1" s="15" t="str">
        <f t="shared" si="44"/>
        <v>10*</v>
      </c>
      <c r="BUZ1" s="15" t="str">
        <f t="shared" si="44"/>
        <v>11*</v>
      </c>
      <c r="BVA1" s="15" t="str">
        <f t="shared" si="44"/>
        <v>12*</v>
      </c>
      <c r="BVB1" s="15" t="str">
        <f t="shared" si="44"/>
        <v>13*</v>
      </c>
      <c r="BVC1" s="15" t="str">
        <f t="shared" si="44"/>
        <v>14*</v>
      </c>
      <c r="BVD1" s="15" t="str">
        <f t="shared" si="44"/>
        <v>15*</v>
      </c>
      <c r="BVE1" s="15" t="str">
        <f t="shared" si="44"/>
        <v>16*</v>
      </c>
      <c r="BVF1" s="15" t="str">
        <f t="shared" si="44"/>
        <v>17*</v>
      </c>
      <c r="BVG1" s="15" t="str">
        <f t="shared" si="44"/>
        <v>18*</v>
      </c>
      <c r="BVH1" s="15" t="str">
        <f t="shared" si="44"/>
        <v>19*</v>
      </c>
      <c r="BVI1" s="15" t="str">
        <f t="shared" si="44"/>
        <v>20*</v>
      </c>
      <c r="BVJ1" s="15" t="str">
        <f t="shared" si="44"/>
        <v>21*</v>
      </c>
      <c r="BVK1" s="15" t="str">
        <f t="shared" si="44"/>
        <v>22*</v>
      </c>
      <c r="BVL1" s="15" t="str">
        <f t="shared" si="44"/>
        <v>23*</v>
      </c>
      <c r="BVM1" s="15" t="str">
        <f t="shared" si="44"/>
        <v>24*</v>
      </c>
      <c r="BVN1" s="15" t="str">
        <f t="shared" si="44"/>
        <v>25*</v>
      </c>
      <c r="BVO1" s="15" t="str">
        <f t="shared" si="44"/>
        <v>26*</v>
      </c>
      <c r="BVP1" s="15" t="str">
        <f t="shared" ref="BVP1:BWX1" si="45">IF(RIGHT(BVP$5,1)="Н",RIGHT(BVP$5,3),MID(BVP$5,FIND(".",BVP$5)+1,5))</f>
        <v>27*</v>
      </c>
      <c r="BVQ1" s="15" t="str">
        <f t="shared" si="45"/>
        <v>28*</v>
      </c>
      <c r="BVR1" s="15" t="str">
        <f t="shared" si="45"/>
        <v>29*</v>
      </c>
      <c r="BVS1" s="15" t="str">
        <f t="shared" si="45"/>
        <v>30*</v>
      </c>
      <c r="BVT1" s="15" t="str">
        <f t="shared" si="45"/>
        <v>п.Н</v>
      </c>
      <c r="BVU1" s="15" t="str">
        <f t="shared" si="45"/>
        <v>01*</v>
      </c>
      <c r="BVV1" s="15" t="str">
        <f t="shared" si="45"/>
        <v>02*</v>
      </c>
      <c r="BVW1" s="15" t="str">
        <f t="shared" si="45"/>
        <v>03*</v>
      </c>
      <c r="BVX1" s="15" t="str">
        <f t="shared" si="45"/>
        <v>04*</v>
      </c>
      <c r="BVY1" s="15" t="str">
        <f t="shared" si="45"/>
        <v>05*</v>
      </c>
      <c r="BVZ1" s="15" t="str">
        <f t="shared" si="45"/>
        <v>06*</v>
      </c>
      <c r="BWA1" s="15" t="str">
        <f t="shared" si="45"/>
        <v>07*</v>
      </c>
      <c r="BWB1" s="15" t="str">
        <f t="shared" si="45"/>
        <v>08*</v>
      </c>
      <c r="BWC1" s="15" t="str">
        <f t="shared" si="45"/>
        <v>09*</v>
      </c>
      <c r="BWD1" s="15" t="str">
        <f t="shared" si="45"/>
        <v>10*</v>
      </c>
      <c r="BWE1" s="15" t="str">
        <f t="shared" si="45"/>
        <v>11*</v>
      </c>
      <c r="BWF1" s="15" t="str">
        <f t="shared" si="45"/>
        <v>12*</v>
      </c>
      <c r="BWG1" s="15" t="str">
        <f t="shared" si="45"/>
        <v>13*</v>
      </c>
      <c r="BWH1" s="15" t="str">
        <f t="shared" si="45"/>
        <v>14*</v>
      </c>
      <c r="BWI1" s="15" t="str">
        <f t="shared" si="45"/>
        <v>15*</v>
      </c>
      <c r="BWJ1" s="15" t="str">
        <f t="shared" si="45"/>
        <v>16*</v>
      </c>
      <c r="BWK1" s="15" t="str">
        <f t="shared" si="45"/>
        <v>17*</v>
      </c>
      <c r="BWL1" s="15" t="str">
        <f t="shared" si="45"/>
        <v>18*</v>
      </c>
      <c r="BWM1" s="15" t="str">
        <f t="shared" si="45"/>
        <v>19*</v>
      </c>
      <c r="BWN1" s="15" t="str">
        <f t="shared" si="45"/>
        <v>20*</v>
      </c>
      <c r="BWO1" s="15" t="str">
        <f t="shared" si="45"/>
        <v>21*</v>
      </c>
      <c r="BWP1" s="15" t="str">
        <f t="shared" si="45"/>
        <v>22*</v>
      </c>
      <c r="BWQ1" s="15" t="str">
        <f t="shared" si="45"/>
        <v>23*</v>
      </c>
      <c r="BWR1" s="15" t="str">
        <f t="shared" si="45"/>
        <v>24*</v>
      </c>
      <c r="BWS1" s="15" t="str">
        <f t="shared" si="45"/>
        <v>25*</v>
      </c>
      <c r="BWT1" s="15" t="str">
        <f t="shared" si="45"/>
        <v>26*</v>
      </c>
      <c r="BWU1" s="15" t="str">
        <f t="shared" si="45"/>
        <v>27*</v>
      </c>
      <c r="BWV1" s="15" t="str">
        <f t="shared" si="45"/>
        <v>28*</v>
      </c>
      <c r="BWW1" s="15" t="str">
        <f t="shared" si="45"/>
        <v>29*</v>
      </c>
      <c r="BWX1" s="15" t="str">
        <f t="shared" si="45"/>
        <v>30*</v>
      </c>
      <c r="BWY1" s="15" t="str">
        <f t="shared" ref="BWY1:BZH1" si="46">IF(RIGHT(BWY$5,1)="Н",RIGHT(BWY$5,3),MID(BWY$5,FIND(".",BWY$5)+1,5))</f>
        <v>н.Н</v>
      </c>
      <c r="BWZ1" s="15" t="str">
        <f t="shared" si="46"/>
        <v>01*</v>
      </c>
      <c r="BXA1" s="15" t="str">
        <f t="shared" si="46"/>
        <v>02*</v>
      </c>
      <c r="BXB1" s="15" t="str">
        <f t="shared" si="46"/>
        <v>03*</v>
      </c>
      <c r="BXC1" s="15" t="str">
        <f t="shared" si="46"/>
        <v>04*</v>
      </c>
      <c r="BXD1" s="15" t="str">
        <f t="shared" si="46"/>
        <v>05*</v>
      </c>
      <c r="BXE1" s="15" t="str">
        <f t="shared" si="46"/>
        <v>06*</v>
      </c>
      <c r="BXF1" s="15" t="str">
        <f t="shared" si="46"/>
        <v>07*</v>
      </c>
      <c r="BXG1" s="15" t="str">
        <f t="shared" si="46"/>
        <v>08*</v>
      </c>
      <c r="BXH1" s="15" t="str">
        <f t="shared" si="46"/>
        <v>09*</v>
      </c>
      <c r="BXI1" s="15" t="str">
        <f t="shared" si="46"/>
        <v>10*</v>
      </c>
      <c r="BXJ1" s="15" t="str">
        <f t="shared" si="46"/>
        <v>11*</v>
      </c>
      <c r="BXK1" s="15" t="str">
        <f t="shared" si="46"/>
        <v>12*</v>
      </c>
      <c r="BXL1" s="15" t="str">
        <f t="shared" si="46"/>
        <v>13*</v>
      </c>
      <c r="BXM1" s="15" t="str">
        <f t="shared" si="46"/>
        <v>14*</v>
      </c>
      <c r="BXN1" s="15" t="str">
        <f t="shared" si="46"/>
        <v>15*</v>
      </c>
      <c r="BXO1" s="15" t="str">
        <f t="shared" si="46"/>
        <v>16*</v>
      </c>
      <c r="BXP1" s="15" t="str">
        <f t="shared" si="46"/>
        <v>17*</v>
      </c>
      <c r="BXQ1" s="15" t="str">
        <f t="shared" si="46"/>
        <v>18*</v>
      </c>
      <c r="BXR1" s="15" t="str">
        <f t="shared" si="46"/>
        <v>19*</v>
      </c>
      <c r="BXS1" s="15" t="str">
        <f t="shared" si="46"/>
        <v>20*</v>
      </c>
      <c r="BXT1" s="15" t="str">
        <f t="shared" si="46"/>
        <v>21*</v>
      </c>
      <c r="BXU1" s="15" t="str">
        <f t="shared" si="46"/>
        <v>22*</v>
      </c>
      <c r="BXV1" s="15" t="str">
        <f t="shared" si="46"/>
        <v>23*</v>
      </c>
      <c r="BXW1" s="15" t="str">
        <f t="shared" si="46"/>
        <v>24*</v>
      </c>
      <c r="BXX1" s="15" t="str">
        <f t="shared" si="46"/>
        <v>25*</v>
      </c>
      <c r="BXY1" s="15" t="str">
        <f t="shared" si="46"/>
        <v>26*</v>
      </c>
      <c r="BXZ1" s="15" t="str">
        <f t="shared" si="46"/>
        <v>27*</v>
      </c>
      <c r="BYA1" s="15" t="str">
        <f t="shared" si="46"/>
        <v>28*</v>
      </c>
      <c r="BYB1" s="15" t="str">
        <f t="shared" si="46"/>
        <v>29*</v>
      </c>
      <c r="BYC1" s="15" t="str">
        <f t="shared" si="46"/>
        <v>30*</v>
      </c>
      <c r="BYD1" s="15" t="str">
        <f t="shared" si="46"/>
        <v>п.Н</v>
      </c>
      <c r="BYE1" s="15" t="str">
        <f t="shared" si="46"/>
        <v>01*</v>
      </c>
      <c r="BYF1" s="15" t="str">
        <f t="shared" si="46"/>
        <v>02*</v>
      </c>
      <c r="BYG1" s="15" t="str">
        <f t="shared" si="46"/>
        <v>03*</v>
      </c>
      <c r="BYH1" s="15" t="str">
        <f t="shared" si="46"/>
        <v>04*</v>
      </c>
      <c r="BYI1" s="15" t="str">
        <f t="shared" si="46"/>
        <v>05*</v>
      </c>
      <c r="BYJ1" s="15" t="str">
        <f t="shared" si="46"/>
        <v>06*</v>
      </c>
      <c r="BYK1" s="15" t="str">
        <f t="shared" si="46"/>
        <v>07*</v>
      </c>
      <c r="BYL1" s="15" t="str">
        <f t="shared" si="46"/>
        <v>08*</v>
      </c>
      <c r="BYM1" s="15" t="str">
        <f t="shared" si="46"/>
        <v>09*</v>
      </c>
      <c r="BYN1" s="15" t="str">
        <f t="shared" si="46"/>
        <v>10*</v>
      </c>
      <c r="BYO1" s="15" t="str">
        <f t="shared" si="46"/>
        <v>11*</v>
      </c>
      <c r="BYP1" s="15" t="str">
        <f t="shared" si="46"/>
        <v>12*</v>
      </c>
      <c r="BYQ1" s="15" t="str">
        <f t="shared" si="46"/>
        <v>13*</v>
      </c>
      <c r="BYR1" s="15" t="str">
        <f t="shared" si="46"/>
        <v>14*</v>
      </c>
      <c r="BYS1" s="15" t="str">
        <f t="shared" si="46"/>
        <v>15*</v>
      </c>
      <c r="BYT1" s="15" t="str">
        <f t="shared" si="46"/>
        <v>16*</v>
      </c>
      <c r="BYU1" s="15" t="str">
        <f t="shared" si="46"/>
        <v>17*</v>
      </c>
      <c r="BYV1" s="15" t="str">
        <f t="shared" si="46"/>
        <v>18*</v>
      </c>
      <c r="BYW1" s="15" t="str">
        <f t="shared" si="46"/>
        <v>19*</v>
      </c>
      <c r="BYX1" s="15" t="str">
        <f t="shared" si="46"/>
        <v>20*</v>
      </c>
      <c r="BYY1" s="15" t="str">
        <f t="shared" si="46"/>
        <v>21*</v>
      </c>
      <c r="BYZ1" s="15" t="str">
        <f t="shared" si="46"/>
        <v>22*</v>
      </c>
      <c r="BZA1" s="15" t="str">
        <f t="shared" si="46"/>
        <v>23*</v>
      </c>
      <c r="BZB1" s="15" t="str">
        <f t="shared" si="46"/>
        <v>24*</v>
      </c>
      <c r="BZC1" s="15" t="str">
        <f t="shared" si="46"/>
        <v>25*</v>
      </c>
      <c r="BZD1" s="15" t="str">
        <f t="shared" si="46"/>
        <v>26*</v>
      </c>
      <c r="BZE1" s="15" t="str">
        <f t="shared" si="46"/>
        <v>27*</v>
      </c>
      <c r="BZF1" s="15" t="str">
        <f t="shared" si="46"/>
        <v>28*</v>
      </c>
      <c r="BZG1" s="15" t="str">
        <f t="shared" si="46"/>
        <v>29*</v>
      </c>
      <c r="BZH1" s="15" t="str">
        <f t="shared" si="46"/>
        <v>30*</v>
      </c>
      <c r="BZI1" s="15" t="str">
        <f t="shared" ref="BZI1:CAO1" si="47">IF(RIGHT(BZI$5,1)="Н",RIGHT(BZI$5,3),MID(BZI$5,FIND(".",BZI$5)+1,5))</f>
        <v>н.Н</v>
      </c>
      <c r="BZJ1" s="15" t="str">
        <f t="shared" si="47"/>
        <v>01*</v>
      </c>
      <c r="BZK1" s="15" t="str">
        <f t="shared" si="47"/>
        <v>02*</v>
      </c>
      <c r="BZL1" s="15" t="str">
        <f t="shared" si="47"/>
        <v>03*</v>
      </c>
      <c r="BZM1" s="15" t="str">
        <f t="shared" si="47"/>
        <v>04*</v>
      </c>
      <c r="BZN1" s="15" t="str">
        <f t="shared" si="47"/>
        <v>05*</v>
      </c>
      <c r="BZO1" s="15" t="str">
        <f t="shared" si="47"/>
        <v>06*</v>
      </c>
      <c r="BZP1" s="15" t="str">
        <f t="shared" si="47"/>
        <v>07*</v>
      </c>
      <c r="BZQ1" s="15" t="str">
        <f t="shared" si="47"/>
        <v>08*</v>
      </c>
      <c r="BZR1" s="15" t="str">
        <f t="shared" si="47"/>
        <v>09*</v>
      </c>
      <c r="BZS1" s="15" t="str">
        <f t="shared" si="47"/>
        <v>10*</v>
      </c>
      <c r="BZT1" s="15" t="str">
        <f t="shared" si="47"/>
        <v>11*</v>
      </c>
      <c r="BZU1" s="15" t="str">
        <f t="shared" si="47"/>
        <v>12*</v>
      </c>
      <c r="BZV1" s="15" t="str">
        <f t="shared" si="47"/>
        <v>13*</v>
      </c>
      <c r="BZW1" s="15" t="str">
        <f t="shared" si="47"/>
        <v>14*</v>
      </c>
      <c r="BZX1" s="15" t="str">
        <f t="shared" si="47"/>
        <v>15*</v>
      </c>
      <c r="BZY1" s="15" t="str">
        <f t="shared" si="47"/>
        <v>16*</v>
      </c>
      <c r="BZZ1" s="15" t="str">
        <f t="shared" si="47"/>
        <v>17*</v>
      </c>
      <c r="CAA1" s="15" t="str">
        <f t="shared" si="47"/>
        <v>18*</v>
      </c>
      <c r="CAB1" s="15" t="str">
        <f t="shared" si="47"/>
        <v>19*</v>
      </c>
      <c r="CAC1" s="15" t="str">
        <f t="shared" si="47"/>
        <v>20*</v>
      </c>
      <c r="CAD1" s="15" t="str">
        <f t="shared" si="47"/>
        <v>21*</v>
      </c>
      <c r="CAE1" s="15" t="str">
        <f t="shared" si="47"/>
        <v>22*</v>
      </c>
      <c r="CAF1" s="15" t="str">
        <f t="shared" si="47"/>
        <v>23*</v>
      </c>
      <c r="CAG1" s="15" t="str">
        <f t="shared" si="47"/>
        <v>24*</v>
      </c>
      <c r="CAH1" s="15" t="str">
        <f t="shared" si="47"/>
        <v>25*</v>
      </c>
      <c r="CAI1" s="15" t="str">
        <f t="shared" si="47"/>
        <v>26*</v>
      </c>
      <c r="CAJ1" s="15" t="str">
        <f t="shared" si="47"/>
        <v>27*</v>
      </c>
      <c r="CAK1" s="15" t="str">
        <f t="shared" si="47"/>
        <v>28*</v>
      </c>
      <c r="CAL1" s="15" t="str">
        <f t="shared" si="47"/>
        <v>29*</v>
      </c>
      <c r="CAM1" s="15" t="str">
        <f t="shared" si="47"/>
        <v>30*</v>
      </c>
      <c r="CAN1" s="15" t="str">
        <f t="shared" si="47"/>
        <v>п.Н</v>
      </c>
      <c r="CAO1" s="15" t="str">
        <f t="shared" si="47"/>
        <v>01*</v>
      </c>
      <c r="CAP1" s="15" t="str">
        <f t="shared" ref="CAP1:CBV1" si="48">IF(RIGHT(CAP$5,1)="Н",RIGHT(CAP$5,3),MID(CAP$5,FIND(".",CAP$5)+1,5))</f>
        <v>02*</v>
      </c>
      <c r="CAQ1" s="15" t="str">
        <f t="shared" si="48"/>
        <v>03*</v>
      </c>
      <c r="CAR1" s="15" t="str">
        <f t="shared" si="48"/>
        <v>04*</v>
      </c>
      <c r="CAS1" s="15" t="str">
        <f t="shared" si="48"/>
        <v>05*</v>
      </c>
      <c r="CAT1" s="15" t="str">
        <f t="shared" si="48"/>
        <v>06*</v>
      </c>
      <c r="CAU1" s="15" t="str">
        <f t="shared" si="48"/>
        <v>07*</v>
      </c>
      <c r="CAV1" s="15" t="str">
        <f t="shared" si="48"/>
        <v>08*</v>
      </c>
      <c r="CAW1" s="15" t="str">
        <f t="shared" si="48"/>
        <v>09*</v>
      </c>
      <c r="CAX1" s="15" t="str">
        <f t="shared" si="48"/>
        <v>10*</v>
      </c>
      <c r="CAY1" s="15" t="str">
        <f t="shared" si="48"/>
        <v>11*</v>
      </c>
      <c r="CAZ1" s="15" t="str">
        <f t="shared" si="48"/>
        <v>12*</v>
      </c>
      <c r="CBA1" s="15" t="str">
        <f t="shared" si="48"/>
        <v>13*</v>
      </c>
      <c r="CBB1" s="15" t="str">
        <f t="shared" si="48"/>
        <v>14*</v>
      </c>
      <c r="CBC1" s="15" t="str">
        <f t="shared" si="48"/>
        <v>15*</v>
      </c>
      <c r="CBD1" s="15" t="str">
        <f t="shared" si="48"/>
        <v>16*</v>
      </c>
      <c r="CBE1" s="15" t="str">
        <f t="shared" si="48"/>
        <v>17*</v>
      </c>
      <c r="CBF1" s="15" t="str">
        <f t="shared" si="48"/>
        <v>18*</v>
      </c>
      <c r="CBG1" s="15" t="str">
        <f t="shared" si="48"/>
        <v>19*</v>
      </c>
      <c r="CBH1" s="15" t="str">
        <f t="shared" si="48"/>
        <v>20*</v>
      </c>
      <c r="CBI1" s="15" t="str">
        <f t="shared" si="48"/>
        <v>21*</v>
      </c>
      <c r="CBJ1" s="15" t="str">
        <f t="shared" si="48"/>
        <v>22*</v>
      </c>
      <c r="CBK1" s="15" t="str">
        <f t="shared" si="48"/>
        <v>23*</v>
      </c>
      <c r="CBL1" s="15" t="str">
        <f t="shared" si="48"/>
        <v>24*</v>
      </c>
      <c r="CBM1" s="15" t="str">
        <f t="shared" si="48"/>
        <v>25*</v>
      </c>
      <c r="CBN1" s="15" t="str">
        <f t="shared" si="48"/>
        <v>26*</v>
      </c>
      <c r="CBO1" s="15" t="str">
        <f t="shared" si="48"/>
        <v>27*</v>
      </c>
      <c r="CBP1" s="15" t="str">
        <f t="shared" si="48"/>
        <v>28*</v>
      </c>
      <c r="CBQ1" s="15" t="str">
        <f t="shared" si="48"/>
        <v>29*</v>
      </c>
      <c r="CBR1" s="15" t="str">
        <f t="shared" si="48"/>
        <v>30*</v>
      </c>
      <c r="CBS1" s="15" t="str">
        <f t="shared" si="48"/>
        <v>н.Н</v>
      </c>
      <c r="CBT1" s="15" t="str">
        <f t="shared" si="48"/>
        <v>01*</v>
      </c>
      <c r="CBU1" s="15" t="str">
        <f t="shared" si="48"/>
        <v>02*</v>
      </c>
      <c r="CBV1" s="15" t="str">
        <f t="shared" si="48"/>
        <v>03*</v>
      </c>
      <c r="CBW1" s="15" t="str">
        <f t="shared" ref="CBW1:CEB1" si="49">IF(RIGHT(CBW$5,1)="Н",RIGHT(CBW$5,3),MID(CBW$5,FIND(".",CBW$5)+1,5))</f>
        <v>04*</v>
      </c>
      <c r="CBX1" s="15" t="str">
        <f t="shared" si="49"/>
        <v>05*</v>
      </c>
      <c r="CBY1" s="15" t="str">
        <f t="shared" si="49"/>
        <v>06*</v>
      </c>
      <c r="CBZ1" s="15" t="str">
        <f t="shared" si="49"/>
        <v>07*</v>
      </c>
      <c r="CCA1" s="15" t="str">
        <f t="shared" si="49"/>
        <v>08*</v>
      </c>
      <c r="CCB1" s="15" t="str">
        <f t="shared" si="49"/>
        <v>09*</v>
      </c>
      <c r="CCC1" s="15" t="str">
        <f t="shared" si="49"/>
        <v>10*</v>
      </c>
      <c r="CCD1" s="15" t="str">
        <f t="shared" si="49"/>
        <v>11*</v>
      </c>
      <c r="CCE1" s="15" t="str">
        <f t="shared" si="49"/>
        <v>12*</v>
      </c>
      <c r="CCF1" s="15" t="str">
        <f t="shared" si="49"/>
        <v>13*</v>
      </c>
      <c r="CCG1" s="15" t="str">
        <f t="shared" si="49"/>
        <v>14*</v>
      </c>
      <c r="CCH1" s="15" t="str">
        <f t="shared" si="49"/>
        <v>15*</v>
      </c>
      <c r="CCI1" s="15" t="str">
        <f t="shared" si="49"/>
        <v>16*</v>
      </c>
      <c r="CCJ1" s="15" t="str">
        <f t="shared" si="49"/>
        <v>17*</v>
      </c>
      <c r="CCK1" s="15" t="str">
        <f t="shared" si="49"/>
        <v>18*</v>
      </c>
      <c r="CCL1" s="15" t="str">
        <f t="shared" si="49"/>
        <v>19*</v>
      </c>
      <c r="CCM1" s="15" t="str">
        <f t="shared" si="49"/>
        <v>20*</v>
      </c>
      <c r="CCN1" s="15" t="str">
        <f t="shared" si="49"/>
        <v>21*</v>
      </c>
      <c r="CCO1" s="15" t="str">
        <f t="shared" si="49"/>
        <v>22*</v>
      </c>
      <c r="CCP1" s="15" t="str">
        <f t="shared" si="49"/>
        <v>23*</v>
      </c>
      <c r="CCQ1" s="15" t="str">
        <f t="shared" si="49"/>
        <v>24*</v>
      </c>
      <c r="CCR1" s="15" t="str">
        <f t="shared" si="49"/>
        <v>25*</v>
      </c>
      <c r="CCS1" s="15" t="str">
        <f t="shared" si="49"/>
        <v>26*</v>
      </c>
      <c r="CCT1" s="15" t="str">
        <f t="shared" si="49"/>
        <v>27*</v>
      </c>
      <c r="CCU1" s="15" t="str">
        <f t="shared" si="49"/>
        <v>28*</v>
      </c>
      <c r="CCV1" s="15" t="str">
        <f t="shared" si="49"/>
        <v>29*</v>
      </c>
      <c r="CCW1" s="15" t="str">
        <f t="shared" si="49"/>
        <v>30*</v>
      </c>
      <c r="CCX1" s="15" t="str">
        <f t="shared" si="49"/>
        <v>п.Н</v>
      </c>
      <c r="CCY1" s="15" t="str">
        <f t="shared" si="49"/>
        <v>01*</v>
      </c>
      <c r="CCZ1" s="15" t="str">
        <f t="shared" si="49"/>
        <v>02*</v>
      </c>
      <c r="CDA1" s="15" t="str">
        <f t="shared" si="49"/>
        <v>03*</v>
      </c>
      <c r="CDB1" s="15" t="str">
        <f t="shared" si="49"/>
        <v>04*</v>
      </c>
      <c r="CDC1" s="15" t="str">
        <f t="shared" si="49"/>
        <v>05*</v>
      </c>
      <c r="CDD1" s="15" t="str">
        <f t="shared" si="49"/>
        <v>06*</v>
      </c>
      <c r="CDE1" s="15" t="str">
        <f t="shared" si="49"/>
        <v>07*</v>
      </c>
      <c r="CDF1" s="15" t="str">
        <f t="shared" si="49"/>
        <v>08*</v>
      </c>
      <c r="CDG1" s="15" t="str">
        <f t="shared" si="49"/>
        <v>09*</v>
      </c>
      <c r="CDH1" s="15" t="str">
        <f t="shared" si="49"/>
        <v>10*</v>
      </c>
      <c r="CDI1" s="15" t="str">
        <f t="shared" si="49"/>
        <v>11*</v>
      </c>
      <c r="CDJ1" s="15" t="str">
        <f t="shared" si="49"/>
        <v>12*</v>
      </c>
      <c r="CDK1" s="15" t="str">
        <f t="shared" si="49"/>
        <v>13*</v>
      </c>
      <c r="CDL1" s="15" t="str">
        <f t="shared" si="49"/>
        <v>14*</v>
      </c>
      <c r="CDM1" s="15" t="str">
        <f t="shared" si="49"/>
        <v>15*</v>
      </c>
      <c r="CDN1" s="15" t="str">
        <f t="shared" si="49"/>
        <v>16*</v>
      </c>
      <c r="CDO1" s="15" t="str">
        <f t="shared" si="49"/>
        <v>17*</v>
      </c>
      <c r="CDP1" s="15" t="str">
        <f t="shared" si="49"/>
        <v>18*</v>
      </c>
      <c r="CDQ1" s="15" t="str">
        <f t="shared" si="49"/>
        <v>19*</v>
      </c>
      <c r="CDR1" s="15" t="str">
        <f t="shared" si="49"/>
        <v>20*</v>
      </c>
      <c r="CDS1" s="15" t="str">
        <f t="shared" si="49"/>
        <v>21*</v>
      </c>
      <c r="CDT1" s="15" t="str">
        <f t="shared" si="49"/>
        <v>22*</v>
      </c>
      <c r="CDU1" s="15" t="str">
        <f t="shared" si="49"/>
        <v>23*</v>
      </c>
      <c r="CDV1" s="15" t="str">
        <f t="shared" si="49"/>
        <v>24*</v>
      </c>
      <c r="CDW1" s="15" t="str">
        <f t="shared" si="49"/>
        <v>25*</v>
      </c>
      <c r="CDX1" s="15" t="str">
        <f t="shared" si="49"/>
        <v>26*</v>
      </c>
      <c r="CDY1" s="15" t="str">
        <f t="shared" si="49"/>
        <v>27*</v>
      </c>
      <c r="CDZ1" s="15" t="str">
        <f t="shared" si="49"/>
        <v>28*</v>
      </c>
      <c r="CEA1" s="15" t="str">
        <f t="shared" si="49"/>
        <v>29*</v>
      </c>
      <c r="CEB1" s="15" t="str">
        <f t="shared" si="49"/>
        <v>30*</v>
      </c>
      <c r="CEC1" s="15" t="str">
        <f t="shared" ref="CEC1:CFO1" si="50">IF(RIGHT(CEC$5,1)="Н",RIGHT(CEC$5,3),MID(CEC$5,FIND(".",CEC$5)+1,5))</f>
        <v>н.Н</v>
      </c>
      <c r="CED1" s="15" t="str">
        <f t="shared" si="50"/>
        <v>01*</v>
      </c>
      <c r="CEE1" s="15" t="str">
        <f t="shared" si="50"/>
        <v>02*</v>
      </c>
      <c r="CEF1" s="15" t="str">
        <f t="shared" si="50"/>
        <v>03*</v>
      </c>
      <c r="CEG1" s="15" t="str">
        <f t="shared" si="50"/>
        <v>04*</v>
      </c>
      <c r="CEH1" s="15" t="str">
        <f t="shared" si="50"/>
        <v>05*</v>
      </c>
      <c r="CEI1" s="15" t="str">
        <f t="shared" si="50"/>
        <v>06*</v>
      </c>
      <c r="CEJ1" s="15" t="str">
        <f t="shared" si="50"/>
        <v>07*</v>
      </c>
      <c r="CEK1" s="15" t="str">
        <f t="shared" si="50"/>
        <v>08*</v>
      </c>
      <c r="CEL1" s="15" t="str">
        <f t="shared" si="50"/>
        <v>09*</v>
      </c>
      <c r="CEM1" s="15" t="str">
        <f t="shared" si="50"/>
        <v>10*</v>
      </c>
      <c r="CEN1" s="15" t="str">
        <f t="shared" si="50"/>
        <v>11*</v>
      </c>
      <c r="CEO1" s="15" t="str">
        <f t="shared" si="50"/>
        <v>12*</v>
      </c>
      <c r="CEP1" s="15" t="str">
        <f t="shared" si="50"/>
        <v>13*</v>
      </c>
      <c r="CEQ1" s="15" t="str">
        <f t="shared" si="50"/>
        <v>14*</v>
      </c>
      <c r="CER1" s="15" t="str">
        <f t="shared" si="50"/>
        <v>15*</v>
      </c>
      <c r="CES1" s="15" t="str">
        <f t="shared" si="50"/>
        <v>16*</v>
      </c>
      <c r="CET1" s="15" t="str">
        <f t="shared" si="50"/>
        <v>17*</v>
      </c>
      <c r="CEU1" s="15" t="str">
        <f t="shared" si="50"/>
        <v>18*</v>
      </c>
      <c r="CEV1" s="15" t="str">
        <f t="shared" si="50"/>
        <v>19*</v>
      </c>
      <c r="CEW1" s="15" t="str">
        <f t="shared" si="50"/>
        <v>20*</v>
      </c>
      <c r="CEX1" s="15" t="str">
        <f t="shared" si="50"/>
        <v>21*</v>
      </c>
      <c r="CEY1" s="15" t="str">
        <f t="shared" si="50"/>
        <v>22*</v>
      </c>
      <c r="CEZ1" s="15" t="str">
        <f t="shared" si="50"/>
        <v>23*</v>
      </c>
      <c r="CFA1" s="15" t="str">
        <f t="shared" si="50"/>
        <v>24*</v>
      </c>
      <c r="CFB1" s="15" t="str">
        <f t="shared" si="50"/>
        <v>25*</v>
      </c>
      <c r="CFC1" s="15" t="str">
        <f t="shared" si="50"/>
        <v>26*</v>
      </c>
      <c r="CFD1" s="15" t="str">
        <f t="shared" si="50"/>
        <v>27*</v>
      </c>
      <c r="CFE1" s="15" t="str">
        <f t="shared" si="50"/>
        <v>28*</v>
      </c>
      <c r="CFF1" s="15" t="str">
        <f t="shared" si="50"/>
        <v>29*</v>
      </c>
      <c r="CFG1" s="15" t="str">
        <f t="shared" si="50"/>
        <v>30*</v>
      </c>
      <c r="CFH1" s="15" t="str">
        <f t="shared" si="50"/>
        <v>п.Н</v>
      </c>
      <c r="CFI1" s="15" t="str">
        <f t="shared" si="50"/>
        <v>01*</v>
      </c>
      <c r="CFJ1" s="15" t="str">
        <f t="shared" si="50"/>
        <v>02*</v>
      </c>
      <c r="CFK1" s="15" t="str">
        <f t="shared" si="50"/>
        <v>03*</v>
      </c>
      <c r="CFL1" s="15" t="str">
        <f t="shared" si="50"/>
        <v>04*</v>
      </c>
      <c r="CFM1" s="15" t="str">
        <f t="shared" si="50"/>
        <v>05*</v>
      </c>
      <c r="CFN1" s="15" t="str">
        <f t="shared" si="50"/>
        <v>06*</v>
      </c>
      <c r="CFO1" s="15" t="str">
        <f t="shared" si="50"/>
        <v>07*</v>
      </c>
      <c r="CFP1" s="15" t="str">
        <f t="shared" ref="CFP1:CGV1" si="51">IF(RIGHT(CFP$5,1)="Н",RIGHT(CFP$5,3),MID(CFP$5,FIND(".",CFP$5)+1,5))</f>
        <v>08*</v>
      </c>
      <c r="CFQ1" s="15" t="str">
        <f t="shared" si="51"/>
        <v>09*</v>
      </c>
      <c r="CFR1" s="15" t="str">
        <f t="shared" si="51"/>
        <v>10*</v>
      </c>
      <c r="CFS1" s="15" t="str">
        <f t="shared" si="51"/>
        <v>11*</v>
      </c>
      <c r="CFT1" s="15" t="str">
        <f t="shared" si="51"/>
        <v>12*</v>
      </c>
      <c r="CFU1" s="15" t="str">
        <f t="shared" si="51"/>
        <v>13*</v>
      </c>
      <c r="CFV1" s="15" t="str">
        <f t="shared" si="51"/>
        <v>14*</v>
      </c>
      <c r="CFW1" s="15" t="str">
        <f t="shared" si="51"/>
        <v>15*</v>
      </c>
      <c r="CFX1" s="15" t="str">
        <f t="shared" si="51"/>
        <v>16*</v>
      </c>
      <c r="CFY1" s="15" t="str">
        <f t="shared" si="51"/>
        <v>17*</v>
      </c>
      <c r="CFZ1" s="15" t="str">
        <f t="shared" si="51"/>
        <v>18*</v>
      </c>
      <c r="CGA1" s="15" t="str">
        <f t="shared" si="51"/>
        <v>19*</v>
      </c>
      <c r="CGB1" s="15" t="str">
        <f t="shared" si="51"/>
        <v>20*</v>
      </c>
      <c r="CGC1" s="15" t="str">
        <f t="shared" si="51"/>
        <v>21*</v>
      </c>
      <c r="CGD1" s="15" t="str">
        <f t="shared" si="51"/>
        <v>22*</v>
      </c>
      <c r="CGE1" s="15" t="str">
        <f t="shared" si="51"/>
        <v>23*</v>
      </c>
      <c r="CGF1" s="15" t="str">
        <f t="shared" si="51"/>
        <v>24*</v>
      </c>
      <c r="CGG1" s="15" t="str">
        <f t="shared" si="51"/>
        <v>25*</v>
      </c>
      <c r="CGH1" s="15" t="str">
        <f t="shared" si="51"/>
        <v>26*</v>
      </c>
      <c r="CGI1" s="15" t="str">
        <f t="shared" si="51"/>
        <v>27*</v>
      </c>
      <c r="CGJ1" s="15" t="str">
        <f t="shared" si="51"/>
        <v>28*</v>
      </c>
      <c r="CGK1" s="15" t="str">
        <f t="shared" si="51"/>
        <v>29*</v>
      </c>
      <c r="CGL1" s="15" t="str">
        <f t="shared" si="51"/>
        <v>30*</v>
      </c>
      <c r="CGM1" s="15" t="str">
        <f t="shared" si="51"/>
        <v>н.Н</v>
      </c>
      <c r="CGN1" s="15" t="str">
        <f t="shared" si="51"/>
        <v>01*</v>
      </c>
      <c r="CGO1" s="15" t="str">
        <f t="shared" si="51"/>
        <v>02*</v>
      </c>
      <c r="CGP1" s="15" t="str">
        <f t="shared" si="51"/>
        <v>03*</v>
      </c>
      <c r="CGQ1" s="15" t="str">
        <f t="shared" si="51"/>
        <v>04*</v>
      </c>
      <c r="CGR1" s="15" t="str">
        <f t="shared" si="51"/>
        <v>05*</v>
      </c>
      <c r="CGS1" s="15" t="str">
        <f t="shared" si="51"/>
        <v>06*</v>
      </c>
      <c r="CGT1" s="15" t="str">
        <f t="shared" si="51"/>
        <v>07*</v>
      </c>
      <c r="CGU1" s="15" t="str">
        <f t="shared" si="51"/>
        <v>08*</v>
      </c>
      <c r="CGV1" s="15" t="str">
        <f t="shared" si="51"/>
        <v>09*</v>
      </c>
      <c r="CGW1" s="15" t="str">
        <f t="shared" ref="CGW1:CIV1" si="52">IF(RIGHT(CGW$5,1)="Н",RIGHT(CGW$5,3),MID(CGW$5,FIND(".",CGW$5)+1,5))</f>
        <v>10*</v>
      </c>
      <c r="CGX1" s="15" t="str">
        <f t="shared" si="52"/>
        <v>11*</v>
      </c>
      <c r="CGY1" s="15" t="str">
        <f t="shared" si="52"/>
        <v>12*</v>
      </c>
      <c r="CGZ1" s="15" t="str">
        <f t="shared" si="52"/>
        <v>13*</v>
      </c>
      <c r="CHA1" s="15" t="str">
        <f t="shared" si="52"/>
        <v>14*</v>
      </c>
      <c r="CHB1" s="15" t="str">
        <f t="shared" si="52"/>
        <v>15*</v>
      </c>
      <c r="CHC1" s="15" t="str">
        <f t="shared" si="52"/>
        <v>16*</v>
      </c>
      <c r="CHD1" s="15" t="str">
        <f t="shared" si="52"/>
        <v>17*</v>
      </c>
      <c r="CHE1" s="15" t="str">
        <f t="shared" si="52"/>
        <v>18*</v>
      </c>
      <c r="CHF1" s="15" t="str">
        <f t="shared" si="52"/>
        <v>19*</v>
      </c>
      <c r="CHG1" s="15" t="str">
        <f t="shared" si="52"/>
        <v>20*</v>
      </c>
      <c r="CHH1" s="15" t="str">
        <f t="shared" si="52"/>
        <v>21*</v>
      </c>
      <c r="CHI1" s="15" t="str">
        <f t="shared" si="52"/>
        <v>22*</v>
      </c>
      <c r="CHJ1" s="15" t="str">
        <f t="shared" si="52"/>
        <v>23*</v>
      </c>
      <c r="CHK1" s="15" t="str">
        <f t="shared" si="52"/>
        <v>24*</v>
      </c>
      <c r="CHL1" s="15" t="str">
        <f t="shared" si="52"/>
        <v>25*</v>
      </c>
      <c r="CHM1" s="15" t="str">
        <f t="shared" si="52"/>
        <v>26*</v>
      </c>
      <c r="CHN1" s="15" t="str">
        <f t="shared" si="52"/>
        <v>27*</v>
      </c>
      <c r="CHO1" s="15" t="str">
        <f t="shared" si="52"/>
        <v>28*</v>
      </c>
      <c r="CHP1" s="15" t="str">
        <f t="shared" si="52"/>
        <v>29*</v>
      </c>
      <c r="CHQ1" s="15" t="str">
        <f t="shared" si="52"/>
        <v>30*</v>
      </c>
      <c r="CHR1" s="15" t="str">
        <f t="shared" si="52"/>
        <v>п.Н</v>
      </c>
      <c r="CHS1" s="15" t="str">
        <f t="shared" si="52"/>
        <v>01*</v>
      </c>
      <c r="CHT1" s="15" t="str">
        <f t="shared" si="52"/>
        <v>02*</v>
      </c>
      <c r="CHU1" s="15" t="str">
        <f t="shared" si="52"/>
        <v>03*</v>
      </c>
      <c r="CHV1" s="15" t="str">
        <f t="shared" si="52"/>
        <v>04*</v>
      </c>
      <c r="CHW1" s="15" t="str">
        <f t="shared" si="52"/>
        <v>05*</v>
      </c>
      <c r="CHX1" s="15" t="str">
        <f t="shared" si="52"/>
        <v>06*</v>
      </c>
      <c r="CHY1" s="15" t="str">
        <f t="shared" si="52"/>
        <v>07*</v>
      </c>
      <c r="CHZ1" s="15" t="str">
        <f t="shared" si="52"/>
        <v>08*</v>
      </c>
      <c r="CIA1" s="15" t="str">
        <f t="shared" si="52"/>
        <v>09*</v>
      </c>
      <c r="CIB1" s="15" t="str">
        <f t="shared" si="52"/>
        <v>10*</v>
      </c>
      <c r="CIC1" s="15" t="str">
        <f t="shared" si="52"/>
        <v>11*</v>
      </c>
      <c r="CID1" s="15" t="str">
        <f t="shared" si="52"/>
        <v>12*</v>
      </c>
      <c r="CIE1" s="15" t="str">
        <f t="shared" si="52"/>
        <v>13*</v>
      </c>
      <c r="CIF1" s="15" t="str">
        <f t="shared" si="52"/>
        <v>14*</v>
      </c>
      <c r="CIG1" s="15" t="str">
        <f t="shared" si="52"/>
        <v>15*</v>
      </c>
      <c r="CIH1" s="15" t="str">
        <f t="shared" si="52"/>
        <v>16*</v>
      </c>
      <c r="CII1" s="15" t="str">
        <f t="shared" si="52"/>
        <v>17*</v>
      </c>
      <c r="CIJ1" s="15" t="str">
        <f t="shared" si="52"/>
        <v>18*</v>
      </c>
      <c r="CIK1" s="15" t="str">
        <f t="shared" si="52"/>
        <v>19*</v>
      </c>
      <c r="CIL1" s="15" t="str">
        <f t="shared" si="52"/>
        <v>20*</v>
      </c>
      <c r="CIM1" s="15" t="str">
        <f t="shared" si="52"/>
        <v>21*</v>
      </c>
      <c r="CIN1" s="15" t="str">
        <f t="shared" si="52"/>
        <v>22*</v>
      </c>
      <c r="CIO1" s="15" t="str">
        <f t="shared" si="52"/>
        <v>23*</v>
      </c>
      <c r="CIP1" s="15" t="str">
        <f t="shared" si="52"/>
        <v>24*</v>
      </c>
      <c r="CIQ1" s="15" t="str">
        <f t="shared" si="52"/>
        <v>25*</v>
      </c>
      <c r="CIR1" s="15" t="str">
        <f t="shared" si="52"/>
        <v>26*</v>
      </c>
      <c r="CIS1" s="15" t="str">
        <f t="shared" si="52"/>
        <v>27*</v>
      </c>
      <c r="CIT1" s="15" t="str">
        <f t="shared" si="52"/>
        <v>28*</v>
      </c>
      <c r="CIU1" s="15" t="str">
        <f t="shared" si="52"/>
        <v>29*</v>
      </c>
      <c r="CIV1" s="15" t="str">
        <f t="shared" si="52"/>
        <v>30*</v>
      </c>
      <c r="CIW1" s="15" t="str">
        <f t="shared" ref="CIW1:CKO1" si="53">IF(RIGHT(CIW$5,1)="Н",RIGHT(CIW$5,3),MID(CIW$5,FIND(".",CIW$5)+1,5))</f>
        <v>н.Н</v>
      </c>
      <c r="CIX1" s="15" t="str">
        <f t="shared" si="53"/>
        <v>01*</v>
      </c>
      <c r="CIY1" s="15" t="str">
        <f t="shared" si="53"/>
        <v>02*</v>
      </c>
      <c r="CIZ1" s="15" t="str">
        <f t="shared" si="53"/>
        <v>03*</v>
      </c>
      <c r="CJA1" s="15" t="str">
        <f t="shared" si="53"/>
        <v>04*</v>
      </c>
      <c r="CJB1" s="15" t="str">
        <f t="shared" si="53"/>
        <v>05*</v>
      </c>
      <c r="CJC1" s="15" t="str">
        <f t="shared" si="53"/>
        <v>06*</v>
      </c>
      <c r="CJD1" s="15" t="str">
        <f t="shared" si="53"/>
        <v>07*</v>
      </c>
      <c r="CJE1" s="15" t="str">
        <f t="shared" si="53"/>
        <v>08*</v>
      </c>
      <c r="CJF1" s="15" t="str">
        <f t="shared" si="53"/>
        <v>09*</v>
      </c>
      <c r="CJG1" s="15" t="str">
        <f t="shared" si="53"/>
        <v>10*</v>
      </c>
      <c r="CJH1" s="15" t="str">
        <f t="shared" si="53"/>
        <v>11*</v>
      </c>
      <c r="CJI1" s="15" t="str">
        <f t="shared" si="53"/>
        <v>12*</v>
      </c>
      <c r="CJJ1" s="15" t="str">
        <f t="shared" si="53"/>
        <v>13*</v>
      </c>
      <c r="CJK1" s="15" t="str">
        <f t="shared" si="53"/>
        <v>14*</v>
      </c>
      <c r="CJL1" s="15" t="str">
        <f t="shared" si="53"/>
        <v>15*</v>
      </c>
      <c r="CJM1" s="15" t="str">
        <f t="shared" si="53"/>
        <v>16*</v>
      </c>
      <c r="CJN1" s="15" t="str">
        <f t="shared" si="53"/>
        <v>17*</v>
      </c>
      <c r="CJO1" s="15" t="str">
        <f t="shared" si="53"/>
        <v>18*</v>
      </c>
      <c r="CJP1" s="15" t="str">
        <f t="shared" si="53"/>
        <v>19*</v>
      </c>
      <c r="CJQ1" s="15" t="str">
        <f t="shared" si="53"/>
        <v>20*</v>
      </c>
      <c r="CJR1" s="15" t="str">
        <f t="shared" si="53"/>
        <v>21*</v>
      </c>
      <c r="CJS1" s="15" t="str">
        <f t="shared" si="53"/>
        <v>22*</v>
      </c>
      <c r="CJT1" s="15" t="str">
        <f t="shared" si="53"/>
        <v>23*</v>
      </c>
      <c r="CJU1" s="15" t="str">
        <f t="shared" si="53"/>
        <v>24*</v>
      </c>
      <c r="CJV1" s="15" t="str">
        <f t="shared" si="53"/>
        <v>25*</v>
      </c>
      <c r="CJW1" s="15" t="str">
        <f t="shared" si="53"/>
        <v>26*</v>
      </c>
      <c r="CJX1" s="15" t="str">
        <f t="shared" si="53"/>
        <v>27*</v>
      </c>
      <c r="CJY1" s="15" t="str">
        <f t="shared" si="53"/>
        <v>28*</v>
      </c>
      <c r="CJZ1" s="15" t="str">
        <f t="shared" si="53"/>
        <v>29*</v>
      </c>
      <c r="CKA1" s="15" t="str">
        <f t="shared" si="53"/>
        <v>30*</v>
      </c>
      <c r="CKB1" s="15" t="str">
        <f t="shared" si="53"/>
        <v>п.Н</v>
      </c>
      <c r="CKC1" s="15" t="str">
        <f t="shared" si="53"/>
        <v>01*</v>
      </c>
      <c r="CKD1" s="15" t="str">
        <f t="shared" si="53"/>
        <v>02*</v>
      </c>
      <c r="CKE1" s="15" t="str">
        <f t="shared" si="53"/>
        <v>03*</v>
      </c>
      <c r="CKF1" s="15" t="str">
        <f t="shared" si="53"/>
        <v>04*</v>
      </c>
      <c r="CKG1" s="15" t="str">
        <f t="shared" si="53"/>
        <v>05*</v>
      </c>
      <c r="CKH1" s="15" t="str">
        <f t="shared" si="53"/>
        <v>06*</v>
      </c>
      <c r="CKI1" s="15" t="str">
        <f t="shared" si="53"/>
        <v>07*</v>
      </c>
      <c r="CKJ1" s="15" t="str">
        <f t="shared" si="53"/>
        <v>08*</v>
      </c>
      <c r="CKK1" s="15" t="str">
        <f t="shared" si="53"/>
        <v>09*</v>
      </c>
      <c r="CKL1" s="15" t="str">
        <f t="shared" si="53"/>
        <v>10*</v>
      </c>
      <c r="CKM1" s="15" t="str">
        <f t="shared" si="53"/>
        <v>11*</v>
      </c>
      <c r="CKN1" s="15" t="str">
        <f t="shared" si="53"/>
        <v>12*</v>
      </c>
      <c r="CKO1" s="15" t="str">
        <f t="shared" si="53"/>
        <v>13*</v>
      </c>
      <c r="CKP1" s="15" t="str">
        <f t="shared" ref="CKP1:CLV1" si="54">IF(RIGHT(CKP$5,1)="Н",RIGHT(CKP$5,3),MID(CKP$5,FIND(".",CKP$5)+1,5))</f>
        <v>14*</v>
      </c>
      <c r="CKQ1" s="15" t="str">
        <f t="shared" si="54"/>
        <v>15*</v>
      </c>
      <c r="CKR1" s="15" t="str">
        <f t="shared" si="54"/>
        <v>16*</v>
      </c>
      <c r="CKS1" s="15" t="str">
        <f t="shared" si="54"/>
        <v>17*</v>
      </c>
      <c r="CKT1" s="15" t="str">
        <f t="shared" si="54"/>
        <v>18*</v>
      </c>
      <c r="CKU1" s="15" t="str">
        <f t="shared" si="54"/>
        <v>19*</v>
      </c>
      <c r="CKV1" s="15" t="str">
        <f t="shared" si="54"/>
        <v>20*</v>
      </c>
      <c r="CKW1" s="15" t="str">
        <f t="shared" si="54"/>
        <v>21*</v>
      </c>
      <c r="CKX1" s="15" t="str">
        <f t="shared" si="54"/>
        <v>22*</v>
      </c>
      <c r="CKY1" s="15" t="str">
        <f t="shared" si="54"/>
        <v>23*</v>
      </c>
      <c r="CKZ1" s="15" t="str">
        <f t="shared" si="54"/>
        <v>24*</v>
      </c>
      <c r="CLA1" s="15" t="str">
        <f t="shared" si="54"/>
        <v>25*</v>
      </c>
      <c r="CLB1" s="15" t="str">
        <f t="shared" si="54"/>
        <v>26*</v>
      </c>
      <c r="CLC1" s="15" t="str">
        <f t="shared" si="54"/>
        <v>27*</v>
      </c>
      <c r="CLD1" s="15" t="str">
        <f t="shared" si="54"/>
        <v>28*</v>
      </c>
      <c r="CLE1" s="15" t="str">
        <f t="shared" si="54"/>
        <v>29*</v>
      </c>
      <c r="CLF1" s="15" t="str">
        <f t="shared" si="54"/>
        <v>30*</v>
      </c>
      <c r="CLG1" s="15" t="str">
        <f t="shared" si="54"/>
        <v>н.Н</v>
      </c>
      <c r="CLH1" s="15" t="str">
        <f t="shared" si="54"/>
        <v>01*</v>
      </c>
      <c r="CLI1" s="15" t="str">
        <f t="shared" si="54"/>
        <v>02*</v>
      </c>
      <c r="CLJ1" s="15" t="str">
        <f t="shared" si="54"/>
        <v>03*</v>
      </c>
      <c r="CLK1" s="15" t="str">
        <f t="shared" si="54"/>
        <v>04*</v>
      </c>
      <c r="CLL1" s="15" t="str">
        <f t="shared" si="54"/>
        <v>05*</v>
      </c>
      <c r="CLM1" s="15" t="str">
        <f t="shared" si="54"/>
        <v>06*</v>
      </c>
      <c r="CLN1" s="15" t="str">
        <f t="shared" si="54"/>
        <v>07*</v>
      </c>
      <c r="CLO1" s="15" t="str">
        <f t="shared" si="54"/>
        <v>08*</v>
      </c>
      <c r="CLP1" s="15" t="str">
        <f t="shared" si="54"/>
        <v>09*</v>
      </c>
      <c r="CLQ1" s="15" t="str">
        <f t="shared" si="54"/>
        <v>10*</v>
      </c>
      <c r="CLR1" s="15" t="str">
        <f t="shared" si="54"/>
        <v>11*</v>
      </c>
      <c r="CLS1" s="15" t="str">
        <f t="shared" si="54"/>
        <v>12*</v>
      </c>
      <c r="CLT1" s="15" t="str">
        <f t="shared" si="54"/>
        <v>13*</v>
      </c>
      <c r="CLU1" s="15" t="str">
        <f t="shared" si="54"/>
        <v>14*</v>
      </c>
      <c r="CLV1" s="15" t="str">
        <f t="shared" si="54"/>
        <v>15*</v>
      </c>
      <c r="CLW1" s="15" t="str">
        <f t="shared" ref="CLW1:CNP1" si="55">IF(RIGHT(CLW$5,1)="Н",RIGHT(CLW$5,3),MID(CLW$5,FIND(".",CLW$5)+1,5))</f>
        <v>16*</v>
      </c>
      <c r="CLX1" s="15" t="str">
        <f t="shared" si="55"/>
        <v>17*</v>
      </c>
      <c r="CLY1" s="15" t="str">
        <f t="shared" si="55"/>
        <v>18*</v>
      </c>
      <c r="CLZ1" s="15" t="str">
        <f t="shared" si="55"/>
        <v>19*</v>
      </c>
      <c r="CMA1" s="15" t="str">
        <f t="shared" si="55"/>
        <v>20*</v>
      </c>
      <c r="CMB1" s="15" t="str">
        <f t="shared" si="55"/>
        <v>21*</v>
      </c>
      <c r="CMC1" s="15" t="str">
        <f t="shared" si="55"/>
        <v>22*</v>
      </c>
      <c r="CMD1" s="15" t="str">
        <f t="shared" si="55"/>
        <v>23*</v>
      </c>
      <c r="CME1" s="15" t="str">
        <f t="shared" si="55"/>
        <v>24*</v>
      </c>
      <c r="CMF1" s="15" t="str">
        <f t="shared" si="55"/>
        <v>25*</v>
      </c>
      <c r="CMG1" s="15" t="str">
        <f t="shared" si="55"/>
        <v>26*</v>
      </c>
      <c r="CMH1" s="15" t="str">
        <f t="shared" si="55"/>
        <v>27*</v>
      </c>
      <c r="CMI1" s="15" t="str">
        <f t="shared" si="55"/>
        <v>28*</v>
      </c>
      <c r="CMJ1" s="15" t="str">
        <f t="shared" si="55"/>
        <v>29*</v>
      </c>
      <c r="CMK1" s="15" t="str">
        <f t="shared" si="55"/>
        <v>30*</v>
      </c>
      <c r="CML1" s="15" t="str">
        <f t="shared" si="55"/>
        <v>п.Н</v>
      </c>
      <c r="CMM1" s="15" t="str">
        <f t="shared" si="55"/>
        <v>01*</v>
      </c>
      <c r="CMN1" s="15" t="str">
        <f t="shared" si="55"/>
        <v>02*</v>
      </c>
      <c r="CMO1" s="15" t="str">
        <f t="shared" si="55"/>
        <v>03*</v>
      </c>
      <c r="CMP1" s="15" t="str">
        <f t="shared" si="55"/>
        <v>04*</v>
      </c>
      <c r="CMQ1" s="15" t="str">
        <f t="shared" si="55"/>
        <v>05*</v>
      </c>
      <c r="CMR1" s="15" t="str">
        <f t="shared" si="55"/>
        <v>06*</v>
      </c>
      <c r="CMS1" s="15" t="str">
        <f t="shared" si="55"/>
        <v>07*</v>
      </c>
      <c r="CMT1" s="15" t="str">
        <f t="shared" si="55"/>
        <v>08*</v>
      </c>
      <c r="CMU1" s="15" t="str">
        <f t="shared" si="55"/>
        <v>09*</v>
      </c>
      <c r="CMV1" s="15" t="str">
        <f t="shared" si="55"/>
        <v>10*</v>
      </c>
      <c r="CMW1" s="15" t="str">
        <f t="shared" si="55"/>
        <v>11*</v>
      </c>
      <c r="CMX1" s="15" t="str">
        <f t="shared" si="55"/>
        <v>12*</v>
      </c>
      <c r="CMY1" s="15" t="str">
        <f t="shared" si="55"/>
        <v>13*</v>
      </c>
      <c r="CMZ1" s="15" t="str">
        <f t="shared" si="55"/>
        <v>14*</v>
      </c>
      <c r="CNA1" s="15" t="str">
        <f t="shared" si="55"/>
        <v>15*</v>
      </c>
      <c r="CNB1" s="15" t="str">
        <f t="shared" si="55"/>
        <v>16*</v>
      </c>
      <c r="CNC1" s="15" t="str">
        <f t="shared" si="55"/>
        <v>17*</v>
      </c>
      <c r="CND1" s="15" t="str">
        <f t="shared" si="55"/>
        <v>18*</v>
      </c>
      <c r="CNE1" s="15" t="str">
        <f t="shared" si="55"/>
        <v>19*</v>
      </c>
      <c r="CNF1" s="15" t="str">
        <f t="shared" si="55"/>
        <v>20*</v>
      </c>
      <c r="CNG1" s="15" t="str">
        <f t="shared" si="55"/>
        <v>21*</v>
      </c>
      <c r="CNH1" s="15" t="str">
        <f t="shared" si="55"/>
        <v>22*</v>
      </c>
      <c r="CNI1" s="15" t="str">
        <f t="shared" si="55"/>
        <v>23*</v>
      </c>
      <c r="CNJ1" s="15" t="str">
        <f t="shared" si="55"/>
        <v>24*</v>
      </c>
      <c r="CNK1" s="15" t="str">
        <f t="shared" si="55"/>
        <v>25*</v>
      </c>
      <c r="CNL1" s="15" t="str">
        <f t="shared" si="55"/>
        <v>26*</v>
      </c>
      <c r="CNM1" s="15" t="str">
        <f t="shared" si="55"/>
        <v>27*</v>
      </c>
      <c r="CNN1" s="15" t="str">
        <f t="shared" si="55"/>
        <v>28*</v>
      </c>
      <c r="CNO1" s="15" t="str">
        <f t="shared" si="55"/>
        <v>29*</v>
      </c>
      <c r="CNP1" s="15" t="str">
        <f t="shared" si="55"/>
        <v>30*</v>
      </c>
      <c r="CNQ1" s="15" t="str">
        <f t="shared" ref="CNQ1:CPO1" si="56">IF(RIGHT(CNQ$5,1)="Н",RIGHT(CNQ$5,3),MID(CNQ$5,FIND(".",CNQ$5)+1,5))</f>
        <v>н.Н</v>
      </c>
      <c r="CNR1" s="15" t="str">
        <f t="shared" si="56"/>
        <v>01*</v>
      </c>
      <c r="CNS1" s="15" t="str">
        <f t="shared" si="56"/>
        <v>02*</v>
      </c>
      <c r="CNT1" s="15" t="str">
        <f t="shared" si="56"/>
        <v>03*</v>
      </c>
      <c r="CNU1" s="15" t="str">
        <f t="shared" si="56"/>
        <v>04*</v>
      </c>
      <c r="CNV1" s="15" t="str">
        <f t="shared" si="56"/>
        <v>05*</v>
      </c>
      <c r="CNW1" s="15" t="str">
        <f t="shared" si="56"/>
        <v>06*</v>
      </c>
      <c r="CNX1" s="15" t="str">
        <f t="shared" si="56"/>
        <v>07*</v>
      </c>
      <c r="CNY1" s="15" t="str">
        <f t="shared" si="56"/>
        <v>08*</v>
      </c>
      <c r="CNZ1" s="15" t="str">
        <f t="shared" si="56"/>
        <v>09*</v>
      </c>
      <c r="COA1" s="15" t="str">
        <f t="shared" si="56"/>
        <v>10*</v>
      </c>
      <c r="COB1" s="15" t="str">
        <f t="shared" si="56"/>
        <v>11*</v>
      </c>
      <c r="COC1" s="15" t="str">
        <f t="shared" si="56"/>
        <v>12*</v>
      </c>
      <c r="COD1" s="15" t="str">
        <f t="shared" si="56"/>
        <v>13*</v>
      </c>
      <c r="COE1" s="15" t="str">
        <f t="shared" si="56"/>
        <v>14*</v>
      </c>
      <c r="COF1" s="15" t="str">
        <f t="shared" si="56"/>
        <v>15*</v>
      </c>
      <c r="COG1" s="15" t="str">
        <f t="shared" si="56"/>
        <v>16*</v>
      </c>
      <c r="COH1" s="15" t="str">
        <f t="shared" si="56"/>
        <v>17*</v>
      </c>
      <c r="COI1" s="15" t="str">
        <f t="shared" si="56"/>
        <v>18*</v>
      </c>
      <c r="COJ1" s="15" t="str">
        <f t="shared" si="56"/>
        <v>19*</v>
      </c>
      <c r="COK1" s="15" t="str">
        <f t="shared" si="56"/>
        <v>20*</v>
      </c>
      <c r="COL1" s="15" t="str">
        <f t="shared" si="56"/>
        <v>21*</v>
      </c>
      <c r="COM1" s="15" t="str">
        <f t="shared" si="56"/>
        <v>22*</v>
      </c>
      <c r="CON1" s="15" t="str">
        <f t="shared" si="56"/>
        <v>23*</v>
      </c>
      <c r="COO1" s="15" t="str">
        <f t="shared" si="56"/>
        <v>24*</v>
      </c>
      <c r="COP1" s="15" t="str">
        <f t="shared" si="56"/>
        <v>25*</v>
      </c>
      <c r="COQ1" s="15" t="str">
        <f t="shared" si="56"/>
        <v>26*</v>
      </c>
      <c r="COR1" s="15" t="str">
        <f t="shared" si="56"/>
        <v>27*</v>
      </c>
      <c r="COS1" s="15" t="str">
        <f t="shared" si="56"/>
        <v>28*</v>
      </c>
      <c r="COT1" s="15" t="str">
        <f t="shared" si="56"/>
        <v>29*</v>
      </c>
      <c r="COU1" s="15" t="str">
        <f t="shared" si="56"/>
        <v>30*</v>
      </c>
      <c r="COV1" s="15" t="str">
        <f t="shared" si="56"/>
        <v>п.Н</v>
      </c>
      <c r="COW1" s="15" t="str">
        <f t="shared" si="56"/>
        <v>01*</v>
      </c>
      <c r="COX1" s="15" t="str">
        <f t="shared" si="56"/>
        <v>02*</v>
      </c>
      <c r="COY1" s="15" t="str">
        <f t="shared" si="56"/>
        <v>03*</v>
      </c>
      <c r="COZ1" s="15" t="str">
        <f t="shared" si="56"/>
        <v>04*</v>
      </c>
      <c r="CPA1" s="15" t="str">
        <f t="shared" si="56"/>
        <v>05*</v>
      </c>
      <c r="CPB1" s="15" t="str">
        <f t="shared" si="56"/>
        <v>06*</v>
      </c>
      <c r="CPC1" s="15" t="str">
        <f t="shared" si="56"/>
        <v>07*</v>
      </c>
      <c r="CPD1" s="15" t="str">
        <f t="shared" si="56"/>
        <v>08*</v>
      </c>
      <c r="CPE1" s="15" t="str">
        <f t="shared" si="56"/>
        <v>09*</v>
      </c>
      <c r="CPF1" s="15" t="str">
        <f t="shared" si="56"/>
        <v>10*</v>
      </c>
      <c r="CPG1" s="15" t="str">
        <f t="shared" si="56"/>
        <v>11*</v>
      </c>
      <c r="CPH1" s="15" t="str">
        <f t="shared" si="56"/>
        <v>12*</v>
      </c>
      <c r="CPI1" s="15" t="str">
        <f t="shared" si="56"/>
        <v>13*</v>
      </c>
      <c r="CPJ1" s="15" t="str">
        <f t="shared" si="56"/>
        <v>14*</v>
      </c>
      <c r="CPK1" s="15" t="str">
        <f t="shared" si="56"/>
        <v>15*</v>
      </c>
      <c r="CPL1" s="15" t="str">
        <f t="shared" si="56"/>
        <v>16*</v>
      </c>
      <c r="CPM1" s="15" t="str">
        <f t="shared" si="56"/>
        <v>17*</v>
      </c>
      <c r="CPN1" s="15" t="str">
        <f t="shared" si="56"/>
        <v>18*</v>
      </c>
      <c r="CPO1" s="15" t="str">
        <f t="shared" si="56"/>
        <v>19*</v>
      </c>
      <c r="CPP1" s="15" t="str">
        <f t="shared" ref="CPP1:CQV1" si="57">IF(RIGHT(CPP$5,1)="Н",RIGHT(CPP$5,3),MID(CPP$5,FIND(".",CPP$5)+1,5))</f>
        <v>20*</v>
      </c>
      <c r="CPQ1" s="15" t="str">
        <f t="shared" si="57"/>
        <v>21*</v>
      </c>
      <c r="CPR1" s="15" t="str">
        <f t="shared" si="57"/>
        <v>22*</v>
      </c>
      <c r="CPS1" s="15" t="str">
        <f t="shared" si="57"/>
        <v>23*</v>
      </c>
      <c r="CPT1" s="15" t="str">
        <f t="shared" si="57"/>
        <v>24*</v>
      </c>
      <c r="CPU1" s="15" t="str">
        <f t="shared" si="57"/>
        <v>25*</v>
      </c>
      <c r="CPV1" s="15" t="str">
        <f t="shared" si="57"/>
        <v>26*</v>
      </c>
      <c r="CPW1" s="15" t="str">
        <f t="shared" si="57"/>
        <v>27*</v>
      </c>
      <c r="CPX1" s="15" t="str">
        <f t="shared" si="57"/>
        <v>28*</v>
      </c>
      <c r="CPY1" s="15" t="str">
        <f t="shared" si="57"/>
        <v>29*</v>
      </c>
      <c r="CPZ1" s="15" t="str">
        <f t="shared" si="57"/>
        <v>30*</v>
      </c>
      <c r="CQA1" s="15" t="str">
        <f t="shared" si="57"/>
        <v>н.Н</v>
      </c>
      <c r="CQB1" s="15" t="str">
        <f t="shared" si="57"/>
        <v>01*</v>
      </c>
      <c r="CQC1" s="15" t="str">
        <f t="shared" si="57"/>
        <v>02*</v>
      </c>
      <c r="CQD1" s="15" t="str">
        <f t="shared" si="57"/>
        <v>03*</v>
      </c>
      <c r="CQE1" s="15" t="str">
        <f t="shared" si="57"/>
        <v>04*</v>
      </c>
      <c r="CQF1" s="15" t="str">
        <f t="shared" si="57"/>
        <v>05*</v>
      </c>
      <c r="CQG1" s="15" t="str">
        <f t="shared" si="57"/>
        <v>06*</v>
      </c>
      <c r="CQH1" s="15" t="str">
        <f t="shared" si="57"/>
        <v>07*</v>
      </c>
      <c r="CQI1" s="15" t="str">
        <f t="shared" si="57"/>
        <v>08*</v>
      </c>
      <c r="CQJ1" s="15" t="str">
        <f t="shared" si="57"/>
        <v>09*</v>
      </c>
      <c r="CQK1" s="15" t="str">
        <f t="shared" si="57"/>
        <v>10*</v>
      </c>
      <c r="CQL1" s="15" t="str">
        <f t="shared" si="57"/>
        <v>11*</v>
      </c>
      <c r="CQM1" s="15" t="str">
        <f t="shared" si="57"/>
        <v>12*</v>
      </c>
      <c r="CQN1" s="15" t="str">
        <f t="shared" si="57"/>
        <v>13*</v>
      </c>
      <c r="CQO1" s="15" t="str">
        <f t="shared" si="57"/>
        <v>14*</v>
      </c>
      <c r="CQP1" s="15" t="str">
        <f t="shared" si="57"/>
        <v>15*</v>
      </c>
      <c r="CQQ1" s="15" t="str">
        <f t="shared" si="57"/>
        <v>16*</v>
      </c>
      <c r="CQR1" s="15" t="str">
        <f t="shared" si="57"/>
        <v>17*</v>
      </c>
      <c r="CQS1" s="15" t="str">
        <f t="shared" si="57"/>
        <v>18*</v>
      </c>
      <c r="CQT1" s="15" t="str">
        <f t="shared" si="57"/>
        <v>19*</v>
      </c>
      <c r="CQU1" s="15" t="str">
        <f t="shared" si="57"/>
        <v>20*</v>
      </c>
      <c r="CQV1" s="15" t="str">
        <f t="shared" si="57"/>
        <v>21*</v>
      </c>
      <c r="CQW1" s="15" t="str">
        <f t="shared" ref="CQW1:CSJ1" si="58">IF(RIGHT(CQW$5,1)="Н",RIGHT(CQW$5,3),MID(CQW$5,FIND(".",CQW$5)+1,5))</f>
        <v>22*</v>
      </c>
      <c r="CQX1" s="15" t="str">
        <f t="shared" si="58"/>
        <v>23*</v>
      </c>
      <c r="CQY1" s="15" t="str">
        <f t="shared" si="58"/>
        <v>24*</v>
      </c>
      <c r="CQZ1" s="15" t="str">
        <f t="shared" si="58"/>
        <v>25*</v>
      </c>
      <c r="CRA1" s="15" t="str">
        <f t="shared" si="58"/>
        <v>26*</v>
      </c>
      <c r="CRB1" s="15" t="str">
        <f t="shared" si="58"/>
        <v>27*</v>
      </c>
      <c r="CRC1" s="15" t="str">
        <f t="shared" si="58"/>
        <v>28*</v>
      </c>
      <c r="CRD1" s="15" t="str">
        <f t="shared" si="58"/>
        <v>29*</v>
      </c>
      <c r="CRE1" s="15" t="str">
        <f t="shared" si="58"/>
        <v>30*</v>
      </c>
      <c r="CRF1" s="15" t="str">
        <f t="shared" si="58"/>
        <v>п.Н</v>
      </c>
      <c r="CRG1" s="15" t="str">
        <f t="shared" si="58"/>
        <v>01*</v>
      </c>
      <c r="CRH1" s="15" t="str">
        <f t="shared" si="58"/>
        <v>02*</v>
      </c>
      <c r="CRI1" s="15" t="str">
        <f t="shared" si="58"/>
        <v>03*</v>
      </c>
      <c r="CRJ1" s="15" t="str">
        <f t="shared" si="58"/>
        <v>04*</v>
      </c>
      <c r="CRK1" s="15" t="str">
        <f t="shared" si="58"/>
        <v>05*</v>
      </c>
      <c r="CRL1" s="15" t="str">
        <f t="shared" si="58"/>
        <v>06*</v>
      </c>
      <c r="CRM1" s="15" t="str">
        <f t="shared" si="58"/>
        <v>07*</v>
      </c>
      <c r="CRN1" s="15" t="str">
        <f t="shared" si="58"/>
        <v>08*</v>
      </c>
      <c r="CRO1" s="15" t="str">
        <f t="shared" si="58"/>
        <v>09*</v>
      </c>
      <c r="CRP1" s="15" t="str">
        <f t="shared" si="58"/>
        <v>10*</v>
      </c>
      <c r="CRQ1" s="15" t="str">
        <f t="shared" si="58"/>
        <v>11*</v>
      </c>
      <c r="CRR1" s="15" t="str">
        <f t="shared" si="58"/>
        <v>12*</v>
      </c>
      <c r="CRS1" s="15" t="str">
        <f t="shared" si="58"/>
        <v>13*</v>
      </c>
      <c r="CRT1" s="15" t="str">
        <f t="shared" si="58"/>
        <v>14*</v>
      </c>
      <c r="CRU1" s="15" t="str">
        <f t="shared" si="58"/>
        <v>15*</v>
      </c>
      <c r="CRV1" s="15" t="str">
        <f t="shared" si="58"/>
        <v>16*</v>
      </c>
      <c r="CRW1" s="15" t="str">
        <f t="shared" si="58"/>
        <v>17*</v>
      </c>
      <c r="CRX1" s="15" t="str">
        <f t="shared" si="58"/>
        <v>18*</v>
      </c>
      <c r="CRY1" s="15" t="str">
        <f t="shared" si="58"/>
        <v>19*</v>
      </c>
      <c r="CRZ1" s="15" t="str">
        <f t="shared" si="58"/>
        <v>20*</v>
      </c>
      <c r="CSA1" s="15" t="str">
        <f t="shared" si="58"/>
        <v>21*</v>
      </c>
      <c r="CSB1" s="15" t="str">
        <f t="shared" si="58"/>
        <v>22*</v>
      </c>
      <c r="CSC1" s="15" t="str">
        <f t="shared" si="58"/>
        <v>23*</v>
      </c>
      <c r="CSD1" s="15" t="str">
        <f t="shared" si="58"/>
        <v>24*</v>
      </c>
      <c r="CSE1" s="15" t="str">
        <f t="shared" si="58"/>
        <v>25*</v>
      </c>
      <c r="CSF1" s="15" t="str">
        <f t="shared" si="58"/>
        <v>26*</v>
      </c>
      <c r="CSG1" s="15" t="str">
        <f t="shared" si="58"/>
        <v>27*</v>
      </c>
      <c r="CSH1" s="15" t="str">
        <f t="shared" si="58"/>
        <v>28*</v>
      </c>
      <c r="CSI1" s="15" t="str">
        <f t="shared" si="58"/>
        <v>29*</v>
      </c>
      <c r="CSJ1" s="15" t="str">
        <f t="shared" si="58"/>
        <v>30*</v>
      </c>
      <c r="CSK1" s="23" t="s">
        <v>1335</v>
      </c>
      <c r="CSL1" s="14">
        <v>1</v>
      </c>
      <c r="CSM1" s="14">
        <v>2</v>
      </c>
      <c r="CSN1" s="14">
        <v>3</v>
      </c>
      <c r="CSO1" s="14">
        <v>4</v>
      </c>
      <c r="CSP1" s="14">
        <v>5</v>
      </c>
      <c r="CSQ1" s="20">
        <v>6</v>
      </c>
      <c r="CSR1" s="14">
        <v>7</v>
      </c>
      <c r="CSS1" s="14">
        <v>8</v>
      </c>
      <c r="CST1" s="14">
        <v>9</v>
      </c>
      <c r="CSU1" s="14">
        <v>10</v>
      </c>
      <c r="CSV1" s="14">
        <v>11</v>
      </c>
      <c r="CSW1" s="14">
        <v>12</v>
      </c>
      <c r="CSX1" s="14">
        <v>13</v>
      </c>
      <c r="CSY1" s="14">
        <v>14</v>
      </c>
      <c r="CSZ1" s="14">
        <v>15</v>
      </c>
      <c r="CTA1" s="14">
        <v>16</v>
      </c>
      <c r="CTB1" s="14">
        <v>17</v>
      </c>
      <c r="CTC1" s="14">
        <v>18</v>
      </c>
      <c r="CTD1" s="14">
        <v>19</v>
      </c>
      <c r="CTE1" s="14">
        <v>20</v>
      </c>
      <c r="CTF1" s="14">
        <v>21</v>
      </c>
      <c r="CTG1" s="14">
        <v>22</v>
      </c>
      <c r="CTH1" s="14">
        <v>23</v>
      </c>
      <c r="CTI1" s="14">
        <v>24</v>
      </c>
      <c r="CTJ1" s="14">
        <v>25</v>
      </c>
      <c r="CTK1" s="14">
        <v>26</v>
      </c>
      <c r="CTL1" s="14">
        <v>27</v>
      </c>
      <c r="CTM1" s="14">
        <v>28</v>
      </c>
      <c r="CTN1" s="14">
        <v>29</v>
      </c>
      <c r="CTO1" s="14">
        <v>30</v>
      </c>
      <c r="CTP1" s="14">
        <v>31</v>
      </c>
      <c r="CTQ1" s="14">
        <v>32</v>
      </c>
      <c r="CTR1" s="14">
        <v>33</v>
      </c>
      <c r="CTS1" s="14">
        <v>34</v>
      </c>
      <c r="CTT1" s="14">
        <v>35</v>
      </c>
      <c r="CTU1" s="14">
        <v>36</v>
      </c>
      <c r="CTV1" s="14">
        <v>37</v>
      </c>
      <c r="CTW1" s="14">
        <v>38</v>
      </c>
      <c r="CTX1" s="14">
        <v>39</v>
      </c>
      <c r="CTY1" s="14">
        <v>40</v>
      </c>
      <c r="CTZ1" s="36" t="s">
        <v>1335</v>
      </c>
      <c r="CUA1" s="14">
        <v>1</v>
      </c>
      <c r="CUB1" s="14">
        <v>2</v>
      </c>
      <c r="CUC1" s="14">
        <v>3</v>
      </c>
      <c r="CUD1" s="14">
        <v>4</v>
      </c>
      <c r="CUE1" s="14">
        <v>5</v>
      </c>
      <c r="CUF1" s="20">
        <v>6</v>
      </c>
      <c r="CUG1" s="14">
        <v>7</v>
      </c>
      <c r="CUH1" s="14">
        <v>8</v>
      </c>
      <c r="CUI1" s="14">
        <v>9</v>
      </c>
      <c r="CUJ1" s="14">
        <v>10</v>
      </c>
      <c r="CUK1" s="14">
        <v>11</v>
      </c>
      <c r="CUL1" s="14">
        <v>12</v>
      </c>
      <c r="CUM1" s="14">
        <v>13</v>
      </c>
      <c r="CUN1" s="14">
        <v>14</v>
      </c>
      <c r="CUO1" s="14">
        <v>15</v>
      </c>
      <c r="CUP1" s="14">
        <v>16</v>
      </c>
      <c r="CUQ1" s="14">
        <v>17</v>
      </c>
      <c r="CUR1" s="14">
        <v>18</v>
      </c>
      <c r="CUS1" s="14">
        <v>19</v>
      </c>
      <c r="CUT1" s="14">
        <v>20</v>
      </c>
      <c r="CUU1" s="14">
        <v>21</v>
      </c>
      <c r="CUV1" s="14">
        <v>22</v>
      </c>
      <c r="CUW1" s="14">
        <v>23</v>
      </c>
      <c r="CUX1" s="14">
        <v>24</v>
      </c>
      <c r="CUY1" s="14">
        <v>25</v>
      </c>
      <c r="CUZ1" s="14">
        <v>26</v>
      </c>
      <c r="CVA1" s="14">
        <v>27</v>
      </c>
      <c r="CVB1" s="14">
        <v>28</v>
      </c>
      <c r="CVC1" s="14">
        <v>29</v>
      </c>
      <c r="CVD1" s="14">
        <v>30</v>
      </c>
      <c r="CVE1" s="14">
        <v>31</v>
      </c>
      <c r="CVF1" s="14">
        <v>32</v>
      </c>
      <c r="CVG1" s="14">
        <v>33</v>
      </c>
      <c r="CVH1" s="14">
        <v>34</v>
      </c>
      <c r="CVI1" s="14">
        <v>35</v>
      </c>
      <c r="CVJ1" s="14">
        <v>36</v>
      </c>
      <c r="CVK1" s="14">
        <v>37</v>
      </c>
      <c r="CVL1" s="14">
        <v>38</v>
      </c>
      <c r="CVM1" s="14">
        <v>39</v>
      </c>
      <c r="CVN1" s="14">
        <v>40</v>
      </c>
      <c r="CVO1" s="38"/>
    </row>
    <row r="2" spans="1:2616" ht="23.25" customHeight="1" x14ac:dyDescent="0.3">
      <c r="H2" s="74" t="s">
        <v>1378</v>
      </c>
      <c r="I2" s="75"/>
      <c r="J2" s="78"/>
      <c r="K2" s="78"/>
      <c r="M2" s="77" t="s">
        <v>1377</v>
      </c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CSK2" s="24" t="s">
        <v>1335</v>
      </c>
      <c r="CSL2" s="76" t="s">
        <v>1376</v>
      </c>
      <c r="CSM2" s="76"/>
      <c r="CSN2" s="76"/>
      <c r="CSO2" s="76"/>
      <c r="CSP2" s="76"/>
      <c r="CSQ2" s="76"/>
      <c r="CSR2" s="76"/>
      <c r="CSS2" s="76"/>
      <c r="CST2" s="76"/>
      <c r="CSU2" s="76"/>
      <c r="CSV2" s="76"/>
      <c r="CSW2" s="76"/>
      <c r="CSX2" s="76"/>
      <c r="CSY2" s="76"/>
      <c r="CSZ2" s="76"/>
      <c r="CTA2" s="76"/>
      <c r="CTB2" s="76"/>
      <c r="CTC2" s="76"/>
      <c r="CTD2" s="76"/>
      <c r="CTE2" s="76"/>
      <c r="CTF2" s="76"/>
      <c r="CTG2" s="76"/>
      <c r="CTH2" s="76"/>
      <c r="CTI2" s="76"/>
      <c r="CTJ2" s="76"/>
      <c r="CTK2" s="76"/>
      <c r="CTL2" s="76"/>
      <c r="CTM2" s="76"/>
      <c r="CTN2" s="76"/>
      <c r="CTO2" s="76"/>
      <c r="CTP2" s="76"/>
      <c r="CTQ2" s="76"/>
      <c r="CTR2" s="76"/>
      <c r="CTS2" s="76"/>
      <c r="CTT2" s="76"/>
      <c r="CTU2" s="76"/>
      <c r="CTV2" s="76"/>
      <c r="CTW2" s="76"/>
      <c r="CTX2" s="76"/>
      <c r="CTY2" s="76"/>
      <c r="CTZ2" s="39"/>
      <c r="CUA2" s="73" t="s">
        <v>2256</v>
      </c>
      <c r="CUB2" s="73"/>
      <c r="CUC2" s="73"/>
      <c r="CUD2" s="73"/>
      <c r="CUE2" s="73"/>
      <c r="CUF2" s="73"/>
      <c r="CUG2" s="73"/>
      <c r="CUH2" s="73"/>
      <c r="CUI2" s="73"/>
      <c r="CUJ2" s="73"/>
      <c r="CUK2" s="73"/>
      <c r="CUL2" s="73"/>
      <c r="CUM2" s="73"/>
      <c r="CUN2" s="73"/>
      <c r="CUO2" s="73"/>
      <c r="CUP2" s="73"/>
      <c r="CUQ2" s="73"/>
      <c r="CUR2" s="73"/>
      <c r="CUS2" s="73"/>
      <c r="CUT2" s="73"/>
      <c r="CUU2" s="73"/>
      <c r="CUV2" s="73"/>
      <c r="CUW2" s="73"/>
      <c r="CUX2" s="73"/>
      <c r="CUY2" s="73"/>
      <c r="CUZ2" s="73"/>
      <c r="CVA2" s="73"/>
      <c r="CVB2" s="73"/>
      <c r="CVC2" s="73"/>
      <c r="CVD2" s="73"/>
      <c r="CVE2" s="73"/>
      <c r="CVF2" s="73"/>
      <c r="CVG2" s="73"/>
      <c r="CVH2" s="73"/>
      <c r="CVI2" s="73"/>
      <c r="CVJ2" s="73"/>
      <c r="CVK2" s="73"/>
      <c r="CVL2" s="73"/>
      <c r="CVM2" s="73"/>
      <c r="CVN2" s="73"/>
    </row>
    <row r="3" spans="1:2616" ht="23.25" customHeight="1" x14ac:dyDescent="0.3">
      <c r="H3" s="75"/>
      <c r="I3" s="75"/>
      <c r="J3" s="78"/>
      <c r="K3" s="78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17"/>
      <c r="BB3" s="18">
        <f>IF(BA4&gt;0,BB4/BA4,"")</f>
        <v>1</v>
      </c>
      <c r="BC3" s="18">
        <f>IF(BA4&gt;0,BC4/BA4,"")</f>
        <v>0.58333333333333337</v>
      </c>
      <c r="BD3" s="18">
        <f>IF(BA4&gt;0,BD4/BA4,"")</f>
        <v>8.3333333333333329E-2</v>
      </c>
      <c r="BE3" s="18">
        <f>IF(BA4&gt;0,BE4/BA4,"")</f>
        <v>0</v>
      </c>
      <c r="BF3" s="18">
        <f>IF(BA4&gt;0,BF4/BA4,"")</f>
        <v>0.66666666666666663</v>
      </c>
      <c r="BG3" s="18">
        <f>IF(BA4&gt;0,BG4/BA4,"")</f>
        <v>0.5</v>
      </c>
      <c r="BH3" s="18">
        <f>IF(BA4&gt;0,BH4/BA4,"")</f>
        <v>0.75</v>
      </c>
      <c r="BI3" s="18">
        <f>IF(BA4&gt;0,BI4/BA4,"")</f>
        <v>0</v>
      </c>
      <c r="BJ3" s="18">
        <f>IF(BA4&gt;0,BJ4/BA4,"")</f>
        <v>0</v>
      </c>
      <c r="BK3" s="18">
        <f>IF(BA4&gt;0,BK4/BA4,"")</f>
        <v>0</v>
      </c>
      <c r="BL3" s="18">
        <f>IF(BA4&gt;0,BL4/BA4,"")</f>
        <v>0</v>
      </c>
      <c r="BM3" s="18">
        <f>IF(BA4&gt;0,BM4/BA4,"")</f>
        <v>0.75</v>
      </c>
      <c r="BN3" s="18">
        <f>IF(BA4&gt;0,BN4/BA4,"")</f>
        <v>0.66666666666666663</v>
      </c>
      <c r="BO3" s="18">
        <f>IF(BA4&gt;0,BO4/BA4,"")</f>
        <v>0.25</v>
      </c>
      <c r="BP3" s="18">
        <f>IF(BA4&gt;0,BP4/BA4,"")</f>
        <v>0.66666666666666663</v>
      </c>
      <c r="BQ3" s="18">
        <f>IF(BA4&gt;0,BQ4/BA4,"")</f>
        <v>0.41666666666666669</v>
      </c>
      <c r="BR3" s="18">
        <f>IF(BA4&gt;0,BR4/BA4,"")</f>
        <v>0.33333333333333331</v>
      </c>
      <c r="BS3" s="18">
        <f>IF(BA4&gt;0,BS4/BA4,"")</f>
        <v>0.41666666666666669</v>
      </c>
      <c r="BT3" s="18">
        <f>IF(BA4&gt;0,BT4/BA4,"")</f>
        <v>0</v>
      </c>
      <c r="BU3" s="18">
        <f>IF(BA4&gt;0,BU4/BA4,"")</f>
        <v>0</v>
      </c>
      <c r="BV3" s="18">
        <f>IF(BA4&gt;0,BV4/BA4,"")</f>
        <v>0</v>
      </c>
      <c r="BW3" s="18">
        <f>IF(BA4&gt;0,BW4/BA4,"")</f>
        <v>0</v>
      </c>
      <c r="BX3" s="18">
        <f>IF(BA4&gt;0,BX4/BA4,"")</f>
        <v>0</v>
      </c>
      <c r="BY3" s="18">
        <f>IF(BA4&gt;0,BY4/BA4,"")</f>
        <v>0</v>
      </c>
      <c r="BZ3" s="18">
        <f>IF(BA4&gt;0,BZ4/BA4,"")</f>
        <v>0</v>
      </c>
      <c r="CA3" s="18">
        <f>IF(BA4&gt;0,CA4/BA4,"")</f>
        <v>0</v>
      </c>
      <c r="CB3" s="18">
        <f>IF(BA4&gt;0,CB4/BA4,"")</f>
        <v>0</v>
      </c>
      <c r="CC3" s="18">
        <f>IF(BA4&gt;0,CC4/BA4,"")</f>
        <v>0</v>
      </c>
      <c r="CD3" s="18">
        <f>IF(BA4&gt;0,CD4/BA4,"")</f>
        <v>0</v>
      </c>
      <c r="CE3" s="18">
        <f>IF(BA4&gt;0,CE4/BA4,"")</f>
        <v>0</v>
      </c>
      <c r="CG3" s="18" t="str">
        <f>IF(CF4&gt;0,CG4/CF4,"")</f>
        <v/>
      </c>
      <c r="CH3" s="18" t="str">
        <f>IF(CF4&gt;0,CH4/CF4,"")</f>
        <v/>
      </c>
      <c r="CI3" s="18" t="str">
        <f>IF(CF4&gt;0,CI4/CF4,"")</f>
        <v/>
      </c>
      <c r="CJ3" s="18" t="str">
        <f>IF(CF4&gt;0,CJ4/CF4,"")</f>
        <v/>
      </c>
      <c r="CK3" s="18" t="str">
        <f>IF(CF4&gt;0,CK4/CF4,"")</f>
        <v/>
      </c>
      <c r="CL3" s="18" t="str">
        <f>IF(CF4&gt;0,CL4/CF4,"")</f>
        <v/>
      </c>
      <c r="CM3" s="18" t="str">
        <f>IF(CF4&gt;0,CM4/CF4,"")</f>
        <v/>
      </c>
      <c r="CN3" s="18" t="str">
        <f>IF(CF4&gt;0,CN4/CF4,"")</f>
        <v/>
      </c>
      <c r="CO3" s="18" t="str">
        <f>IF(CF4&gt;0,CO4/CF4,"")</f>
        <v/>
      </c>
      <c r="CP3" s="18" t="str">
        <f>IF(CF4&gt;0,CP4/CF4,"")</f>
        <v/>
      </c>
      <c r="CQ3" s="18" t="str">
        <f>IF(CF4&gt;0,CQ4/CF4,"")</f>
        <v/>
      </c>
      <c r="CR3" s="18" t="str">
        <f>IF(CF4&gt;0,CR4/CF4,"")</f>
        <v/>
      </c>
      <c r="CS3" s="18" t="str">
        <f>IF(CF4&gt;0,CS4/CF4,"")</f>
        <v/>
      </c>
      <c r="CT3" s="18" t="str">
        <f>IF(CF4&gt;0,CT4/CF4,"")</f>
        <v/>
      </c>
      <c r="CU3" s="18" t="str">
        <f>IF(CF4&gt;0,CU4/CF4,"")</f>
        <v/>
      </c>
      <c r="CV3" s="18" t="str">
        <f>IF(CF4&gt;0,CV4/CF4,"")</f>
        <v/>
      </c>
      <c r="CW3" s="18" t="str">
        <f>IF(CF4&gt;0,CW4/CF4,"")</f>
        <v/>
      </c>
      <c r="CX3" s="18" t="str">
        <f>IF(CF4&gt;0,CX4/CF4,"")</f>
        <v/>
      </c>
      <c r="CY3" s="18" t="str">
        <f>IF(CF4&gt;0,CY4/CF4,"")</f>
        <v/>
      </c>
      <c r="CZ3" s="18" t="str">
        <f>IF(CF4&gt;0,CZ4/CF4,"")</f>
        <v/>
      </c>
      <c r="DA3" s="18" t="str">
        <f>IF(CF4&gt;0,DA4/CF4,"")</f>
        <v/>
      </c>
      <c r="DB3" s="18" t="str">
        <f>IF(CF4&gt;0,DB4/CF4,"")</f>
        <v/>
      </c>
      <c r="DC3" s="18" t="str">
        <f>IF(CF4&gt;0,DC4/CF4,"")</f>
        <v/>
      </c>
      <c r="DD3" s="18" t="str">
        <f>IF(CF4&gt;0,DD4/CF4,"")</f>
        <v/>
      </c>
      <c r="DE3" s="18" t="str">
        <f>IF(CF4&gt;0,DE4/CF4,"")</f>
        <v/>
      </c>
      <c r="DF3" s="18" t="str">
        <f>IF(CF4&gt;0,DF4/CF4,"")</f>
        <v/>
      </c>
      <c r="DG3" s="18" t="str">
        <f>IF(CF4&gt;0,DG4/CF4,"")</f>
        <v/>
      </c>
      <c r="DH3" s="18" t="str">
        <f>IF(CF4&gt;0,DH4/CF4,"")</f>
        <v/>
      </c>
      <c r="DI3" s="18" t="str">
        <f>IF(CF4&gt;0,DI4/CF4,"")</f>
        <v/>
      </c>
      <c r="DJ3" s="18" t="str">
        <f>IF(CF4&gt;0,DJ4/CF4,"")</f>
        <v/>
      </c>
      <c r="DL3" s="18">
        <f>IF(DK4&gt;0,DL4/DK4,"")</f>
        <v>0.92307692307692313</v>
      </c>
      <c r="DM3" s="18">
        <f>IF(DK4&gt;0,DM4/DK4,"")</f>
        <v>0.38461538461538464</v>
      </c>
      <c r="DN3" s="18">
        <f>IF(DK4&gt;0,DN4/DK4,"")</f>
        <v>0.76923076923076927</v>
      </c>
      <c r="DO3" s="18">
        <f>IF(DK4&gt;0,DO4/DK4,"")</f>
        <v>0.76923076923076927</v>
      </c>
      <c r="DP3" s="18">
        <f>IF(DK4&gt;0,DP4/DK4,"")</f>
        <v>0.84615384615384615</v>
      </c>
      <c r="DQ3" s="18">
        <f>IF(DK4&gt;0,DQ4/DK4,"")</f>
        <v>0.23076923076923078</v>
      </c>
      <c r="DR3" s="18">
        <f>IF(DK4&gt;0,DR4/DK4,"")</f>
        <v>0.69230769230769229</v>
      </c>
      <c r="DS3" s="18">
        <f>IF(DK4&gt;0,DS4/DK4,"")</f>
        <v>0.76923076923076927</v>
      </c>
      <c r="DT3" s="18">
        <f>IF(DK4&gt;0,DT4/DK4,"")</f>
        <v>0.23076923076923078</v>
      </c>
      <c r="DU3" s="18">
        <f>IF(DK4&gt;0,DU4/DK4,"")</f>
        <v>0.15384615384615385</v>
      </c>
      <c r="DV3" s="18">
        <f>IF(DK4&gt;0,DV4/DK4,"")</f>
        <v>0.23076923076923078</v>
      </c>
      <c r="DW3" s="18">
        <f>IF(DK4&gt;0,DW4/DK4,"")</f>
        <v>0.15384615384615385</v>
      </c>
      <c r="DX3" s="18">
        <f>IF(DK4&gt;0,DX4/DK4,"")</f>
        <v>0</v>
      </c>
      <c r="DY3" s="18">
        <f>IF(DK4&gt;0,DY4/DK4,"")</f>
        <v>0</v>
      </c>
      <c r="DZ3" s="18">
        <f>IF(DK4&gt;0,DZ4/DK4,"")</f>
        <v>0</v>
      </c>
      <c r="EA3" s="18">
        <f>IF(DK4&gt;0,EA4/DK4,"")</f>
        <v>0</v>
      </c>
      <c r="EB3" s="18">
        <f>IF(DK4&gt;0,EB4/DK4,"")</f>
        <v>0</v>
      </c>
      <c r="EC3" s="18">
        <f>IF(DK4&gt;0,EC4/DK4,"")</f>
        <v>0</v>
      </c>
      <c r="ED3" s="18">
        <f>IF(DK4&gt;0,ED4/DK4,"")</f>
        <v>0</v>
      </c>
      <c r="EE3" s="18">
        <f>IF(DK4&gt;0,EE4/DK4,"")</f>
        <v>0</v>
      </c>
      <c r="EF3" s="18">
        <f>IF(DK4&gt;0,EF4/DK4,"")</f>
        <v>0</v>
      </c>
      <c r="EG3" s="18">
        <f>IF(DK4&gt;0,EG4/DK4,"")</f>
        <v>0</v>
      </c>
      <c r="EH3" s="18">
        <f>IF(DK4&gt;0,EH4/DK4,"")</f>
        <v>0</v>
      </c>
      <c r="EI3" s="18">
        <f>IF(DK4&gt;0,EI4/DK4,"")</f>
        <v>0</v>
      </c>
      <c r="EJ3" s="18">
        <f>IF(DK4&gt;0,EJ4/DK4,"")</f>
        <v>0</v>
      </c>
      <c r="EK3" s="18">
        <f>IF(DK4&gt;0,EK4/DK4,"")</f>
        <v>0</v>
      </c>
      <c r="EL3" s="18">
        <f>IF(DK4&gt;0,EL4/DK4,"")</f>
        <v>0</v>
      </c>
      <c r="EM3" s="18">
        <f>IF(DK4&gt;0,EM4/DK4,"")</f>
        <v>0</v>
      </c>
      <c r="EN3" s="18">
        <f>IF(DK4&gt;0,EN4/DK4,"")</f>
        <v>0</v>
      </c>
      <c r="EO3" s="18">
        <f>IF(DK4&gt;0,EO4/DK4,"")</f>
        <v>0</v>
      </c>
      <c r="EQ3" s="18">
        <f>IF(EP4&gt;0,EQ4/EP4,"")</f>
        <v>0</v>
      </c>
      <c r="ER3" s="18">
        <f>IF(EP4&gt;0,ER4/EP4,"")</f>
        <v>0</v>
      </c>
      <c r="ES3" s="18">
        <f>IF(EP4&gt;0,ES4/EP4,"")</f>
        <v>1</v>
      </c>
      <c r="ET3" s="18">
        <f>IF(EP4&gt;0,ET4/EP4,"")</f>
        <v>0</v>
      </c>
      <c r="EU3" s="18">
        <f>IF(EP4&gt;0,EU4/EP4,"")</f>
        <v>0.5</v>
      </c>
      <c r="EV3" s="18">
        <f>IF(EP4&gt;0,EV4/EP4,"")</f>
        <v>0.5</v>
      </c>
      <c r="EW3" s="18">
        <f>IF(EP4&gt;0,EW4/EP4,"")</f>
        <v>0.5</v>
      </c>
      <c r="EX3" s="18">
        <f>IF(EP4&gt;0,EX4/EP4,"")</f>
        <v>0</v>
      </c>
      <c r="EY3" s="18">
        <f>IF(EP4&gt;0,EY4/EP4,"")</f>
        <v>0</v>
      </c>
      <c r="EZ3" s="18">
        <f>IF(EP4&gt;0,EZ4/EP4,"")</f>
        <v>0</v>
      </c>
      <c r="FA3" s="18">
        <f>IF(EP4&gt;0,FA4/EP4,"")</f>
        <v>0</v>
      </c>
      <c r="FB3" s="18">
        <f>IF(EP4&gt;0,FB4/EP4,"")</f>
        <v>0</v>
      </c>
      <c r="FC3" s="18">
        <f>IF(EP4&gt;0,FC4/EP4,"")</f>
        <v>0</v>
      </c>
      <c r="FD3" s="18">
        <f>IF(EP4&gt;0,FD4/EP4,"")</f>
        <v>0</v>
      </c>
      <c r="FE3" s="18">
        <f>IF(EP4&gt;0,FE4/EP4,"")</f>
        <v>0</v>
      </c>
      <c r="FF3" s="18">
        <f>IF(EP4&gt;0,FF4/EP4,"")</f>
        <v>0</v>
      </c>
      <c r="FG3" s="18">
        <f>IF(EP4&gt;0,FG4/EP4,"")</f>
        <v>0</v>
      </c>
      <c r="FH3" s="18">
        <f>IF(EP4&gt;0,FH4/EP4,"")</f>
        <v>0</v>
      </c>
      <c r="FI3" s="18">
        <f>IF(EP4&gt;0,FI4/EP4,"")</f>
        <v>0</v>
      </c>
      <c r="FJ3" s="18">
        <f>IF(EP4&gt;0,FJ4/EP4,"")</f>
        <v>0</v>
      </c>
      <c r="FK3" s="18">
        <f>IF(EP4&gt;0,FK4/EP4,"")</f>
        <v>0</v>
      </c>
      <c r="FL3" s="18">
        <f>IF(EP4&gt;0,FL4/EP4,"")</f>
        <v>0</v>
      </c>
      <c r="FM3" s="18">
        <f>IF(EP4&gt;0,FM4/EP4,"")</f>
        <v>0</v>
      </c>
      <c r="FN3" s="18">
        <f>IF(EP4&gt;0,FN4/EP4,"")</f>
        <v>0</v>
      </c>
      <c r="FO3" s="18">
        <f>IF(EP4&gt;0,FO4/EP4,"")</f>
        <v>0</v>
      </c>
      <c r="FP3" s="18">
        <f>IF(EP4&gt;0,FP4/EP4,"")</f>
        <v>0</v>
      </c>
      <c r="FQ3" s="18">
        <f>IF(EP4&gt;0,FQ4/EP4,"")</f>
        <v>0</v>
      </c>
      <c r="FR3" s="18">
        <f>IF(EP4&gt;0,FR4/EP4,"")</f>
        <v>0</v>
      </c>
      <c r="FS3" s="18">
        <f>IF(EP4&gt;0,FS4/EP4,"")</f>
        <v>0</v>
      </c>
      <c r="FT3" s="18">
        <f>IF(EP4&gt;0,FT4/EP4,"")</f>
        <v>0</v>
      </c>
      <c r="FV3" s="18">
        <f>IF(FU4&gt;0,FV4/FU4,"")</f>
        <v>0.63636363636363635</v>
      </c>
      <c r="FW3" s="18">
        <f>IF(FU4&gt;0,FW4/FU4,"")</f>
        <v>0.45454545454545453</v>
      </c>
      <c r="FX3" s="18">
        <f>IF(FU4&gt;0,FX4/FU4,"")</f>
        <v>0.45454545454545453</v>
      </c>
      <c r="FY3" s="18">
        <f>IF(FU4&gt;0,FY4/FU4,"")</f>
        <v>0.54545454545454541</v>
      </c>
      <c r="FZ3" s="18">
        <f>IF(FU4&gt;0,FZ4/FU4,"")</f>
        <v>0.54545454545454541</v>
      </c>
      <c r="GA3" s="18">
        <f>IF(FU4&gt;0,GA4/FU4,"")</f>
        <v>0.54545454545454541</v>
      </c>
      <c r="GB3" s="18">
        <f>IF(FU4&gt;0,GB4/FU4,"")</f>
        <v>0.54545454545454541</v>
      </c>
      <c r="GC3" s="18">
        <f>IF(FU4&gt;0,GC4/FU4,"")</f>
        <v>0.63636363636363635</v>
      </c>
      <c r="GD3" s="18">
        <f>IF(FU4&gt;0,GD4/FU4,"")</f>
        <v>0.63636363636363635</v>
      </c>
      <c r="GE3" s="18">
        <f>IF(FU4&gt;0,GE4/FU4,"")</f>
        <v>0.45454545454545453</v>
      </c>
      <c r="GF3" s="18">
        <f>IF(FU4&gt;0,GF4/FU4,"")</f>
        <v>9.0909090909090912E-2</v>
      </c>
      <c r="GG3" s="18">
        <f>IF(FU4&gt;0,GG4/FU4,"")</f>
        <v>9.0909090909090912E-2</v>
      </c>
      <c r="GH3" s="18">
        <f>IF(FU4&gt;0,GH4/FU4,"")</f>
        <v>0</v>
      </c>
      <c r="GI3" s="18">
        <f>IF(FU4&gt;0,GI4/FU4,"")</f>
        <v>0</v>
      </c>
      <c r="GJ3" s="18">
        <f>IF(FU4&gt;0,GJ4/FU4,"")</f>
        <v>0</v>
      </c>
      <c r="GK3" s="18">
        <f>IF(FU4&gt;0,GK4/FU4,"")</f>
        <v>0</v>
      </c>
      <c r="GL3" s="18">
        <f>IF(FU4&gt;0,GL4/FU4,"")</f>
        <v>0</v>
      </c>
      <c r="GM3" s="18">
        <f>IF(FU4&gt;0,GM4/FU4,"")</f>
        <v>0</v>
      </c>
      <c r="GN3" s="18">
        <f>IF(FU4&gt;0,GN4/FU4,"")</f>
        <v>0</v>
      </c>
      <c r="GO3" s="18">
        <f>IF(FU4&gt;0,GO4/FU4,"")</f>
        <v>0</v>
      </c>
      <c r="GP3" s="18">
        <f>IF(FU4&gt;0,GP4/FU4,"")</f>
        <v>0</v>
      </c>
      <c r="GQ3" s="18">
        <f>IF(FU4&gt;0,GQ4/FU4,"")</f>
        <v>0</v>
      </c>
      <c r="GR3" s="18">
        <f>IF(FU4&gt;0,GR4/FU4,"")</f>
        <v>0</v>
      </c>
      <c r="GS3" s="18">
        <f>IF(FU4&gt;0,GS4/FU4,"")</f>
        <v>0</v>
      </c>
      <c r="GT3" s="18">
        <f>IF(FU4&gt;0,GT4/FU4,"")</f>
        <v>0</v>
      </c>
      <c r="GU3" s="18">
        <f>IF(FU4&gt;0,GU4/FU4,"")</f>
        <v>0</v>
      </c>
      <c r="GV3" s="18">
        <f>IF(FU4&gt;0,GV4/FU4,"")</f>
        <v>0</v>
      </c>
      <c r="GW3" s="18">
        <f>IF(FU4&gt;0,GW4/FU4,"")</f>
        <v>0</v>
      </c>
      <c r="GX3" s="18">
        <f>IF(FU4&gt;0,GX4/FU4,"")</f>
        <v>0</v>
      </c>
      <c r="GY3" s="18">
        <f>IF(FU4&gt;0,GY4/FU4,"")</f>
        <v>0</v>
      </c>
      <c r="HA3" s="18">
        <f>IF(GZ4&gt;0,HA4/GZ4,"")</f>
        <v>1</v>
      </c>
      <c r="HB3" s="18">
        <f>IF(GZ4&gt;0,HB4/GZ4,"")</f>
        <v>0</v>
      </c>
      <c r="HC3" s="18">
        <f>IF(GZ4&gt;0,HC4/GZ4,"")</f>
        <v>0</v>
      </c>
      <c r="HD3" s="18">
        <f>IF(GZ4&gt;0,HD4/GZ4,"")</f>
        <v>0</v>
      </c>
      <c r="HE3" s="18">
        <f>IF(GZ4&gt;0,HE4/GZ4,"")</f>
        <v>0</v>
      </c>
      <c r="HF3" s="18">
        <f>IF(GZ4&gt;0,HF4/GZ4,"")</f>
        <v>0</v>
      </c>
      <c r="HG3" s="18">
        <f>IF(GZ4&gt;0,HG4/GZ4,"")</f>
        <v>1</v>
      </c>
      <c r="HH3" s="18">
        <f>IF(GZ4&gt;0,HH4/GZ4,"")</f>
        <v>0</v>
      </c>
      <c r="HI3" s="18">
        <f>IF(GZ4&gt;0,HI4/GZ4,"")</f>
        <v>0</v>
      </c>
      <c r="HJ3" s="18">
        <f>IF(GZ4&gt;0,HJ4/GZ4,"")</f>
        <v>0</v>
      </c>
      <c r="HK3" s="18">
        <f>IF(GZ4&gt;0,HK4/GZ4,"")</f>
        <v>0</v>
      </c>
      <c r="HL3" s="18">
        <f>IF(GZ4&gt;0,HL4/GZ4,"")</f>
        <v>0</v>
      </c>
      <c r="HM3" s="18">
        <f>IF(GZ4&gt;0,HM4/GZ4,"")</f>
        <v>0</v>
      </c>
      <c r="HN3" s="18">
        <f>IF(GZ4&gt;0,HN4/GZ4,"")</f>
        <v>0</v>
      </c>
      <c r="HO3" s="18">
        <f>IF(GZ4&gt;0,HO4/GZ4,"")</f>
        <v>0</v>
      </c>
      <c r="HP3" s="18">
        <f>IF(GZ4&gt;0,HP4/GZ4,"")</f>
        <v>0</v>
      </c>
      <c r="HQ3" s="18">
        <f>IF(GZ4&gt;0,HQ4/GZ4,"")</f>
        <v>0</v>
      </c>
      <c r="HR3" s="18">
        <f>IF(GZ4&gt;0,HR4/GZ4,"")</f>
        <v>0</v>
      </c>
      <c r="HS3" s="18">
        <f>IF(GZ4&gt;0,HS4/GZ4,"")</f>
        <v>0</v>
      </c>
      <c r="HT3" s="18">
        <f>IF(GZ4&gt;0,HT4/GZ4,"")</f>
        <v>0</v>
      </c>
      <c r="HU3" s="18">
        <f>IF(GZ4&gt;0,HU4/GZ4,"")</f>
        <v>0</v>
      </c>
      <c r="HV3" s="18">
        <f>IF(GZ4&gt;0,HV4/GZ4,"")</f>
        <v>0</v>
      </c>
      <c r="HW3" s="18">
        <f>IF(GZ4&gt;0,HW4/GZ4,"")</f>
        <v>0</v>
      </c>
      <c r="HX3" s="18">
        <f>IF(GZ4&gt;0,HX4/GZ4,"")</f>
        <v>0</v>
      </c>
      <c r="HY3" s="18">
        <f>IF(GZ4&gt;0,HY4/GZ4,"")</f>
        <v>0</v>
      </c>
      <c r="HZ3" s="18">
        <f>IF(GZ4&gt;0,HZ4/GZ4,"")</f>
        <v>0</v>
      </c>
      <c r="IA3" s="18">
        <f>IF(GZ4&gt;0,IA4/GZ4,"")</f>
        <v>0</v>
      </c>
      <c r="IB3" s="18">
        <f>IF(GZ4&gt;0,IB4/GZ4,"")</f>
        <v>0</v>
      </c>
      <c r="IC3" s="18">
        <f>IF(GZ4&gt;0,IC4/GZ4,"")</f>
        <v>0</v>
      </c>
      <c r="ID3" s="18">
        <f>IF(GZ4&gt;0,ID4/GZ4,"")</f>
        <v>0</v>
      </c>
      <c r="IF3" s="18">
        <f>IF(IE4&gt;0,IF4/IE4,"")</f>
        <v>0.375</v>
      </c>
      <c r="IG3" s="18">
        <f>IF(IE4&gt;0,IG4/IE4,"")</f>
        <v>0.375</v>
      </c>
      <c r="IH3" s="18">
        <f>IF(IE4&gt;0,IH4/IE4,"")</f>
        <v>0.375</v>
      </c>
      <c r="II3" s="18">
        <f>IF(IE4&gt;0,II4/IE4,"")</f>
        <v>0.375</v>
      </c>
      <c r="IJ3" s="18">
        <f>IF(IE4&gt;0,IJ4/IE4,"")</f>
        <v>0.375</v>
      </c>
      <c r="IK3" s="18">
        <f>IF(IE4&gt;0,IK4/IE4,"")</f>
        <v>0.1875</v>
      </c>
      <c r="IL3" s="18">
        <f>IF(IE4&gt;0,IL4/IE4,"")</f>
        <v>0.3125</v>
      </c>
      <c r="IM3" s="18">
        <f>IF(IE4&gt;0,IM4/IE4,"")</f>
        <v>6.25E-2</v>
      </c>
      <c r="IN3" s="18">
        <f>IF(IE4&gt;0,IN4/IE4,"")</f>
        <v>0.5</v>
      </c>
      <c r="IO3" s="18">
        <f>IF(IE4&gt;0,IO4/IE4,"")</f>
        <v>6.25E-2</v>
      </c>
      <c r="IP3" s="18">
        <f>IF(IE4&gt;0,IP4/IE4,"")</f>
        <v>0.1875</v>
      </c>
      <c r="IQ3" s="18">
        <f>IF(IE4&gt;0,IQ4/IE4,"")</f>
        <v>0.3125</v>
      </c>
      <c r="IR3" s="18">
        <f>IF(IE4&gt;0,IR4/IE4,"")</f>
        <v>0.125</v>
      </c>
      <c r="IS3" s="18">
        <f>IF(IE4&gt;0,IS4/IE4,"")</f>
        <v>6.25E-2</v>
      </c>
      <c r="IT3" s="18">
        <f>IF(IE4&gt;0,IT4/IE4,"")</f>
        <v>0.125</v>
      </c>
      <c r="IU3" s="18">
        <f>IF(IE4&gt;0,IU4/IE4,"")</f>
        <v>6.25E-2</v>
      </c>
      <c r="IV3" s="18">
        <f>IF(IE4&gt;0,IV4/IE4,"")</f>
        <v>6.25E-2</v>
      </c>
      <c r="IW3" s="18">
        <f>IF(IE4&gt;0,IW4/IE4,"")</f>
        <v>0</v>
      </c>
      <c r="IX3" s="18">
        <f>IF(IE4&gt;0,IX4/IE4,"")</f>
        <v>0</v>
      </c>
      <c r="IY3" s="18">
        <f>IF(IE4&gt;0,IY4/IE4,"")</f>
        <v>0</v>
      </c>
      <c r="IZ3" s="18">
        <f>IF(IE4&gt;0,IZ4/IE4,"")</f>
        <v>0</v>
      </c>
      <c r="JA3" s="18">
        <f>IF(IE4&gt;0,JA4/IE4,"")</f>
        <v>0</v>
      </c>
      <c r="JB3" s="18">
        <f>IF(IE4&gt;0,JB4/IE4,"")</f>
        <v>0</v>
      </c>
      <c r="JC3" s="18">
        <f>IF(IE4&gt;0,JC4/IE4,"")</f>
        <v>0</v>
      </c>
      <c r="JD3" s="18">
        <f>IF(IE4&gt;0,JD4/IE4,"")</f>
        <v>0</v>
      </c>
      <c r="JE3" s="18">
        <f>IF(IE4&gt;0,JE4/IE4,"")</f>
        <v>0</v>
      </c>
      <c r="JF3" s="18">
        <f>IF(IE4&gt;0,JF4/IE4,"")</f>
        <v>0</v>
      </c>
      <c r="JG3" s="18">
        <f>IF(IE4&gt;0,JG4/IE4,"")</f>
        <v>0</v>
      </c>
      <c r="JH3" s="18">
        <f>IF(IE4&gt;0,JH4/IE4,"")</f>
        <v>0</v>
      </c>
      <c r="JI3" s="18">
        <f>IF(IE4&gt;0,JI4/IE4,"")</f>
        <v>0</v>
      </c>
      <c r="JK3" s="18">
        <f>IF(JJ4&gt;0,JK4/JJ4,"")</f>
        <v>1</v>
      </c>
      <c r="JL3" s="18">
        <f>IF(JJ4&gt;0,JL4/JJ4,"")</f>
        <v>0</v>
      </c>
      <c r="JM3" s="18">
        <f>IF(JJ4&gt;0,JM4/JJ4,"")</f>
        <v>0</v>
      </c>
      <c r="JN3" s="18">
        <f>IF(JJ4&gt;0,JN4/JJ4,"")</f>
        <v>0</v>
      </c>
      <c r="JO3" s="18">
        <f>IF(JJ4&gt;0,JO4/JJ4,"")</f>
        <v>0.5</v>
      </c>
      <c r="JP3" s="18">
        <f>IF(JJ4&gt;0,JP4/JJ4,"")</f>
        <v>0</v>
      </c>
      <c r="JQ3" s="18">
        <f>IF(JJ4&gt;0,JQ4/JJ4,"")</f>
        <v>0</v>
      </c>
      <c r="JR3" s="18">
        <f>IF(JJ4&gt;0,JR4/JJ4,"")</f>
        <v>0.5</v>
      </c>
      <c r="JS3" s="18">
        <f>IF(JJ4&gt;0,JS4/JJ4,"")</f>
        <v>0</v>
      </c>
      <c r="JT3" s="18">
        <f>IF(JJ4&gt;0,JT4/JJ4,"")</f>
        <v>0</v>
      </c>
      <c r="JU3" s="18">
        <f>IF(JJ4&gt;0,JU4/JJ4,"")</f>
        <v>0</v>
      </c>
      <c r="JV3" s="18">
        <f>IF(JJ4&gt;0,JV4/JJ4,"")</f>
        <v>0</v>
      </c>
      <c r="JW3" s="18">
        <f>IF(JJ4&gt;0,JW4/JJ4,"")</f>
        <v>0</v>
      </c>
      <c r="JX3" s="18">
        <f>IF(JJ4&gt;0,JX4/JJ4,"")</f>
        <v>0</v>
      </c>
      <c r="JY3" s="18">
        <f>IF(JJ4&gt;0,JY4/JJ4,"")</f>
        <v>0</v>
      </c>
      <c r="JZ3" s="18">
        <f>IF(JJ4&gt;0,JZ4/JJ4,"")</f>
        <v>0</v>
      </c>
      <c r="KA3" s="18">
        <f>IF(JJ4&gt;0,KA4/JJ4,"")</f>
        <v>0</v>
      </c>
      <c r="KB3" s="18">
        <f>IF(JJ4&gt;0,KB4/JJ4,"")</f>
        <v>0</v>
      </c>
      <c r="KC3" s="18">
        <f>IF(JJ4&gt;0,KC4/JJ4,"")</f>
        <v>0</v>
      </c>
      <c r="KD3" s="18">
        <f>IF(JJ4&gt;0,KD4/JJ4,"")</f>
        <v>0</v>
      </c>
      <c r="KE3" s="18">
        <f>IF(JJ4&gt;0,KE4/JJ4,"")</f>
        <v>0</v>
      </c>
      <c r="KF3" s="18">
        <f>IF(JJ4&gt;0,KF4/JJ4,"")</f>
        <v>0</v>
      </c>
      <c r="KG3" s="18">
        <f>IF(JJ4&gt;0,KG4/JJ4,"")</f>
        <v>0</v>
      </c>
      <c r="KH3" s="18">
        <f>IF(JJ4&gt;0,KH4/JJ4,"")</f>
        <v>0</v>
      </c>
      <c r="KI3" s="18">
        <f>IF(JJ4&gt;0,KI4/JJ4,"")</f>
        <v>0</v>
      </c>
      <c r="KJ3" s="18">
        <f>IF(JJ4&gt;0,KJ4/JJ4,"")</f>
        <v>0</v>
      </c>
      <c r="KK3" s="18">
        <f>IF(JJ4&gt;0,KK4/JJ4,"")</f>
        <v>0</v>
      </c>
      <c r="KL3" s="18">
        <f>IF(JJ4&gt;0,KL4/JJ4,"")</f>
        <v>0</v>
      </c>
      <c r="KM3" s="18">
        <f>IF(JJ4&gt;0,KM4/JJ4,"")</f>
        <v>0</v>
      </c>
      <c r="KN3" s="18">
        <f>IF(JJ4&gt;0,KN4/JJ4,"")</f>
        <v>0</v>
      </c>
      <c r="KP3" s="18">
        <f>IF(KO4&gt;0,KP4/KO4,"")</f>
        <v>0.66666666666666663</v>
      </c>
      <c r="KQ3" s="18">
        <f>IF(KO4&gt;0,KQ4/KO4,"")</f>
        <v>0.33333333333333331</v>
      </c>
      <c r="KR3" s="18">
        <f>IF(KO4&gt;0,KR4/KO4,"")</f>
        <v>0.6</v>
      </c>
      <c r="KS3" s="18">
        <f>IF(KO4&gt;0,KS4/KO4,"")</f>
        <v>0.6</v>
      </c>
      <c r="KT3" s="18">
        <f>IF(KO4&gt;0,KT4/KO4,"")</f>
        <v>0.46666666666666667</v>
      </c>
      <c r="KU3" s="18">
        <f>IF(KO4&gt;0,KU4/KO4,"")</f>
        <v>0.2</v>
      </c>
      <c r="KV3" s="18">
        <f>IF(KO4&gt;0,KV4/KO4,"")</f>
        <v>0.6</v>
      </c>
      <c r="KW3" s="18">
        <f>IF(KO4&gt;0,KW4/KO4,"")</f>
        <v>0.2</v>
      </c>
      <c r="KX3" s="18">
        <f>IF(KO4&gt;0,KX4/KO4,"")</f>
        <v>0</v>
      </c>
      <c r="KY3" s="18">
        <f>IF(KO4&gt;0,KY4/KO4,"")</f>
        <v>0</v>
      </c>
      <c r="KZ3" s="18">
        <f>IF(KO4&gt;0,KZ4/KO4,"")</f>
        <v>6.6666666666666666E-2</v>
      </c>
      <c r="LA3" s="18">
        <f>IF(KO4&gt;0,LA4/KO4,"")</f>
        <v>6.6666666666666666E-2</v>
      </c>
      <c r="LB3" s="18">
        <f>IF(KO4&gt;0,LB4/KO4,"")</f>
        <v>0</v>
      </c>
      <c r="LC3" s="18">
        <f>IF(KO4&gt;0,LC4/KO4,"")</f>
        <v>0</v>
      </c>
      <c r="LD3" s="18">
        <f>IF(KO4&gt;0,LD4/KO4,"")</f>
        <v>0</v>
      </c>
      <c r="LE3" s="18">
        <f>IF(KO4&gt;0,LE4/KO4,"")</f>
        <v>0</v>
      </c>
      <c r="LF3" s="18">
        <f>IF(KO4&gt;0,LF4/KO4,"")</f>
        <v>0</v>
      </c>
      <c r="LG3" s="18">
        <f>IF(KO4&gt;0,LG4/KO4,"")</f>
        <v>0</v>
      </c>
      <c r="LH3" s="18">
        <f>IF(KO4&gt;0,LH4/KO4,"")</f>
        <v>0</v>
      </c>
      <c r="LI3" s="18">
        <f>IF(KO4&gt;0,LI4/KO4,"")</f>
        <v>0</v>
      </c>
      <c r="LJ3" s="18">
        <f>IF(KO4&gt;0,LJ4/KO4,"")</f>
        <v>0</v>
      </c>
      <c r="LK3" s="18">
        <f>IF(KO4&gt;0,LK4/KO4,"")</f>
        <v>0</v>
      </c>
      <c r="LL3" s="18">
        <f>IF(KO4&gt;0,LL4/KO4,"")</f>
        <v>0</v>
      </c>
      <c r="LM3" s="18">
        <f>IF(KO4&gt;0,LM4/KO4,"")</f>
        <v>0</v>
      </c>
      <c r="LN3" s="18">
        <f>IF(KO4&gt;0,LN4/KO4,"")</f>
        <v>0</v>
      </c>
      <c r="LO3" s="18">
        <f>IF(KO4&gt;0,LO4/KO4,"")</f>
        <v>0</v>
      </c>
      <c r="LP3" s="18">
        <f>IF(KO4&gt;0,LP4/KO4,"")</f>
        <v>0</v>
      </c>
      <c r="LQ3" s="18">
        <f>IF(KO4&gt;0,LQ4/KO4,"")</f>
        <v>0</v>
      </c>
      <c r="LR3" s="18">
        <f>IF(KO4&gt;0,LR4/KO4,"")</f>
        <v>0</v>
      </c>
      <c r="LS3" s="18">
        <f>IF(KO4&gt;0,LS4/KO4,"")</f>
        <v>0</v>
      </c>
      <c r="LU3" s="18">
        <f>IF(LT4&gt;0,LU4/LT4,"")</f>
        <v>0.5</v>
      </c>
      <c r="LV3" s="18">
        <f>IF(LT4&gt;0,LV4/LT4,"")</f>
        <v>1</v>
      </c>
      <c r="LW3" s="18">
        <f>IF(LT4&gt;0,LW4/LT4,"")</f>
        <v>0</v>
      </c>
      <c r="LX3" s="18">
        <f>IF(LT4&gt;0,LX4/LT4,"")</f>
        <v>0.5</v>
      </c>
      <c r="LY3" s="18">
        <f>IF(LT4&gt;0,LY4/LT4,"")</f>
        <v>1</v>
      </c>
      <c r="LZ3" s="18">
        <f>IF(LT4&gt;0,LZ4/LT4,"")</f>
        <v>0</v>
      </c>
      <c r="MA3" s="18">
        <f>IF(LT4&gt;0,MA4/LT4,"")</f>
        <v>0</v>
      </c>
      <c r="MB3" s="18">
        <f>IF(LT4&gt;0,MB4/LT4,"")</f>
        <v>0</v>
      </c>
      <c r="MC3" s="18">
        <f>IF(LT4&gt;0,MC4/LT4,"")</f>
        <v>0</v>
      </c>
      <c r="MD3" s="18">
        <f>IF(LT4&gt;0,MD4/LT4,"")</f>
        <v>0</v>
      </c>
      <c r="ME3" s="18">
        <f>IF(LT4&gt;0,ME4/LT4,"")</f>
        <v>0</v>
      </c>
      <c r="MF3" s="18">
        <f>IF(LT4&gt;0,MF4/LT4,"")</f>
        <v>0</v>
      </c>
      <c r="MG3" s="18">
        <f>IF(LT4&gt;0,MG4/LT4,"")</f>
        <v>0</v>
      </c>
      <c r="MH3" s="18">
        <f>IF(LT4&gt;0,MH4/LT4,"")</f>
        <v>0</v>
      </c>
      <c r="MI3" s="18">
        <f>IF(LT4&gt;0,MI4/LT4,"")</f>
        <v>0</v>
      </c>
      <c r="MJ3" s="18">
        <f>IF(LT4&gt;0,MJ4/LT4,"")</f>
        <v>0</v>
      </c>
      <c r="MK3" s="18">
        <f>IF(LT4&gt;0,MK4/LT4,"")</f>
        <v>0</v>
      </c>
      <c r="ML3" s="18">
        <f>IF(LT4&gt;0,ML4/LT4,"")</f>
        <v>0</v>
      </c>
      <c r="MM3" s="18">
        <f>IF(LT4&gt;0,MM4/LT4,"")</f>
        <v>0</v>
      </c>
      <c r="MN3" s="18">
        <f>IF(LT4&gt;0,MN4/LT4,"")</f>
        <v>0</v>
      </c>
      <c r="MO3" s="18">
        <f>IF(LT4&gt;0,MO4/LT4,"")</f>
        <v>0</v>
      </c>
      <c r="MP3" s="18">
        <f>IF(LT4&gt;0,MP4/LT4,"")</f>
        <v>0</v>
      </c>
      <c r="MQ3" s="18">
        <f>IF(LT4&gt;0,MQ4/LT4,"")</f>
        <v>0</v>
      </c>
      <c r="MR3" s="18">
        <f>IF(LT4&gt;0,MR4/LT4,"")</f>
        <v>0</v>
      </c>
      <c r="MS3" s="18">
        <f>IF(LT4&gt;0,MS4/LT4,"")</f>
        <v>0</v>
      </c>
      <c r="MT3" s="18">
        <f>IF(LT4&gt;0,MT4/LT4,"")</f>
        <v>0</v>
      </c>
      <c r="MU3" s="18">
        <f>IF(LT4&gt;0,MU4/LT4,"")</f>
        <v>0</v>
      </c>
      <c r="MV3" s="18">
        <f>IF(LT4&gt;0,MV4/LT4,"")</f>
        <v>0</v>
      </c>
      <c r="MW3" s="18">
        <f>IF(LT4&gt;0,MW4/LT4,"")</f>
        <v>0</v>
      </c>
      <c r="MX3" s="18">
        <f>IF(LT4&gt;0,MX4/LT4,"")</f>
        <v>0</v>
      </c>
      <c r="MZ3" s="18">
        <f>IF(MY4&gt;0,MZ4/MY4,"")</f>
        <v>0.7142857142857143</v>
      </c>
      <c r="NA3" s="18">
        <f>IF(MY4&gt;0,NA4/MY4,"")</f>
        <v>0.42857142857142855</v>
      </c>
      <c r="NB3" s="18">
        <f>IF(MY4&gt;0,NB4/MY4,"")</f>
        <v>0.7142857142857143</v>
      </c>
      <c r="NC3" s="18">
        <f>IF(MY4&gt;0,NC4/MY4,"")</f>
        <v>0.6428571428571429</v>
      </c>
      <c r="ND3" s="18">
        <f>IF(MY4&gt;0,ND4/MY4,"")</f>
        <v>0.5</v>
      </c>
      <c r="NE3" s="18">
        <f>IF(MY4&gt;0,NE4/MY4,"")</f>
        <v>0.35714285714285715</v>
      </c>
      <c r="NF3" s="18">
        <f>IF(MY4&gt;0,NF4/MY4,"")</f>
        <v>0.2857142857142857</v>
      </c>
      <c r="NG3" s="18">
        <f>IF(MY4&gt;0,NG4/MY4,"")</f>
        <v>0.21428571428571427</v>
      </c>
      <c r="NH3" s="18">
        <f>IF(MY4&gt;0,NH4/MY4,"")</f>
        <v>0.21428571428571427</v>
      </c>
      <c r="NI3" s="18">
        <f>IF(MY4&gt;0,NI4/MY4,"")</f>
        <v>0.14285714285714285</v>
      </c>
      <c r="NJ3" s="18">
        <f>IF(MY4&gt;0,NJ4/MY4,"")</f>
        <v>7.1428571428571425E-2</v>
      </c>
      <c r="NK3" s="18">
        <f>IF(MY4&gt;0,NK4/MY4,"")</f>
        <v>0</v>
      </c>
      <c r="NL3" s="18">
        <f>IF(MY4&gt;0,NL4/MY4,"")</f>
        <v>0.14285714285714285</v>
      </c>
      <c r="NM3" s="18">
        <f>IF(MY4&gt;0,NM4/MY4,"")</f>
        <v>0.14285714285714285</v>
      </c>
      <c r="NN3" s="18">
        <f>IF(MY4&gt;0,NN4/MY4,"")</f>
        <v>0</v>
      </c>
      <c r="NO3" s="18">
        <f>IF(MY4&gt;0,NO4/MY4,"")</f>
        <v>0</v>
      </c>
      <c r="NP3" s="18">
        <f>IF(MY4&gt;0,NP4/MY4,"")</f>
        <v>0</v>
      </c>
      <c r="NQ3" s="18">
        <f>IF(MY4&gt;0,NQ4/MY4,"")</f>
        <v>0</v>
      </c>
      <c r="NR3" s="18">
        <f>IF(MY4&gt;0,NR4/MY4,"")</f>
        <v>0</v>
      </c>
      <c r="NS3" s="18">
        <f>IF(MY4&gt;0,NS4/MY4,"")</f>
        <v>0</v>
      </c>
      <c r="NT3" s="18">
        <f>IF(MY4&gt;0,NT4/MY4,"")</f>
        <v>0</v>
      </c>
      <c r="NU3" s="18">
        <f>IF(MY4&gt;0,NU4/MY4,"")</f>
        <v>0</v>
      </c>
      <c r="NV3" s="18">
        <f>IF(MY4&gt;0,NV4/MY4,"")</f>
        <v>0</v>
      </c>
      <c r="NW3" s="18">
        <f>IF(MY4&gt;0,NW4/MY4,"")</f>
        <v>0</v>
      </c>
      <c r="NX3" s="18">
        <f>IF(MY4&gt;0,NX4/MY4,"")</f>
        <v>0</v>
      </c>
      <c r="NY3" s="18">
        <f>IF(MY4&gt;0,NY4/MY4,"")</f>
        <v>0</v>
      </c>
      <c r="NZ3" s="18">
        <f>IF(MY4&gt;0,NZ4/MY4,"")</f>
        <v>0</v>
      </c>
      <c r="OA3" s="18">
        <f>IF(MY4&gt;0,OA4/MY4,"")</f>
        <v>0</v>
      </c>
      <c r="OB3" s="18">
        <f>IF(MY4&gt;0,OB4/MY4,"")</f>
        <v>0</v>
      </c>
      <c r="OC3" s="18">
        <f>IF(MY4&gt;0,OC4/MY4,"")</f>
        <v>0</v>
      </c>
      <c r="OE3" s="18">
        <f>IF(OD4&gt;0,OE4/OD4,"")</f>
        <v>1</v>
      </c>
      <c r="OF3" s="18">
        <f>IF(OD4&gt;0,OF4/OD4,"")</f>
        <v>0.5</v>
      </c>
      <c r="OG3" s="18">
        <f>IF(OD4&gt;0,OG4/OD4,"")</f>
        <v>0.5</v>
      </c>
      <c r="OH3" s="18">
        <f>IF(OD4&gt;0,OH4/OD4,"")</f>
        <v>0</v>
      </c>
      <c r="OI3" s="18">
        <f>IF(OD4&gt;0,OI4/OD4,"")</f>
        <v>0</v>
      </c>
      <c r="OJ3" s="18">
        <f>IF(OD4&gt;0,OJ4/OD4,"")</f>
        <v>1</v>
      </c>
      <c r="OK3" s="18">
        <f>IF(OD4&gt;0,OK4/OD4,"")</f>
        <v>0.5</v>
      </c>
      <c r="OL3" s="18">
        <f>IF(OD4&gt;0,OL4/OD4,"")</f>
        <v>0</v>
      </c>
      <c r="OM3" s="18">
        <f>IF(OD4&gt;0,OM4/OD4,"")</f>
        <v>0</v>
      </c>
      <c r="ON3" s="18">
        <f>IF(OD4&gt;0,ON4/OD4,"")</f>
        <v>0.5</v>
      </c>
      <c r="OO3" s="18">
        <f>IF(OD4&gt;0,OO4/OD4,"")</f>
        <v>0.5</v>
      </c>
      <c r="OP3" s="18">
        <f>IF(OD4&gt;0,OP4/OD4,"")</f>
        <v>0</v>
      </c>
      <c r="OQ3" s="18">
        <f>IF(OD4&gt;0,OQ4/OD4,"")</f>
        <v>0</v>
      </c>
      <c r="OR3" s="18">
        <f>IF(OD4&gt;0,OR4/OD4,"")</f>
        <v>0</v>
      </c>
      <c r="OS3" s="18">
        <f>IF(OD4&gt;0,OS4/OD4,"")</f>
        <v>0</v>
      </c>
      <c r="OT3" s="18">
        <f>IF(OD4&gt;0,OT4/OD4,"")</f>
        <v>0</v>
      </c>
      <c r="OU3" s="18">
        <f>IF(OD4&gt;0,OU4/OD4,"")</f>
        <v>0</v>
      </c>
      <c r="OV3" s="18">
        <f>IF(OD4&gt;0,OV4/OD4,"")</f>
        <v>0</v>
      </c>
      <c r="OW3" s="18">
        <f>IF(OD4&gt;0,OW4/OD4,"")</f>
        <v>0</v>
      </c>
      <c r="OX3" s="18">
        <f>IF(OD4&gt;0,OX4/OD4,"")</f>
        <v>0</v>
      </c>
      <c r="OY3" s="18">
        <f>IF(OD4&gt;0,OY4/OD4,"")</f>
        <v>0</v>
      </c>
      <c r="OZ3" s="18">
        <f>IF(OD4&gt;0,OZ4/OD4,"")</f>
        <v>0</v>
      </c>
      <c r="PA3" s="18">
        <f>IF(OD4&gt;0,PA4/OD4,"")</f>
        <v>0</v>
      </c>
      <c r="PB3" s="18">
        <f>IF(OD4&gt;0,PB4/OD4,"")</f>
        <v>0</v>
      </c>
      <c r="PC3" s="18">
        <f>IF(OD4&gt;0,PC4/OD4,"")</f>
        <v>0</v>
      </c>
      <c r="PD3" s="18">
        <f>IF(OD4&gt;0,PD4/OD4,"")</f>
        <v>0</v>
      </c>
      <c r="PE3" s="18">
        <f>IF(OD4&gt;0,PE4/OD4,"")</f>
        <v>0</v>
      </c>
      <c r="PF3" s="18">
        <f>IF(OD4&gt;0,PF4/OD4,"")</f>
        <v>0</v>
      </c>
      <c r="PG3" s="18">
        <f>IF(OD4&gt;0,PG4/OD4,"")</f>
        <v>0</v>
      </c>
      <c r="PH3" s="18">
        <f>IF(OD4&gt;0,PH4/OD4,"")</f>
        <v>0</v>
      </c>
      <c r="PJ3" s="18">
        <f>IF(PI4&gt;0,PJ4/PI4,"")</f>
        <v>0.52941176470588236</v>
      </c>
      <c r="PK3" s="18">
        <f>IF(PI4&gt;0,PK4/PI4,"")</f>
        <v>0.58823529411764708</v>
      </c>
      <c r="PL3" s="18">
        <f>IF(PI4&gt;0,PL4/PI4,"")</f>
        <v>0.58823529411764708</v>
      </c>
      <c r="PM3" s="18">
        <f>IF(PI4&gt;0,PM4/PI4,"")</f>
        <v>0.76470588235294112</v>
      </c>
      <c r="PN3" s="18">
        <f>IF(PI4&gt;0,PN4/PI4,"")</f>
        <v>0.76470588235294112</v>
      </c>
      <c r="PO3" s="18">
        <f>IF(PI4&gt;0,PO4/PI4,"")</f>
        <v>0.47058823529411764</v>
      </c>
      <c r="PP3" s="18">
        <f>IF(PI4&gt;0,PP4/PI4,"")</f>
        <v>0.35294117647058826</v>
      </c>
      <c r="PQ3" s="18">
        <f>IF(PI4&gt;0,PQ4/PI4,"")</f>
        <v>0.35294117647058826</v>
      </c>
      <c r="PR3" s="18">
        <f>IF(PI4&gt;0,PR4/PI4,"")</f>
        <v>0.17647058823529413</v>
      </c>
      <c r="PS3" s="18">
        <f>IF(PI4&gt;0,PS4/PI4,"")</f>
        <v>0.23529411764705882</v>
      </c>
      <c r="PT3" s="18">
        <f>IF(PI4&gt;0,PT4/PI4,"")</f>
        <v>0.23529411764705882</v>
      </c>
      <c r="PU3" s="18">
        <f>IF(PI4&gt;0,PU4/PI4,"")</f>
        <v>0.17647058823529413</v>
      </c>
      <c r="PV3" s="18">
        <f>IF(PI4&gt;0,PV4/PI4,"")</f>
        <v>0</v>
      </c>
      <c r="PW3" s="18">
        <f>IF(PI4&gt;0,PW4/PI4,"")</f>
        <v>5.8823529411764705E-2</v>
      </c>
      <c r="PX3" s="18">
        <f>IF(PI4&gt;0,PX4/PI4,"")</f>
        <v>5.8823529411764705E-2</v>
      </c>
      <c r="PY3" s="18">
        <f>IF(PI4&gt;0,PY4/PI4,"")</f>
        <v>0</v>
      </c>
      <c r="PZ3" s="18">
        <f>IF(PI4&gt;0,PZ4/PI4,"")</f>
        <v>0</v>
      </c>
      <c r="QA3" s="18">
        <f>IF(PI4&gt;0,QA4/PI4,"")</f>
        <v>0</v>
      </c>
      <c r="QB3" s="18">
        <f>IF(PI4&gt;0,QB4/PI4,"")</f>
        <v>0</v>
      </c>
      <c r="QC3" s="18">
        <f>IF(PI4&gt;0,QC4/PI4,"")</f>
        <v>0</v>
      </c>
      <c r="QD3" s="18">
        <f>IF(PI4&gt;0,QD4/PI4,"")</f>
        <v>0</v>
      </c>
      <c r="QE3" s="18">
        <f>IF(PI4&gt;0,QE4/PI4,"")</f>
        <v>0</v>
      </c>
      <c r="QF3" s="18">
        <f>IF(PI4&gt;0,QF4/PI4,"")</f>
        <v>0</v>
      </c>
      <c r="QG3" s="18">
        <f>IF(PI4&gt;0,QG4/PI4,"")</f>
        <v>0</v>
      </c>
      <c r="QH3" s="18">
        <f>IF(PI4&gt;0,QH4/PI4,"")</f>
        <v>0</v>
      </c>
      <c r="QI3" s="18">
        <f>IF(PI4&gt;0,QI4/PI4,"")</f>
        <v>0</v>
      </c>
      <c r="QJ3" s="18">
        <f>IF(PI4&gt;0,QJ4/PI4,"")</f>
        <v>0</v>
      </c>
      <c r="QK3" s="18">
        <f>IF(PI4&gt;0,QK4/PI4,"")</f>
        <v>0</v>
      </c>
      <c r="QL3" s="18">
        <f>IF(PI4&gt;0,QL4/PI4,"")</f>
        <v>0</v>
      </c>
      <c r="QM3" s="18">
        <f>IF(PI4&gt;0,QM4/PI4,"")</f>
        <v>0</v>
      </c>
      <c r="QO3" s="18">
        <f>IF(QN4&gt;0,QO4/QN4,"")</f>
        <v>0</v>
      </c>
      <c r="QP3" s="18">
        <f>IF(QN4&gt;0,QP4/QN4,"")</f>
        <v>0.5</v>
      </c>
      <c r="QQ3" s="18">
        <f>IF(QN4&gt;0,QQ4/QN4,"")</f>
        <v>0.5</v>
      </c>
      <c r="QR3" s="18">
        <f>IF(QN4&gt;0,QR4/QN4,"")</f>
        <v>0</v>
      </c>
      <c r="QS3" s="18">
        <f>IF(QN4&gt;0,QS4/QN4,"")</f>
        <v>0</v>
      </c>
      <c r="QT3" s="18">
        <f>IF(QN4&gt;0,QT4/QN4,"")</f>
        <v>1</v>
      </c>
      <c r="QU3" s="18">
        <f>IF(QN4&gt;0,QU4/QN4,"")</f>
        <v>0.5</v>
      </c>
      <c r="QV3" s="18">
        <f>IF(QN4&gt;0,QV4/QN4,"")</f>
        <v>0</v>
      </c>
      <c r="QW3" s="18">
        <f>IF(QN4&gt;0,QW4/QN4,"")</f>
        <v>0.5</v>
      </c>
      <c r="QX3" s="18">
        <f>IF(QN4&gt;0,QX4/QN4,"")</f>
        <v>0</v>
      </c>
      <c r="QY3" s="18">
        <f>IF(QN4&gt;0,QY4/QN4,"")</f>
        <v>0</v>
      </c>
      <c r="QZ3" s="18">
        <f>IF(QN4&gt;0,QZ4/QN4,"")</f>
        <v>0</v>
      </c>
      <c r="RA3" s="18">
        <f>IF(QN4&gt;0,RA4/QN4,"")</f>
        <v>0</v>
      </c>
      <c r="RB3" s="18">
        <f>IF(QN4&gt;0,RB4/QN4,"")</f>
        <v>0</v>
      </c>
      <c r="RC3" s="18">
        <f>IF(QN4&gt;0,RC4/QN4,"")</f>
        <v>0</v>
      </c>
      <c r="RD3" s="18">
        <f>IF(QN4&gt;0,RD4/QN4,"")</f>
        <v>0</v>
      </c>
      <c r="RE3" s="18">
        <f>IF(QN4&gt;0,RE4/QN4,"")</f>
        <v>0</v>
      </c>
      <c r="RF3" s="18">
        <f>IF(QN4&gt;0,RF4/QN4,"")</f>
        <v>0</v>
      </c>
      <c r="RG3" s="18">
        <f>IF(QN4&gt;0,RG4/QN4,"")</f>
        <v>0</v>
      </c>
      <c r="RH3" s="18">
        <f>IF(QN4&gt;0,RH4/QN4,"")</f>
        <v>0</v>
      </c>
      <c r="RI3" s="18">
        <f>IF(QN4&gt;0,RI4/QN4,"")</f>
        <v>0</v>
      </c>
      <c r="RJ3" s="18">
        <f>IF(QN4&gt;0,RJ4/QN4,"")</f>
        <v>0</v>
      </c>
      <c r="RK3" s="18">
        <f>IF(QN4&gt;0,RK4/QN4,"")</f>
        <v>0</v>
      </c>
      <c r="RL3" s="18">
        <f>IF(QN4&gt;0,RL4/QN4,"")</f>
        <v>0</v>
      </c>
      <c r="RM3" s="18">
        <f>IF(QN4&gt;0,RM4/QN4,"")</f>
        <v>0</v>
      </c>
      <c r="RN3" s="18">
        <f>IF(QN4&gt;0,RN4/QN4,"")</f>
        <v>0</v>
      </c>
      <c r="RO3" s="18">
        <f>IF(QN4&gt;0,RO4/QN4,"")</f>
        <v>0</v>
      </c>
      <c r="RP3" s="18">
        <f>IF(QN4&gt;0,RP4/QN4,"")</f>
        <v>0</v>
      </c>
      <c r="RQ3" s="18">
        <f>IF(QN4&gt;0,RQ4/QN4,"")</f>
        <v>0</v>
      </c>
      <c r="RR3" s="18">
        <f>IF(QN4&gt;0,RR4/QN4,"")</f>
        <v>0</v>
      </c>
      <c r="RT3" s="18">
        <f>IF(RS4&gt;0,RT4/RS4,"")</f>
        <v>0.29166666666666669</v>
      </c>
      <c r="RU3" s="18">
        <f>IF(RS4&gt;0,RU4/RS4,"")</f>
        <v>0.66666666666666663</v>
      </c>
      <c r="RV3" s="18">
        <f>IF(RS4&gt;0,RV4/RS4,"")</f>
        <v>0.45833333333333331</v>
      </c>
      <c r="RW3" s="18">
        <f>IF(RS4&gt;0,RW4/RS4,"")</f>
        <v>0.25</v>
      </c>
      <c r="RX3" s="18">
        <f>IF(RS4&gt;0,RX4/RS4,"")</f>
        <v>0.58333333333333337</v>
      </c>
      <c r="RY3" s="18">
        <f>IF(RS4&gt;0,RY4/RS4,"")</f>
        <v>0.625</v>
      </c>
      <c r="RZ3" s="18">
        <f>IF(RS4&gt;0,RZ4/RS4,"")</f>
        <v>0.45833333333333331</v>
      </c>
      <c r="SA3" s="18">
        <f>IF(RS4&gt;0,SA4/RS4,"")</f>
        <v>0.29166666666666669</v>
      </c>
      <c r="SB3" s="18">
        <f>IF(RS4&gt;0,SB4/RS4,"")</f>
        <v>0.41666666666666669</v>
      </c>
      <c r="SC3" s="18">
        <f>IF(RS4&gt;0,SC4/RS4,"")</f>
        <v>0.125</v>
      </c>
      <c r="SD3" s="18">
        <f>IF(RS4&gt;0,SD4/RS4,"")</f>
        <v>0.25</v>
      </c>
      <c r="SE3" s="18">
        <f>IF(RS4&gt;0,SE4/RS4,"")</f>
        <v>4.1666666666666664E-2</v>
      </c>
      <c r="SF3" s="18">
        <f>IF(RS4&gt;0,SF4/RS4,"")</f>
        <v>4.1666666666666664E-2</v>
      </c>
      <c r="SG3" s="18">
        <f>IF(RS4&gt;0,SG4/RS4,"")</f>
        <v>4.1666666666666664E-2</v>
      </c>
      <c r="SH3" s="18">
        <f>IF(RS4&gt;0,SH4/RS4,"")</f>
        <v>0</v>
      </c>
      <c r="SI3" s="18">
        <f>IF(RS4&gt;0,SI4/RS4,"")</f>
        <v>0</v>
      </c>
      <c r="SJ3" s="18">
        <f>IF(RS4&gt;0,SJ4/RS4,"")</f>
        <v>0</v>
      </c>
      <c r="SK3" s="18">
        <f>IF(RS4&gt;0,SK4/RS4,"")</f>
        <v>0</v>
      </c>
      <c r="SL3" s="18">
        <f>IF(RS4&gt;0,SL4/RS4,"")</f>
        <v>0</v>
      </c>
      <c r="SM3" s="18">
        <f>IF(RS4&gt;0,SM4/RS4,"")</f>
        <v>0</v>
      </c>
      <c r="SN3" s="18">
        <f>IF(RS4&gt;0,SN4/RS4,"")</f>
        <v>0</v>
      </c>
      <c r="SO3" s="18">
        <f>IF(RS4&gt;0,SO4/RS4,"")</f>
        <v>0</v>
      </c>
      <c r="SP3" s="18">
        <f>IF(RS4&gt;0,SP4/RS4,"")</f>
        <v>0</v>
      </c>
      <c r="SQ3" s="18">
        <f>IF(RS4&gt;0,SQ4/RS4,"")</f>
        <v>0</v>
      </c>
      <c r="SR3" s="18">
        <f>IF(RS4&gt;0,SR4/RS4,"")</f>
        <v>0</v>
      </c>
      <c r="SS3" s="18">
        <f>IF(RS4&gt;0,SS4/RS4,"")</f>
        <v>0</v>
      </c>
      <c r="ST3" s="18">
        <f>IF(RS4&gt;0,ST4/RS4,"")</f>
        <v>0</v>
      </c>
      <c r="SU3" s="18">
        <f>IF(RS4&gt;0,SU4/RS4,"")</f>
        <v>0</v>
      </c>
      <c r="SV3" s="18">
        <f>IF(RS4&gt;0,SV4/RS4,"")</f>
        <v>0</v>
      </c>
      <c r="SW3" s="18">
        <f>IF(RS4&gt;0,SW4/RS4,"")</f>
        <v>0</v>
      </c>
      <c r="SY3" s="18" t="str">
        <f>IF(SX4&gt;0,SY4/SX4,"")</f>
        <v/>
      </c>
      <c r="SZ3" s="18" t="str">
        <f>IF(SX4&gt;0,SZ4/SX4,"")</f>
        <v/>
      </c>
      <c r="TA3" s="18" t="str">
        <f>IF(SX4&gt;0,TA4/SX4,"")</f>
        <v/>
      </c>
      <c r="TB3" s="18" t="str">
        <f>IF(SX4&gt;0,TB4/SX4,"")</f>
        <v/>
      </c>
      <c r="TC3" s="18" t="str">
        <f>IF(SX4&gt;0,TC4/SX4,"")</f>
        <v/>
      </c>
      <c r="TD3" s="18" t="str">
        <f>IF(SX4&gt;0,TD4/SX4,"")</f>
        <v/>
      </c>
      <c r="TE3" s="18" t="str">
        <f>IF(SX4&gt;0,TE4/SX4,"")</f>
        <v/>
      </c>
      <c r="TF3" s="18" t="str">
        <f>IF(SX4&gt;0,TF4/SX4,"")</f>
        <v/>
      </c>
      <c r="TG3" s="18" t="str">
        <f>IF(SX4&gt;0,TG4/SX4,"")</f>
        <v/>
      </c>
      <c r="TH3" s="18" t="str">
        <f>IF(SX4&gt;0,TH4/SX4,"")</f>
        <v/>
      </c>
      <c r="TI3" s="18" t="str">
        <f>IF(SX4&gt;0,TI4/SX4,"")</f>
        <v/>
      </c>
      <c r="TJ3" s="18" t="str">
        <f>IF(SX4&gt;0,TJ4/SX4,"")</f>
        <v/>
      </c>
      <c r="TK3" s="18" t="str">
        <f>IF(SX4&gt;0,TK4/SX4,"")</f>
        <v/>
      </c>
      <c r="TL3" s="18" t="str">
        <f>IF(SX4&gt;0,TL4/SX4,"")</f>
        <v/>
      </c>
      <c r="TM3" s="18" t="str">
        <f>IF(SX4&gt;0,TM4/SX4,"")</f>
        <v/>
      </c>
      <c r="TN3" s="18" t="str">
        <f>IF(SX4&gt;0,TN4/SX4,"")</f>
        <v/>
      </c>
      <c r="TO3" s="18" t="str">
        <f>IF(SX4&gt;0,TO4/SX4,"")</f>
        <v/>
      </c>
      <c r="TP3" s="18" t="str">
        <f>IF(SX4&gt;0,TP4/SX4,"")</f>
        <v/>
      </c>
      <c r="TQ3" s="18" t="str">
        <f>IF(SX4&gt;0,TQ4/SX4,"")</f>
        <v/>
      </c>
      <c r="TR3" s="18" t="str">
        <f>IF(SX4&gt;0,TR4/SX4,"")</f>
        <v/>
      </c>
      <c r="TS3" s="18" t="str">
        <f>IF(SX4&gt;0,TS4/SX4,"")</f>
        <v/>
      </c>
      <c r="TT3" s="18" t="str">
        <f>IF(SX4&gt;0,TT4/SX4,"")</f>
        <v/>
      </c>
      <c r="TU3" s="18" t="str">
        <f>IF(SX4&gt;0,TU4/SX4,"")</f>
        <v/>
      </c>
      <c r="TV3" s="18" t="str">
        <f>IF(SX4&gt;0,TV4/SX4,"")</f>
        <v/>
      </c>
      <c r="TW3" s="18" t="str">
        <f>IF(SX4&gt;0,TW4/SX4,"")</f>
        <v/>
      </c>
      <c r="TX3" s="18" t="str">
        <f>IF(SX4&gt;0,TX4/SX4,"")</f>
        <v/>
      </c>
      <c r="TY3" s="18" t="str">
        <f>IF(SX4&gt;0,TY4/SX4,"")</f>
        <v/>
      </c>
      <c r="TZ3" s="18" t="str">
        <f>IF(SX4&gt;0,TZ4/SX4,"")</f>
        <v/>
      </c>
      <c r="UA3" s="18" t="str">
        <f>IF(SX4&gt;0,UA4/SX4,"")</f>
        <v/>
      </c>
      <c r="UB3" s="18" t="str">
        <f>IF(SX4&gt;0,UB4/SX4,"")</f>
        <v/>
      </c>
      <c r="UD3" s="18" t="str">
        <f>IF(UC4&gt;0,UD4/UC4,"")</f>
        <v/>
      </c>
      <c r="UE3" s="18" t="str">
        <f>IF(UC4&gt;0,UE4/UC4,"")</f>
        <v/>
      </c>
      <c r="UF3" s="18" t="str">
        <f>IF(UC4&gt;0,UF4/UC4,"")</f>
        <v/>
      </c>
      <c r="UG3" s="18" t="str">
        <f>IF(UC4&gt;0,UG4/UC4,"")</f>
        <v/>
      </c>
      <c r="UH3" s="18" t="str">
        <f>IF(UC4&gt;0,UH4/UC4,"")</f>
        <v/>
      </c>
      <c r="UI3" s="18" t="str">
        <f>IF(UC4&gt;0,UI4/UC4,"")</f>
        <v/>
      </c>
      <c r="UJ3" s="18" t="str">
        <f>IF(UC4&gt;0,UJ4/UC4,"")</f>
        <v/>
      </c>
      <c r="UK3" s="18" t="str">
        <f>IF(UC4&gt;0,UK4/UC4,"")</f>
        <v/>
      </c>
      <c r="UL3" s="18" t="str">
        <f>IF(UC4&gt;0,UL4/UC4,"")</f>
        <v/>
      </c>
      <c r="UM3" s="18" t="str">
        <f>IF(UC4&gt;0,UM4/UC4,"")</f>
        <v/>
      </c>
      <c r="UN3" s="18" t="str">
        <f>IF(UC4&gt;0,UN4/UC4,"")</f>
        <v/>
      </c>
      <c r="UO3" s="18" t="str">
        <f>IF(UC4&gt;0,UO4/UC4,"")</f>
        <v/>
      </c>
      <c r="UP3" s="18" t="str">
        <f>IF(UC4&gt;0,UP4/UC4,"")</f>
        <v/>
      </c>
      <c r="UQ3" s="18" t="str">
        <f>IF(UC4&gt;0,UQ4/UC4,"")</f>
        <v/>
      </c>
      <c r="UR3" s="18" t="str">
        <f>IF(UC4&gt;0,UR4/UC4,"")</f>
        <v/>
      </c>
      <c r="US3" s="18" t="str">
        <f>IF(UC4&gt;0,US4/UC4,"")</f>
        <v/>
      </c>
      <c r="UT3" s="18" t="str">
        <f>IF(UC4&gt;0,UT4/UC4,"")</f>
        <v/>
      </c>
      <c r="UU3" s="18" t="str">
        <f>IF(UC4&gt;0,UU4/UC4,"")</f>
        <v/>
      </c>
      <c r="UV3" s="18" t="str">
        <f>IF(UC4&gt;0,UV4/UC4,"")</f>
        <v/>
      </c>
      <c r="UW3" s="18" t="str">
        <f>IF(UC4&gt;0,UW4/UC4,"")</f>
        <v/>
      </c>
      <c r="UX3" s="18" t="str">
        <f>IF(UC4&gt;0,UX4/UC4,"")</f>
        <v/>
      </c>
      <c r="UY3" s="18" t="str">
        <f>IF(UC4&gt;0,UY4/UC4,"")</f>
        <v/>
      </c>
      <c r="UZ3" s="18" t="str">
        <f>IF(UC4&gt;0,UZ4/UC4,"")</f>
        <v/>
      </c>
      <c r="VA3" s="18" t="str">
        <f>IF(UC4&gt;0,VA4/UC4,"")</f>
        <v/>
      </c>
      <c r="VB3" s="18" t="str">
        <f>IF(UC4&gt;0,VB4/UC4,"")</f>
        <v/>
      </c>
      <c r="VC3" s="18" t="str">
        <f>IF(UC4&gt;0,VC4/UC4,"")</f>
        <v/>
      </c>
      <c r="VD3" s="18" t="str">
        <f>IF(UC4&gt;0,VD4/UC4,"")</f>
        <v/>
      </c>
      <c r="VE3" s="18" t="str">
        <f>IF(UC4&gt;0,VE4/UC4,"")</f>
        <v/>
      </c>
      <c r="VF3" s="18" t="str">
        <f>IF(UC4&gt;0,VF4/UC4,"")</f>
        <v/>
      </c>
      <c r="VG3" s="18" t="str">
        <f>IF(UC4&gt;0,VG4/UC4,"")</f>
        <v/>
      </c>
      <c r="VI3" s="18" t="str">
        <f>IF(VH4&gt;0,VI4/VH4,"")</f>
        <v/>
      </c>
      <c r="VJ3" s="18" t="str">
        <f>IF(VH4&gt;0,VJ4/VH4,"")</f>
        <v/>
      </c>
      <c r="VK3" s="18" t="str">
        <f>IF(VH4&gt;0,VK4/VH4,"")</f>
        <v/>
      </c>
      <c r="VL3" s="18" t="str">
        <f>IF(VH4&gt;0,VL4/VH4,"")</f>
        <v/>
      </c>
      <c r="VM3" s="18" t="str">
        <f>IF(VH4&gt;0,VM4/VH4,"")</f>
        <v/>
      </c>
      <c r="VN3" s="18" t="str">
        <f>IF(VH4&gt;0,VN4/VH4,"")</f>
        <v/>
      </c>
      <c r="VO3" s="18" t="str">
        <f>IF(VH4&gt;0,VO4/VH4,"")</f>
        <v/>
      </c>
      <c r="VP3" s="18" t="str">
        <f>IF(VH4&gt;0,VP4/VH4,"")</f>
        <v/>
      </c>
      <c r="VQ3" s="18" t="str">
        <f>IF(VH4&gt;0,VQ4/VH4,"")</f>
        <v/>
      </c>
      <c r="VR3" s="18" t="str">
        <f>IF(VH4&gt;0,VR4/VH4,"")</f>
        <v/>
      </c>
      <c r="VS3" s="18" t="str">
        <f>IF(VH4&gt;0,VS4/VH4,"")</f>
        <v/>
      </c>
      <c r="VT3" s="18" t="str">
        <f>IF(VH4&gt;0,VT4/VH4,"")</f>
        <v/>
      </c>
      <c r="VU3" s="18" t="str">
        <f>IF(VH4&gt;0,VU4/VH4,"")</f>
        <v/>
      </c>
      <c r="VV3" s="18" t="str">
        <f>IF(VH4&gt;0,VV4/VH4,"")</f>
        <v/>
      </c>
      <c r="VW3" s="18" t="str">
        <f>IF(VH4&gt;0,VW4/VH4,"")</f>
        <v/>
      </c>
      <c r="VX3" s="18" t="str">
        <f>IF(VH4&gt;0,VX4/VH4,"")</f>
        <v/>
      </c>
      <c r="VY3" s="18" t="str">
        <f>IF(VH4&gt;0,VY4/VH4,"")</f>
        <v/>
      </c>
      <c r="VZ3" s="18" t="str">
        <f>IF(VH4&gt;0,VZ4/VH4,"")</f>
        <v/>
      </c>
      <c r="WA3" s="18" t="str">
        <f>IF(VH4&gt;0,WA4/VH4,"")</f>
        <v/>
      </c>
      <c r="WB3" s="18" t="str">
        <f>IF(VH4&gt;0,WB4/VH4,"")</f>
        <v/>
      </c>
      <c r="WC3" s="18" t="str">
        <f>IF(VH4&gt;0,WC4/VH4,"")</f>
        <v/>
      </c>
      <c r="WD3" s="18" t="str">
        <f>IF(VH4&gt;0,WD4/VH4,"")</f>
        <v/>
      </c>
      <c r="WE3" s="18" t="str">
        <f>IF(VH4&gt;0,WE4/VH4,"")</f>
        <v/>
      </c>
      <c r="WF3" s="18" t="str">
        <f>IF(VH4&gt;0,WF4/VH4,"")</f>
        <v/>
      </c>
      <c r="WG3" s="18" t="str">
        <f>IF(VH4&gt;0,WG4/VH4,"")</f>
        <v/>
      </c>
      <c r="WH3" s="18" t="str">
        <f>IF(VH4&gt;0,WH4/VH4,"")</f>
        <v/>
      </c>
      <c r="WI3" s="18" t="str">
        <f>IF(VH4&gt;0,WI4/VH4,"")</f>
        <v/>
      </c>
      <c r="WJ3" s="18" t="str">
        <f>IF(VH4&gt;0,WJ4/VH4,"")</f>
        <v/>
      </c>
      <c r="WK3" s="18" t="str">
        <f>IF(VH4&gt;0,WK4/VH4,"")</f>
        <v/>
      </c>
      <c r="WL3" s="18" t="str">
        <f>IF(VH4&gt;0,WL4/VH4,"")</f>
        <v/>
      </c>
      <c r="WN3" s="18">
        <f>IF(WM4&gt;0,WN4/WM4,"")</f>
        <v>0.5</v>
      </c>
      <c r="WO3" s="18">
        <f>IF(WM4&gt;0,WO4/WM4,"")</f>
        <v>0.35714285714285715</v>
      </c>
      <c r="WP3" s="18">
        <f>IF(WM4&gt;0,WP4/WM4,"")</f>
        <v>0.35714285714285715</v>
      </c>
      <c r="WQ3" s="18">
        <f>IF(WM4&gt;0,WQ4/WM4,"")</f>
        <v>0.5</v>
      </c>
      <c r="WR3" s="18">
        <f>IF(WM4&gt;0,WR4/WM4,"")</f>
        <v>0.2857142857142857</v>
      </c>
      <c r="WS3" s="18">
        <f>IF(WM4&gt;0,WS4/WM4,"")</f>
        <v>0.42857142857142855</v>
      </c>
      <c r="WT3" s="18">
        <f>IF(WM4&gt;0,WT4/WM4,"")</f>
        <v>0.2857142857142857</v>
      </c>
      <c r="WU3" s="18">
        <f>IF(WM4&gt;0,WU4/WM4,"")</f>
        <v>0.7857142857142857</v>
      </c>
      <c r="WV3" s="18">
        <f>IF(WM4&gt;0,WV4/WM4,"")</f>
        <v>0.2857142857142857</v>
      </c>
      <c r="WW3" s="18">
        <f>IF(WM4&gt;0,WW4/WM4,"")</f>
        <v>0.9285714285714286</v>
      </c>
      <c r="WX3" s="18">
        <f>IF(WM4&gt;0,WX4/WM4,"")</f>
        <v>0.42857142857142855</v>
      </c>
      <c r="WY3" s="18">
        <f>IF(WM4&gt;0,WY4/WM4,"")</f>
        <v>0</v>
      </c>
      <c r="WZ3" s="18">
        <f>IF(WM4&gt;0,WZ4/WM4,"")</f>
        <v>7.1428571428571425E-2</v>
      </c>
      <c r="XA3" s="18">
        <f>IF(WM4&gt;0,XA4/WM4,"")</f>
        <v>0</v>
      </c>
      <c r="XB3" s="18">
        <f>IF(WM4&gt;0,XB4/WM4,"")</f>
        <v>0.21428571428571427</v>
      </c>
      <c r="XC3" s="18">
        <f>IF(WM4&gt;0,XC4/WM4,"")</f>
        <v>7.1428571428571425E-2</v>
      </c>
      <c r="XD3" s="18">
        <f>IF(WM4&gt;0,XD4/WM4,"")</f>
        <v>0</v>
      </c>
      <c r="XE3" s="18">
        <f>IF(WM4&gt;0,XE4/WM4,"")</f>
        <v>0</v>
      </c>
      <c r="XF3" s="18">
        <f>IF(WM4&gt;0,XF4/WM4,"")</f>
        <v>0</v>
      </c>
      <c r="XG3" s="18">
        <f>IF(WM4&gt;0,XG4/WM4,"")</f>
        <v>0</v>
      </c>
      <c r="XH3" s="18">
        <f>IF(WM4&gt;0,XH4/WM4,"")</f>
        <v>0</v>
      </c>
      <c r="XI3" s="18">
        <f>IF(WM4&gt;0,XI4/WM4,"")</f>
        <v>0</v>
      </c>
      <c r="XJ3" s="18">
        <f>IF(WM4&gt;0,XJ4/WM4,"")</f>
        <v>0</v>
      </c>
      <c r="XK3" s="18">
        <f>IF(WM4&gt;0,XK4/WM4,"")</f>
        <v>0</v>
      </c>
      <c r="XL3" s="18">
        <f>IF(WM4&gt;0,XL4/WM4,"")</f>
        <v>0</v>
      </c>
      <c r="XM3" s="18">
        <f>IF(WM4&gt;0,XM4/WM4,"")</f>
        <v>0</v>
      </c>
      <c r="XN3" s="18">
        <f>IF(WM4&gt;0,XN4/WM4,"")</f>
        <v>0</v>
      </c>
      <c r="XO3" s="18">
        <f>IF(WM4&gt;0,XO4/WM4,"")</f>
        <v>0</v>
      </c>
      <c r="XP3" s="18">
        <f>IF(WM4&gt;0,XP4/WM4,"")</f>
        <v>0</v>
      </c>
      <c r="XQ3" s="18">
        <f>IF(WM4&gt;0,XQ4/WM4,"")</f>
        <v>0</v>
      </c>
      <c r="XS3" s="18">
        <f>IF(XR4&gt;0,XS4/XR4,"")</f>
        <v>0.5</v>
      </c>
      <c r="XT3" s="18">
        <f>IF(XR4&gt;0,XT4/XR4,"")</f>
        <v>1</v>
      </c>
      <c r="XU3" s="18">
        <f>IF(XR4&gt;0,XU4/XR4,"")</f>
        <v>0.5</v>
      </c>
      <c r="XV3" s="18">
        <f>IF(XR4&gt;0,XV4/XR4,"")</f>
        <v>0</v>
      </c>
      <c r="XW3" s="18">
        <f>IF(XR4&gt;0,XW4/XR4,"")</f>
        <v>1</v>
      </c>
      <c r="XX3" s="18">
        <f>IF(XR4&gt;0,XX4/XR4,"")</f>
        <v>0.5</v>
      </c>
      <c r="XY3" s="18">
        <f>IF(XR4&gt;0,XY4/XR4,"")</f>
        <v>0.5</v>
      </c>
      <c r="XZ3" s="18">
        <f>IF(XR4&gt;0,XZ4/XR4,"")</f>
        <v>0</v>
      </c>
      <c r="YA3" s="18">
        <f>IF(XR4&gt;0,YA4/XR4,"")</f>
        <v>0.5</v>
      </c>
      <c r="YB3" s="18">
        <f>IF(XR4&gt;0,YB4/XR4,"")</f>
        <v>0</v>
      </c>
      <c r="YC3" s="18">
        <f>IF(XR4&gt;0,YC4/XR4,"")</f>
        <v>0.5</v>
      </c>
      <c r="YD3" s="18">
        <f>IF(XR4&gt;0,YD4/XR4,"")</f>
        <v>0</v>
      </c>
      <c r="YE3" s="18">
        <f>IF(XR4&gt;0,YE4/XR4,"")</f>
        <v>0</v>
      </c>
      <c r="YF3" s="18">
        <f>IF(XR4&gt;0,YF4/XR4,"")</f>
        <v>0</v>
      </c>
      <c r="YG3" s="18">
        <f>IF(XR4&gt;0,YG4/XR4,"")</f>
        <v>0</v>
      </c>
      <c r="YH3" s="18">
        <f>IF(XR4&gt;0,YH4/XR4,"")</f>
        <v>0</v>
      </c>
      <c r="YI3" s="18">
        <f>IF(XR4&gt;0,YI4/XR4,"")</f>
        <v>0</v>
      </c>
      <c r="YJ3" s="18">
        <f>IF(XR4&gt;0,YJ4/XR4,"")</f>
        <v>0</v>
      </c>
      <c r="YK3" s="18">
        <f>IF(XR4&gt;0,YK4/XR4,"")</f>
        <v>0</v>
      </c>
      <c r="YL3" s="18">
        <f>IF(XR4&gt;0,YL4/XR4,"")</f>
        <v>0</v>
      </c>
      <c r="YM3" s="18">
        <f>IF(XR4&gt;0,YM4/XR4,"")</f>
        <v>0</v>
      </c>
      <c r="YN3" s="18">
        <f>IF(XR4&gt;0,YN4/XR4,"")</f>
        <v>0</v>
      </c>
      <c r="YO3" s="18">
        <f>IF(XR4&gt;0,YO4/XR4,"")</f>
        <v>0</v>
      </c>
      <c r="YP3" s="18">
        <f>IF(XR4&gt;0,YP4/XR4,"")</f>
        <v>0</v>
      </c>
      <c r="YQ3" s="18">
        <f>IF(XR4&gt;0,YQ4/XR4,"")</f>
        <v>0</v>
      </c>
      <c r="YR3" s="18">
        <f>IF(XR4&gt;0,YR4/XR4,"")</f>
        <v>0</v>
      </c>
      <c r="YS3" s="18">
        <f>IF(XR4&gt;0,YS4/XR4,"")</f>
        <v>0</v>
      </c>
      <c r="YT3" s="18">
        <f>IF(XR4&gt;0,YT4/XR4,"")</f>
        <v>0</v>
      </c>
      <c r="YU3" s="18">
        <f>IF(XR4&gt;0,YU4/XR4,"")</f>
        <v>0</v>
      </c>
      <c r="YV3" s="18">
        <f>IF(XR4&gt;0,YV4/XR4,"")</f>
        <v>0</v>
      </c>
      <c r="YX3" s="18">
        <f>IF(YW4&gt;0,YX4/YW4,"")</f>
        <v>0.58333333333333337</v>
      </c>
      <c r="YY3" s="18">
        <f>IF(YW4&gt;0,YY4/YW4,"")</f>
        <v>0.5</v>
      </c>
      <c r="YZ3" s="18">
        <f>IF(YW4&gt;0,YZ4/YW4,"")</f>
        <v>0.91666666666666663</v>
      </c>
      <c r="ZA3" s="18">
        <f>IF(YW4&gt;0,ZA4/YW4,"")</f>
        <v>8.3333333333333329E-2</v>
      </c>
      <c r="ZB3" s="18">
        <f>IF(YW4&gt;0,ZB4/YW4,"")</f>
        <v>1</v>
      </c>
      <c r="ZC3" s="18">
        <f>IF(YW4&gt;0,ZC4/YW4,"")</f>
        <v>0.41666666666666669</v>
      </c>
      <c r="ZD3" s="18">
        <f>IF(YW4&gt;0,ZD4/YW4,"")</f>
        <v>0.5</v>
      </c>
      <c r="ZE3" s="18">
        <f>IF(YW4&gt;0,ZE4/YW4,"")</f>
        <v>0.5</v>
      </c>
      <c r="ZF3" s="18">
        <f>IF(YW4&gt;0,ZF4/YW4,"")</f>
        <v>8.3333333333333329E-2</v>
      </c>
      <c r="ZG3" s="18">
        <f>IF(YW4&gt;0,ZG4/YW4,"")</f>
        <v>0</v>
      </c>
      <c r="ZH3" s="18">
        <f>IF(YW4&gt;0,ZH4/YW4,"")</f>
        <v>0</v>
      </c>
      <c r="ZI3" s="18">
        <f>IF(YW4&gt;0,ZI4/YW4,"")</f>
        <v>0.16666666666666666</v>
      </c>
      <c r="ZJ3" s="18">
        <f>IF(YW4&gt;0,ZJ4/YW4,"")</f>
        <v>0</v>
      </c>
      <c r="ZK3" s="18">
        <f>IF(YW4&gt;0,ZK4/YW4,"")</f>
        <v>8.3333333333333329E-2</v>
      </c>
      <c r="ZL3" s="18">
        <f>IF(YW4&gt;0,ZL4/YW4,"")</f>
        <v>0</v>
      </c>
      <c r="ZM3" s="18">
        <f>IF(YW4&gt;0,ZM4/YW4,"")</f>
        <v>0.16666666666666666</v>
      </c>
      <c r="ZN3" s="18">
        <f>IF(YW4&gt;0,ZN4/YW4,"")</f>
        <v>8.3333333333333329E-2</v>
      </c>
      <c r="ZO3" s="18">
        <f>IF(YW4&gt;0,ZO4/YW4,"")</f>
        <v>0</v>
      </c>
      <c r="ZP3" s="18">
        <f>IF(YW4&gt;0,ZP4/YW4,"")</f>
        <v>0</v>
      </c>
      <c r="ZQ3" s="18">
        <f>IF(YW4&gt;0,ZQ4/YW4,"")</f>
        <v>0</v>
      </c>
      <c r="ZR3" s="18">
        <f>IF(YW4&gt;0,ZR4/YW4,"")</f>
        <v>0</v>
      </c>
      <c r="ZS3" s="18">
        <f>IF(YW4&gt;0,ZS4/YW4,"")</f>
        <v>0</v>
      </c>
      <c r="ZT3" s="18">
        <f>IF(YW4&gt;0,ZT4/YW4,"")</f>
        <v>0</v>
      </c>
      <c r="ZU3" s="18">
        <f>IF(YW4&gt;0,ZU4/YW4,"")</f>
        <v>0</v>
      </c>
      <c r="ZV3" s="18">
        <f>IF(YW4&gt;0,ZV4/YW4,"")</f>
        <v>0</v>
      </c>
      <c r="ZW3" s="18">
        <f>IF(YW4&gt;0,ZW4/YW4,"")</f>
        <v>0</v>
      </c>
      <c r="ZX3" s="18">
        <f>IF(YW4&gt;0,ZX4/YW4,"")</f>
        <v>0</v>
      </c>
      <c r="ZY3" s="18">
        <f>IF(YW4&gt;0,ZY4/YW4,"")</f>
        <v>0</v>
      </c>
      <c r="ZZ3" s="18">
        <f>IF(YW4&gt;0,ZZ4/YW4,"")</f>
        <v>0</v>
      </c>
      <c r="AAA3" s="18">
        <f>IF(YW4&gt;0,AAA4/YW4,"")</f>
        <v>0</v>
      </c>
      <c r="AAC3" s="18">
        <f>IF(AAB4&gt;0,AAC4/AAB4,"")</f>
        <v>0</v>
      </c>
      <c r="AAD3" s="18">
        <f>IF(AAB4&gt;0,AAD4/AAB4,"")</f>
        <v>0.5</v>
      </c>
      <c r="AAE3" s="18">
        <f>IF(AAB4&gt;0,AAE4/AAB4,"")</f>
        <v>1</v>
      </c>
      <c r="AAF3" s="18">
        <f>IF(AAB4&gt;0,AAF4/AAB4,"")</f>
        <v>0</v>
      </c>
      <c r="AAG3" s="18">
        <f>IF(AAB4&gt;0,AAG4/AAB4,"")</f>
        <v>0</v>
      </c>
      <c r="AAH3" s="18">
        <f>IF(AAB4&gt;0,AAH4/AAB4,"")</f>
        <v>0</v>
      </c>
      <c r="AAI3" s="18">
        <f>IF(AAB4&gt;0,AAI4/AAB4,"")</f>
        <v>0.5</v>
      </c>
      <c r="AAJ3" s="18">
        <f>IF(AAB4&gt;0,AAJ4/AAB4,"")</f>
        <v>0.5</v>
      </c>
      <c r="AAK3" s="18">
        <f>IF(AAB4&gt;0,AAK4/AAB4,"")</f>
        <v>0.5</v>
      </c>
      <c r="AAL3" s="18">
        <f>IF(AAB4&gt;0,AAL4/AAB4,"")</f>
        <v>0</v>
      </c>
      <c r="AAM3" s="18">
        <f>IF(AAB4&gt;0,AAM4/AAB4,"")</f>
        <v>0</v>
      </c>
      <c r="AAN3" s="18">
        <f>IF(AAB4&gt;0,AAN4/AAB4,"")</f>
        <v>0</v>
      </c>
      <c r="AAO3" s="18">
        <f>IF(AAB4&gt;0,AAO4/AAB4,"")</f>
        <v>0</v>
      </c>
      <c r="AAP3" s="18">
        <f>IF(AAB4&gt;0,AAP4/AAB4,"")</f>
        <v>0</v>
      </c>
      <c r="AAQ3" s="18">
        <f>IF(AAB4&gt;0,AAQ4/AAB4,"")</f>
        <v>0</v>
      </c>
      <c r="AAR3" s="18">
        <f>IF(AAB4&gt;0,AAR4/AAB4,"")</f>
        <v>0</v>
      </c>
      <c r="AAS3" s="18">
        <f>IF(AAB4&gt;0,AAS4/AAB4,"")</f>
        <v>0</v>
      </c>
      <c r="AAT3" s="18">
        <f>IF(AAB4&gt;0,AAT4/AAB4,"")</f>
        <v>0</v>
      </c>
      <c r="AAU3" s="18">
        <f>IF(AAB4&gt;0,AAU4/AAB4,"")</f>
        <v>0</v>
      </c>
      <c r="AAV3" s="18">
        <f>IF(AAB4&gt;0,AAV4/AAB4,"")</f>
        <v>0</v>
      </c>
      <c r="AAW3" s="18">
        <f>IF(AAB4&gt;0,AAW4/AAB4,"")</f>
        <v>0</v>
      </c>
      <c r="AAX3" s="18">
        <f>IF(AAB4&gt;0,AAX4/AAB4,"")</f>
        <v>0</v>
      </c>
      <c r="AAY3" s="18">
        <f>IF(AAB4&gt;0,AAY4/AAB4,"")</f>
        <v>0</v>
      </c>
      <c r="AAZ3" s="18">
        <f>IF(AAB4&gt;0,AAZ4/AAB4,"")</f>
        <v>0</v>
      </c>
      <c r="ABA3" s="18">
        <f>IF(AAB4&gt;0,ABA4/AAB4,"")</f>
        <v>0</v>
      </c>
      <c r="ABB3" s="18">
        <f>IF(AAB4&gt;0,ABB4/AAB4,"")</f>
        <v>0</v>
      </c>
      <c r="ABC3" s="18">
        <f>IF(AAB4&gt;0,ABC4/AAB4,"")</f>
        <v>0</v>
      </c>
      <c r="ABD3" s="18">
        <f>IF(AAB4&gt;0,ABD4/AAB4,"")</f>
        <v>0</v>
      </c>
      <c r="ABE3" s="18">
        <f>IF(AAB4&gt;0,ABE4/AAB4,"")</f>
        <v>0</v>
      </c>
      <c r="ABF3" s="18">
        <f>IF(AAB4&gt;0,ABF4/AAB4,"")</f>
        <v>0</v>
      </c>
      <c r="ABH3" s="18">
        <f>IF(ABG4&gt;0,ABH4/ABG4,"")</f>
        <v>0.33333333333333331</v>
      </c>
      <c r="ABI3" s="18">
        <f>IF(ABG4&gt;0,ABI4/ABG4,"")</f>
        <v>0.66666666666666663</v>
      </c>
      <c r="ABJ3" s="18">
        <f>IF(ABG4&gt;0,ABJ4/ABG4,"")</f>
        <v>0.44444444444444442</v>
      </c>
      <c r="ABK3" s="18">
        <f>IF(ABG4&gt;0,ABK4/ABG4,"")</f>
        <v>0.3888888888888889</v>
      </c>
      <c r="ABL3" s="18">
        <f>IF(ABG4&gt;0,ABL4/ABG4,"")</f>
        <v>0.1111111111111111</v>
      </c>
      <c r="ABM3" s="18">
        <f>IF(ABG4&gt;0,ABM4/ABG4,"")</f>
        <v>0.88888888888888884</v>
      </c>
      <c r="ABN3" s="18">
        <f>IF(ABG4&gt;0,ABN4/ABG4,"")</f>
        <v>0.16666666666666666</v>
      </c>
      <c r="ABO3" s="18">
        <f>IF(ABG4&gt;0,ABO4/ABG4,"")</f>
        <v>0.33333333333333331</v>
      </c>
      <c r="ABP3" s="18">
        <f>IF(ABG4&gt;0,ABP4/ABG4,"")</f>
        <v>0.22222222222222221</v>
      </c>
      <c r="ABQ3" s="18">
        <f>IF(ABG4&gt;0,ABQ4/ABG4,"")</f>
        <v>0.16666666666666666</v>
      </c>
      <c r="ABR3" s="18">
        <f>IF(ABG4&gt;0,ABR4/ABG4,"")</f>
        <v>5.5555555555555552E-2</v>
      </c>
      <c r="ABS3" s="18">
        <f>IF(ABG4&gt;0,ABS4/ABG4,"")</f>
        <v>0.44444444444444442</v>
      </c>
      <c r="ABT3" s="18">
        <f>IF(ABG4&gt;0,ABT4/ABG4,"")</f>
        <v>0.27777777777777779</v>
      </c>
      <c r="ABU3" s="18">
        <f>IF(ABG4&gt;0,ABU4/ABG4,"")</f>
        <v>0.44444444444444442</v>
      </c>
      <c r="ABV3" s="18">
        <f>IF(ABG4&gt;0,ABV4/ABG4,"")</f>
        <v>0</v>
      </c>
      <c r="ABW3" s="18">
        <f>IF(ABG4&gt;0,ABW4/ABG4,"")</f>
        <v>0</v>
      </c>
      <c r="ABX3" s="18">
        <f>IF(ABG4&gt;0,ABX4/ABG4,"")</f>
        <v>0.1111111111111111</v>
      </c>
      <c r="ABY3" s="18">
        <f>IF(ABG4&gt;0,ABY4/ABG4,"")</f>
        <v>0.1111111111111111</v>
      </c>
      <c r="ABZ3" s="18">
        <f>IF(ABG4&gt;0,ABZ4/ABG4,"")</f>
        <v>0</v>
      </c>
      <c r="ACA3" s="18">
        <f>IF(ABG4&gt;0,ACA4/ABG4,"")</f>
        <v>0</v>
      </c>
      <c r="ACB3" s="18">
        <f>IF(ABG4&gt;0,ACB4/ABG4,"")</f>
        <v>0</v>
      </c>
      <c r="ACC3" s="18">
        <f>IF(ABG4&gt;0,ACC4/ABG4,"")</f>
        <v>0</v>
      </c>
      <c r="ACD3" s="18">
        <f>IF(ABG4&gt;0,ACD4/ABG4,"")</f>
        <v>0</v>
      </c>
      <c r="ACE3" s="18">
        <f>IF(ABG4&gt;0,ACE4/ABG4,"")</f>
        <v>0</v>
      </c>
      <c r="ACF3" s="18">
        <f>IF(ABG4&gt;0,ACF4/ABG4,"")</f>
        <v>0</v>
      </c>
      <c r="ACG3" s="18">
        <f>IF(ABG4&gt;0,ACG4/ABG4,"")</f>
        <v>0</v>
      </c>
      <c r="ACH3" s="18">
        <f>IF(ABG4&gt;0,ACH4/ABG4,"")</f>
        <v>0</v>
      </c>
      <c r="ACI3" s="18">
        <f>IF(ABG4&gt;0,ACI4/ABG4,"")</f>
        <v>0</v>
      </c>
      <c r="ACJ3" s="18">
        <f>IF(ABG4&gt;0,ACJ4/ABG4,"")</f>
        <v>0</v>
      </c>
      <c r="ACK3" s="18">
        <f>IF(ABG4&gt;0,ACK4/ABG4,"")</f>
        <v>0</v>
      </c>
      <c r="ACM3" s="18">
        <f>IF(ACL4&gt;0,ACM4/ACL4,"")</f>
        <v>1</v>
      </c>
      <c r="ACN3" s="18">
        <f>IF(ACL4&gt;0,ACN4/ACL4,"")</f>
        <v>1</v>
      </c>
      <c r="ACO3" s="18">
        <f>IF(ACL4&gt;0,ACO4/ACL4,"")</f>
        <v>0</v>
      </c>
      <c r="ACP3" s="18">
        <f>IF(ACL4&gt;0,ACP4/ACL4,"")</f>
        <v>0</v>
      </c>
      <c r="ACQ3" s="18">
        <f>IF(ACL4&gt;0,ACQ4/ACL4,"")</f>
        <v>1</v>
      </c>
      <c r="ACR3" s="18">
        <f>IF(ACL4&gt;0,ACR4/ACL4,"")</f>
        <v>0</v>
      </c>
      <c r="ACS3" s="18">
        <f>IF(ACL4&gt;0,ACS4/ACL4,"")</f>
        <v>0</v>
      </c>
      <c r="ACT3" s="18">
        <f>IF(ACL4&gt;0,ACT4/ACL4,"")</f>
        <v>0</v>
      </c>
      <c r="ACU3" s="18">
        <f>IF(ACL4&gt;0,ACU4/ACL4,"")</f>
        <v>0</v>
      </c>
      <c r="ACV3" s="18">
        <f>IF(ACL4&gt;0,ACV4/ACL4,"")</f>
        <v>0</v>
      </c>
      <c r="ACW3" s="18">
        <f>IF(ACL4&gt;0,ACW4/ACL4,"")</f>
        <v>0</v>
      </c>
      <c r="ACX3" s="18">
        <f>IF(ACL4&gt;0,ACX4/ACL4,"")</f>
        <v>0</v>
      </c>
      <c r="ACY3" s="18">
        <f>IF(ACL4&gt;0,ACY4/ACL4,"")</f>
        <v>0</v>
      </c>
      <c r="ACZ3" s="18">
        <f>IF(ACL4&gt;0,ACZ4/ACL4,"")</f>
        <v>0</v>
      </c>
      <c r="ADA3" s="18">
        <f>IF(ACL4&gt;0,ADA4/ACL4,"")</f>
        <v>0</v>
      </c>
      <c r="ADB3" s="18">
        <f>IF(ACL4&gt;0,ADB4/ACL4,"")</f>
        <v>0</v>
      </c>
      <c r="ADC3" s="18">
        <f>IF(ACL4&gt;0,ADC4/ACL4,"")</f>
        <v>0</v>
      </c>
      <c r="ADD3" s="18">
        <f>IF(ACL4&gt;0,ADD4/ACL4,"")</f>
        <v>0</v>
      </c>
      <c r="ADE3" s="18">
        <f>IF(ACL4&gt;0,ADE4/ACL4,"")</f>
        <v>0</v>
      </c>
      <c r="ADF3" s="18">
        <f>IF(ACL4&gt;0,ADF4/ACL4,"")</f>
        <v>0</v>
      </c>
      <c r="ADG3" s="18">
        <f>IF(ACL4&gt;0,ADG4/ACL4,"")</f>
        <v>0</v>
      </c>
      <c r="ADH3" s="18">
        <f>IF(ACL4&gt;0,ADH4/ACL4,"")</f>
        <v>0</v>
      </c>
      <c r="ADI3" s="18">
        <f>IF(ACL4&gt;0,ADI4/ACL4,"")</f>
        <v>0</v>
      </c>
      <c r="ADJ3" s="18">
        <f>IF(ACL4&gt;0,ADJ4/ACL4,"")</f>
        <v>0</v>
      </c>
      <c r="ADK3" s="18">
        <f>IF(ACL4&gt;0,ADK4/ACL4,"")</f>
        <v>0</v>
      </c>
      <c r="ADL3" s="18">
        <f>IF(ACL4&gt;0,ADL4/ACL4,"")</f>
        <v>0</v>
      </c>
      <c r="ADM3" s="18">
        <f>IF(ACL4&gt;0,ADM4/ACL4,"")</f>
        <v>0</v>
      </c>
      <c r="ADN3" s="18">
        <f>IF(ACL4&gt;0,ADN4/ACL4,"")</f>
        <v>0</v>
      </c>
      <c r="ADO3" s="18">
        <f>IF(ACL4&gt;0,ADO4/ACL4,"")</f>
        <v>0</v>
      </c>
      <c r="ADP3" s="18">
        <f>IF(ACL4&gt;0,ADP4/ACL4,"")</f>
        <v>0</v>
      </c>
      <c r="ADR3" s="18">
        <f>IF(ADQ4&gt;0,ADR4/ADQ4,"")</f>
        <v>0.5625</v>
      </c>
      <c r="ADS3" s="18">
        <f>IF(ADQ4&gt;0,ADS4/ADQ4,"")</f>
        <v>0.25</v>
      </c>
      <c r="ADT3" s="18">
        <f>IF(ADQ4&gt;0,ADT4/ADQ4,"")</f>
        <v>0.75</v>
      </c>
      <c r="ADU3" s="18">
        <f>IF(ADQ4&gt;0,ADU4/ADQ4,"")</f>
        <v>0.75</v>
      </c>
      <c r="ADV3" s="18">
        <f>IF(ADQ4&gt;0,ADV4/ADQ4,"")</f>
        <v>0.3125</v>
      </c>
      <c r="ADW3" s="18">
        <f>IF(ADQ4&gt;0,ADW4/ADQ4,"")</f>
        <v>0.5</v>
      </c>
      <c r="ADX3" s="18">
        <f>IF(ADQ4&gt;0,ADX4/ADQ4,"")</f>
        <v>0.625</v>
      </c>
      <c r="ADY3" s="18">
        <f>IF(ADQ4&gt;0,ADY4/ADQ4,"")</f>
        <v>0.625</v>
      </c>
      <c r="ADZ3" s="18">
        <f>IF(ADQ4&gt;0,ADZ4/ADQ4,"")</f>
        <v>0.3125</v>
      </c>
      <c r="AEA3" s="18">
        <f>IF(ADQ4&gt;0,AEA4/ADQ4,"")</f>
        <v>0.625</v>
      </c>
      <c r="AEB3" s="18">
        <f>IF(ADQ4&gt;0,AEB4/ADQ4,"")</f>
        <v>0.5625</v>
      </c>
      <c r="AEC3" s="18">
        <f>IF(ADQ4&gt;0,AEC4/ADQ4,"")</f>
        <v>0.3125</v>
      </c>
      <c r="AED3" s="18">
        <f>IF(ADQ4&gt;0,AED4/ADQ4,"")</f>
        <v>0.125</v>
      </c>
      <c r="AEE3" s="18">
        <f>IF(ADQ4&gt;0,AEE4/ADQ4,"")</f>
        <v>6.25E-2</v>
      </c>
      <c r="AEF3" s="18">
        <f>IF(ADQ4&gt;0,AEF4/ADQ4,"")</f>
        <v>6.25E-2</v>
      </c>
      <c r="AEG3" s="18">
        <f>IF(ADQ4&gt;0,AEG4/ADQ4,"")</f>
        <v>0.125</v>
      </c>
      <c r="AEH3" s="18">
        <f>IF(ADQ4&gt;0,AEH4/ADQ4,"")</f>
        <v>0.125</v>
      </c>
      <c r="AEI3" s="18">
        <f>IF(ADQ4&gt;0,AEI4/ADQ4,"")</f>
        <v>0</v>
      </c>
      <c r="AEJ3" s="18">
        <f>IF(ADQ4&gt;0,AEJ4/ADQ4,"")</f>
        <v>0</v>
      </c>
      <c r="AEK3" s="18">
        <f>IF(ADQ4&gt;0,AEK4/ADQ4,"")</f>
        <v>0</v>
      </c>
      <c r="AEL3" s="18">
        <f>IF(ADQ4&gt;0,AEL4/ADQ4,"")</f>
        <v>0</v>
      </c>
      <c r="AEM3" s="18">
        <f>IF(ADQ4&gt;0,AEM4/ADQ4,"")</f>
        <v>0</v>
      </c>
      <c r="AEN3" s="18">
        <f>IF(ADQ4&gt;0,AEN4/ADQ4,"")</f>
        <v>0</v>
      </c>
      <c r="AEO3" s="18">
        <f>IF(ADQ4&gt;0,AEO4/ADQ4,"")</f>
        <v>0</v>
      </c>
      <c r="AEP3" s="18">
        <f>IF(ADQ4&gt;0,AEP4/ADQ4,"")</f>
        <v>0</v>
      </c>
      <c r="AEQ3" s="18">
        <f>IF(ADQ4&gt;0,AEQ4/ADQ4,"")</f>
        <v>0</v>
      </c>
      <c r="AER3" s="18">
        <f>IF(ADQ4&gt;0,AER4/ADQ4,"")</f>
        <v>0</v>
      </c>
      <c r="AES3" s="18">
        <f>IF(ADQ4&gt;0,AES4/ADQ4,"")</f>
        <v>0</v>
      </c>
      <c r="AET3" s="18">
        <f>IF(ADQ4&gt;0,AET4/ADQ4,"")</f>
        <v>0</v>
      </c>
      <c r="AEU3" s="18">
        <f>IF(ADQ4&gt;0,AEU4/ADQ4,"")</f>
        <v>0</v>
      </c>
      <c r="AEW3" s="18">
        <f>IF(AEV4&gt;0,AEW4/AEV4,"")</f>
        <v>0.5</v>
      </c>
      <c r="AEX3" s="18">
        <f>IF(AEV4&gt;0,AEX4/AEV4,"")</f>
        <v>0.5</v>
      </c>
      <c r="AEY3" s="18">
        <f>IF(AEV4&gt;0,AEY4/AEV4,"")</f>
        <v>0.5</v>
      </c>
      <c r="AEZ3" s="18">
        <f>IF(AEV4&gt;0,AEZ4/AEV4,"")</f>
        <v>0.5</v>
      </c>
      <c r="AFA3" s="18">
        <f>IF(AEV4&gt;0,AFA4/AEV4,"")</f>
        <v>0</v>
      </c>
      <c r="AFB3" s="18">
        <f>IF(AEV4&gt;0,AFB4/AEV4,"")</f>
        <v>0</v>
      </c>
      <c r="AFC3" s="18">
        <f>IF(AEV4&gt;0,AFC4/AEV4,"")</f>
        <v>0</v>
      </c>
      <c r="AFD3" s="18">
        <f>IF(AEV4&gt;0,AFD4/AEV4,"")</f>
        <v>0</v>
      </c>
      <c r="AFE3" s="18">
        <f>IF(AEV4&gt;0,AFE4/AEV4,"")</f>
        <v>0</v>
      </c>
      <c r="AFF3" s="18">
        <f>IF(AEV4&gt;0,AFF4/AEV4,"")</f>
        <v>0</v>
      </c>
      <c r="AFG3" s="18">
        <f>IF(AEV4&gt;0,AFG4/AEV4,"")</f>
        <v>0</v>
      </c>
      <c r="AFH3" s="18">
        <f>IF(AEV4&gt;0,AFH4/AEV4,"")</f>
        <v>0</v>
      </c>
      <c r="AFI3" s="18">
        <f>IF(AEV4&gt;0,AFI4/AEV4,"")</f>
        <v>0</v>
      </c>
      <c r="AFJ3" s="18">
        <f>IF(AEV4&gt;0,AFJ4/AEV4,"")</f>
        <v>0</v>
      </c>
      <c r="AFK3" s="18">
        <f>IF(AEV4&gt;0,AFK4/AEV4,"")</f>
        <v>0</v>
      </c>
      <c r="AFL3" s="18">
        <f>IF(AEV4&gt;0,AFL4/AEV4,"")</f>
        <v>0</v>
      </c>
      <c r="AFM3" s="18">
        <f>IF(AEV4&gt;0,AFM4/AEV4,"")</f>
        <v>0</v>
      </c>
      <c r="AFN3" s="18">
        <f>IF(AEV4&gt;0,AFN4/AEV4,"")</f>
        <v>0</v>
      </c>
      <c r="AFO3" s="18">
        <f>IF(AEV4&gt;0,AFO4/AEV4,"")</f>
        <v>0</v>
      </c>
      <c r="AFP3" s="18">
        <f>IF(AEV4&gt;0,AFP4/AEV4,"")</f>
        <v>0</v>
      </c>
      <c r="AFQ3" s="18">
        <f>IF(AEV4&gt;0,AFQ4/AEV4,"")</f>
        <v>0</v>
      </c>
      <c r="AFR3" s="18">
        <f>IF(AEV4&gt;0,AFR4/AEV4,"")</f>
        <v>0</v>
      </c>
      <c r="AFS3" s="18">
        <f>IF(AEV4&gt;0,AFS4/AEV4,"")</f>
        <v>0</v>
      </c>
      <c r="AFT3" s="18">
        <f>IF(AEV4&gt;0,AFT4/AEV4,"")</f>
        <v>0</v>
      </c>
      <c r="AFU3" s="18">
        <f>IF(AEV4&gt;0,AFU4/AEV4,"")</f>
        <v>0</v>
      </c>
      <c r="AFV3" s="18">
        <f>IF(AEV4&gt;0,AFV4/AEV4,"")</f>
        <v>0</v>
      </c>
      <c r="AFW3" s="18">
        <f>IF(AEV4&gt;0,AFW4/AEV4,"")</f>
        <v>0</v>
      </c>
      <c r="AFX3" s="18">
        <f>IF(AEV4&gt;0,AFX4/AEV4,"")</f>
        <v>0</v>
      </c>
      <c r="AFY3" s="18">
        <f>IF(AEV4&gt;0,AFY4/AEV4,"")</f>
        <v>0</v>
      </c>
      <c r="AFZ3" s="18">
        <f>IF(AEV4&gt;0,AFZ4/AEV4,"")</f>
        <v>0</v>
      </c>
      <c r="AGB3" s="18">
        <f>IF(AGA4&gt;0,AGB4/AGA4,"")</f>
        <v>0.8</v>
      </c>
      <c r="AGC3" s="18">
        <f>IF(AGA4&gt;0,AGC4/AGA4,"")</f>
        <v>0.46666666666666667</v>
      </c>
      <c r="AGD3" s="18">
        <f>IF(AGA4&gt;0,AGD4/AGA4,"")</f>
        <v>0</v>
      </c>
      <c r="AGE3" s="18">
        <f>IF(AGA4&gt;0,AGE4/AGA4,"")</f>
        <v>0.2</v>
      </c>
      <c r="AGF3" s="18">
        <f>IF(AGA4&gt;0,AGF4/AGA4,"")</f>
        <v>0.2</v>
      </c>
      <c r="AGG3" s="18">
        <f>IF(AGA4&gt;0,AGG4/AGA4,"")</f>
        <v>0.4</v>
      </c>
      <c r="AGH3" s="18">
        <f>IF(AGA4&gt;0,AGH4/AGA4,"")</f>
        <v>0.4</v>
      </c>
      <c r="AGI3" s="18">
        <f>IF(AGA4&gt;0,AGI4/AGA4,"")</f>
        <v>0.33333333333333331</v>
      </c>
      <c r="AGJ3" s="18">
        <f>IF(AGA4&gt;0,AGJ4/AGA4,"")</f>
        <v>0.6</v>
      </c>
      <c r="AGK3" s="18">
        <f>IF(AGA4&gt;0,AGK4/AGA4,"")</f>
        <v>0.66666666666666663</v>
      </c>
      <c r="AGL3" s="18">
        <f>IF(AGA4&gt;0,AGL4/AGA4,"")</f>
        <v>0.26666666666666666</v>
      </c>
      <c r="AGM3" s="18">
        <f>IF(AGA4&gt;0,AGM4/AGA4,"")</f>
        <v>0.26666666666666666</v>
      </c>
      <c r="AGN3" s="18">
        <f>IF(AGA4&gt;0,AGN4/AGA4,"")</f>
        <v>0.2</v>
      </c>
      <c r="AGO3" s="18">
        <f>IF(AGA4&gt;0,AGO4/AGA4,"")</f>
        <v>6.6666666666666666E-2</v>
      </c>
      <c r="AGP3" s="18">
        <f>IF(AGA4&gt;0,AGP4/AGA4,"")</f>
        <v>6.6666666666666666E-2</v>
      </c>
      <c r="AGQ3" s="18">
        <f>IF(AGA4&gt;0,AGQ4/AGA4,"")</f>
        <v>0</v>
      </c>
      <c r="AGR3" s="18">
        <f>IF(AGA4&gt;0,AGR4/AGA4,"")</f>
        <v>0</v>
      </c>
      <c r="AGS3" s="18">
        <f>IF(AGA4&gt;0,AGS4/AGA4,"")</f>
        <v>6.6666666666666666E-2</v>
      </c>
      <c r="AGT3" s="18">
        <f>IF(AGA4&gt;0,AGT4/AGA4,"")</f>
        <v>0.13333333333333333</v>
      </c>
      <c r="AGU3" s="18">
        <f>IF(AGA4&gt;0,AGU4/AGA4,"")</f>
        <v>0</v>
      </c>
      <c r="AGV3" s="18">
        <f>IF(AGA4&gt;0,AGV4/AGA4,"")</f>
        <v>0</v>
      </c>
      <c r="AGW3" s="18">
        <f>IF(AGA4&gt;0,AGW4/AGA4,"")</f>
        <v>0</v>
      </c>
      <c r="AGX3" s="18">
        <f>IF(AGA4&gt;0,AGX4/AGA4,"")</f>
        <v>0</v>
      </c>
      <c r="AGY3" s="18">
        <f>IF(AGA4&gt;0,AGY4/AGA4,"")</f>
        <v>0</v>
      </c>
      <c r="AGZ3" s="18">
        <f>IF(AGA4&gt;0,AGZ4/AGA4,"")</f>
        <v>0</v>
      </c>
      <c r="AHA3" s="18">
        <f>IF(AGA4&gt;0,AHA4/AGA4,"")</f>
        <v>0</v>
      </c>
      <c r="AHB3" s="18">
        <f>IF(AGA4&gt;0,AHB4/AGA4,"")</f>
        <v>0</v>
      </c>
      <c r="AHC3" s="18">
        <f>IF(AGA4&gt;0,AHC4/AGA4,"")</f>
        <v>0</v>
      </c>
      <c r="AHD3" s="18">
        <f>IF(AGA4&gt;0,AHD4/AGA4,"")</f>
        <v>0</v>
      </c>
      <c r="AHE3" s="18">
        <f>IF(AGA4&gt;0,AHE4/AGA4,"")</f>
        <v>0</v>
      </c>
      <c r="AHG3" s="18">
        <f>IF(AHF4&gt;0,AHG4/AHF4,"")</f>
        <v>0.5</v>
      </c>
      <c r="AHH3" s="18">
        <f>IF(AHF4&gt;0,AHH4/AHF4,"")</f>
        <v>0.5</v>
      </c>
      <c r="AHI3" s="18">
        <f>IF(AHF4&gt;0,AHI4/AHF4,"")</f>
        <v>0</v>
      </c>
      <c r="AHJ3" s="18">
        <f>IF(AHF4&gt;0,AHJ4/AHF4,"")</f>
        <v>0.5</v>
      </c>
      <c r="AHK3" s="18">
        <f>IF(AHF4&gt;0,AHK4/AHF4,"")</f>
        <v>0</v>
      </c>
      <c r="AHL3" s="18">
        <f>IF(AHF4&gt;0,AHL4/AHF4,"")</f>
        <v>0</v>
      </c>
      <c r="AHM3" s="18">
        <f>IF(AHF4&gt;0,AHM4/AHF4,"")</f>
        <v>0</v>
      </c>
      <c r="AHN3" s="18">
        <f>IF(AHF4&gt;0,AHN4/AHF4,"")</f>
        <v>0</v>
      </c>
      <c r="AHO3" s="18">
        <f>IF(AHF4&gt;0,AHO4/AHF4,"")</f>
        <v>0</v>
      </c>
      <c r="AHP3" s="18">
        <f>IF(AHF4&gt;0,AHP4/AHF4,"")</f>
        <v>0</v>
      </c>
      <c r="AHQ3" s="18">
        <f>IF(AHF4&gt;0,AHQ4/AHF4,"")</f>
        <v>0</v>
      </c>
      <c r="AHR3" s="18">
        <f>IF(AHF4&gt;0,AHR4/AHF4,"")</f>
        <v>0</v>
      </c>
      <c r="AHS3" s="18">
        <f>IF(AHF4&gt;0,AHS4/AHF4,"")</f>
        <v>0</v>
      </c>
      <c r="AHT3" s="18">
        <f>IF(AHF4&gt;0,AHT4/AHF4,"")</f>
        <v>0</v>
      </c>
      <c r="AHU3" s="18">
        <f>IF(AHF4&gt;0,AHU4/AHF4,"")</f>
        <v>0</v>
      </c>
      <c r="AHV3" s="18">
        <f>IF(AHF4&gt;0,AHV4/AHF4,"")</f>
        <v>0</v>
      </c>
      <c r="AHW3" s="18">
        <f>IF(AHF4&gt;0,AHW4/AHF4,"")</f>
        <v>0</v>
      </c>
      <c r="AHX3" s="18">
        <f>IF(AHF4&gt;0,AHX4/AHF4,"")</f>
        <v>0</v>
      </c>
      <c r="AHY3" s="18">
        <f>IF(AHF4&gt;0,AHY4/AHF4,"")</f>
        <v>0</v>
      </c>
      <c r="AHZ3" s="18">
        <f>IF(AHF4&gt;0,AHZ4/AHF4,"")</f>
        <v>0</v>
      </c>
      <c r="AIA3" s="18">
        <f>IF(AHF4&gt;0,AIA4/AHF4,"")</f>
        <v>0</v>
      </c>
      <c r="AIB3" s="18">
        <f>IF(AHF4&gt;0,AIB4/AHF4,"")</f>
        <v>0</v>
      </c>
      <c r="AIC3" s="18">
        <f>IF(AHF4&gt;0,AIC4/AHF4,"")</f>
        <v>0</v>
      </c>
      <c r="AID3" s="18">
        <f>IF(AHF4&gt;0,AID4/AHF4,"")</f>
        <v>0</v>
      </c>
      <c r="AIE3" s="18">
        <f>IF(AHF4&gt;0,AIE4/AHF4,"")</f>
        <v>0</v>
      </c>
      <c r="AIF3" s="18">
        <f>IF(AHF4&gt;0,AIF4/AHF4,"")</f>
        <v>0</v>
      </c>
      <c r="AIG3" s="18">
        <f>IF(AHF4&gt;0,AIG4/AHF4,"")</f>
        <v>0</v>
      </c>
      <c r="AIH3" s="18">
        <f>IF(AHF4&gt;0,AIH4/AHF4,"")</f>
        <v>0</v>
      </c>
      <c r="AII3" s="18">
        <f>IF(AHF4&gt;0,AII4/AHF4,"")</f>
        <v>0</v>
      </c>
      <c r="AIJ3" s="18">
        <f>IF(AHF4&gt;0,AIJ4/AHF4,"")</f>
        <v>0</v>
      </c>
      <c r="AIL3" s="18" t="str">
        <f>IF(AIK4&gt;0,AIL4/AIK4,"")</f>
        <v/>
      </c>
      <c r="AIM3" s="18" t="str">
        <f>IF(AIK4&gt;0,AIM4/AIK4,"")</f>
        <v/>
      </c>
      <c r="AIN3" s="18" t="str">
        <f>IF(AIK4&gt;0,AIN4/AIK4,"")</f>
        <v/>
      </c>
      <c r="AIO3" s="18" t="str">
        <f>IF(AIK4&gt;0,AIO4/AIK4,"")</f>
        <v/>
      </c>
      <c r="AIP3" s="18" t="str">
        <f>IF(AIK4&gt;0,AIP4/AIK4,"")</f>
        <v/>
      </c>
      <c r="AIQ3" s="18" t="str">
        <f>IF(AIK4&gt;0,AIQ4/AIK4,"")</f>
        <v/>
      </c>
      <c r="AIR3" s="18" t="str">
        <f>IF(AIK4&gt;0,AIR4/AIK4,"")</f>
        <v/>
      </c>
      <c r="AIS3" s="18" t="str">
        <f>IF(AIK4&gt;0,AIS4/AIK4,"")</f>
        <v/>
      </c>
      <c r="AIT3" s="18" t="str">
        <f>IF(AIK4&gt;0,AIT4/AIK4,"")</f>
        <v/>
      </c>
      <c r="AIU3" s="18" t="str">
        <f>IF(AIK4&gt;0,AIU4/AIK4,"")</f>
        <v/>
      </c>
      <c r="AIV3" s="18" t="str">
        <f>IF(AIK4&gt;0,AIV4/AIK4,"")</f>
        <v/>
      </c>
      <c r="AIW3" s="18" t="str">
        <f>IF(AIK4&gt;0,AIW4/AIK4,"")</f>
        <v/>
      </c>
      <c r="AIX3" s="18" t="str">
        <f>IF(AIK4&gt;0,AIX4/AIK4,"")</f>
        <v/>
      </c>
      <c r="AIY3" s="18" t="str">
        <f>IF(AIK4&gt;0,AIY4/AIK4,"")</f>
        <v/>
      </c>
      <c r="AIZ3" s="18" t="str">
        <f>IF(AIK4&gt;0,AIZ4/AIK4,"")</f>
        <v/>
      </c>
      <c r="AJA3" s="18" t="str">
        <f>IF(AIK4&gt;0,AJA4/AIK4,"")</f>
        <v/>
      </c>
      <c r="AJB3" s="18" t="str">
        <f>IF(AIK4&gt;0,AJB4/AIK4,"")</f>
        <v/>
      </c>
      <c r="AJC3" s="18" t="str">
        <f>IF(AIK4&gt;0,AJC4/AIK4,"")</f>
        <v/>
      </c>
      <c r="AJD3" s="18" t="str">
        <f>IF(AIK4&gt;0,AJD4/AIK4,"")</f>
        <v/>
      </c>
      <c r="AJE3" s="18" t="str">
        <f>IF(AIK4&gt;0,AJE4/AIK4,"")</f>
        <v/>
      </c>
      <c r="AJF3" s="18" t="str">
        <f>IF(AIK4&gt;0,AJF4/AIK4,"")</f>
        <v/>
      </c>
      <c r="AJG3" s="18" t="str">
        <f>IF(AIK4&gt;0,AJG4/AIK4,"")</f>
        <v/>
      </c>
      <c r="AJH3" s="18" t="str">
        <f>IF(AIK4&gt;0,AJH4/AIK4,"")</f>
        <v/>
      </c>
      <c r="AJI3" s="18" t="str">
        <f>IF(AIK4&gt;0,AJI4/AIK4,"")</f>
        <v/>
      </c>
      <c r="AJJ3" s="18" t="str">
        <f>IF(AIK4&gt;0,AJJ4/AIK4,"")</f>
        <v/>
      </c>
      <c r="AJK3" s="18" t="str">
        <f>IF(AIK4&gt;0,AJK4/AIK4,"")</f>
        <v/>
      </c>
      <c r="AJL3" s="18" t="str">
        <f>IF(AIK4&gt;0,AJL4/AIK4,"")</f>
        <v/>
      </c>
      <c r="AJM3" s="18" t="str">
        <f>IF(AIK4&gt;0,AJM4/AIK4,"")</f>
        <v/>
      </c>
      <c r="AJN3" s="18" t="str">
        <f>IF(AIK4&gt;0,AJN4/AIK4,"")</f>
        <v/>
      </c>
      <c r="AJO3" s="18" t="str">
        <f>IF(AIK4&gt;0,AJO4/AIK4,"")</f>
        <v/>
      </c>
      <c r="AJQ3" s="18" t="str">
        <f>IF(AJP4&gt;0,AJQ4/AJP4,"")</f>
        <v/>
      </c>
      <c r="AJR3" s="18" t="str">
        <f>IF(AJP4&gt;0,AJR4/AJP4,"")</f>
        <v/>
      </c>
      <c r="AJS3" s="18" t="str">
        <f>IF(AJP4&gt;0,AJS4/AJP4,"")</f>
        <v/>
      </c>
      <c r="AJT3" s="18" t="str">
        <f>IF(AJP4&gt;0,AJT4/AJP4,"")</f>
        <v/>
      </c>
      <c r="AJU3" s="18" t="str">
        <f>IF(AJP4&gt;0,AJU4/AJP4,"")</f>
        <v/>
      </c>
      <c r="AJV3" s="18" t="str">
        <f>IF(AJP4&gt;0,AJV4/AJP4,"")</f>
        <v/>
      </c>
      <c r="AJW3" s="18" t="str">
        <f>IF(AJP4&gt;0,AJW4/AJP4,"")</f>
        <v/>
      </c>
      <c r="AJX3" s="18" t="str">
        <f>IF(AJP4&gt;0,AJX4/AJP4,"")</f>
        <v/>
      </c>
      <c r="AJY3" s="18" t="str">
        <f>IF(AJP4&gt;0,AJY4/AJP4,"")</f>
        <v/>
      </c>
      <c r="AJZ3" s="18" t="str">
        <f>IF(AJP4&gt;0,AJZ4/AJP4,"")</f>
        <v/>
      </c>
      <c r="AKA3" s="18" t="str">
        <f>IF(AJP4&gt;0,AKA4/AJP4,"")</f>
        <v/>
      </c>
      <c r="AKB3" s="18" t="str">
        <f>IF(AJP4&gt;0,AKB4/AJP4,"")</f>
        <v/>
      </c>
      <c r="AKC3" s="18" t="str">
        <f>IF(AJP4&gt;0,AKC4/AJP4,"")</f>
        <v/>
      </c>
      <c r="AKD3" s="18" t="str">
        <f>IF(AJP4&gt;0,AKD4/AJP4,"")</f>
        <v/>
      </c>
      <c r="AKE3" s="18" t="str">
        <f>IF(AJP4&gt;0,AKE4/AJP4,"")</f>
        <v/>
      </c>
      <c r="AKF3" s="18" t="str">
        <f>IF(AJP4&gt;0,AKF4/AJP4,"")</f>
        <v/>
      </c>
      <c r="AKG3" s="18" t="str">
        <f>IF(AJP4&gt;0,AKG4/AJP4,"")</f>
        <v/>
      </c>
      <c r="AKH3" s="18" t="str">
        <f>IF(AJP4&gt;0,AKH4/AJP4,"")</f>
        <v/>
      </c>
      <c r="AKI3" s="18" t="str">
        <f>IF(AJP4&gt;0,AKI4/AJP4,"")</f>
        <v/>
      </c>
      <c r="AKJ3" s="18" t="str">
        <f>IF(AJP4&gt;0,AKJ4/AJP4,"")</f>
        <v/>
      </c>
      <c r="AKK3" s="18" t="str">
        <f>IF(AJP4&gt;0,AKK4/AJP4,"")</f>
        <v/>
      </c>
      <c r="AKL3" s="18" t="str">
        <f>IF(AJP4&gt;0,AKL4/AJP4,"")</f>
        <v/>
      </c>
      <c r="AKM3" s="18" t="str">
        <f>IF(AJP4&gt;0,AKM4/AJP4,"")</f>
        <v/>
      </c>
      <c r="AKN3" s="18" t="str">
        <f>IF(AJP4&gt;0,AKN4/AJP4,"")</f>
        <v/>
      </c>
      <c r="AKO3" s="18" t="str">
        <f>IF(AJP4&gt;0,AKO4/AJP4,"")</f>
        <v/>
      </c>
      <c r="AKP3" s="18" t="str">
        <f>IF(AJP4&gt;0,AKP4/AJP4,"")</f>
        <v/>
      </c>
      <c r="AKQ3" s="18" t="str">
        <f>IF(AJP4&gt;0,AKQ4/AJP4,"")</f>
        <v/>
      </c>
      <c r="AKR3" s="18" t="str">
        <f>IF(AJP4&gt;0,AKR4/AJP4,"")</f>
        <v/>
      </c>
      <c r="AKS3" s="18" t="str">
        <f>IF(AJP4&gt;0,AKS4/AJP4,"")</f>
        <v/>
      </c>
      <c r="AKT3" s="18" t="str">
        <f>IF(AJP4&gt;0,AKT4/AJP4,"")</f>
        <v/>
      </c>
      <c r="AKV3" s="18" t="str">
        <f>IF(AKU4&gt;0,AKV4/AKU4,"")</f>
        <v/>
      </c>
      <c r="AKW3" s="18" t="str">
        <f>IF(AKU4&gt;0,AKW4/AKU4,"")</f>
        <v/>
      </c>
      <c r="AKX3" s="18" t="str">
        <f>IF(AKU4&gt;0,AKX4/AKU4,"")</f>
        <v/>
      </c>
      <c r="AKY3" s="18" t="str">
        <f>IF(AKU4&gt;0,AKY4/AKU4,"")</f>
        <v/>
      </c>
      <c r="AKZ3" s="18" t="str">
        <f>IF(AKU4&gt;0,AKZ4/AKU4,"")</f>
        <v/>
      </c>
      <c r="ALA3" s="18" t="str">
        <f>IF(AKU4&gt;0,ALA4/AKU4,"")</f>
        <v/>
      </c>
      <c r="ALB3" s="18" t="str">
        <f>IF(AKU4&gt;0,ALB4/AKU4,"")</f>
        <v/>
      </c>
      <c r="ALC3" s="18" t="str">
        <f>IF(AKU4&gt;0,ALC4/AKU4,"")</f>
        <v/>
      </c>
      <c r="ALD3" s="18" t="str">
        <f>IF(AKU4&gt;0,ALD4/AKU4,"")</f>
        <v/>
      </c>
      <c r="ALE3" s="18" t="str">
        <f>IF(AKU4&gt;0,ALE4/AKU4,"")</f>
        <v/>
      </c>
      <c r="ALF3" s="18" t="str">
        <f>IF(AKU4&gt;0,ALF4/AKU4,"")</f>
        <v/>
      </c>
      <c r="ALG3" s="18" t="str">
        <f>IF(AKU4&gt;0,ALG4/AKU4,"")</f>
        <v/>
      </c>
      <c r="ALH3" s="18" t="str">
        <f>IF(AKU4&gt;0,ALH4/AKU4,"")</f>
        <v/>
      </c>
      <c r="ALI3" s="18" t="str">
        <f>IF(AKU4&gt;0,ALI4/AKU4,"")</f>
        <v/>
      </c>
      <c r="ALJ3" s="18" t="str">
        <f>IF(AKU4&gt;0,ALJ4/AKU4,"")</f>
        <v/>
      </c>
      <c r="ALK3" s="18" t="str">
        <f>IF(AKU4&gt;0,ALK4/AKU4,"")</f>
        <v/>
      </c>
      <c r="ALL3" s="18" t="str">
        <f>IF(AKU4&gt;0,ALL4/AKU4,"")</f>
        <v/>
      </c>
      <c r="ALM3" s="18" t="str">
        <f>IF(AKU4&gt;0,ALM4/AKU4,"")</f>
        <v/>
      </c>
      <c r="ALN3" s="18" t="str">
        <f>IF(AKU4&gt;0,ALN4/AKU4,"")</f>
        <v/>
      </c>
      <c r="ALO3" s="18" t="str">
        <f>IF(AKU4&gt;0,ALO4/AKU4,"")</f>
        <v/>
      </c>
      <c r="ALP3" s="18" t="str">
        <f>IF(AKU4&gt;0,ALP4/AKU4,"")</f>
        <v/>
      </c>
      <c r="ALQ3" s="18" t="str">
        <f>IF(AKU4&gt;0,ALQ4/AKU4,"")</f>
        <v/>
      </c>
      <c r="ALR3" s="18" t="str">
        <f>IF(AKU4&gt;0,ALR4/AKU4,"")</f>
        <v/>
      </c>
      <c r="ALS3" s="18" t="str">
        <f>IF(AKU4&gt;0,ALS4/AKU4,"")</f>
        <v/>
      </c>
      <c r="ALT3" s="18" t="str">
        <f>IF(AKU4&gt;0,ALT4/AKU4,"")</f>
        <v/>
      </c>
      <c r="ALU3" s="18" t="str">
        <f>IF(AKU4&gt;0,ALU4/AKU4,"")</f>
        <v/>
      </c>
      <c r="ALV3" s="18" t="str">
        <f>IF(AKU4&gt;0,ALV4/AKU4,"")</f>
        <v/>
      </c>
      <c r="ALW3" s="18" t="str">
        <f>IF(AKU4&gt;0,ALW4/AKU4,"")</f>
        <v/>
      </c>
      <c r="ALX3" s="18" t="str">
        <f>IF(AKU4&gt;0,ALX4/AKU4,"")</f>
        <v/>
      </c>
      <c r="ALY3" s="18" t="str">
        <f>IF(AKU4&gt;0,ALY4/AKU4,"")</f>
        <v/>
      </c>
      <c r="AMA3" s="18" t="str">
        <f>IF(ALZ4&gt;0,AMA4/ALZ4,"")</f>
        <v/>
      </c>
      <c r="AMB3" s="18" t="str">
        <f>IF(ALZ4&gt;0,AMB4/ALZ4,"")</f>
        <v/>
      </c>
      <c r="AMC3" s="18" t="str">
        <f>IF(ALZ4&gt;0,AMC4/ALZ4,"")</f>
        <v/>
      </c>
      <c r="AMD3" s="18" t="str">
        <f>IF(ALZ4&gt;0,AMD4/ALZ4,"")</f>
        <v/>
      </c>
      <c r="AME3" s="18" t="str">
        <f>IF(ALZ4&gt;0,AME4/ALZ4,"")</f>
        <v/>
      </c>
      <c r="AMF3" s="18" t="str">
        <f>IF(ALZ4&gt;0,AMF4/ALZ4,"")</f>
        <v/>
      </c>
      <c r="AMG3" s="18" t="str">
        <f>IF(ALZ4&gt;0,AMG4/ALZ4,"")</f>
        <v/>
      </c>
      <c r="AMH3" s="18" t="str">
        <f>IF(ALZ4&gt;0,AMH4/ALZ4,"")</f>
        <v/>
      </c>
      <c r="AMI3" s="18" t="str">
        <f>IF(ALZ4&gt;0,AMI4/ALZ4,"")</f>
        <v/>
      </c>
      <c r="AMJ3" s="18" t="str">
        <f>IF(ALZ4&gt;0,AMJ4/ALZ4,"")</f>
        <v/>
      </c>
      <c r="AMK3" s="18" t="str">
        <f>IF(ALZ4&gt;0,AMK4/ALZ4,"")</f>
        <v/>
      </c>
      <c r="AML3" s="18" t="str">
        <f>IF(ALZ4&gt;0,AML4/ALZ4,"")</f>
        <v/>
      </c>
      <c r="AMM3" s="18" t="str">
        <f>IF(ALZ4&gt;0,AMM4/ALZ4,"")</f>
        <v/>
      </c>
      <c r="AMN3" s="18" t="str">
        <f>IF(ALZ4&gt;0,AMN4/ALZ4,"")</f>
        <v/>
      </c>
      <c r="AMO3" s="18" t="str">
        <f>IF(ALZ4&gt;0,AMO4/ALZ4,"")</f>
        <v/>
      </c>
      <c r="AMP3" s="18" t="str">
        <f>IF(ALZ4&gt;0,AMP4/ALZ4,"")</f>
        <v/>
      </c>
      <c r="AMQ3" s="18" t="str">
        <f>IF(ALZ4&gt;0,AMQ4/ALZ4,"")</f>
        <v/>
      </c>
      <c r="AMR3" s="18" t="str">
        <f>IF(ALZ4&gt;0,AMR4/ALZ4,"")</f>
        <v/>
      </c>
      <c r="AMS3" s="18" t="str">
        <f>IF(ALZ4&gt;0,AMS4/ALZ4,"")</f>
        <v/>
      </c>
      <c r="AMT3" s="18" t="str">
        <f>IF(ALZ4&gt;0,AMT4/ALZ4,"")</f>
        <v/>
      </c>
      <c r="AMU3" s="18" t="str">
        <f>IF(ALZ4&gt;0,AMU4/ALZ4,"")</f>
        <v/>
      </c>
      <c r="AMV3" s="18" t="str">
        <f>IF(ALZ4&gt;0,AMV4/ALZ4,"")</f>
        <v/>
      </c>
      <c r="AMW3" s="18" t="str">
        <f>IF(ALZ4&gt;0,AMW4/ALZ4,"")</f>
        <v/>
      </c>
      <c r="AMX3" s="18" t="str">
        <f>IF(ALZ4&gt;0,AMX4/ALZ4,"")</f>
        <v/>
      </c>
      <c r="AMY3" s="18" t="str">
        <f>IF(ALZ4&gt;0,AMY4/ALZ4,"")</f>
        <v/>
      </c>
      <c r="AMZ3" s="18" t="str">
        <f>IF(ALZ4&gt;0,AMZ4/ALZ4,"")</f>
        <v/>
      </c>
      <c r="ANA3" s="18" t="str">
        <f>IF(ALZ4&gt;0,ANA4/ALZ4,"")</f>
        <v/>
      </c>
      <c r="ANB3" s="18" t="str">
        <f>IF(ALZ4&gt;0,ANB4/ALZ4,"")</f>
        <v/>
      </c>
      <c r="ANC3" s="18" t="str">
        <f>IF(ALZ4&gt;0,ANC4/ALZ4,"")</f>
        <v/>
      </c>
      <c r="AND3" s="18" t="str">
        <f>IF(ALZ4&gt;0,AND4/ALZ4,"")</f>
        <v/>
      </c>
      <c r="ANF3" s="18" t="str">
        <f>IF(ANE4&gt;0,ANF4/ANE4,"")</f>
        <v/>
      </c>
      <c r="ANG3" s="18" t="str">
        <f>IF(ANE4&gt;0,ANG4/ANE4,"")</f>
        <v/>
      </c>
      <c r="ANH3" s="18" t="str">
        <f>IF(ANE4&gt;0,ANH4/ANE4,"")</f>
        <v/>
      </c>
      <c r="ANI3" s="18" t="str">
        <f>IF(ANE4&gt;0,ANI4/ANE4,"")</f>
        <v/>
      </c>
      <c r="ANJ3" s="18" t="str">
        <f>IF(ANE4&gt;0,ANJ4/ANE4,"")</f>
        <v/>
      </c>
      <c r="ANK3" s="18" t="str">
        <f>IF(ANE4&gt;0,ANK4/ANE4,"")</f>
        <v/>
      </c>
      <c r="ANL3" s="18" t="str">
        <f>IF(ANE4&gt;0,ANL4/ANE4,"")</f>
        <v/>
      </c>
      <c r="ANM3" s="18" t="str">
        <f>IF(ANE4&gt;0,ANM4/ANE4,"")</f>
        <v/>
      </c>
      <c r="ANN3" s="18" t="str">
        <f>IF(ANE4&gt;0,ANN4/ANE4,"")</f>
        <v/>
      </c>
      <c r="ANO3" s="18" t="str">
        <f>IF(ANE4&gt;0,ANO4/ANE4,"")</f>
        <v/>
      </c>
      <c r="ANP3" s="18" t="str">
        <f>IF(ANE4&gt;0,ANP4/ANE4,"")</f>
        <v/>
      </c>
      <c r="ANQ3" s="18" t="str">
        <f>IF(ANE4&gt;0,ANQ4/ANE4,"")</f>
        <v/>
      </c>
      <c r="ANR3" s="18" t="str">
        <f>IF(ANE4&gt;0,ANR4/ANE4,"")</f>
        <v/>
      </c>
      <c r="ANS3" s="18" t="str">
        <f>IF(ANE4&gt;0,ANS4/ANE4,"")</f>
        <v/>
      </c>
      <c r="ANT3" s="18" t="str">
        <f>IF(ANE4&gt;0,ANT4/ANE4,"")</f>
        <v/>
      </c>
      <c r="ANU3" s="18" t="str">
        <f>IF(ANE4&gt;0,ANU4/ANE4,"")</f>
        <v/>
      </c>
      <c r="ANV3" s="18" t="str">
        <f>IF(ANE4&gt;0,ANV4/ANE4,"")</f>
        <v/>
      </c>
      <c r="ANW3" s="18" t="str">
        <f>IF(ANE4&gt;0,ANW4/ANE4,"")</f>
        <v/>
      </c>
      <c r="ANX3" s="18" t="str">
        <f>IF(ANE4&gt;0,ANX4/ANE4,"")</f>
        <v/>
      </c>
      <c r="ANY3" s="18" t="str">
        <f>IF(ANE4&gt;0,ANY4/ANE4,"")</f>
        <v/>
      </c>
      <c r="ANZ3" s="18" t="str">
        <f>IF(ANE4&gt;0,ANZ4/ANE4,"")</f>
        <v/>
      </c>
      <c r="AOA3" s="18" t="str">
        <f>IF(ANE4&gt;0,AOA4/ANE4,"")</f>
        <v/>
      </c>
      <c r="AOB3" s="18" t="str">
        <f>IF(ANE4&gt;0,AOB4/ANE4,"")</f>
        <v/>
      </c>
      <c r="AOC3" s="18" t="str">
        <f>IF(ANE4&gt;0,AOC4/ANE4,"")</f>
        <v/>
      </c>
      <c r="AOD3" s="18" t="str">
        <f>IF(ANE4&gt;0,AOD4/ANE4,"")</f>
        <v/>
      </c>
      <c r="AOE3" s="18" t="str">
        <f>IF(ANE4&gt;0,AOE4/ANE4,"")</f>
        <v/>
      </c>
      <c r="AOF3" s="18" t="str">
        <f>IF(ANE4&gt;0,AOF4/ANE4,"")</f>
        <v/>
      </c>
      <c r="AOG3" s="18" t="str">
        <f>IF(ANE4&gt;0,AOG4/ANE4,"")</f>
        <v/>
      </c>
      <c r="AOH3" s="18" t="str">
        <f>IF(ANE4&gt;0,AOH4/ANE4,"")</f>
        <v/>
      </c>
      <c r="AOI3" s="18" t="str">
        <f>IF(ANE4&gt;0,AOI4/ANE4,"")</f>
        <v/>
      </c>
      <c r="AOK3" s="18" t="str">
        <f>IF(AOJ4&gt;0,AOK4/AOJ4,"")</f>
        <v/>
      </c>
      <c r="AOL3" s="18" t="str">
        <f>IF(AOJ4&gt;0,AOL4/AOJ4,"")</f>
        <v/>
      </c>
      <c r="AOM3" s="18" t="str">
        <f>IF(AOJ4&gt;0,AOM4/AOJ4,"")</f>
        <v/>
      </c>
      <c r="AON3" s="18" t="str">
        <f>IF(AOJ4&gt;0,AON4/AOJ4,"")</f>
        <v/>
      </c>
      <c r="AOO3" s="18" t="str">
        <f>IF(AOJ4&gt;0,AOO4/AOJ4,"")</f>
        <v/>
      </c>
      <c r="AOP3" s="18" t="str">
        <f>IF(AOJ4&gt;0,AOP4/AOJ4,"")</f>
        <v/>
      </c>
      <c r="AOQ3" s="18" t="str">
        <f>IF(AOJ4&gt;0,AOQ4/AOJ4,"")</f>
        <v/>
      </c>
      <c r="AOR3" s="18" t="str">
        <f>IF(AOJ4&gt;0,AOR4/AOJ4,"")</f>
        <v/>
      </c>
      <c r="AOS3" s="18" t="str">
        <f>IF(AOJ4&gt;0,AOS4/AOJ4,"")</f>
        <v/>
      </c>
      <c r="AOT3" s="18" t="str">
        <f>IF(AOJ4&gt;0,AOT4/AOJ4,"")</f>
        <v/>
      </c>
      <c r="AOU3" s="18" t="str">
        <f>IF(AOJ4&gt;0,AOU4/AOJ4,"")</f>
        <v/>
      </c>
      <c r="AOV3" s="18" t="str">
        <f>IF(AOJ4&gt;0,AOV4/AOJ4,"")</f>
        <v/>
      </c>
      <c r="AOW3" s="18" t="str">
        <f>IF(AOJ4&gt;0,AOW4/AOJ4,"")</f>
        <v/>
      </c>
      <c r="AOX3" s="18" t="str">
        <f>IF(AOJ4&gt;0,AOX4/AOJ4,"")</f>
        <v/>
      </c>
      <c r="AOY3" s="18" t="str">
        <f>IF(AOJ4&gt;0,AOY4/AOJ4,"")</f>
        <v/>
      </c>
      <c r="AOZ3" s="18" t="str">
        <f>IF(AOJ4&gt;0,AOZ4/AOJ4,"")</f>
        <v/>
      </c>
      <c r="APA3" s="18" t="str">
        <f>IF(AOJ4&gt;0,APA4/AOJ4,"")</f>
        <v/>
      </c>
      <c r="APB3" s="18" t="str">
        <f>IF(AOJ4&gt;0,APB4/AOJ4,"")</f>
        <v/>
      </c>
      <c r="APC3" s="18" t="str">
        <f>IF(AOJ4&gt;0,APC4/AOJ4,"")</f>
        <v/>
      </c>
      <c r="APD3" s="18" t="str">
        <f>IF(AOJ4&gt;0,APD4/AOJ4,"")</f>
        <v/>
      </c>
      <c r="APE3" s="18" t="str">
        <f>IF(AOJ4&gt;0,APE4/AOJ4,"")</f>
        <v/>
      </c>
      <c r="APF3" s="18" t="str">
        <f>IF(AOJ4&gt;0,APF4/AOJ4,"")</f>
        <v/>
      </c>
      <c r="APG3" s="18" t="str">
        <f>IF(AOJ4&gt;0,APG4/AOJ4,"")</f>
        <v/>
      </c>
      <c r="APH3" s="18" t="str">
        <f>IF(AOJ4&gt;0,APH4/AOJ4,"")</f>
        <v/>
      </c>
      <c r="API3" s="18" t="str">
        <f>IF(AOJ4&gt;0,API4/AOJ4,"")</f>
        <v/>
      </c>
      <c r="APJ3" s="18" t="str">
        <f>IF(AOJ4&gt;0,APJ4/AOJ4,"")</f>
        <v/>
      </c>
      <c r="APK3" s="18" t="str">
        <f>IF(AOJ4&gt;0,APK4/AOJ4,"")</f>
        <v/>
      </c>
      <c r="APL3" s="18" t="str">
        <f>IF(AOJ4&gt;0,APL4/AOJ4,"")</f>
        <v/>
      </c>
      <c r="APM3" s="18" t="str">
        <f>IF(AOJ4&gt;0,APM4/AOJ4,"")</f>
        <v/>
      </c>
      <c r="APN3" s="18" t="str">
        <f>IF(AOJ4&gt;0,APN4/AOJ4,"")</f>
        <v/>
      </c>
      <c r="APP3" s="18" t="str">
        <f>IF(APO4&gt;0,APP4/APO4,"")</f>
        <v/>
      </c>
      <c r="APQ3" s="18" t="str">
        <f>IF(APO4&gt;0,APQ4/APO4,"")</f>
        <v/>
      </c>
      <c r="APR3" s="18" t="str">
        <f>IF(APO4&gt;0,APR4/APO4,"")</f>
        <v/>
      </c>
      <c r="APS3" s="18" t="str">
        <f>IF(APO4&gt;0,APS4/APO4,"")</f>
        <v/>
      </c>
      <c r="APT3" s="18" t="str">
        <f>IF(APO4&gt;0,APT4/APO4,"")</f>
        <v/>
      </c>
      <c r="APU3" s="18" t="str">
        <f>IF(APO4&gt;0,APU4/APO4,"")</f>
        <v/>
      </c>
      <c r="APV3" s="18" t="str">
        <f>IF(APO4&gt;0,APV4/APO4,"")</f>
        <v/>
      </c>
      <c r="APW3" s="18" t="str">
        <f>IF(APO4&gt;0,APW4/APO4,"")</f>
        <v/>
      </c>
      <c r="APX3" s="18" t="str">
        <f>IF(APO4&gt;0,APX4/APO4,"")</f>
        <v/>
      </c>
      <c r="APY3" s="18" t="str">
        <f>IF(APO4&gt;0,APY4/APO4,"")</f>
        <v/>
      </c>
      <c r="APZ3" s="18" t="str">
        <f>IF(APO4&gt;0,APZ4/APO4,"")</f>
        <v/>
      </c>
      <c r="AQA3" s="18" t="str">
        <f>IF(APO4&gt;0,AQA4/APO4,"")</f>
        <v/>
      </c>
      <c r="AQB3" s="18" t="str">
        <f>IF(APO4&gt;0,AQB4/APO4,"")</f>
        <v/>
      </c>
      <c r="AQC3" s="18" t="str">
        <f>IF(APO4&gt;0,AQC4/APO4,"")</f>
        <v/>
      </c>
      <c r="AQD3" s="18" t="str">
        <f>IF(APO4&gt;0,AQD4/APO4,"")</f>
        <v/>
      </c>
      <c r="AQE3" s="18" t="str">
        <f>IF(APO4&gt;0,AQE4/APO4,"")</f>
        <v/>
      </c>
      <c r="AQF3" s="18" t="str">
        <f>IF(APO4&gt;0,AQF4/APO4,"")</f>
        <v/>
      </c>
      <c r="AQG3" s="18" t="str">
        <f>IF(APO4&gt;0,AQG4/APO4,"")</f>
        <v/>
      </c>
      <c r="AQH3" s="18" t="str">
        <f>IF(APO4&gt;0,AQH4/APO4,"")</f>
        <v/>
      </c>
      <c r="AQI3" s="18" t="str">
        <f>IF(APO4&gt;0,AQI4/APO4,"")</f>
        <v/>
      </c>
      <c r="AQJ3" s="18" t="str">
        <f>IF(APO4&gt;0,AQJ4/APO4,"")</f>
        <v/>
      </c>
      <c r="AQK3" s="18" t="str">
        <f>IF(APO4&gt;0,AQK4/APO4,"")</f>
        <v/>
      </c>
      <c r="AQL3" s="18" t="str">
        <f>IF(APO4&gt;0,AQL4/APO4,"")</f>
        <v/>
      </c>
      <c r="AQM3" s="18" t="str">
        <f>IF(APO4&gt;0,AQM4/APO4,"")</f>
        <v/>
      </c>
      <c r="AQN3" s="18" t="str">
        <f>IF(APO4&gt;0,AQN4/APO4,"")</f>
        <v/>
      </c>
      <c r="AQO3" s="18" t="str">
        <f>IF(APO4&gt;0,AQO4/APO4,"")</f>
        <v/>
      </c>
      <c r="AQP3" s="18" t="str">
        <f>IF(APO4&gt;0,AQP4/APO4,"")</f>
        <v/>
      </c>
      <c r="AQQ3" s="18" t="str">
        <f>IF(APO4&gt;0,AQQ4/APO4,"")</f>
        <v/>
      </c>
      <c r="AQR3" s="18" t="str">
        <f>IF(APO4&gt;0,AQR4/APO4,"")</f>
        <v/>
      </c>
      <c r="AQS3" s="18" t="str">
        <f>IF(APO4&gt;0,AQS4/APO4,"")</f>
        <v/>
      </c>
      <c r="AQU3" s="18" t="str">
        <f>IF(AQT4&gt;0,AQU4/AQT4,"")</f>
        <v/>
      </c>
      <c r="AQV3" s="18" t="str">
        <f>IF(AQT4&gt;0,AQV4/AQT4,"")</f>
        <v/>
      </c>
      <c r="AQW3" s="18" t="str">
        <f>IF(AQT4&gt;0,AQW4/AQT4,"")</f>
        <v/>
      </c>
      <c r="AQX3" s="18" t="str">
        <f>IF(AQT4&gt;0,AQX4/AQT4,"")</f>
        <v/>
      </c>
      <c r="AQY3" s="18" t="str">
        <f>IF(AQT4&gt;0,AQY4/AQT4,"")</f>
        <v/>
      </c>
      <c r="AQZ3" s="18" t="str">
        <f>IF(AQT4&gt;0,AQZ4/AQT4,"")</f>
        <v/>
      </c>
      <c r="ARA3" s="18" t="str">
        <f>IF(AQT4&gt;0,ARA4/AQT4,"")</f>
        <v/>
      </c>
      <c r="ARB3" s="18" t="str">
        <f>IF(AQT4&gt;0,ARB4/AQT4,"")</f>
        <v/>
      </c>
      <c r="ARC3" s="18" t="str">
        <f>IF(AQT4&gt;0,ARC4/AQT4,"")</f>
        <v/>
      </c>
      <c r="ARD3" s="18" t="str">
        <f>IF(AQT4&gt;0,ARD4/AQT4,"")</f>
        <v/>
      </c>
      <c r="ARE3" s="18" t="str">
        <f>IF(AQT4&gt;0,ARE4/AQT4,"")</f>
        <v/>
      </c>
      <c r="ARF3" s="18" t="str">
        <f>IF(AQT4&gt;0,ARF4/AQT4,"")</f>
        <v/>
      </c>
      <c r="ARG3" s="18" t="str">
        <f>IF(AQT4&gt;0,ARG4/AQT4,"")</f>
        <v/>
      </c>
      <c r="ARH3" s="18" t="str">
        <f>IF(AQT4&gt;0,ARH4/AQT4,"")</f>
        <v/>
      </c>
      <c r="ARI3" s="18" t="str">
        <f>IF(AQT4&gt;0,ARI4/AQT4,"")</f>
        <v/>
      </c>
      <c r="ARJ3" s="18" t="str">
        <f>IF(AQT4&gt;0,ARJ4/AQT4,"")</f>
        <v/>
      </c>
      <c r="ARK3" s="18" t="str">
        <f>IF(AQT4&gt;0,ARK4/AQT4,"")</f>
        <v/>
      </c>
      <c r="ARL3" s="18" t="str">
        <f>IF(AQT4&gt;0,ARL4/AQT4,"")</f>
        <v/>
      </c>
      <c r="ARM3" s="18" t="str">
        <f>IF(AQT4&gt;0,ARM4/AQT4,"")</f>
        <v/>
      </c>
      <c r="ARN3" s="18" t="str">
        <f>IF(AQT4&gt;0,ARN4/AQT4,"")</f>
        <v/>
      </c>
      <c r="ARO3" s="18" t="str">
        <f>IF(AQT4&gt;0,ARO4/AQT4,"")</f>
        <v/>
      </c>
      <c r="ARP3" s="18" t="str">
        <f>IF(AQT4&gt;0,ARP4/AQT4,"")</f>
        <v/>
      </c>
      <c r="ARQ3" s="18" t="str">
        <f>IF(AQT4&gt;0,ARQ4/AQT4,"")</f>
        <v/>
      </c>
      <c r="ARR3" s="18" t="str">
        <f>IF(AQT4&gt;0,ARR4/AQT4,"")</f>
        <v/>
      </c>
      <c r="ARS3" s="18" t="str">
        <f>IF(AQT4&gt;0,ARS4/AQT4,"")</f>
        <v/>
      </c>
      <c r="ART3" s="18" t="str">
        <f>IF(AQT4&gt;0,ART4/AQT4,"")</f>
        <v/>
      </c>
      <c r="ARU3" s="18" t="str">
        <f>IF(AQT4&gt;0,ARU4/AQT4,"")</f>
        <v/>
      </c>
      <c r="ARV3" s="18" t="str">
        <f>IF(AQT4&gt;0,ARV4/AQT4,"")</f>
        <v/>
      </c>
      <c r="ARW3" s="18" t="str">
        <f>IF(AQT4&gt;0,ARW4/AQT4,"")</f>
        <v/>
      </c>
      <c r="ARX3" s="18" t="str">
        <f>IF(AQT4&gt;0,ARX4/AQT4,"")</f>
        <v/>
      </c>
      <c r="ARZ3" s="18" t="str">
        <f>IF(ARY4&gt;0,ARZ4/ARY4,"")</f>
        <v/>
      </c>
      <c r="ASA3" s="18" t="str">
        <f>IF(ARY4&gt;0,ASA4/ARY4,"")</f>
        <v/>
      </c>
      <c r="ASB3" s="18" t="str">
        <f>IF(ARY4&gt;0,ASB4/ARY4,"")</f>
        <v/>
      </c>
      <c r="ASC3" s="18" t="str">
        <f>IF(ARY4&gt;0,ASC4/ARY4,"")</f>
        <v/>
      </c>
      <c r="ASD3" s="18" t="str">
        <f>IF(ARY4&gt;0,ASD4/ARY4,"")</f>
        <v/>
      </c>
      <c r="ASE3" s="18" t="str">
        <f>IF(ARY4&gt;0,ASE4/ARY4,"")</f>
        <v/>
      </c>
      <c r="ASF3" s="18" t="str">
        <f>IF(ARY4&gt;0,ASF4/ARY4,"")</f>
        <v/>
      </c>
      <c r="ASG3" s="18" t="str">
        <f>IF(ARY4&gt;0,ASG4/ARY4,"")</f>
        <v/>
      </c>
      <c r="ASH3" s="18" t="str">
        <f>IF(ARY4&gt;0,ASH4/ARY4,"")</f>
        <v/>
      </c>
      <c r="ASI3" s="18" t="str">
        <f>IF(ARY4&gt;0,ASI4/ARY4,"")</f>
        <v/>
      </c>
      <c r="ASJ3" s="18" t="str">
        <f>IF(ARY4&gt;0,ASJ4/ARY4,"")</f>
        <v/>
      </c>
      <c r="ASK3" s="18" t="str">
        <f>IF(ARY4&gt;0,ASK4/ARY4,"")</f>
        <v/>
      </c>
      <c r="ASL3" s="18" t="str">
        <f>IF(ARY4&gt;0,ASL4/ARY4,"")</f>
        <v/>
      </c>
      <c r="ASM3" s="18" t="str">
        <f>IF(ARY4&gt;0,ASM4/ARY4,"")</f>
        <v/>
      </c>
      <c r="ASN3" s="18" t="str">
        <f>IF(ARY4&gt;0,ASN4/ARY4,"")</f>
        <v/>
      </c>
      <c r="ASO3" s="18" t="str">
        <f>IF(ARY4&gt;0,ASO4/ARY4,"")</f>
        <v/>
      </c>
      <c r="ASP3" s="18" t="str">
        <f>IF(ARY4&gt;0,ASP4/ARY4,"")</f>
        <v/>
      </c>
      <c r="ASQ3" s="18" t="str">
        <f>IF(ARY4&gt;0,ASQ4/ARY4,"")</f>
        <v/>
      </c>
      <c r="ASR3" s="18" t="str">
        <f>IF(ARY4&gt;0,ASR4/ARY4,"")</f>
        <v/>
      </c>
      <c r="ASS3" s="18" t="str">
        <f>IF(ARY4&gt;0,ASS4/ARY4,"")</f>
        <v/>
      </c>
      <c r="AST3" s="18" t="str">
        <f>IF(ARY4&gt;0,AST4/ARY4,"")</f>
        <v/>
      </c>
      <c r="ASU3" s="18" t="str">
        <f>IF(ARY4&gt;0,ASU4/ARY4,"")</f>
        <v/>
      </c>
      <c r="ASV3" s="18" t="str">
        <f>IF(ARY4&gt;0,ASV4/ARY4,"")</f>
        <v/>
      </c>
      <c r="ASW3" s="18" t="str">
        <f>IF(ARY4&gt;0,ASW4/ARY4,"")</f>
        <v/>
      </c>
      <c r="ASX3" s="18" t="str">
        <f>IF(ARY4&gt;0,ASX4/ARY4,"")</f>
        <v/>
      </c>
      <c r="ASY3" s="18" t="str">
        <f>IF(ARY4&gt;0,ASY4/ARY4,"")</f>
        <v/>
      </c>
      <c r="ASZ3" s="18" t="str">
        <f>IF(ARY4&gt;0,ASZ4/ARY4,"")</f>
        <v/>
      </c>
      <c r="ATA3" s="18" t="str">
        <f>IF(ARY4&gt;0,ATA4/ARY4,"")</f>
        <v/>
      </c>
      <c r="ATB3" s="18" t="str">
        <f>IF(ARY4&gt;0,ATB4/ARY4,"")</f>
        <v/>
      </c>
      <c r="ATC3" s="18" t="str">
        <f>IF(ARY4&gt;0,ATC4/ARY4,"")</f>
        <v/>
      </c>
      <c r="ATE3" s="18" t="str">
        <f>IF(ATD4&gt;0,ATE4/ATD4,"")</f>
        <v/>
      </c>
      <c r="ATF3" s="18" t="str">
        <f>IF(ATD4&gt;0,ATF4/ATD4,"")</f>
        <v/>
      </c>
      <c r="ATG3" s="18" t="str">
        <f>IF(ATD4&gt;0,ATG4/ATD4,"")</f>
        <v/>
      </c>
      <c r="ATH3" s="18" t="str">
        <f>IF(ATD4&gt;0,ATH4/ATD4,"")</f>
        <v/>
      </c>
      <c r="ATI3" s="18" t="str">
        <f>IF(ATD4&gt;0,ATI4/ATD4,"")</f>
        <v/>
      </c>
      <c r="ATJ3" s="18" t="str">
        <f>IF(ATD4&gt;0,ATJ4/ATD4,"")</f>
        <v/>
      </c>
      <c r="ATK3" s="18" t="str">
        <f>IF(ATD4&gt;0,ATK4/ATD4,"")</f>
        <v/>
      </c>
      <c r="ATL3" s="18" t="str">
        <f>IF(ATD4&gt;0,ATL4/ATD4,"")</f>
        <v/>
      </c>
      <c r="ATM3" s="18" t="str">
        <f>IF(ATD4&gt;0,ATM4/ATD4,"")</f>
        <v/>
      </c>
      <c r="ATN3" s="18" t="str">
        <f>IF(ATD4&gt;0,ATN4/ATD4,"")</f>
        <v/>
      </c>
      <c r="ATO3" s="18" t="str">
        <f>IF(ATD4&gt;0,ATO4/ATD4,"")</f>
        <v/>
      </c>
      <c r="ATP3" s="18" t="str">
        <f>IF(ATD4&gt;0,ATP4/ATD4,"")</f>
        <v/>
      </c>
      <c r="ATQ3" s="18" t="str">
        <f>IF(ATD4&gt;0,ATQ4/ATD4,"")</f>
        <v/>
      </c>
      <c r="ATR3" s="18" t="str">
        <f>IF(ATD4&gt;0,ATR4/ATD4,"")</f>
        <v/>
      </c>
      <c r="ATS3" s="18" t="str">
        <f>IF(ATD4&gt;0,ATS4/ATD4,"")</f>
        <v/>
      </c>
      <c r="ATT3" s="18" t="str">
        <f>IF(ATD4&gt;0,ATT4/ATD4,"")</f>
        <v/>
      </c>
      <c r="ATU3" s="18" t="str">
        <f>IF(ATD4&gt;0,ATU4/ATD4,"")</f>
        <v/>
      </c>
      <c r="ATV3" s="18" t="str">
        <f>IF(ATD4&gt;0,ATV4/ATD4,"")</f>
        <v/>
      </c>
      <c r="ATW3" s="18" t="str">
        <f>IF(ATD4&gt;0,ATW4/ATD4,"")</f>
        <v/>
      </c>
      <c r="ATX3" s="18" t="str">
        <f>IF(ATD4&gt;0,ATX4/ATD4,"")</f>
        <v/>
      </c>
      <c r="ATY3" s="18" t="str">
        <f>IF(ATD4&gt;0,ATY4/ATD4,"")</f>
        <v/>
      </c>
      <c r="ATZ3" s="18" t="str">
        <f>IF(ATD4&gt;0,ATZ4/ATD4,"")</f>
        <v/>
      </c>
      <c r="AUA3" s="18" t="str">
        <f>IF(ATD4&gt;0,AUA4/ATD4,"")</f>
        <v/>
      </c>
      <c r="AUB3" s="18" t="str">
        <f>IF(ATD4&gt;0,AUB4/ATD4,"")</f>
        <v/>
      </c>
      <c r="AUC3" s="18" t="str">
        <f>IF(ATD4&gt;0,AUC4/ATD4,"")</f>
        <v/>
      </c>
      <c r="AUD3" s="18" t="str">
        <f>IF(ATD4&gt;0,AUD4/ATD4,"")</f>
        <v/>
      </c>
      <c r="AUE3" s="18" t="str">
        <f>IF(ATD4&gt;0,AUE4/ATD4,"")</f>
        <v/>
      </c>
      <c r="AUF3" s="18" t="str">
        <f>IF(ATD4&gt;0,AUF4/ATD4,"")</f>
        <v/>
      </c>
      <c r="AUG3" s="18" t="str">
        <f>IF(ATD4&gt;0,AUG4/ATD4,"")</f>
        <v/>
      </c>
      <c r="AUH3" s="18" t="str">
        <f>IF(ATD4&gt;0,AUH4/ATD4,"")</f>
        <v/>
      </c>
      <c r="AUJ3" s="18" t="str">
        <f>IF(AUI4&gt;0,AUJ4/AUI4,"")</f>
        <v/>
      </c>
      <c r="AUK3" s="18" t="str">
        <f>IF(AUI4&gt;0,AUK4/AUI4,"")</f>
        <v/>
      </c>
      <c r="AUL3" s="18" t="str">
        <f>IF(AUI4&gt;0,AUL4/AUI4,"")</f>
        <v/>
      </c>
      <c r="AUM3" s="18" t="str">
        <f>IF(AUI4&gt;0,AUM4/AUI4,"")</f>
        <v/>
      </c>
      <c r="AUN3" s="18" t="str">
        <f>IF(AUI4&gt;0,AUN4/AUI4,"")</f>
        <v/>
      </c>
      <c r="AUO3" s="18" t="str">
        <f>IF(AUI4&gt;0,AUO4/AUI4,"")</f>
        <v/>
      </c>
      <c r="AUP3" s="18" t="str">
        <f>IF(AUI4&gt;0,AUP4/AUI4,"")</f>
        <v/>
      </c>
      <c r="AUQ3" s="18" t="str">
        <f>IF(AUI4&gt;0,AUQ4/AUI4,"")</f>
        <v/>
      </c>
      <c r="AUR3" s="18" t="str">
        <f>IF(AUI4&gt;0,AUR4/AUI4,"")</f>
        <v/>
      </c>
      <c r="AUS3" s="18" t="str">
        <f>IF(AUI4&gt;0,AUS4/AUI4,"")</f>
        <v/>
      </c>
      <c r="AUT3" s="18" t="str">
        <f>IF(AUI4&gt;0,AUT4/AUI4,"")</f>
        <v/>
      </c>
      <c r="AUU3" s="18" t="str">
        <f>IF(AUI4&gt;0,AUU4/AUI4,"")</f>
        <v/>
      </c>
      <c r="AUV3" s="18" t="str">
        <f>IF(AUI4&gt;0,AUV4/AUI4,"")</f>
        <v/>
      </c>
      <c r="AUW3" s="18" t="str">
        <f>IF(AUI4&gt;0,AUW4/AUI4,"")</f>
        <v/>
      </c>
      <c r="AUX3" s="18" t="str">
        <f>IF(AUI4&gt;0,AUX4/AUI4,"")</f>
        <v/>
      </c>
      <c r="AUY3" s="18" t="str">
        <f>IF(AUI4&gt;0,AUY4/AUI4,"")</f>
        <v/>
      </c>
      <c r="AUZ3" s="18" t="str">
        <f>IF(AUI4&gt;0,AUZ4/AUI4,"")</f>
        <v/>
      </c>
      <c r="AVA3" s="18" t="str">
        <f>IF(AUI4&gt;0,AVA4/AUI4,"")</f>
        <v/>
      </c>
      <c r="AVB3" s="18" t="str">
        <f>IF(AUI4&gt;0,AVB4/AUI4,"")</f>
        <v/>
      </c>
      <c r="AVC3" s="18" t="str">
        <f>IF(AUI4&gt;0,AVC4/AUI4,"")</f>
        <v/>
      </c>
      <c r="AVD3" s="18" t="str">
        <f>IF(AUI4&gt;0,AVD4/AUI4,"")</f>
        <v/>
      </c>
      <c r="AVE3" s="18" t="str">
        <f>IF(AUI4&gt;0,AVE4/AUI4,"")</f>
        <v/>
      </c>
      <c r="AVF3" s="18" t="str">
        <f>IF(AUI4&gt;0,AVF4/AUI4,"")</f>
        <v/>
      </c>
      <c r="AVG3" s="18" t="str">
        <f>IF(AUI4&gt;0,AVG4/AUI4,"")</f>
        <v/>
      </c>
      <c r="AVH3" s="18" t="str">
        <f>IF(AUI4&gt;0,AVH4/AUI4,"")</f>
        <v/>
      </c>
      <c r="AVI3" s="18" t="str">
        <f>IF(AUI4&gt;0,AVI4/AUI4,"")</f>
        <v/>
      </c>
      <c r="AVJ3" s="18" t="str">
        <f>IF(AUI4&gt;0,AVJ4/AUI4,"")</f>
        <v/>
      </c>
      <c r="AVK3" s="18" t="str">
        <f>IF(AUI4&gt;0,AVK4/AUI4,"")</f>
        <v/>
      </c>
      <c r="AVL3" s="18" t="str">
        <f>IF(AUI4&gt;0,AVL4/AUI4,"")</f>
        <v/>
      </c>
      <c r="AVM3" s="18" t="str">
        <f>IF(AUI4&gt;0,AVM4/AUI4,"")</f>
        <v/>
      </c>
      <c r="AVO3" s="18" t="str">
        <f>IF(AVN4&gt;0,AVO4/AVN4,"")</f>
        <v/>
      </c>
      <c r="AVP3" s="18" t="str">
        <f>IF(AVN4&gt;0,AVP4/AVN4,"")</f>
        <v/>
      </c>
      <c r="AVQ3" s="18" t="str">
        <f>IF(AVN4&gt;0,AVQ4/AVN4,"")</f>
        <v/>
      </c>
      <c r="AVR3" s="18" t="str">
        <f>IF(AVN4&gt;0,AVR4/AVN4,"")</f>
        <v/>
      </c>
      <c r="AVS3" s="18" t="str">
        <f>IF(AVN4&gt;0,AVS4/AVN4,"")</f>
        <v/>
      </c>
      <c r="AVT3" s="18" t="str">
        <f>IF(AVN4&gt;0,AVT4/AVN4,"")</f>
        <v/>
      </c>
      <c r="AVU3" s="18" t="str">
        <f>IF(AVN4&gt;0,AVU4/AVN4,"")</f>
        <v/>
      </c>
      <c r="AVV3" s="18" t="str">
        <f>IF(AVN4&gt;0,AVV4/AVN4,"")</f>
        <v/>
      </c>
      <c r="AVW3" s="18" t="str">
        <f>IF(AVN4&gt;0,AVW4/AVN4,"")</f>
        <v/>
      </c>
      <c r="AVX3" s="18" t="str">
        <f>IF(AVN4&gt;0,AVX4/AVN4,"")</f>
        <v/>
      </c>
      <c r="AVY3" s="18" t="str">
        <f>IF(AVN4&gt;0,AVY4/AVN4,"")</f>
        <v/>
      </c>
      <c r="AVZ3" s="18" t="str">
        <f>IF(AVN4&gt;0,AVZ4/AVN4,"")</f>
        <v/>
      </c>
      <c r="AWA3" s="18" t="str">
        <f>IF(AVN4&gt;0,AWA4/AVN4,"")</f>
        <v/>
      </c>
      <c r="AWB3" s="18" t="str">
        <f>IF(AVN4&gt;0,AWB4/AVN4,"")</f>
        <v/>
      </c>
      <c r="AWC3" s="18" t="str">
        <f>IF(AVN4&gt;0,AWC4/AVN4,"")</f>
        <v/>
      </c>
      <c r="AWD3" s="18" t="str">
        <f>IF(AVN4&gt;0,AWD4/AVN4,"")</f>
        <v/>
      </c>
      <c r="AWE3" s="18" t="str">
        <f>IF(AVN4&gt;0,AWE4/AVN4,"")</f>
        <v/>
      </c>
      <c r="AWF3" s="18" t="str">
        <f>IF(AVN4&gt;0,AWF4/AVN4,"")</f>
        <v/>
      </c>
      <c r="AWG3" s="18" t="str">
        <f>IF(AVN4&gt;0,AWG4/AVN4,"")</f>
        <v/>
      </c>
      <c r="AWH3" s="18" t="str">
        <f>IF(AVN4&gt;0,AWH4/AVN4,"")</f>
        <v/>
      </c>
      <c r="AWI3" s="18" t="str">
        <f>IF(AVN4&gt;0,AWI4/AVN4,"")</f>
        <v/>
      </c>
      <c r="AWJ3" s="18" t="str">
        <f>IF(AVN4&gt;0,AWJ4/AVN4,"")</f>
        <v/>
      </c>
      <c r="AWK3" s="18" t="str">
        <f>IF(AVN4&gt;0,AWK4/AVN4,"")</f>
        <v/>
      </c>
      <c r="AWL3" s="18" t="str">
        <f>IF(AVN4&gt;0,AWL4/AVN4,"")</f>
        <v/>
      </c>
      <c r="AWM3" s="18" t="str">
        <f>IF(AVN4&gt;0,AWM4/AVN4,"")</f>
        <v/>
      </c>
      <c r="AWN3" s="18" t="str">
        <f>IF(AVN4&gt;0,AWN4/AVN4,"")</f>
        <v/>
      </c>
      <c r="AWO3" s="18" t="str">
        <f>IF(AVN4&gt;0,AWO4/AVN4,"")</f>
        <v/>
      </c>
      <c r="AWP3" s="18" t="str">
        <f>IF(AVN4&gt;0,AWP4/AVN4,"")</f>
        <v/>
      </c>
      <c r="AWQ3" s="18" t="str">
        <f>IF(AVN4&gt;0,AWQ4/AVN4,"")</f>
        <v/>
      </c>
      <c r="AWR3" s="18" t="str">
        <f>IF(AVN4&gt;0,AWR4/AVN4,"")</f>
        <v/>
      </c>
      <c r="AWT3" s="18" t="str">
        <f>IF(AWS4&gt;0,AWT4/AWS4,"")</f>
        <v/>
      </c>
      <c r="AWU3" s="18" t="str">
        <f>IF(AWS4&gt;0,AWU4/AWS4,"")</f>
        <v/>
      </c>
      <c r="AWV3" s="18" t="str">
        <f>IF(AWS4&gt;0,AWV4/AWS4,"")</f>
        <v/>
      </c>
      <c r="AWW3" s="18" t="str">
        <f>IF(AWS4&gt;0,AWW4/AWS4,"")</f>
        <v/>
      </c>
      <c r="AWX3" s="18" t="str">
        <f>IF(AWS4&gt;0,AWX4/AWS4,"")</f>
        <v/>
      </c>
      <c r="AWY3" s="18" t="str">
        <f>IF(AWS4&gt;0,AWY4/AWS4,"")</f>
        <v/>
      </c>
      <c r="AWZ3" s="18" t="str">
        <f>IF(AWS4&gt;0,AWZ4/AWS4,"")</f>
        <v/>
      </c>
      <c r="AXA3" s="18" t="str">
        <f>IF(AWS4&gt;0,AXA4/AWS4,"")</f>
        <v/>
      </c>
      <c r="AXB3" s="18" t="str">
        <f>IF(AWS4&gt;0,AXB4/AWS4,"")</f>
        <v/>
      </c>
      <c r="AXC3" s="18" t="str">
        <f>IF(AWS4&gt;0,AXC4/AWS4,"")</f>
        <v/>
      </c>
      <c r="AXD3" s="18" t="str">
        <f>IF(AWS4&gt;0,AXD4/AWS4,"")</f>
        <v/>
      </c>
      <c r="AXE3" s="18" t="str">
        <f>IF(AWS4&gt;0,AXE4/AWS4,"")</f>
        <v/>
      </c>
      <c r="AXF3" s="18" t="str">
        <f>IF(AWS4&gt;0,AXF4/AWS4,"")</f>
        <v/>
      </c>
      <c r="AXG3" s="18" t="str">
        <f>IF(AWS4&gt;0,AXG4/AWS4,"")</f>
        <v/>
      </c>
      <c r="AXH3" s="18" t="str">
        <f>IF(AWS4&gt;0,AXH4/AWS4,"")</f>
        <v/>
      </c>
      <c r="AXI3" s="18" t="str">
        <f>IF(AWS4&gt;0,AXI4/AWS4,"")</f>
        <v/>
      </c>
      <c r="AXJ3" s="18" t="str">
        <f>IF(AWS4&gt;0,AXJ4/AWS4,"")</f>
        <v/>
      </c>
      <c r="AXK3" s="18" t="str">
        <f>IF(AWS4&gt;0,AXK4/AWS4,"")</f>
        <v/>
      </c>
      <c r="AXL3" s="18" t="str">
        <f>IF(AWS4&gt;0,AXL4/AWS4,"")</f>
        <v/>
      </c>
      <c r="AXM3" s="18" t="str">
        <f>IF(AWS4&gt;0,AXM4/AWS4,"")</f>
        <v/>
      </c>
      <c r="AXN3" s="18" t="str">
        <f>IF(AWS4&gt;0,AXN4/AWS4,"")</f>
        <v/>
      </c>
      <c r="AXO3" s="18" t="str">
        <f>IF(AWS4&gt;0,AXO4/AWS4,"")</f>
        <v/>
      </c>
      <c r="AXP3" s="18" t="str">
        <f>IF(AWS4&gt;0,AXP4/AWS4,"")</f>
        <v/>
      </c>
      <c r="AXQ3" s="18" t="str">
        <f>IF(AWS4&gt;0,AXQ4/AWS4,"")</f>
        <v/>
      </c>
      <c r="AXR3" s="18" t="str">
        <f>IF(AWS4&gt;0,AXR4/AWS4,"")</f>
        <v/>
      </c>
      <c r="AXS3" s="18" t="str">
        <f>IF(AWS4&gt;0,AXS4/AWS4,"")</f>
        <v/>
      </c>
      <c r="AXT3" s="18" t="str">
        <f>IF(AWS4&gt;0,AXT4/AWS4,"")</f>
        <v/>
      </c>
      <c r="AXU3" s="18" t="str">
        <f>IF(AWS4&gt;0,AXU4/AWS4,"")</f>
        <v/>
      </c>
      <c r="AXV3" s="18" t="str">
        <f>IF(AWS4&gt;0,AXV4/AWS4,"")</f>
        <v/>
      </c>
      <c r="AXW3" s="18" t="str">
        <f>IF(AWS4&gt;0,AXW4/AWS4,"")</f>
        <v/>
      </c>
      <c r="AXY3" s="18" t="str">
        <f>IF(AXX4&gt;0,AXY4/AXX4,"")</f>
        <v/>
      </c>
      <c r="AXZ3" s="18" t="str">
        <f>IF(AXX4&gt;0,AXZ4/AXX4,"")</f>
        <v/>
      </c>
      <c r="AYA3" s="18" t="str">
        <f>IF(AXX4&gt;0,AYA4/AXX4,"")</f>
        <v/>
      </c>
      <c r="AYB3" s="18" t="str">
        <f>IF(AXX4&gt;0,AYB4/AXX4,"")</f>
        <v/>
      </c>
      <c r="AYC3" s="18" t="str">
        <f>IF(AXX4&gt;0,AYC4/AXX4,"")</f>
        <v/>
      </c>
      <c r="AYD3" s="18" t="str">
        <f>IF(AXX4&gt;0,AYD4/AXX4,"")</f>
        <v/>
      </c>
      <c r="AYE3" s="18" t="str">
        <f>IF(AXX4&gt;0,AYE4/AXX4,"")</f>
        <v/>
      </c>
      <c r="AYF3" s="18" t="str">
        <f>IF(AXX4&gt;0,AYF4/AXX4,"")</f>
        <v/>
      </c>
      <c r="AYG3" s="18" t="str">
        <f>IF(AXX4&gt;0,AYG4/AXX4,"")</f>
        <v/>
      </c>
      <c r="AYH3" s="18" t="str">
        <f>IF(AXX4&gt;0,AYH4/AXX4,"")</f>
        <v/>
      </c>
      <c r="AYI3" s="18" t="str">
        <f>IF(AXX4&gt;0,AYI4/AXX4,"")</f>
        <v/>
      </c>
      <c r="AYJ3" s="18" t="str">
        <f>IF(AXX4&gt;0,AYJ4/AXX4,"")</f>
        <v/>
      </c>
      <c r="AYK3" s="18" t="str">
        <f>IF(AXX4&gt;0,AYK4/AXX4,"")</f>
        <v/>
      </c>
      <c r="AYL3" s="18" t="str">
        <f>IF(AXX4&gt;0,AYL4/AXX4,"")</f>
        <v/>
      </c>
      <c r="AYM3" s="18" t="str">
        <f>IF(AXX4&gt;0,AYM4/AXX4,"")</f>
        <v/>
      </c>
      <c r="AYN3" s="18" t="str">
        <f>IF(AXX4&gt;0,AYN4/AXX4,"")</f>
        <v/>
      </c>
      <c r="AYO3" s="18" t="str">
        <f>IF(AXX4&gt;0,AYO4/AXX4,"")</f>
        <v/>
      </c>
      <c r="AYP3" s="18" t="str">
        <f>IF(AXX4&gt;0,AYP4/AXX4,"")</f>
        <v/>
      </c>
      <c r="AYQ3" s="18" t="str">
        <f>IF(AXX4&gt;0,AYQ4/AXX4,"")</f>
        <v/>
      </c>
      <c r="AYR3" s="18" t="str">
        <f>IF(AXX4&gt;0,AYR4/AXX4,"")</f>
        <v/>
      </c>
      <c r="AYS3" s="18" t="str">
        <f>IF(AXX4&gt;0,AYS4/AXX4,"")</f>
        <v/>
      </c>
      <c r="AYT3" s="18" t="str">
        <f>IF(AXX4&gt;0,AYT4/AXX4,"")</f>
        <v/>
      </c>
      <c r="AYU3" s="18" t="str">
        <f>IF(AXX4&gt;0,AYU4/AXX4,"")</f>
        <v/>
      </c>
      <c r="AYV3" s="18" t="str">
        <f>IF(AXX4&gt;0,AYV4/AXX4,"")</f>
        <v/>
      </c>
      <c r="AYW3" s="18" t="str">
        <f>IF(AXX4&gt;0,AYW4/AXX4,"")</f>
        <v/>
      </c>
      <c r="AYX3" s="18" t="str">
        <f>IF(AXX4&gt;0,AYX4/AXX4,"")</f>
        <v/>
      </c>
      <c r="AYY3" s="18" t="str">
        <f>IF(AXX4&gt;0,AYY4/AXX4,"")</f>
        <v/>
      </c>
      <c r="AYZ3" s="18" t="str">
        <f>IF(AXX4&gt;0,AYZ4/AXX4,"")</f>
        <v/>
      </c>
      <c r="AZA3" s="18" t="str">
        <f>IF(AXX4&gt;0,AZA4/AXX4,"")</f>
        <v/>
      </c>
      <c r="AZB3" s="18" t="str">
        <f>IF(AXX4&gt;0,AZB4/AXX4,"")</f>
        <v/>
      </c>
      <c r="AZD3" s="18" t="str">
        <f>IF(AZC4&gt;0,AZD4/AZC4,"")</f>
        <v/>
      </c>
      <c r="AZE3" s="18" t="str">
        <f>IF(AZC4&gt;0,AZE4/AZC4,"")</f>
        <v/>
      </c>
      <c r="AZF3" s="18" t="str">
        <f>IF(AZC4&gt;0,AZF4/AZC4,"")</f>
        <v/>
      </c>
      <c r="AZG3" s="18" t="str">
        <f>IF(AZC4&gt;0,AZG4/AZC4,"")</f>
        <v/>
      </c>
      <c r="AZH3" s="18" t="str">
        <f>IF(AZC4&gt;0,AZH4/AZC4,"")</f>
        <v/>
      </c>
      <c r="AZI3" s="18" t="str">
        <f>IF(AZC4&gt;0,AZI4/AZC4,"")</f>
        <v/>
      </c>
      <c r="AZJ3" s="18" t="str">
        <f>IF(AZC4&gt;0,AZJ4/AZC4,"")</f>
        <v/>
      </c>
      <c r="AZK3" s="18" t="str">
        <f>IF(AZC4&gt;0,AZK4/AZC4,"")</f>
        <v/>
      </c>
      <c r="AZL3" s="18" t="str">
        <f>IF(AZC4&gt;0,AZL4/AZC4,"")</f>
        <v/>
      </c>
      <c r="AZM3" s="18" t="str">
        <f>IF(AZC4&gt;0,AZM4/AZC4,"")</f>
        <v/>
      </c>
      <c r="AZN3" s="18" t="str">
        <f>IF(AZC4&gt;0,AZN4/AZC4,"")</f>
        <v/>
      </c>
      <c r="AZO3" s="18" t="str">
        <f>IF(AZC4&gt;0,AZO4/AZC4,"")</f>
        <v/>
      </c>
      <c r="AZP3" s="18" t="str">
        <f>IF(AZC4&gt;0,AZP4/AZC4,"")</f>
        <v/>
      </c>
      <c r="AZQ3" s="18" t="str">
        <f>IF(AZC4&gt;0,AZQ4/AZC4,"")</f>
        <v/>
      </c>
      <c r="AZR3" s="18" t="str">
        <f>IF(AZC4&gt;0,AZR4/AZC4,"")</f>
        <v/>
      </c>
      <c r="AZS3" s="18" t="str">
        <f>IF(AZC4&gt;0,AZS4/AZC4,"")</f>
        <v/>
      </c>
      <c r="AZT3" s="18" t="str">
        <f>IF(AZC4&gt;0,AZT4/AZC4,"")</f>
        <v/>
      </c>
      <c r="AZU3" s="18" t="str">
        <f>IF(AZC4&gt;0,AZU4/AZC4,"")</f>
        <v/>
      </c>
      <c r="AZV3" s="18" t="str">
        <f>IF(AZC4&gt;0,AZV4/AZC4,"")</f>
        <v/>
      </c>
      <c r="AZW3" s="18" t="str">
        <f>IF(AZC4&gt;0,AZW4/AZC4,"")</f>
        <v/>
      </c>
      <c r="AZX3" s="18" t="str">
        <f>IF(AZC4&gt;0,AZX4/AZC4,"")</f>
        <v/>
      </c>
      <c r="AZY3" s="18" t="str">
        <f>IF(AZC4&gt;0,AZY4/AZC4,"")</f>
        <v/>
      </c>
      <c r="AZZ3" s="18" t="str">
        <f>IF(AZC4&gt;0,AZZ4/AZC4,"")</f>
        <v/>
      </c>
      <c r="BAA3" s="18" t="str">
        <f>IF(AZC4&gt;0,BAA4/AZC4,"")</f>
        <v/>
      </c>
      <c r="BAB3" s="18" t="str">
        <f>IF(AZC4&gt;0,BAB4/AZC4,"")</f>
        <v/>
      </c>
      <c r="BAC3" s="18" t="str">
        <f>IF(AZC4&gt;0,BAC4/AZC4,"")</f>
        <v/>
      </c>
      <c r="BAD3" s="18" t="str">
        <f>IF(AZC4&gt;0,BAD4/AZC4,"")</f>
        <v/>
      </c>
      <c r="BAE3" s="18" t="str">
        <f>IF(AZC4&gt;0,BAE4/AZC4,"")</f>
        <v/>
      </c>
      <c r="BAF3" s="18" t="str">
        <f>IF(AZC4&gt;0,BAF4/AZC4,"")</f>
        <v/>
      </c>
      <c r="BAG3" s="18" t="str">
        <f>IF(AZC4&gt;0,BAG4/AZC4,"")</f>
        <v/>
      </c>
      <c r="BAI3" s="18" t="str">
        <f>IF(BAH4&gt;0,BAI4/BAH4,"")</f>
        <v/>
      </c>
      <c r="BAJ3" s="18" t="str">
        <f>IF(BAH4&gt;0,BAJ4/BAH4,"")</f>
        <v/>
      </c>
      <c r="BAK3" s="18" t="str">
        <f>IF(BAH4&gt;0,BAK4/BAH4,"")</f>
        <v/>
      </c>
      <c r="BAL3" s="18" t="str">
        <f>IF(BAH4&gt;0,BAL4/BAH4,"")</f>
        <v/>
      </c>
      <c r="BAM3" s="18" t="str">
        <f>IF(BAH4&gt;0,BAM4/BAH4,"")</f>
        <v/>
      </c>
      <c r="BAN3" s="18" t="str">
        <f>IF(BAH4&gt;0,BAN4/BAH4,"")</f>
        <v/>
      </c>
      <c r="BAO3" s="18" t="str">
        <f>IF(BAH4&gt;0,BAO4/BAH4,"")</f>
        <v/>
      </c>
      <c r="BAP3" s="18" t="str">
        <f>IF(BAH4&gt;0,BAP4/BAH4,"")</f>
        <v/>
      </c>
      <c r="BAQ3" s="18" t="str">
        <f>IF(BAH4&gt;0,BAQ4/BAH4,"")</f>
        <v/>
      </c>
      <c r="BAR3" s="18" t="str">
        <f>IF(BAH4&gt;0,BAR4/BAH4,"")</f>
        <v/>
      </c>
      <c r="BAS3" s="18" t="str">
        <f>IF(BAH4&gt;0,BAS4/BAH4,"")</f>
        <v/>
      </c>
      <c r="BAT3" s="18" t="str">
        <f>IF(BAH4&gt;0,BAT4/BAH4,"")</f>
        <v/>
      </c>
      <c r="BAU3" s="18" t="str">
        <f>IF(BAH4&gt;0,BAU4/BAH4,"")</f>
        <v/>
      </c>
      <c r="BAV3" s="18" t="str">
        <f>IF(BAH4&gt;0,BAV4/BAH4,"")</f>
        <v/>
      </c>
      <c r="BAW3" s="18" t="str">
        <f>IF(BAH4&gt;0,BAW4/BAH4,"")</f>
        <v/>
      </c>
      <c r="BAX3" s="18" t="str">
        <f>IF(BAH4&gt;0,BAX4/BAH4,"")</f>
        <v/>
      </c>
      <c r="BAY3" s="18" t="str">
        <f>IF(BAH4&gt;0,BAY4/BAH4,"")</f>
        <v/>
      </c>
      <c r="BAZ3" s="18" t="str">
        <f>IF(BAH4&gt;0,BAZ4/BAH4,"")</f>
        <v/>
      </c>
      <c r="BBA3" s="18" t="str">
        <f>IF(BAH4&gt;0,BBA4/BAH4,"")</f>
        <v/>
      </c>
      <c r="BBB3" s="18" t="str">
        <f>IF(BAH4&gt;0,BBB4/BAH4,"")</f>
        <v/>
      </c>
      <c r="BBC3" s="18" t="str">
        <f>IF(BAH4&gt;0,BBC4/BAH4,"")</f>
        <v/>
      </c>
      <c r="BBD3" s="18" t="str">
        <f>IF(BAH4&gt;0,BBD4/BAH4,"")</f>
        <v/>
      </c>
      <c r="BBE3" s="18" t="str">
        <f>IF(BAH4&gt;0,BBE4/BAH4,"")</f>
        <v/>
      </c>
      <c r="BBF3" s="18" t="str">
        <f>IF(BAH4&gt;0,BBF4/BAH4,"")</f>
        <v/>
      </c>
      <c r="BBG3" s="18" t="str">
        <f>IF(BAH4&gt;0,BBG4/BAH4,"")</f>
        <v/>
      </c>
      <c r="BBH3" s="18" t="str">
        <f>IF(BAH4&gt;0,BBH4/BAH4,"")</f>
        <v/>
      </c>
      <c r="BBI3" s="18" t="str">
        <f>IF(BAH4&gt;0,BBI4/BAH4,"")</f>
        <v/>
      </c>
      <c r="BBJ3" s="18" t="str">
        <f>IF(BAH4&gt;0,BBJ4/BAH4,"")</f>
        <v/>
      </c>
      <c r="BBK3" s="18" t="str">
        <f>IF(BAH4&gt;0,BBK4/BAH4,"")</f>
        <v/>
      </c>
      <c r="BBL3" s="18" t="str">
        <f>IF(BAH4&gt;0,BBL4/BAH4,"")</f>
        <v/>
      </c>
      <c r="BBN3" s="18" t="str">
        <f>IF(BBM4&gt;0,BBN4/BBM4,"")</f>
        <v/>
      </c>
      <c r="BBO3" s="18" t="str">
        <f>IF(BBM4&gt;0,BBO4/BBM4,"")</f>
        <v/>
      </c>
      <c r="BBP3" s="18" t="str">
        <f>IF(BBM4&gt;0,BBP4/BBM4,"")</f>
        <v/>
      </c>
      <c r="BBQ3" s="18" t="str">
        <f>IF(BBM4&gt;0,BBQ4/BBM4,"")</f>
        <v/>
      </c>
      <c r="BBR3" s="18" t="str">
        <f>IF(BBM4&gt;0,BBR4/BBM4,"")</f>
        <v/>
      </c>
      <c r="BBS3" s="18" t="str">
        <f>IF(BBM4&gt;0,BBS4/BBM4,"")</f>
        <v/>
      </c>
      <c r="BBT3" s="18" t="str">
        <f>IF(BBM4&gt;0,BBT4/BBM4,"")</f>
        <v/>
      </c>
      <c r="BBU3" s="18" t="str">
        <f>IF(BBM4&gt;0,BBU4/BBM4,"")</f>
        <v/>
      </c>
      <c r="BBV3" s="18" t="str">
        <f>IF(BBM4&gt;0,BBV4/BBM4,"")</f>
        <v/>
      </c>
      <c r="BBW3" s="18" t="str">
        <f>IF(BBM4&gt;0,BBW4/BBM4,"")</f>
        <v/>
      </c>
      <c r="BBX3" s="18" t="str">
        <f>IF(BBM4&gt;0,BBX4/BBM4,"")</f>
        <v/>
      </c>
      <c r="BBY3" s="18" t="str">
        <f>IF(BBM4&gt;0,BBY4/BBM4,"")</f>
        <v/>
      </c>
      <c r="BBZ3" s="18" t="str">
        <f>IF(BBM4&gt;0,BBZ4/BBM4,"")</f>
        <v/>
      </c>
      <c r="BCA3" s="18" t="str">
        <f>IF(BBM4&gt;0,BCA4/BBM4,"")</f>
        <v/>
      </c>
      <c r="BCB3" s="18" t="str">
        <f>IF(BBM4&gt;0,BCB4/BBM4,"")</f>
        <v/>
      </c>
      <c r="BCC3" s="18" t="str">
        <f>IF(BBM4&gt;0,BCC4/BBM4,"")</f>
        <v/>
      </c>
      <c r="BCD3" s="18" t="str">
        <f>IF(BBM4&gt;0,BCD4/BBM4,"")</f>
        <v/>
      </c>
      <c r="BCE3" s="18" t="str">
        <f>IF(BBM4&gt;0,BCE4/BBM4,"")</f>
        <v/>
      </c>
      <c r="BCF3" s="18" t="str">
        <f>IF(BBM4&gt;0,BCF4/BBM4,"")</f>
        <v/>
      </c>
      <c r="BCG3" s="18" t="str">
        <f>IF(BBM4&gt;0,BCG4/BBM4,"")</f>
        <v/>
      </c>
      <c r="BCH3" s="18" t="str">
        <f>IF(BBM4&gt;0,BCH4/BBM4,"")</f>
        <v/>
      </c>
      <c r="BCI3" s="18" t="str">
        <f>IF(BBM4&gt;0,BCI4/BBM4,"")</f>
        <v/>
      </c>
      <c r="BCJ3" s="18" t="str">
        <f>IF(BBM4&gt;0,BCJ4/BBM4,"")</f>
        <v/>
      </c>
      <c r="BCK3" s="18" t="str">
        <f>IF(BBM4&gt;0,BCK4/BBM4,"")</f>
        <v/>
      </c>
      <c r="BCL3" s="18" t="str">
        <f>IF(BBM4&gt;0,BCL4/BBM4,"")</f>
        <v/>
      </c>
      <c r="BCM3" s="18" t="str">
        <f>IF(BBM4&gt;0,BCM4/BBM4,"")</f>
        <v/>
      </c>
      <c r="BCN3" s="18" t="str">
        <f>IF(BBM4&gt;0,BCN4/BBM4,"")</f>
        <v/>
      </c>
      <c r="BCO3" s="18" t="str">
        <f>IF(BBM4&gt;0,BCO4/BBM4,"")</f>
        <v/>
      </c>
      <c r="BCP3" s="18" t="str">
        <f>IF(BBM4&gt;0,BCP4/BBM4,"")</f>
        <v/>
      </c>
      <c r="BCQ3" s="18" t="str">
        <f>IF(BBM4&gt;0,BCQ4/BBM4,"")</f>
        <v/>
      </c>
      <c r="BCS3" s="18" t="str">
        <f>IF(BCR4&gt;0,BCS4/BCR4,"")</f>
        <v/>
      </c>
      <c r="BCT3" s="18" t="str">
        <f>IF(BCR4&gt;0,BCT4/BCR4,"")</f>
        <v/>
      </c>
      <c r="BCU3" s="18" t="str">
        <f>IF(BCR4&gt;0,BCU4/BCR4,"")</f>
        <v/>
      </c>
      <c r="BCV3" s="18" t="str">
        <f>IF(BCR4&gt;0,BCV4/BCR4,"")</f>
        <v/>
      </c>
      <c r="BCW3" s="18" t="str">
        <f>IF(BCR4&gt;0,BCW4/BCR4,"")</f>
        <v/>
      </c>
      <c r="BCX3" s="18" t="str">
        <f>IF(BCR4&gt;0,BCX4/BCR4,"")</f>
        <v/>
      </c>
      <c r="BCY3" s="18" t="str">
        <f>IF(BCR4&gt;0,BCY4/BCR4,"")</f>
        <v/>
      </c>
      <c r="BCZ3" s="18" t="str">
        <f>IF(BCR4&gt;0,BCZ4/BCR4,"")</f>
        <v/>
      </c>
      <c r="BDA3" s="18" t="str">
        <f>IF(BCR4&gt;0,BDA4/BCR4,"")</f>
        <v/>
      </c>
      <c r="BDB3" s="18" t="str">
        <f>IF(BCR4&gt;0,BDB4/BCR4,"")</f>
        <v/>
      </c>
      <c r="BDC3" s="18" t="str">
        <f>IF(BCR4&gt;0,BDC4/BCR4,"")</f>
        <v/>
      </c>
      <c r="BDD3" s="18" t="str">
        <f>IF(BCR4&gt;0,BDD4/BCR4,"")</f>
        <v/>
      </c>
      <c r="BDE3" s="18" t="str">
        <f>IF(BCR4&gt;0,BDE4/BCR4,"")</f>
        <v/>
      </c>
      <c r="BDF3" s="18" t="str">
        <f>IF(BCR4&gt;0,BDF4/BCR4,"")</f>
        <v/>
      </c>
      <c r="BDG3" s="18" t="str">
        <f>IF(BCR4&gt;0,BDG4/BCR4,"")</f>
        <v/>
      </c>
      <c r="BDH3" s="18" t="str">
        <f>IF(BCR4&gt;0,BDH4/BCR4,"")</f>
        <v/>
      </c>
      <c r="BDI3" s="18" t="str">
        <f>IF(BCR4&gt;0,BDI4/BCR4,"")</f>
        <v/>
      </c>
      <c r="BDJ3" s="18" t="str">
        <f>IF(BCR4&gt;0,BDJ4/BCR4,"")</f>
        <v/>
      </c>
      <c r="BDK3" s="18" t="str">
        <f>IF(BCR4&gt;0,BDK4/BCR4,"")</f>
        <v/>
      </c>
      <c r="BDL3" s="18" t="str">
        <f>IF(BCR4&gt;0,BDL4/BCR4,"")</f>
        <v/>
      </c>
      <c r="BDM3" s="18" t="str">
        <f>IF(BCR4&gt;0,BDM4/BCR4,"")</f>
        <v/>
      </c>
      <c r="BDN3" s="18" t="str">
        <f>IF(BCR4&gt;0,BDN4/BCR4,"")</f>
        <v/>
      </c>
      <c r="BDO3" s="18" t="str">
        <f>IF(BCR4&gt;0,BDO4/BCR4,"")</f>
        <v/>
      </c>
      <c r="BDP3" s="18" t="str">
        <f>IF(BCR4&gt;0,BDP4/BCR4,"")</f>
        <v/>
      </c>
      <c r="BDQ3" s="18" t="str">
        <f>IF(BCR4&gt;0,BDQ4/BCR4,"")</f>
        <v/>
      </c>
      <c r="BDR3" s="18" t="str">
        <f>IF(BCR4&gt;0,BDR4/BCR4,"")</f>
        <v/>
      </c>
      <c r="BDS3" s="18" t="str">
        <f>IF(BCR4&gt;0,BDS4/BCR4,"")</f>
        <v/>
      </c>
      <c r="BDT3" s="18" t="str">
        <f>IF(BCR4&gt;0,BDT4/BCR4,"")</f>
        <v/>
      </c>
      <c r="BDU3" s="18" t="str">
        <f>IF(BCR4&gt;0,BDU4/BCR4,"")</f>
        <v/>
      </c>
      <c r="BDV3" s="18" t="str">
        <f>IF(BCR4&gt;0,BDV4/BCR4,"")</f>
        <v/>
      </c>
      <c r="BDX3" s="18" t="str">
        <f>IF(BDW4&gt;0,BDX4/BDW4,"")</f>
        <v/>
      </c>
      <c r="BDY3" s="18" t="str">
        <f>IF(BDW4&gt;0,BDY4/BDW4,"")</f>
        <v/>
      </c>
      <c r="BDZ3" s="18" t="str">
        <f>IF(BDW4&gt;0,BDZ4/BDW4,"")</f>
        <v/>
      </c>
      <c r="BEA3" s="18" t="str">
        <f>IF(BDW4&gt;0,BEA4/BDW4,"")</f>
        <v/>
      </c>
      <c r="BEB3" s="18" t="str">
        <f>IF(BDW4&gt;0,BEB4/BDW4,"")</f>
        <v/>
      </c>
      <c r="BEC3" s="18" t="str">
        <f>IF(BDW4&gt;0,BEC4/BDW4,"")</f>
        <v/>
      </c>
      <c r="BED3" s="18" t="str">
        <f>IF(BDW4&gt;0,BED4/BDW4,"")</f>
        <v/>
      </c>
      <c r="BEE3" s="18" t="str">
        <f>IF(BDW4&gt;0,BEE4/BDW4,"")</f>
        <v/>
      </c>
      <c r="BEF3" s="18" t="str">
        <f>IF(BDW4&gt;0,BEF4/BDW4,"")</f>
        <v/>
      </c>
      <c r="BEG3" s="18" t="str">
        <f>IF(BDW4&gt;0,BEG4/BDW4,"")</f>
        <v/>
      </c>
      <c r="BEH3" s="18" t="str">
        <f>IF(BDW4&gt;0,BEH4/BDW4,"")</f>
        <v/>
      </c>
      <c r="BEI3" s="18" t="str">
        <f>IF(BDW4&gt;0,BEI4/BDW4,"")</f>
        <v/>
      </c>
      <c r="BEJ3" s="18" t="str">
        <f>IF(BDW4&gt;0,BEJ4/BDW4,"")</f>
        <v/>
      </c>
      <c r="BEK3" s="18" t="str">
        <f>IF(BDW4&gt;0,BEK4/BDW4,"")</f>
        <v/>
      </c>
      <c r="BEL3" s="18" t="str">
        <f>IF(BDW4&gt;0,BEL4/BDW4,"")</f>
        <v/>
      </c>
      <c r="BEM3" s="18" t="str">
        <f>IF(BDW4&gt;0,BEM4/BDW4,"")</f>
        <v/>
      </c>
      <c r="BEN3" s="18" t="str">
        <f>IF(BDW4&gt;0,BEN4/BDW4,"")</f>
        <v/>
      </c>
      <c r="BEO3" s="18" t="str">
        <f>IF(BDW4&gt;0,BEO4/BDW4,"")</f>
        <v/>
      </c>
      <c r="BEP3" s="18" t="str">
        <f>IF(BDW4&gt;0,BEP4/BDW4,"")</f>
        <v/>
      </c>
      <c r="BEQ3" s="18" t="str">
        <f>IF(BDW4&gt;0,BEQ4/BDW4,"")</f>
        <v/>
      </c>
      <c r="BER3" s="18" t="str">
        <f>IF(BDW4&gt;0,BER4/BDW4,"")</f>
        <v/>
      </c>
      <c r="BES3" s="18" t="str">
        <f>IF(BDW4&gt;0,BES4/BDW4,"")</f>
        <v/>
      </c>
      <c r="BET3" s="18" t="str">
        <f>IF(BDW4&gt;0,BET4/BDW4,"")</f>
        <v/>
      </c>
      <c r="BEU3" s="18" t="str">
        <f>IF(BDW4&gt;0,BEU4/BDW4,"")</f>
        <v/>
      </c>
      <c r="BEV3" s="18" t="str">
        <f>IF(BDW4&gt;0,BEV4/BDW4,"")</f>
        <v/>
      </c>
      <c r="BEW3" s="18" t="str">
        <f>IF(BDW4&gt;0,BEW4/BDW4,"")</f>
        <v/>
      </c>
      <c r="BEX3" s="18" t="str">
        <f>IF(BDW4&gt;0,BEX4/BDW4,"")</f>
        <v/>
      </c>
      <c r="BEY3" s="18" t="str">
        <f>IF(BDW4&gt;0,BEY4/BDW4,"")</f>
        <v/>
      </c>
      <c r="BEZ3" s="18" t="str">
        <f>IF(BDW4&gt;0,BEZ4/BDW4,"")</f>
        <v/>
      </c>
      <c r="BFA3" s="18" t="str">
        <f>IF(BDW4&gt;0,BFA4/BDW4,"")</f>
        <v/>
      </c>
      <c r="BFC3" s="18" t="str">
        <f>IF(BFB4&gt;0,BFC4/BFB4,"")</f>
        <v/>
      </c>
      <c r="BFD3" s="18" t="str">
        <f>IF(BFB4&gt;0,BFD4/BFB4,"")</f>
        <v/>
      </c>
      <c r="BFE3" s="18" t="str">
        <f>IF(BFB4&gt;0,BFE4/BFB4,"")</f>
        <v/>
      </c>
      <c r="BFF3" s="18" t="str">
        <f>IF(BFB4&gt;0,BFF4/BFB4,"")</f>
        <v/>
      </c>
      <c r="BFG3" s="18" t="str">
        <f>IF(BFB4&gt;0,BFG4/BFB4,"")</f>
        <v/>
      </c>
      <c r="BFH3" s="18" t="str">
        <f>IF(BFB4&gt;0,BFH4/BFB4,"")</f>
        <v/>
      </c>
      <c r="BFI3" s="18" t="str">
        <f>IF(BFB4&gt;0,BFI4/BFB4,"")</f>
        <v/>
      </c>
      <c r="BFJ3" s="18" t="str">
        <f>IF(BFB4&gt;0,BFJ4/BFB4,"")</f>
        <v/>
      </c>
      <c r="BFK3" s="18" t="str">
        <f>IF(BFB4&gt;0,BFK4/BFB4,"")</f>
        <v/>
      </c>
      <c r="BFL3" s="18" t="str">
        <f>IF(BFB4&gt;0,BFL4/BFB4,"")</f>
        <v/>
      </c>
      <c r="BFM3" s="18" t="str">
        <f>IF(BFB4&gt;0,BFM4/BFB4,"")</f>
        <v/>
      </c>
      <c r="BFN3" s="18" t="str">
        <f>IF(BFB4&gt;0,BFN4/BFB4,"")</f>
        <v/>
      </c>
      <c r="BFO3" s="18" t="str">
        <f>IF(BFB4&gt;0,BFO4/BFB4,"")</f>
        <v/>
      </c>
      <c r="BFP3" s="18" t="str">
        <f>IF(BFB4&gt;0,BFP4/BFB4,"")</f>
        <v/>
      </c>
      <c r="BFQ3" s="18" t="str">
        <f>IF(BFB4&gt;0,BFQ4/BFB4,"")</f>
        <v/>
      </c>
      <c r="BFR3" s="18" t="str">
        <f>IF(BFB4&gt;0,BFR4/BFB4,"")</f>
        <v/>
      </c>
      <c r="BFS3" s="18" t="str">
        <f>IF(BFB4&gt;0,BFS4/BFB4,"")</f>
        <v/>
      </c>
      <c r="BFT3" s="18" t="str">
        <f>IF(BFB4&gt;0,BFT4/BFB4,"")</f>
        <v/>
      </c>
      <c r="BFU3" s="18" t="str">
        <f>IF(BFB4&gt;0,BFU4/BFB4,"")</f>
        <v/>
      </c>
      <c r="BFV3" s="18" t="str">
        <f>IF(BFB4&gt;0,BFV4/BFB4,"")</f>
        <v/>
      </c>
      <c r="BFW3" s="18" t="str">
        <f>IF(BFB4&gt;0,BFW4/BFB4,"")</f>
        <v/>
      </c>
      <c r="BFX3" s="18" t="str">
        <f>IF(BFB4&gt;0,BFX4/BFB4,"")</f>
        <v/>
      </c>
      <c r="BFY3" s="18" t="str">
        <f>IF(BFB4&gt;0,BFY4/BFB4,"")</f>
        <v/>
      </c>
      <c r="BFZ3" s="18" t="str">
        <f>IF(BFB4&gt;0,BFZ4/BFB4,"")</f>
        <v/>
      </c>
      <c r="BGA3" s="18" t="str">
        <f>IF(BFB4&gt;0,BGA4/BFB4,"")</f>
        <v/>
      </c>
      <c r="BGB3" s="18" t="str">
        <f>IF(BFB4&gt;0,BGB4/BFB4,"")</f>
        <v/>
      </c>
      <c r="BGC3" s="18" t="str">
        <f>IF(BFB4&gt;0,BGC4/BFB4,"")</f>
        <v/>
      </c>
      <c r="BGD3" s="18" t="str">
        <f>IF(BFB4&gt;0,BGD4/BFB4,"")</f>
        <v/>
      </c>
      <c r="BGE3" s="18" t="str">
        <f>IF(BFB4&gt;0,BGE4/BFB4,"")</f>
        <v/>
      </c>
      <c r="BGF3" s="18" t="str">
        <f>IF(BFB4&gt;0,BGF4/BFB4,"")</f>
        <v/>
      </c>
      <c r="BGH3" s="18" t="str">
        <f>IF(BGG4&gt;0,BGH4/BGG4,"")</f>
        <v/>
      </c>
      <c r="BGI3" s="18" t="str">
        <f>IF(BGG4&gt;0,BGI4/BGG4,"")</f>
        <v/>
      </c>
      <c r="BGJ3" s="18" t="str">
        <f>IF(BGG4&gt;0,BGJ4/BGG4,"")</f>
        <v/>
      </c>
      <c r="BGK3" s="18" t="str">
        <f>IF(BGG4&gt;0,BGK4/BGG4,"")</f>
        <v/>
      </c>
      <c r="BGL3" s="18" t="str">
        <f>IF(BGG4&gt;0,BGL4/BGG4,"")</f>
        <v/>
      </c>
      <c r="BGM3" s="18" t="str">
        <f>IF(BGG4&gt;0,BGM4/BGG4,"")</f>
        <v/>
      </c>
      <c r="BGN3" s="18" t="str">
        <f>IF(BGG4&gt;0,BGN4/BGG4,"")</f>
        <v/>
      </c>
      <c r="BGO3" s="18" t="str">
        <f>IF(BGG4&gt;0,BGO4/BGG4,"")</f>
        <v/>
      </c>
      <c r="BGP3" s="18" t="str">
        <f>IF(BGG4&gt;0,BGP4/BGG4,"")</f>
        <v/>
      </c>
      <c r="BGQ3" s="18" t="str">
        <f>IF(BGG4&gt;0,BGQ4/BGG4,"")</f>
        <v/>
      </c>
      <c r="BGR3" s="18" t="str">
        <f>IF(BGG4&gt;0,BGR4/BGG4,"")</f>
        <v/>
      </c>
      <c r="BGS3" s="18" t="str">
        <f>IF(BGG4&gt;0,BGS4/BGG4,"")</f>
        <v/>
      </c>
      <c r="BGT3" s="18" t="str">
        <f>IF(BGG4&gt;0,BGT4/BGG4,"")</f>
        <v/>
      </c>
      <c r="BGU3" s="18" t="str">
        <f>IF(BGG4&gt;0,BGU4/BGG4,"")</f>
        <v/>
      </c>
      <c r="BGV3" s="18" t="str">
        <f>IF(BGG4&gt;0,BGV4/BGG4,"")</f>
        <v/>
      </c>
      <c r="BGW3" s="18" t="str">
        <f>IF(BGG4&gt;0,BGW4/BGG4,"")</f>
        <v/>
      </c>
      <c r="BGX3" s="18" t="str">
        <f>IF(BGG4&gt;0,BGX4/BGG4,"")</f>
        <v/>
      </c>
      <c r="BGY3" s="18" t="str">
        <f>IF(BGG4&gt;0,BGY4/BGG4,"")</f>
        <v/>
      </c>
      <c r="BGZ3" s="18" t="str">
        <f>IF(BGG4&gt;0,BGZ4/BGG4,"")</f>
        <v/>
      </c>
      <c r="BHA3" s="18" t="str">
        <f>IF(BGG4&gt;0,BHA4/BGG4,"")</f>
        <v/>
      </c>
      <c r="BHB3" s="18" t="str">
        <f>IF(BGG4&gt;0,BHB4/BGG4,"")</f>
        <v/>
      </c>
      <c r="BHC3" s="18" t="str">
        <f>IF(BGG4&gt;0,BHC4/BGG4,"")</f>
        <v/>
      </c>
      <c r="BHD3" s="18" t="str">
        <f>IF(BGG4&gt;0,BHD4/BGG4,"")</f>
        <v/>
      </c>
      <c r="BHE3" s="18" t="str">
        <f>IF(BGG4&gt;0,BHE4/BGG4,"")</f>
        <v/>
      </c>
      <c r="BHF3" s="18" t="str">
        <f>IF(BGG4&gt;0,BHF4/BGG4,"")</f>
        <v/>
      </c>
      <c r="BHG3" s="18" t="str">
        <f>IF(BGG4&gt;0,BHG4/BGG4,"")</f>
        <v/>
      </c>
      <c r="BHH3" s="18" t="str">
        <f>IF(BGG4&gt;0,BHH4/BGG4,"")</f>
        <v/>
      </c>
      <c r="BHI3" s="18" t="str">
        <f>IF(BGG4&gt;0,BHI4/BGG4,"")</f>
        <v/>
      </c>
      <c r="BHJ3" s="18" t="str">
        <f>IF(BGG4&gt;0,BHJ4/BGG4,"")</f>
        <v/>
      </c>
      <c r="BHK3" s="18" t="str">
        <f>IF(BGG4&gt;0,BHK4/BGG4,"")</f>
        <v/>
      </c>
      <c r="BHM3" s="18" t="str">
        <f>IF(BHL4&gt;0,BHM4/BHL4,"")</f>
        <v/>
      </c>
      <c r="BHN3" s="18" t="str">
        <f>IF(BHL4&gt;0,BHN4/BHL4,"")</f>
        <v/>
      </c>
      <c r="BHO3" s="18" t="str">
        <f>IF(BHL4&gt;0,BHO4/BHL4,"")</f>
        <v/>
      </c>
      <c r="BHP3" s="18" t="str">
        <f>IF(BHL4&gt;0,BHP4/BHL4,"")</f>
        <v/>
      </c>
      <c r="BHQ3" s="18" t="str">
        <f>IF(BHL4&gt;0,BHQ4/BHL4,"")</f>
        <v/>
      </c>
      <c r="BHR3" s="18" t="str">
        <f>IF(BHL4&gt;0,BHR4/BHL4,"")</f>
        <v/>
      </c>
      <c r="BHS3" s="18" t="str">
        <f>IF(BHL4&gt;0,BHS4/BHL4,"")</f>
        <v/>
      </c>
      <c r="BHT3" s="18" t="str">
        <f>IF(BHL4&gt;0,BHT4/BHL4,"")</f>
        <v/>
      </c>
      <c r="BHU3" s="18" t="str">
        <f>IF(BHL4&gt;0,BHU4/BHL4,"")</f>
        <v/>
      </c>
      <c r="BHV3" s="18" t="str">
        <f>IF(BHL4&gt;0,BHV4/BHL4,"")</f>
        <v/>
      </c>
      <c r="BHW3" s="18" t="str">
        <f>IF(BHL4&gt;0,BHW4/BHL4,"")</f>
        <v/>
      </c>
      <c r="BHX3" s="18" t="str">
        <f>IF(BHL4&gt;0,BHX4/BHL4,"")</f>
        <v/>
      </c>
      <c r="BHY3" s="18" t="str">
        <f>IF(BHL4&gt;0,BHY4/BHL4,"")</f>
        <v/>
      </c>
      <c r="BHZ3" s="18" t="str">
        <f>IF(BHL4&gt;0,BHZ4/BHL4,"")</f>
        <v/>
      </c>
      <c r="BIA3" s="18" t="str">
        <f>IF(BHL4&gt;0,BIA4/BHL4,"")</f>
        <v/>
      </c>
      <c r="BIB3" s="18" t="str">
        <f>IF(BHL4&gt;0,BIB4/BHL4,"")</f>
        <v/>
      </c>
      <c r="BIC3" s="18" t="str">
        <f>IF(BHL4&gt;0,BIC4/BHL4,"")</f>
        <v/>
      </c>
      <c r="BID3" s="18" t="str">
        <f>IF(BHL4&gt;0,BID4/BHL4,"")</f>
        <v/>
      </c>
      <c r="BIE3" s="18" t="str">
        <f>IF(BHL4&gt;0,BIE4/BHL4,"")</f>
        <v/>
      </c>
      <c r="BIF3" s="18" t="str">
        <f>IF(BHL4&gt;0,BIF4/BHL4,"")</f>
        <v/>
      </c>
      <c r="BIG3" s="18" t="str">
        <f>IF(BHL4&gt;0,BIG4/BHL4,"")</f>
        <v/>
      </c>
      <c r="BIH3" s="18" t="str">
        <f>IF(BHL4&gt;0,BIH4/BHL4,"")</f>
        <v/>
      </c>
      <c r="BII3" s="18" t="str">
        <f>IF(BHL4&gt;0,BII4/BHL4,"")</f>
        <v/>
      </c>
      <c r="BIJ3" s="18" t="str">
        <f>IF(BHL4&gt;0,BIJ4/BHL4,"")</f>
        <v/>
      </c>
      <c r="BIK3" s="18" t="str">
        <f>IF(BHL4&gt;0,BIK4/BHL4,"")</f>
        <v/>
      </c>
      <c r="BIL3" s="18" t="str">
        <f>IF(BHL4&gt;0,BIL4/BHL4,"")</f>
        <v/>
      </c>
      <c r="BIM3" s="18" t="str">
        <f>IF(BHL4&gt;0,BIM4/BHL4,"")</f>
        <v/>
      </c>
      <c r="BIN3" s="18" t="str">
        <f>IF(BHL4&gt;0,BIN4/BHL4,"")</f>
        <v/>
      </c>
      <c r="BIO3" s="18" t="str">
        <f>IF(BHL4&gt;0,BIO4/BHL4,"")</f>
        <v/>
      </c>
      <c r="BIP3" s="18" t="str">
        <f>IF(BHL4&gt;0,BIP4/BHL4,"")</f>
        <v/>
      </c>
      <c r="BIR3" s="18" t="str">
        <f>IF(BIQ4&gt;0,BIR4/BIQ4,"")</f>
        <v/>
      </c>
      <c r="BIS3" s="18" t="str">
        <f>IF(BIQ4&gt;0,BIS4/BIQ4,"")</f>
        <v/>
      </c>
      <c r="BIT3" s="18" t="str">
        <f>IF(BIQ4&gt;0,BIT4/BIQ4,"")</f>
        <v/>
      </c>
      <c r="BIU3" s="18" t="str">
        <f>IF(BIQ4&gt;0,BIU4/BIQ4,"")</f>
        <v/>
      </c>
      <c r="BIV3" s="18" t="str">
        <f>IF(BIQ4&gt;0,BIV4/BIQ4,"")</f>
        <v/>
      </c>
      <c r="BIW3" s="18" t="str">
        <f>IF(BIQ4&gt;0,BIW4/BIQ4,"")</f>
        <v/>
      </c>
      <c r="BIX3" s="18" t="str">
        <f>IF(BIQ4&gt;0,BIX4/BIQ4,"")</f>
        <v/>
      </c>
      <c r="BIY3" s="18" t="str">
        <f>IF(BIQ4&gt;0,BIY4/BIQ4,"")</f>
        <v/>
      </c>
      <c r="BIZ3" s="18" t="str">
        <f>IF(BIQ4&gt;0,BIZ4/BIQ4,"")</f>
        <v/>
      </c>
      <c r="BJA3" s="18" t="str">
        <f>IF(BIQ4&gt;0,BJA4/BIQ4,"")</f>
        <v/>
      </c>
      <c r="BJB3" s="18" t="str">
        <f>IF(BIQ4&gt;0,BJB4/BIQ4,"")</f>
        <v/>
      </c>
      <c r="BJC3" s="18" t="str">
        <f>IF(BIQ4&gt;0,BJC4/BIQ4,"")</f>
        <v/>
      </c>
      <c r="BJD3" s="18" t="str">
        <f>IF(BIQ4&gt;0,BJD4/BIQ4,"")</f>
        <v/>
      </c>
      <c r="BJE3" s="18" t="str">
        <f>IF(BIQ4&gt;0,BJE4/BIQ4,"")</f>
        <v/>
      </c>
      <c r="BJF3" s="18" t="str">
        <f>IF(BIQ4&gt;0,BJF4/BIQ4,"")</f>
        <v/>
      </c>
      <c r="BJG3" s="18" t="str">
        <f>IF(BIQ4&gt;0,BJG4/BIQ4,"")</f>
        <v/>
      </c>
      <c r="BJH3" s="18" t="str">
        <f>IF(BIQ4&gt;0,BJH4/BIQ4,"")</f>
        <v/>
      </c>
      <c r="BJI3" s="18" t="str">
        <f>IF(BIQ4&gt;0,BJI4/BIQ4,"")</f>
        <v/>
      </c>
      <c r="BJJ3" s="18" t="str">
        <f>IF(BIQ4&gt;0,BJJ4/BIQ4,"")</f>
        <v/>
      </c>
      <c r="BJK3" s="18" t="str">
        <f>IF(BIQ4&gt;0,BJK4/BIQ4,"")</f>
        <v/>
      </c>
      <c r="BJL3" s="18" t="str">
        <f>IF(BIQ4&gt;0,BJL4/BIQ4,"")</f>
        <v/>
      </c>
      <c r="BJM3" s="18" t="str">
        <f>IF(BIQ4&gt;0,BJM4/BIQ4,"")</f>
        <v/>
      </c>
      <c r="BJN3" s="18" t="str">
        <f>IF(BIQ4&gt;0,BJN4/BIQ4,"")</f>
        <v/>
      </c>
      <c r="BJO3" s="18" t="str">
        <f>IF(BIQ4&gt;0,BJO4/BIQ4,"")</f>
        <v/>
      </c>
      <c r="BJP3" s="18" t="str">
        <f>IF(BIQ4&gt;0,BJP4/BIQ4,"")</f>
        <v/>
      </c>
      <c r="BJQ3" s="18" t="str">
        <f>IF(BIQ4&gt;0,BJQ4/BIQ4,"")</f>
        <v/>
      </c>
      <c r="BJR3" s="18" t="str">
        <f>IF(BIQ4&gt;0,BJR4/BIQ4,"")</f>
        <v/>
      </c>
      <c r="BJS3" s="18" t="str">
        <f>IF(BIQ4&gt;0,BJS4/BIQ4,"")</f>
        <v/>
      </c>
      <c r="BJT3" s="18" t="str">
        <f>IF(BIQ4&gt;0,BJT4/BIQ4,"")</f>
        <v/>
      </c>
      <c r="BJU3" s="18" t="str">
        <f>IF(BIQ4&gt;0,BJU4/BIQ4,"")</f>
        <v/>
      </c>
      <c r="BJW3" s="18" t="str">
        <f>IF(BJV4&gt;0,BJW4/BJV4,"")</f>
        <v/>
      </c>
      <c r="BJX3" s="18" t="str">
        <f>IF(BJV4&gt;0,BJX4/BJV4,"")</f>
        <v/>
      </c>
      <c r="BJY3" s="18" t="str">
        <f>IF(BJV4&gt;0,BJY4/BJV4,"")</f>
        <v/>
      </c>
      <c r="BJZ3" s="18" t="str">
        <f>IF(BJV4&gt;0,BJZ4/BJV4,"")</f>
        <v/>
      </c>
      <c r="BKA3" s="18" t="str">
        <f>IF(BJV4&gt;0,BKA4/BJV4,"")</f>
        <v/>
      </c>
      <c r="BKB3" s="18" t="str">
        <f>IF(BJV4&gt;0,BKB4/BJV4,"")</f>
        <v/>
      </c>
      <c r="BKC3" s="18" t="str">
        <f>IF(BJV4&gt;0,BKC4/BJV4,"")</f>
        <v/>
      </c>
      <c r="BKD3" s="18" t="str">
        <f>IF(BJV4&gt;0,BKD4/BJV4,"")</f>
        <v/>
      </c>
      <c r="BKE3" s="18" t="str">
        <f>IF(BJV4&gt;0,BKE4/BJV4,"")</f>
        <v/>
      </c>
      <c r="BKF3" s="18" t="str">
        <f>IF(BJV4&gt;0,BKF4/BJV4,"")</f>
        <v/>
      </c>
      <c r="BKG3" s="18" t="str">
        <f>IF(BJV4&gt;0,BKG4/BJV4,"")</f>
        <v/>
      </c>
      <c r="BKH3" s="18" t="str">
        <f>IF(BJV4&gt;0,BKH4/BJV4,"")</f>
        <v/>
      </c>
      <c r="BKI3" s="18" t="str">
        <f>IF(BJV4&gt;0,BKI4/BJV4,"")</f>
        <v/>
      </c>
      <c r="BKJ3" s="18" t="str">
        <f>IF(BJV4&gt;0,BKJ4/BJV4,"")</f>
        <v/>
      </c>
      <c r="BKK3" s="18" t="str">
        <f>IF(BJV4&gt;0,BKK4/BJV4,"")</f>
        <v/>
      </c>
      <c r="BKL3" s="18" t="str">
        <f>IF(BJV4&gt;0,BKL4/BJV4,"")</f>
        <v/>
      </c>
      <c r="BKM3" s="18" t="str">
        <f>IF(BJV4&gt;0,BKM4/BJV4,"")</f>
        <v/>
      </c>
      <c r="BKN3" s="18" t="str">
        <f>IF(BJV4&gt;0,BKN4/BJV4,"")</f>
        <v/>
      </c>
      <c r="BKO3" s="18" t="str">
        <f>IF(BJV4&gt;0,BKO4/BJV4,"")</f>
        <v/>
      </c>
      <c r="BKP3" s="18" t="str">
        <f>IF(BJV4&gt;0,BKP4/BJV4,"")</f>
        <v/>
      </c>
      <c r="BKQ3" s="18" t="str">
        <f>IF(BJV4&gt;0,BKQ4/BJV4,"")</f>
        <v/>
      </c>
      <c r="BKR3" s="18" t="str">
        <f>IF(BJV4&gt;0,BKR4/BJV4,"")</f>
        <v/>
      </c>
      <c r="BKS3" s="18" t="str">
        <f>IF(BJV4&gt;0,BKS4/BJV4,"")</f>
        <v/>
      </c>
      <c r="BKT3" s="18" t="str">
        <f>IF(BJV4&gt;0,BKT4/BJV4,"")</f>
        <v/>
      </c>
      <c r="BKU3" s="18" t="str">
        <f>IF(BJV4&gt;0,BKU4/BJV4,"")</f>
        <v/>
      </c>
      <c r="BKV3" s="18" t="str">
        <f>IF(BJV4&gt;0,BKV4/BJV4,"")</f>
        <v/>
      </c>
      <c r="BKW3" s="18" t="str">
        <f>IF(BJV4&gt;0,BKW4/BJV4,"")</f>
        <v/>
      </c>
      <c r="BKX3" s="18" t="str">
        <f>IF(BJV4&gt;0,BKX4/BJV4,"")</f>
        <v/>
      </c>
      <c r="BKY3" s="18" t="str">
        <f>IF(BJV4&gt;0,BKY4/BJV4,"")</f>
        <v/>
      </c>
      <c r="BKZ3" s="18" t="str">
        <f>IF(BJV4&gt;0,BKZ4/BJV4,"")</f>
        <v/>
      </c>
      <c r="BLB3" s="18" t="str">
        <f>IF(BLA4&gt;0,BLB4/BLA4,"")</f>
        <v/>
      </c>
      <c r="BLC3" s="18" t="str">
        <f>IF(BLA4&gt;0,BLC4/BLA4,"")</f>
        <v/>
      </c>
      <c r="BLD3" s="18" t="str">
        <f>IF(BLA4&gt;0,BLD4/BLA4,"")</f>
        <v/>
      </c>
      <c r="BLE3" s="18" t="str">
        <f>IF(BLA4&gt;0,BLE4/BLA4,"")</f>
        <v/>
      </c>
      <c r="BLF3" s="18" t="str">
        <f>IF(BLA4&gt;0,BLF4/BLA4,"")</f>
        <v/>
      </c>
      <c r="BLG3" s="18" t="str">
        <f>IF(BLA4&gt;0,BLG4/BLA4,"")</f>
        <v/>
      </c>
      <c r="BLH3" s="18" t="str">
        <f>IF(BLA4&gt;0,BLH4/BLA4,"")</f>
        <v/>
      </c>
      <c r="BLI3" s="18" t="str">
        <f>IF(BLA4&gt;0,BLI4/BLA4,"")</f>
        <v/>
      </c>
      <c r="BLJ3" s="18" t="str">
        <f>IF(BLA4&gt;0,BLJ4/BLA4,"")</f>
        <v/>
      </c>
      <c r="BLK3" s="18" t="str">
        <f>IF(BLA4&gt;0,BLK4/BLA4,"")</f>
        <v/>
      </c>
      <c r="BLL3" s="18" t="str">
        <f>IF(BLA4&gt;0,BLL4/BLA4,"")</f>
        <v/>
      </c>
      <c r="BLM3" s="18" t="str">
        <f>IF(BLA4&gt;0,BLM4/BLA4,"")</f>
        <v/>
      </c>
      <c r="BLN3" s="18" t="str">
        <f>IF(BLA4&gt;0,BLN4/BLA4,"")</f>
        <v/>
      </c>
      <c r="BLO3" s="18" t="str">
        <f>IF(BLA4&gt;0,BLO4/BLA4,"")</f>
        <v/>
      </c>
      <c r="BLP3" s="18" t="str">
        <f>IF(BLA4&gt;0,BLP4/BLA4,"")</f>
        <v/>
      </c>
      <c r="BLQ3" s="18" t="str">
        <f>IF(BLA4&gt;0,BLQ4/BLA4,"")</f>
        <v/>
      </c>
      <c r="BLR3" s="18" t="str">
        <f>IF(BLA4&gt;0,BLR4/BLA4,"")</f>
        <v/>
      </c>
      <c r="BLS3" s="18" t="str">
        <f>IF(BLA4&gt;0,BLS4/BLA4,"")</f>
        <v/>
      </c>
      <c r="BLT3" s="18" t="str">
        <f>IF(BLA4&gt;0,BLT4/BLA4,"")</f>
        <v/>
      </c>
      <c r="BLU3" s="18" t="str">
        <f>IF(BLA4&gt;0,BLU4/BLA4,"")</f>
        <v/>
      </c>
      <c r="BLV3" s="18" t="str">
        <f>IF(BLA4&gt;0,BLV4/BLA4,"")</f>
        <v/>
      </c>
      <c r="BLW3" s="18" t="str">
        <f>IF(BLA4&gt;0,BLW4/BLA4,"")</f>
        <v/>
      </c>
      <c r="BLX3" s="18" t="str">
        <f>IF(BLA4&gt;0,BLX4/BLA4,"")</f>
        <v/>
      </c>
      <c r="BLY3" s="18" t="str">
        <f>IF(BLA4&gt;0,BLY4/BLA4,"")</f>
        <v/>
      </c>
      <c r="BLZ3" s="18" t="str">
        <f>IF(BLA4&gt;0,BLZ4/BLA4,"")</f>
        <v/>
      </c>
      <c r="BMA3" s="18" t="str">
        <f>IF(BLA4&gt;0,BMA4/BLA4,"")</f>
        <v/>
      </c>
      <c r="BMB3" s="18" t="str">
        <f>IF(BLA4&gt;0,BMB4/BLA4,"")</f>
        <v/>
      </c>
      <c r="BMC3" s="18" t="str">
        <f>IF(BLA4&gt;0,BMC4/BLA4,"")</f>
        <v/>
      </c>
      <c r="BMD3" s="18" t="str">
        <f>IF(BLA4&gt;0,BMD4/BLA4,"")</f>
        <v/>
      </c>
      <c r="BME3" s="18" t="str">
        <f>IF(BLA4&gt;0,BME4/BLA4,"")</f>
        <v/>
      </c>
      <c r="BMG3" s="18" t="str">
        <f>IF(BMF4&gt;0,BMG4/BMF4,"")</f>
        <v/>
      </c>
      <c r="BMH3" s="18" t="str">
        <f>IF(BMF4&gt;0,BMH4/BMF4,"")</f>
        <v/>
      </c>
      <c r="BMI3" s="18" t="str">
        <f>IF(BMF4&gt;0,BMI4/BMF4,"")</f>
        <v/>
      </c>
      <c r="BMJ3" s="18" t="str">
        <f>IF(BMF4&gt;0,BMJ4/BMF4,"")</f>
        <v/>
      </c>
      <c r="BMK3" s="18" t="str">
        <f>IF(BMF4&gt;0,BMK4/BMF4,"")</f>
        <v/>
      </c>
      <c r="BML3" s="18" t="str">
        <f>IF(BMF4&gt;0,BML4/BMF4,"")</f>
        <v/>
      </c>
      <c r="BMM3" s="18" t="str">
        <f>IF(BMF4&gt;0,BMM4/BMF4,"")</f>
        <v/>
      </c>
      <c r="BMN3" s="18" t="str">
        <f>IF(BMF4&gt;0,BMN4/BMF4,"")</f>
        <v/>
      </c>
      <c r="BMO3" s="18" t="str">
        <f>IF(BMF4&gt;0,BMO4/BMF4,"")</f>
        <v/>
      </c>
      <c r="BMP3" s="18" t="str">
        <f>IF(BMF4&gt;0,BMP4/BMF4,"")</f>
        <v/>
      </c>
      <c r="BMQ3" s="18" t="str">
        <f>IF(BMF4&gt;0,BMQ4/BMF4,"")</f>
        <v/>
      </c>
      <c r="BMR3" s="18" t="str">
        <f>IF(BMF4&gt;0,BMR4/BMF4,"")</f>
        <v/>
      </c>
      <c r="BMS3" s="18" t="str">
        <f>IF(BMF4&gt;0,BMS4/BMF4,"")</f>
        <v/>
      </c>
      <c r="BMT3" s="18" t="str">
        <f>IF(BMF4&gt;0,BMT4/BMF4,"")</f>
        <v/>
      </c>
      <c r="BMU3" s="18" t="str">
        <f>IF(BMF4&gt;0,BMU4/BMF4,"")</f>
        <v/>
      </c>
      <c r="BMV3" s="18" t="str">
        <f>IF(BMF4&gt;0,BMV4/BMF4,"")</f>
        <v/>
      </c>
      <c r="BMW3" s="18" t="str">
        <f>IF(BMF4&gt;0,BMW4/BMF4,"")</f>
        <v/>
      </c>
      <c r="BMX3" s="18" t="str">
        <f>IF(BMF4&gt;0,BMX4/BMF4,"")</f>
        <v/>
      </c>
      <c r="BMY3" s="18" t="str">
        <f>IF(BMF4&gt;0,BMY4/BMF4,"")</f>
        <v/>
      </c>
      <c r="BMZ3" s="18" t="str">
        <f>IF(BMF4&gt;0,BMZ4/BMF4,"")</f>
        <v/>
      </c>
      <c r="BNA3" s="18" t="str">
        <f>IF(BMF4&gt;0,BNA4/BMF4,"")</f>
        <v/>
      </c>
      <c r="BNB3" s="18" t="str">
        <f>IF(BMF4&gt;0,BNB4/BMF4,"")</f>
        <v/>
      </c>
      <c r="BNC3" s="18" t="str">
        <f>IF(BMF4&gt;0,BNC4/BMF4,"")</f>
        <v/>
      </c>
      <c r="BND3" s="18" t="str">
        <f>IF(BMF4&gt;0,BND4/BMF4,"")</f>
        <v/>
      </c>
      <c r="BNE3" s="18" t="str">
        <f>IF(BMF4&gt;0,BNE4/BMF4,"")</f>
        <v/>
      </c>
      <c r="BNF3" s="18" t="str">
        <f>IF(BMF4&gt;0,BNF4/BMF4,"")</f>
        <v/>
      </c>
      <c r="BNG3" s="18" t="str">
        <f>IF(BMF4&gt;0,BNG4/BMF4,"")</f>
        <v/>
      </c>
      <c r="BNH3" s="18" t="str">
        <f>IF(BMF4&gt;0,BNH4/BMF4,"")</f>
        <v/>
      </c>
      <c r="BNI3" s="18" t="str">
        <f>IF(BMF4&gt;0,BNI4/BMF4,"")</f>
        <v/>
      </c>
      <c r="BNJ3" s="18" t="str">
        <f>IF(BMF4&gt;0,BNJ4/BMF4,"")</f>
        <v/>
      </c>
      <c r="BNL3" s="18" t="str">
        <f>IF(BNK4&gt;0,BNL4/BNK4,"")</f>
        <v/>
      </c>
      <c r="BNM3" s="18" t="str">
        <f>IF(BNK4&gt;0,BNM4/BNK4,"")</f>
        <v/>
      </c>
      <c r="BNN3" s="18" t="str">
        <f>IF(BNK4&gt;0,BNN4/BNK4,"")</f>
        <v/>
      </c>
      <c r="BNO3" s="18" t="str">
        <f>IF(BNK4&gt;0,BNO4/BNK4,"")</f>
        <v/>
      </c>
      <c r="BNP3" s="18" t="str">
        <f>IF(BNK4&gt;0,BNP4/BNK4,"")</f>
        <v/>
      </c>
      <c r="BNQ3" s="18" t="str">
        <f>IF(BNK4&gt;0,BNQ4/BNK4,"")</f>
        <v/>
      </c>
      <c r="BNR3" s="18" t="str">
        <f>IF(BNK4&gt;0,BNR4/BNK4,"")</f>
        <v/>
      </c>
      <c r="BNS3" s="18" t="str">
        <f>IF(BNK4&gt;0,BNS4/BNK4,"")</f>
        <v/>
      </c>
      <c r="BNT3" s="18" t="str">
        <f>IF(BNK4&gt;0,BNT4/BNK4,"")</f>
        <v/>
      </c>
      <c r="BNU3" s="18" t="str">
        <f>IF(BNK4&gt;0,BNU4/BNK4,"")</f>
        <v/>
      </c>
      <c r="BNV3" s="18" t="str">
        <f>IF(BNK4&gt;0,BNV4/BNK4,"")</f>
        <v/>
      </c>
      <c r="BNW3" s="18" t="str">
        <f>IF(BNK4&gt;0,BNW4/BNK4,"")</f>
        <v/>
      </c>
      <c r="BNX3" s="18" t="str">
        <f>IF(BNK4&gt;0,BNX4/BNK4,"")</f>
        <v/>
      </c>
      <c r="BNY3" s="18" t="str">
        <f>IF(BNK4&gt;0,BNY4/BNK4,"")</f>
        <v/>
      </c>
      <c r="BNZ3" s="18" t="str">
        <f>IF(BNK4&gt;0,BNZ4/BNK4,"")</f>
        <v/>
      </c>
      <c r="BOA3" s="18" t="str">
        <f>IF(BNK4&gt;0,BOA4/BNK4,"")</f>
        <v/>
      </c>
      <c r="BOB3" s="18" t="str">
        <f>IF(BNK4&gt;0,BOB4/BNK4,"")</f>
        <v/>
      </c>
      <c r="BOC3" s="18" t="str">
        <f>IF(BNK4&gt;0,BOC4/BNK4,"")</f>
        <v/>
      </c>
      <c r="BOD3" s="18" t="str">
        <f>IF(BNK4&gt;0,BOD4/BNK4,"")</f>
        <v/>
      </c>
      <c r="BOE3" s="18" t="str">
        <f>IF(BNK4&gt;0,BOE4/BNK4,"")</f>
        <v/>
      </c>
      <c r="BOF3" s="18" t="str">
        <f>IF(BNK4&gt;0,BOF4/BNK4,"")</f>
        <v/>
      </c>
      <c r="BOG3" s="18" t="str">
        <f>IF(BNK4&gt;0,BOG4/BNK4,"")</f>
        <v/>
      </c>
      <c r="BOH3" s="18" t="str">
        <f>IF(BNK4&gt;0,BOH4/BNK4,"")</f>
        <v/>
      </c>
      <c r="BOI3" s="18" t="str">
        <f>IF(BNK4&gt;0,BOI4/BNK4,"")</f>
        <v/>
      </c>
      <c r="BOJ3" s="18" t="str">
        <f>IF(BNK4&gt;0,BOJ4/BNK4,"")</f>
        <v/>
      </c>
      <c r="BOK3" s="18" t="str">
        <f>IF(BNK4&gt;0,BOK4/BNK4,"")</f>
        <v/>
      </c>
      <c r="BOL3" s="18" t="str">
        <f>IF(BNK4&gt;0,BOL4/BNK4,"")</f>
        <v/>
      </c>
      <c r="BOM3" s="18" t="str">
        <f>IF(BNK4&gt;0,BOM4/BNK4,"")</f>
        <v/>
      </c>
      <c r="BON3" s="18" t="str">
        <f>IF(BNK4&gt;0,BON4/BNK4,"")</f>
        <v/>
      </c>
      <c r="BOO3" s="18" t="str">
        <f>IF(BNK4&gt;0,BOO4/BNK4,"")</f>
        <v/>
      </c>
      <c r="BOQ3" s="18" t="str">
        <f>IF(BOP4&gt;0,BOQ4/BOP4,"")</f>
        <v/>
      </c>
      <c r="BOR3" s="18" t="str">
        <f>IF(BOP4&gt;0,BOR4/BOP4,"")</f>
        <v/>
      </c>
      <c r="BOS3" s="18" t="str">
        <f>IF(BOP4&gt;0,BOS4/BOP4,"")</f>
        <v/>
      </c>
      <c r="BOT3" s="18" t="str">
        <f>IF(BOP4&gt;0,BOT4/BOP4,"")</f>
        <v/>
      </c>
      <c r="BOU3" s="18" t="str">
        <f>IF(BOP4&gt;0,BOU4/BOP4,"")</f>
        <v/>
      </c>
      <c r="BOV3" s="18" t="str">
        <f>IF(BOP4&gt;0,BOV4/BOP4,"")</f>
        <v/>
      </c>
      <c r="BOW3" s="18" t="str">
        <f>IF(BOP4&gt;0,BOW4/BOP4,"")</f>
        <v/>
      </c>
      <c r="BOX3" s="18" t="str">
        <f>IF(BOP4&gt;0,BOX4/BOP4,"")</f>
        <v/>
      </c>
      <c r="BOY3" s="18" t="str">
        <f>IF(BOP4&gt;0,BOY4/BOP4,"")</f>
        <v/>
      </c>
      <c r="BOZ3" s="18" t="str">
        <f>IF(BOP4&gt;0,BOZ4/BOP4,"")</f>
        <v/>
      </c>
      <c r="BPA3" s="18" t="str">
        <f>IF(BOP4&gt;0,BPA4/BOP4,"")</f>
        <v/>
      </c>
      <c r="BPB3" s="18" t="str">
        <f>IF(BOP4&gt;0,BPB4/BOP4,"")</f>
        <v/>
      </c>
      <c r="BPC3" s="18" t="str">
        <f>IF(BOP4&gt;0,BPC4/BOP4,"")</f>
        <v/>
      </c>
      <c r="BPD3" s="18" t="str">
        <f>IF(BOP4&gt;0,BPD4/BOP4,"")</f>
        <v/>
      </c>
      <c r="BPE3" s="18" t="str">
        <f>IF(BOP4&gt;0,BPE4/BOP4,"")</f>
        <v/>
      </c>
      <c r="BPF3" s="18" t="str">
        <f>IF(BOP4&gt;0,BPF4/BOP4,"")</f>
        <v/>
      </c>
      <c r="BPG3" s="18" t="str">
        <f>IF(BOP4&gt;0,BPG4/BOP4,"")</f>
        <v/>
      </c>
      <c r="BPH3" s="18" t="str">
        <f>IF(BOP4&gt;0,BPH4/BOP4,"")</f>
        <v/>
      </c>
      <c r="BPI3" s="18" t="str">
        <f>IF(BOP4&gt;0,BPI4/BOP4,"")</f>
        <v/>
      </c>
      <c r="BPJ3" s="18" t="str">
        <f>IF(BOP4&gt;0,BPJ4/BOP4,"")</f>
        <v/>
      </c>
      <c r="BPK3" s="18" t="str">
        <f>IF(BOP4&gt;0,BPK4/BOP4,"")</f>
        <v/>
      </c>
      <c r="BPL3" s="18" t="str">
        <f>IF(BOP4&gt;0,BPL4/BOP4,"")</f>
        <v/>
      </c>
      <c r="BPM3" s="18" t="str">
        <f>IF(BOP4&gt;0,BPM4/BOP4,"")</f>
        <v/>
      </c>
      <c r="BPN3" s="18" t="str">
        <f>IF(BOP4&gt;0,BPN4/BOP4,"")</f>
        <v/>
      </c>
      <c r="BPO3" s="18" t="str">
        <f>IF(BOP4&gt;0,BPO4/BOP4,"")</f>
        <v/>
      </c>
      <c r="BPP3" s="18" t="str">
        <f>IF(BOP4&gt;0,BPP4/BOP4,"")</f>
        <v/>
      </c>
      <c r="BPQ3" s="18" t="str">
        <f>IF(BOP4&gt;0,BPQ4/BOP4,"")</f>
        <v/>
      </c>
      <c r="BPR3" s="18" t="str">
        <f>IF(BOP4&gt;0,BPR4/BOP4,"")</f>
        <v/>
      </c>
      <c r="BPS3" s="18" t="str">
        <f>IF(BOP4&gt;0,BPS4/BOP4,"")</f>
        <v/>
      </c>
      <c r="BPT3" s="18" t="str">
        <f>IF(BOP4&gt;0,BPT4/BOP4,"")</f>
        <v/>
      </c>
      <c r="BPV3" s="18" t="str">
        <f>IF(BPU4&gt;0,BPV4/BPU4,"")</f>
        <v/>
      </c>
      <c r="BPW3" s="18" t="str">
        <f>IF(BPU4&gt;0,BPW4/BPU4,"")</f>
        <v/>
      </c>
      <c r="BPX3" s="18" t="str">
        <f>IF(BPU4&gt;0,BPX4/BPU4,"")</f>
        <v/>
      </c>
      <c r="BPY3" s="18" t="str">
        <f>IF(BPU4&gt;0,BPY4/BPU4,"")</f>
        <v/>
      </c>
      <c r="BPZ3" s="18" t="str">
        <f>IF(BPU4&gt;0,BPZ4/BPU4,"")</f>
        <v/>
      </c>
      <c r="BQA3" s="18" t="str">
        <f>IF(BPU4&gt;0,BQA4/BPU4,"")</f>
        <v/>
      </c>
      <c r="BQB3" s="18" t="str">
        <f>IF(BPU4&gt;0,BQB4/BPU4,"")</f>
        <v/>
      </c>
      <c r="BQC3" s="18" t="str">
        <f>IF(BPU4&gt;0,BQC4/BPU4,"")</f>
        <v/>
      </c>
      <c r="BQD3" s="18" t="str">
        <f>IF(BPU4&gt;0,BQD4/BPU4,"")</f>
        <v/>
      </c>
      <c r="BQE3" s="18" t="str">
        <f>IF(BPU4&gt;0,BQE4/BPU4,"")</f>
        <v/>
      </c>
      <c r="BQF3" s="18" t="str">
        <f>IF(BPU4&gt;0,BQF4/BPU4,"")</f>
        <v/>
      </c>
      <c r="BQG3" s="18" t="str">
        <f>IF(BPU4&gt;0,BQG4/BPU4,"")</f>
        <v/>
      </c>
      <c r="BQH3" s="18" t="str">
        <f>IF(BPU4&gt;0,BQH4/BPU4,"")</f>
        <v/>
      </c>
      <c r="BQI3" s="18" t="str">
        <f>IF(BPU4&gt;0,BQI4/BPU4,"")</f>
        <v/>
      </c>
      <c r="BQJ3" s="18" t="str">
        <f>IF(BPU4&gt;0,BQJ4/BPU4,"")</f>
        <v/>
      </c>
      <c r="BQK3" s="18" t="str">
        <f>IF(BPU4&gt;0,BQK4/BPU4,"")</f>
        <v/>
      </c>
      <c r="BQL3" s="18" t="str">
        <f>IF(BPU4&gt;0,BQL4/BPU4,"")</f>
        <v/>
      </c>
      <c r="BQM3" s="18" t="str">
        <f>IF(BPU4&gt;0,BQM4/BPU4,"")</f>
        <v/>
      </c>
      <c r="BQN3" s="18" t="str">
        <f>IF(BPU4&gt;0,BQN4/BPU4,"")</f>
        <v/>
      </c>
      <c r="BQO3" s="18" t="str">
        <f>IF(BPU4&gt;0,BQO4/BPU4,"")</f>
        <v/>
      </c>
      <c r="BQP3" s="18" t="str">
        <f>IF(BPU4&gt;0,BQP4/BPU4,"")</f>
        <v/>
      </c>
      <c r="BQQ3" s="18" t="str">
        <f>IF(BPU4&gt;0,BQQ4/BPU4,"")</f>
        <v/>
      </c>
      <c r="BQR3" s="18" t="str">
        <f>IF(BPU4&gt;0,BQR4/BPU4,"")</f>
        <v/>
      </c>
      <c r="BQS3" s="18" t="str">
        <f>IF(BPU4&gt;0,BQS4/BPU4,"")</f>
        <v/>
      </c>
      <c r="BQT3" s="18" t="str">
        <f>IF(BPU4&gt;0,BQT4/BPU4,"")</f>
        <v/>
      </c>
      <c r="BQU3" s="18" t="str">
        <f>IF(BPU4&gt;0,BQU4/BPU4,"")</f>
        <v/>
      </c>
      <c r="BQV3" s="18" t="str">
        <f>IF(BPU4&gt;0,BQV4/BPU4,"")</f>
        <v/>
      </c>
      <c r="BQW3" s="18" t="str">
        <f>IF(BPU4&gt;0,BQW4/BPU4,"")</f>
        <v/>
      </c>
      <c r="BQX3" s="18" t="str">
        <f>IF(BPU4&gt;0,BQX4/BPU4,"")</f>
        <v/>
      </c>
      <c r="BQY3" s="18" t="str">
        <f>IF(BPU4&gt;0,BQY4/BPU4,"")</f>
        <v/>
      </c>
      <c r="BRA3" s="18" t="str">
        <f>IF(BQZ4&gt;0,BRA4/BQZ4,"")</f>
        <v/>
      </c>
      <c r="BRB3" s="18" t="str">
        <f>IF(BQZ4&gt;0,BRB4/BQZ4,"")</f>
        <v/>
      </c>
      <c r="BRC3" s="18" t="str">
        <f>IF(BQZ4&gt;0,BRC4/BQZ4,"")</f>
        <v/>
      </c>
      <c r="BRD3" s="18" t="str">
        <f>IF(BQZ4&gt;0,BRD4/BQZ4,"")</f>
        <v/>
      </c>
      <c r="BRE3" s="18" t="str">
        <f>IF(BQZ4&gt;0,BRE4/BQZ4,"")</f>
        <v/>
      </c>
      <c r="BRF3" s="18" t="str">
        <f>IF(BQZ4&gt;0,BRF4/BQZ4,"")</f>
        <v/>
      </c>
      <c r="BRG3" s="18" t="str">
        <f>IF(BQZ4&gt;0,BRG4/BQZ4,"")</f>
        <v/>
      </c>
      <c r="BRH3" s="18" t="str">
        <f>IF(BQZ4&gt;0,BRH4/BQZ4,"")</f>
        <v/>
      </c>
      <c r="BRI3" s="18" t="str">
        <f>IF(BQZ4&gt;0,BRI4/BQZ4,"")</f>
        <v/>
      </c>
      <c r="BRJ3" s="18" t="str">
        <f>IF(BQZ4&gt;0,BRJ4/BQZ4,"")</f>
        <v/>
      </c>
      <c r="BRK3" s="18" t="str">
        <f>IF(BQZ4&gt;0,BRK4/BQZ4,"")</f>
        <v/>
      </c>
      <c r="BRL3" s="18" t="str">
        <f>IF(BQZ4&gt;0,BRL4/BQZ4,"")</f>
        <v/>
      </c>
      <c r="BRM3" s="18" t="str">
        <f>IF(BQZ4&gt;0,BRM4/BQZ4,"")</f>
        <v/>
      </c>
      <c r="BRN3" s="18" t="str">
        <f>IF(BQZ4&gt;0,BRN4/BQZ4,"")</f>
        <v/>
      </c>
      <c r="BRO3" s="18" t="str">
        <f>IF(BQZ4&gt;0,BRO4/BQZ4,"")</f>
        <v/>
      </c>
      <c r="BRP3" s="18" t="str">
        <f>IF(BQZ4&gt;0,BRP4/BQZ4,"")</f>
        <v/>
      </c>
      <c r="BRQ3" s="18" t="str">
        <f>IF(BQZ4&gt;0,BRQ4/BQZ4,"")</f>
        <v/>
      </c>
      <c r="BRR3" s="18" t="str">
        <f>IF(BQZ4&gt;0,BRR4/BQZ4,"")</f>
        <v/>
      </c>
      <c r="BRS3" s="18" t="str">
        <f>IF(BQZ4&gt;0,BRS4/BQZ4,"")</f>
        <v/>
      </c>
      <c r="BRT3" s="18" t="str">
        <f>IF(BQZ4&gt;0,BRT4/BQZ4,"")</f>
        <v/>
      </c>
      <c r="BRU3" s="18" t="str">
        <f>IF(BQZ4&gt;0,BRU4/BQZ4,"")</f>
        <v/>
      </c>
      <c r="BRV3" s="18" t="str">
        <f>IF(BQZ4&gt;0,BRV4/BQZ4,"")</f>
        <v/>
      </c>
      <c r="BRW3" s="18" t="str">
        <f>IF(BQZ4&gt;0,BRW4/BQZ4,"")</f>
        <v/>
      </c>
      <c r="BRX3" s="18" t="str">
        <f>IF(BQZ4&gt;0,BRX4/BQZ4,"")</f>
        <v/>
      </c>
      <c r="BRY3" s="18" t="str">
        <f>IF(BQZ4&gt;0,BRY4/BQZ4,"")</f>
        <v/>
      </c>
      <c r="BRZ3" s="18" t="str">
        <f>IF(BQZ4&gt;0,BRZ4/BQZ4,"")</f>
        <v/>
      </c>
      <c r="BSA3" s="18" t="str">
        <f>IF(BQZ4&gt;0,BSA4/BQZ4,"")</f>
        <v/>
      </c>
      <c r="BSB3" s="18" t="str">
        <f>IF(BQZ4&gt;0,BSB4/BQZ4,"")</f>
        <v/>
      </c>
      <c r="BSC3" s="18" t="str">
        <f>IF(BQZ4&gt;0,BSC4/BQZ4,"")</f>
        <v/>
      </c>
      <c r="BSD3" s="18" t="str">
        <f>IF(BQZ4&gt;0,BSD4/BQZ4,"")</f>
        <v/>
      </c>
      <c r="BSF3" s="18" t="str">
        <f>IF(BSE4&gt;0,BSF4/BSE4,"")</f>
        <v/>
      </c>
      <c r="BSG3" s="18" t="str">
        <f>IF(BSE4&gt;0,BSG4/BSE4,"")</f>
        <v/>
      </c>
      <c r="BSH3" s="18" t="str">
        <f>IF(BSE4&gt;0,BSH4/BSE4,"")</f>
        <v/>
      </c>
      <c r="BSI3" s="18" t="str">
        <f>IF(BSE4&gt;0,BSI4/BSE4,"")</f>
        <v/>
      </c>
      <c r="BSJ3" s="18" t="str">
        <f>IF(BSE4&gt;0,BSJ4/BSE4,"")</f>
        <v/>
      </c>
      <c r="BSK3" s="18" t="str">
        <f>IF(BSE4&gt;0,BSK4/BSE4,"")</f>
        <v/>
      </c>
      <c r="BSL3" s="18" t="str">
        <f>IF(BSE4&gt;0,BSL4/BSE4,"")</f>
        <v/>
      </c>
      <c r="BSM3" s="18" t="str">
        <f>IF(BSE4&gt;0,BSM4/BSE4,"")</f>
        <v/>
      </c>
      <c r="BSN3" s="18" t="str">
        <f>IF(BSE4&gt;0,BSN4/BSE4,"")</f>
        <v/>
      </c>
      <c r="BSO3" s="18" t="str">
        <f>IF(BSE4&gt;0,BSO4/BSE4,"")</f>
        <v/>
      </c>
      <c r="BSP3" s="18" t="str">
        <f>IF(BSE4&gt;0,BSP4/BSE4,"")</f>
        <v/>
      </c>
      <c r="BSQ3" s="18" t="str">
        <f>IF(BSE4&gt;0,BSQ4/BSE4,"")</f>
        <v/>
      </c>
      <c r="BSR3" s="18" t="str">
        <f>IF(BSE4&gt;0,BSR4/BSE4,"")</f>
        <v/>
      </c>
      <c r="BSS3" s="18" t="str">
        <f>IF(BSE4&gt;0,BSS4/BSE4,"")</f>
        <v/>
      </c>
      <c r="BST3" s="18" t="str">
        <f>IF(BSE4&gt;0,BST4/BSE4,"")</f>
        <v/>
      </c>
      <c r="BSU3" s="18" t="str">
        <f>IF(BSE4&gt;0,BSU4/BSE4,"")</f>
        <v/>
      </c>
      <c r="BSV3" s="18" t="str">
        <f>IF(BSE4&gt;0,BSV4/BSE4,"")</f>
        <v/>
      </c>
      <c r="BSW3" s="18" t="str">
        <f>IF(BSE4&gt;0,BSW4/BSE4,"")</f>
        <v/>
      </c>
      <c r="BSX3" s="18" t="str">
        <f>IF(BSE4&gt;0,BSX4/BSE4,"")</f>
        <v/>
      </c>
      <c r="BSY3" s="18" t="str">
        <f>IF(BSE4&gt;0,BSY4/BSE4,"")</f>
        <v/>
      </c>
      <c r="BSZ3" s="18" t="str">
        <f>IF(BSE4&gt;0,BSZ4/BSE4,"")</f>
        <v/>
      </c>
      <c r="BTA3" s="18" t="str">
        <f>IF(BSE4&gt;0,BTA4/BSE4,"")</f>
        <v/>
      </c>
      <c r="BTB3" s="18" t="str">
        <f>IF(BSE4&gt;0,BTB4/BSE4,"")</f>
        <v/>
      </c>
      <c r="BTC3" s="18" t="str">
        <f>IF(BSE4&gt;0,BTC4/BSE4,"")</f>
        <v/>
      </c>
      <c r="BTD3" s="18" t="str">
        <f>IF(BSE4&gt;0,BTD4/BSE4,"")</f>
        <v/>
      </c>
      <c r="BTE3" s="18" t="str">
        <f>IF(BSE4&gt;0,BTE4/BSE4,"")</f>
        <v/>
      </c>
      <c r="BTF3" s="18" t="str">
        <f>IF(BSE4&gt;0,BTF4/BSE4,"")</f>
        <v/>
      </c>
      <c r="BTG3" s="18" t="str">
        <f>IF(BSE4&gt;0,BTG4/BSE4,"")</f>
        <v/>
      </c>
      <c r="BTH3" s="18" t="str">
        <f>IF(BSE4&gt;0,BTH4/BSE4,"")</f>
        <v/>
      </c>
      <c r="BTI3" s="18" t="str">
        <f>IF(BSE4&gt;0,BTI4/BSE4,"")</f>
        <v/>
      </c>
      <c r="BTK3" s="18" t="str">
        <f>IF(BTJ4&gt;0,BTK4/BTJ4,"")</f>
        <v/>
      </c>
      <c r="BTL3" s="18" t="str">
        <f>IF(BTJ4&gt;0,BTL4/BTJ4,"")</f>
        <v/>
      </c>
      <c r="BTM3" s="18" t="str">
        <f>IF(BTJ4&gt;0,BTM4/BTJ4,"")</f>
        <v/>
      </c>
      <c r="BTN3" s="18" t="str">
        <f>IF(BTJ4&gt;0,BTN4/BTJ4,"")</f>
        <v/>
      </c>
      <c r="BTO3" s="18" t="str">
        <f>IF(BTJ4&gt;0,BTO4/BTJ4,"")</f>
        <v/>
      </c>
      <c r="BTP3" s="18" t="str">
        <f>IF(BTJ4&gt;0,BTP4/BTJ4,"")</f>
        <v/>
      </c>
      <c r="BTQ3" s="18" t="str">
        <f>IF(BTJ4&gt;0,BTQ4/BTJ4,"")</f>
        <v/>
      </c>
      <c r="BTR3" s="18" t="str">
        <f>IF(BTJ4&gt;0,BTR4/BTJ4,"")</f>
        <v/>
      </c>
      <c r="BTS3" s="18" t="str">
        <f>IF(BTJ4&gt;0,BTS4/BTJ4,"")</f>
        <v/>
      </c>
      <c r="BTT3" s="18" t="str">
        <f>IF(BTJ4&gt;0,BTT4/BTJ4,"")</f>
        <v/>
      </c>
      <c r="BTU3" s="18" t="str">
        <f>IF(BTJ4&gt;0,BTU4/BTJ4,"")</f>
        <v/>
      </c>
      <c r="BTV3" s="18" t="str">
        <f>IF(BTJ4&gt;0,BTV4/BTJ4,"")</f>
        <v/>
      </c>
      <c r="BTW3" s="18" t="str">
        <f>IF(BTJ4&gt;0,BTW4/BTJ4,"")</f>
        <v/>
      </c>
      <c r="BTX3" s="18" t="str">
        <f>IF(BTJ4&gt;0,BTX4/BTJ4,"")</f>
        <v/>
      </c>
      <c r="BTY3" s="18" t="str">
        <f>IF(BTJ4&gt;0,BTY4/BTJ4,"")</f>
        <v/>
      </c>
      <c r="BTZ3" s="18" t="str">
        <f>IF(BTJ4&gt;0,BTZ4/BTJ4,"")</f>
        <v/>
      </c>
      <c r="BUA3" s="18" t="str">
        <f>IF(BTJ4&gt;0,BUA4/BTJ4,"")</f>
        <v/>
      </c>
      <c r="BUB3" s="18" t="str">
        <f>IF(BTJ4&gt;0,BUB4/BTJ4,"")</f>
        <v/>
      </c>
      <c r="BUC3" s="18" t="str">
        <f>IF(BTJ4&gt;0,BUC4/BTJ4,"")</f>
        <v/>
      </c>
      <c r="BUD3" s="18" t="str">
        <f>IF(BTJ4&gt;0,BUD4/BTJ4,"")</f>
        <v/>
      </c>
      <c r="BUE3" s="18" t="str">
        <f>IF(BTJ4&gt;0,BUE4/BTJ4,"")</f>
        <v/>
      </c>
      <c r="BUF3" s="18" t="str">
        <f>IF(BTJ4&gt;0,BUF4/BTJ4,"")</f>
        <v/>
      </c>
      <c r="BUG3" s="18" t="str">
        <f>IF(BTJ4&gt;0,BUG4/BTJ4,"")</f>
        <v/>
      </c>
      <c r="BUH3" s="18" t="str">
        <f>IF(BTJ4&gt;0,BUH4/BTJ4,"")</f>
        <v/>
      </c>
      <c r="BUI3" s="18" t="str">
        <f>IF(BTJ4&gt;0,BUI4/BTJ4,"")</f>
        <v/>
      </c>
      <c r="BUJ3" s="18" t="str">
        <f>IF(BTJ4&gt;0,BUJ4/BTJ4,"")</f>
        <v/>
      </c>
      <c r="BUK3" s="18" t="str">
        <f>IF(BTJ4&gt;0,BUK4/BTJ4,"")</f>
        <v/>
      </c>
      <c r="BUL3" s="18" t="str">
        <f>IF(BTJ4&gt;0,BUL4/BTJ4,"")</f>
        <v/>
      </c>
      <c r="BUM3" s="18" t="str">
        <f>IF(BTJ4&gt;0,BUM4/BTJ4,"")</f>
        <v/>
      </c>
      <c r="BUN3" s="18" t="str">
        <f>IF(BTJ4&gt;0,BUN4/BTJ4,"")</f>
        <v/>
      </c>
      <c r="BUP3" s="18" t="str">
        <f>IF(BUO4&gt;0,BUP4/BUO4,"")</f>
        <v/>
      </c>
      <c r="BUQ3" s="18" t="str">
        <f>IF(BUO4&gt;0,BUQ4/BUO4,"")</f>
        <v/>
      </c>
      <c r="BUR3" s="18" t="str">
        <f>IF(BUO4&gt;0,BUR4/BUO4,"")</f>
        <v/>
      </c>
      <c r="BUS3" s="18" t="str">
        <f>IF(BUO4&gt;0,BUS4/BUO4,"")</f>
        <v/>
      </c>
      <c r="BUT3" s="18" t="str">
        <f>IF(BUO4&gt;0,BUT4/BUO4,"")</f>
        <v/>
      </c>
      <c r="BUU3" s="18" t="str">
        <f>IF(BUO4&gt;0,BUU4/BUO4,"")</f>
        <v/>
      </c>
      <c r="BUV3" s="18" t="str">
        <f>IF(BUO4&gt;0,BUV4/BUO4,"")</f>
        <v/>
      </c>
      <c r="BUW3" s="18" t="str">
        <f>IF(BUO4&gt;0,BUW4/BUO4,"")</f>
        <v/>
      </c>
      <c r="BUX3" s="18" t="str">
        <f>IF(BUO4&gt;0,BUX4/BUO4,"")</f>
        <v/>
      </c>
      <c r="BUY3" s="18" t="str">
        <f>IF(BUO4&gt;0,BUY4/BUO4,"")</f>
        <v/>
      </c>
      <c r="BUZ3" s="18" t="str">
        <f>IF(BUO4&gt;0,BUZ4/BUO4,"")</f>
        <v/>
      </c>
      <c r="BVA3" s="18" t="str">
        <f>IF(BUO4&gt;0,BVA4/BUO4,"")</f>
        <v/>
      </c>
      <c r="BVB3" s="18" t="str">
        <f>IF(BUO4&gt;0,BVB4/BUO4,"")</f>
        <v/>
      </c>
      <c r="BVC3" s="18" t="str">
        <f>IF(BUO4&gt;0,BVC4/BUO4,"")</f>
        <v/>
      </c>
      <c r="BVD3" s="18" t="str">
        <f>IF(BUO4&gt;0,BVD4/BUO4,"")</f>
        <v/>
      </c>
      <c r="BVE3" s="18" t="str">
        <f>IF(BUO4&gt;0,BVE4/BUO4,"")</f>
        <v/>
      </c>
      <c r="BVF3" s="18" t="str">
        <f>IF(BUO4&gt;0,BVF4/BUO4,"")</f>
        <v/>
      </c>
      <c r="BVG3" s="18" t="str">
        <f>IF(BUO4&gt;0,BVG4/BUO4,"")</f>
        <v/>
      </c>
      <c r="BVH3" s="18" t="str">
        <f>IF(BUO4&gt;0,BVH4/BUO4,"")</f>
        <v/>
      </c>
      <c r="BVI3" s="18" t="str">
        <f>IF(BUO4&gt;0,BVI4/BUO4,"")</f>
        <v/>
      </c>
      <c r="BVJ3" s="18" t="str">
        <f>IF(BUO4&gt;0,BVJ4/BUO4,"")</f>
        <v/>
      </c>
      <c r="BVK3" s="18" t="str">
        <f>IF(BUO4&gt;0,BVK4/BUO4,"")</f>
        <v/>
      </c>
      <c r="BVL3" s="18" t="str">
        <f>IF(BUO4&gt;0,BVL4/BUO4,"")</f>
        <v/>
      </c>
      <c r="BVM3" s="18" t="str">
        <f>IF(BUO4&gt;0,BVM4/BUO4,"")</f>
        <v/>
      </c>
      <c r="BVN3" s="18" t="str">
        <f>IF(BUO4&gt;0,BVN4/BUO4,"")</f>
        <v/>
      </c>
      <c r="BVO3" s="18" t="str">
        <f>IF(BUO4&gt;0,BVO4/BUO4,"")</f>
        <v/>
      </c>
      <c r="BVP3" s="18" t="str">
        <f>IF(BUO4&gt;0,BVP4/BUO4,"")</f>
        <v/>
      </c>
      <c r="BVQ3" s="18" t="str">
        <f>IF(BUO4&gt;0,BVQ4/BUO4,"")</f>
        <v/>
      </c>
      <c r="BVR3" s="18" t="str">
        <f>IF(BUO4&gt;0,BVR4/BUO4,"")</f>
        <v/>
      </c>
      <c r="BVS3" s="18" t="str">
        <f>IF(BUO4&gt;0,BVS4/BUO4,"")</f>
        <v/>
      </c>
      <c r="BVU3" s="18" t="str">
        <f>IF(BVT4&gt;0,BVU4/BVT4,"")</f>
        <v/>
      </c>
      <c r="BVV3" s="18" t="str">
        <f>IF(BVT4&gt;0,BVV4/BVT4,"")</f>
        <v/>
      </c>
      <c r="BVW3" s="18" t="str">
        <f>IF(BVT4&gt;0,BVW4/BVT4,"")</f>
        <v/>
      </c>
      <c r="BVX3" s="18" t="str">
        <f>IF(BVT4&gt;0,BVX4/BVT4,"")</f>
        <v/>
      </c>
      <c r="BVY3" s="18" t="str">
        <f>IF(BVT4&gt;0,BVY4/BVT4,"")</f>
        <v/>
      </c>
      <c r="BVZ3" s="18" t="str">
        <f>IF(BVT4&gt;0,BVZ4/BVT4,"")</f>
        <v/>
      </c>
      <c r="BWA3" s="18" t="str">
        <f>IF(BVT4&gt;0,BWA4/BVT4,"")</f>
        <v/>
      </c>
      <c r="BWB3" s="18" t="str">
        <f>IF(BVT4&gt;0,BWB4/BVT4,"")</f>
        <v/>
      </c>
      <c r="BWC3" s="18" t="str">
        <f>IF(BVT4&gt;0,BWC4/BVT4,"")</f>
        <v/>
      </c>
      <c r="BWD3" s="18" t="str">
        <f>IF(BVT4&gt;0,BWD4/BVT4,"")</f>
        <v/>
      </c>
      <c r="BWE3" s="18" t="str">
        <f>IF(BVT4&gt;0,BWE4/BVT4,"")</f>
        <v/>
      </c>
      <c r="BWF3" s="18" t="str">
        <f>IF(BVT4&gt;0,BWF4/BVT4,"")</f>
        <v/>
      </c>
      <c r="BWG3" s="18" t="str">
        <f>IF(BVT4&gt;0,BWG4/BVT4,"")</f>
        <v/>
      </c>
      <c r="BWH3" s="18" t="str">
        <f>IF(BVT4&gt;0,BWH4/BVT4,"")</f>
        <v/>
      </c>
      <c r="BWI3" s="18" t="str">
        <f>IF(BVT4&gt;0,BWI4/BVT4,"")</f>
        <v/>
      </c>
      <c r="BWJ3" s="18" t="str">
        <f>IF(BVT4&gt;0,BWJ4/BVT4,"")</f>
        <v/>
      </c>
      <c r="BWK3" s="18" t="str">
        <f>IF(BVT4&gt;0,BWK4/BVT4,"")</f>
        <v/>
      </c>
      <c r="BWL3" s="18" t="str">
        <f>IF(BVT4&gt;0,BWL4/BVT4,"")</f>
        <v/>
      </c>
      <c r="BWM3" s="18" t="str">
        <f>IF(BVT4&gt;0,BWM4/BVT4,"")</f>
        <v/>
      </c>
      <c r="BWN3" s="18" t="str">
        <f>IF(BVT4&gt;0,BWN4/BVT4,"")</f>
        <v/>
      </c>
      <c r="BWO3" s="18" t="str">
        <f>IF(BVT4&gt;0,BWO4/BVT4,"")</f>
        <v/>
      </c>
      <c r="BWP3" s="18" t="str">
        <f>IF(BVT4&gt;0,BWP4/BVT4,"")</f>
        <v/>
      </c>
      <c r="BWQ3" s="18" t="str">
        <f>IF(BVT4&gt;0,BWQ4/BVT4,"")</f>
        <v/>
      </c>
      <c r="BWR3" s="18" t="str">
        <f>IF(BVT4&gt;0,BWR4/BVT4,"")</f>
        <v/>
      </c>
      <c r="BWS3" s="18" t="str">
        <f>IF(BVT4&gt;0,BWS4/BVT4,"")</f>
        <v/>
      </c>
      <c r="BWT3" s="18" t="str">
        <f>IF(BVT4&gt;0,BWT4/BVT4,"")</f>
        <v/>
      </c>
      <c r="BWU3" s="18" t="str">
        <f>IF(BVT4&gt;0,BWU4/BVT4,"")</f>
        <v/>
      </c>
      <c r="BWV3" s="18" t="str">
        <f>IF(BVT4&gt;0,BWV4/BVT4,"")</f>
        <v/>
      </c>
      <c r="BWW3" s="18" t="str">
        <f>IF(BVT4&gt;0,BWW4/BVT4,"")</f>
        <v/>
      </c>
      <c r="BWX3" s="18" t="str">
        <f>IF(BVT4&gt;0,BWX4/BVT4,"")</f>
        <v/>
      </c>
      <c r="BWZ3" s="18" t="str">
        <f>IF(BWY4&gt;0,BWZ4/BWY4,"")</f>
        <v/>
      </c>
      <c r="BXA3" s="18" t="str">
        <f>IF(BWY4&gt;0,BXA4/BWY4,"")</f>
        <v/>
      </c>
      <c r="BXB3" s="18" t="str">
        <f>IF(BWY4&gt;0,BXB4/BWY4,"")</f>
        <v/>
      </c>
      <c r="BXC3" s="18" t="str">
        <f>IF(BWY4&gt;0,BXC4/BWY4,"")</f>
        <v/>
      </c>
      <c r="BXD3" s="18" t="str">
        <f>IF(BWY4&gt;0,BXD4/BWY4,"")</f>
        <v/>
      </c>
      <c r="BXE3" s="18" t="str">
        <f>IF(BWY4&gt;0,BXE4/BWY4,"")</f>
        <v/>
      </c>
      <c r="BXF3" s="18" t="str">
        <f>IF(BWY4&gt;0,BXF4/BWY4,"")</f>
        <v/>
      </c>
      <c r="BXG3" s="18" t="str">
        <f>IF(BWY4&gt;0,BXG4/BWY4,"")</f>
        <v/>
      </c>
      <c r="BXH3" s="18" t="str">
        <f>IF(BWY4&gt;0,BXH4/BWY4,"")</f>
        <v/>
      </c>
      <c r="BXI3" s="18" t="str">
        <f>IF(BWY4&gt;0,BXI4/BWY4,"")</f>
        <v/>
      </c>
      <c r="BXJ3" s="18" t="str">
        <f>IF(BWY4&gt;0,BXJ4/BWY4,"")</f>
        <v/>
      </c>
      <c r="BXK3" s="18" t="str">
        <f>IF(BWY4&gt;0,BXK4/BWY4,"")</f>
        <v/>
      </c>
      <c r="BXL3" s="18" t="str">
        <f>IF(BWY4&gt;0,BXL4/BWY4,"")</f>
        <v/>
      </c>
      <c r="BXM3" s="18" t="str">
        <f>IF(BWY4&gt;0,BXM4/BWY4,"")</f>
        <v/>
      </c>
      <c r="BXN3" s="18" t="str">
        <f>IF(BWY4&gt;0,BXN4/BWY4,"")</f>
        <v/>
      </c>
      <c r="BXO3" s="18" t="str">
        <f>IF(BWY4&gt;0,BXO4/BWY4,"")</f>
        <v/>
      </c>
      <c r="BXP3" s="18" t="str">
        <f>IF(BWY4&gt;0,BXP4/BWY4,"")</f>
        <v/>
      </c>
      <c r="BXQ3" s="18" t="str">
        <f>IF(BWY4&gt;0,BXQ4/BWY4,"")</f>
        <v/>
      </c>
      <c r="BXR3" s="18" t="str">
        <f>IF(BWY4&gt;0,BXR4/BWY4,"")</f>
        <v/>
      </c>
      <c r="BXS3" s="18" t="str">
        <f>IF(BWY4&gt;0,BXS4/BWY4,"")</f>
        <v/>
      </c>
      <c r="BXT3" s="18" t="str">
        <f>IF(BWY4&gt;0,BXT4/BWY4,"")</f>
        <v/>
      </c>
      <c r="BXU3" s="18" t="str">
        <f>IF(BWY4&gt;0,BXU4/BWY4,"")</f>
        <v/>
      </c>
      <c r="BXV3" s="18" t="str">
        <f>IF(BWY4&gt;0,BXV4/BWY4,"")</f>
        <v/>
      </c>
      <c r="BXW3" s="18" t="str">
        <f>IF(BWY4&gt;0,BXW4/BWY4,"")</f>
        <v/>
      </c>
      <c r="BXX3" s="18" t="str">
        <f>IF(BWY4&gt;0,BXX4/BWY4,"")</f>
        <v/>
      </c>
      <c r="BXY3" s="18" t="str">
        <f>IF(BWY4&gt;0,BXY4/BWY4,"")</f>
        <v/>
      </c>
      <c r="BXZ3" s="18" t="str">
        <f>IF(BWY4&gt;0,BXZ4/BWY4,"")</f>
        <v/>
      </c>
      <c r="BYA3" s="18" t="str">
        <f>IF(BWY4&gt;0,BYA4/BWY4,"")</f>
        <v/>
      </c>
      <c r="BYB3" s="18" t="str">
        <f>IF(BWY4&gt;0,BYB4/BWY4,"")</f>
        <v/>
      </c>
      <c r="BYC3" s="18" t="str">
        <f>IF(BWY4&gt;0,BYC4/BWY4,"")</f>
        <v/>
      </c>
      <c r="BYE3" s="18" t="str">
        <f>IF(BYD4&gt;0,BYE4/BYD4,"")</f>
        <v/>
      </c>
      <c r="BYF3" s="18" t="str">
        <f>IF(BYD4&gt;0,BYF4/BYD4,"")</f>
        <v/>
      </c>
      <c r="BYG3" s="18" t="str">
        <f>IF(BYD4&gt;0,BYG4/BYD4,"")</f>
        <v/>
      </c>
      <c r="BYH3" s="18" t="str">
        <f>IF(BYD4&gt;0,BYH4/BYD4,"")</f>
        <v/>
      </c>
      <c r="BYI3" s="18" t="str">
        <f>IF(BYD4&gt;0,BYI4/BYD4,"")</f>
        <v/>
      </c>
      <c r="BYJ3" s="18" t="str">
        <f>IF(BYD4&gt;0,BYJ4/BYD4,"")</f>
        <v/>
      </c>
      <c r="BYK3" s="18" t="str">
        <f>IF(BYD4&gt;0,BYK4/BYD4,"")</f>
        <v/>
      </c>
      <c r="BYL3" s="18" t="str">
        <f>IF(BYD4&gt;0,BYL4/BYD4,"")</f>
        <v/>
      </c>
      <c r="BYM3" s="18" t="str">
        <f>IF(BYD4&gt;0,BYM4/BYD4,"")</f>
        <v/>
      </c>
      <c r="BYN3" s="18" t="str">
        <f>IF(BYD4&gt;0,BYN4/BYD4,"")</f>
        <v/>
      </c>
      <c r="BYO3" s="18" t="str">
        <f>IF(BYD4&gt;0,BYO4/BYD4,"")</f>
        <v/>
      </c>
      <c r="BYP3" s="18" t="str">
        <f>IF(BYD4&gt;0,BYP4/BYD4,"")</f>
        <v/>
      </c>
      <c r="BYQ3" s="18" t="str">
        <f>IF(BYD4&gt;0,BYQ4/BYD4,"")</f>
        <v/>
      </c>
      <c r="BYR3" s="18" t="str">
        <f>IF(BYD4&gt;0,BYR4/BYD4,"")</f>
        <v/>
      </c>
      <c r="BYS3" s="18" t="str">
        <f>IF(BYD4&gt;0,BYS4/BYD4,"")</f>
        <v/>
      </c>
      <c r="BYT3" s="18" t="str">
        <f>IF(BYD4&gt;0,BYT4/BYD4,"")</f>
        <v/>
      </c>
      <c r="BYU3" s="18" t="str">
        <f>IF(BYD4&gt;0,BYU4/BYD4,"")</f>
        <v/>
      </c>
      <c r="BYV3" s="18" t="str">
        <f>IF(BYD4&gt;0,BYV4/BYD4,"")</f>
        <v/>
      </c>
      <c r="BYW3" s="18" t="str">
        <f>IF(BYD4&gt;0,BYW4/BYD4,"")</f>
        <v/>
      </c>
      <c r="BYX3" s="18" t="str">
        <f>IF(BYD4&gt;0,BYX4/BYD4,"")</f>
        <v/>
      </c>
      <c r="BYY3" s="18" t="str">
        <f>IF(BYD4&gt;0,BYY4/BYD4,"")</f>
        <v/>
      </c>
      <c r="BYZ3" s="18" t="str">
        <f>IF(BYD4&gt;0,BYZ4/BYD4,"")</f>
        <v/>
      </c>
      <c r="BZA3" s="18" t="str">
        <f>IF(BYD4&gt;0,BZA4/BYD4,"")</f>
        <v/>
      </c>
      <c r="BZB3" s="18" t="str">
        <f>IF(BYD4&gt;0,BZB4/BYD4,"")</f>
        <v/>
      </c>
      <c r="BZC3" s="18" t="str">
        <f>IF(BYD4&gt;0,BZC4/BYD4,"")</f>
        <v/>
      </c>
      <c r="BZD3" s="18" t="str">
        <f>IF(BYD4&gt;0,BZD4/BYD4,"")</f>
        <v/>
      </c>
      <c r="BZE3" s="18" t="str">
        <f>IF(BYD4&gt;0,BZE4/BYD4,"")</f>
        <v/>
      </c>
      <c r="BZF3" s="18" t="str">
        <f>IF(BYD4&gt;0,BZF4/BYD4,"")</f>
        <v/>
      </c>
      <c r="BZG3" s="18" t="str">
        <f>IF(BYD4&gt;0,BZG4/BYD4,"")</f>
        <v/>
      </c>
      <c r="BZH3" s="18" t="str">
        <f>IF(BYD4&gt;0,BZH4/BYD4,"")</f>
        <v/>
      </c>
      <c r="BZJ3" s="18" t="str">
        <f>IF(BZI4&gt;0,BZJ4/BZI4,"")</f>
        <v/>
      </c>
      <c r="BZK3" s="18" t="str">
        <f>IF(BZI4&gt;0,BZK4/BZI4,"")</f>
        <v/>
      </c>
      <c r="BZL3" s="18" t="str">
        <f>IF(BZI4&gt;0,BZL4/BZI4,"")</f>
        <v/>
      </c>
      <c r="BZM3" s="18" t="str">
        <f>IF(BZI4&gt;0,BZM4/BZI4,"")</f>
        <v/>
      </c>
      <c r="BZN3" s="18" t="str">
        <f>IF(BZI4&gt;0,BZN4/BZI4,"")</f>
        <v/>
      </c>
      <c r="BZO3" s="18" t="str">
        <f>IF(BZI4&gt;0,BZO4/BZI4,"")</f>
        <v/>
      </c>
      <c r="BZP3" s="18" t="str">
        <f>IF(BZI4&gt;0,BZP4/BZI4,"")</f>
        <v/>
      </c>
      <c r="BZQ3" s="18" t="str">
        <f>IF(BZI4&gt;0,BZQ4/BZI4,"")</f>
        <v/>
      </c>
      <c r="BZR3" s="18" t="str">
        <f>IF(BZI4&gt;0,BZR4/BZI4,"")</f>
        <v/>
      </c>
      <c r="BZS3" s="18" t="str">
        <f>IF(BZI4&gt;0,BZS4/BZI4,"")</f>
        <v/>
      </c>
      <c r="BZT3" s="18" t="str">
        <f>IF(BZI4&gt;0,BZT4/BZI4,"")</f>
        <v/>
      </c>
      <c r="BZU3" s="18" t="str">
        <f>IF(BZI4&gt;0,BZU4/BZI4,"")</f>
        <v/>
      </c>
      <c r="BZV3" s="18" t="str">
        <f>IF(BZI4&gt;0,BZV4/BZI4,"")</f>
        <v/>
      </c>
      <c r="BZW3" s="18" t="str">
        <f>IF(BZI4&gt;0,BZW4/BZI4,"")</f>
        <v/>
      </c>
      <c r="BZX3" s="18" t="str">
        <f>IF(BZI4&gt;0,BZX4/BZI4,"")</f>
        <v/>
      </c>
      <c r="BZY3" s="18" t="str">
        <f>IF(BZI4&gt;0,BZY4/BZI4,"")</f>
        <v/>
      </c>
      <c r="BZZ3" s="18" t="str">
        <f>IF(BZI4&gt;0,BZZ4/BZI4,"")</f>
        <v/>
      </c>
      <c r="CAA3" s="18" t="str">
        <f>IF(BZI4&gt;0,CAA4/BZI4,"")</f>
        <v/>
      </c>
      <c r="CAB3" s="18" t="str">
        <f>IF(BZI4&gt;0,CAB4/BZI4,"")</f>
        <v/>
      </c>
      <c r="CAC3" s="18" t="str">
        <f>IF(BZI4&gt;0,CAC4/BZI4,"")</f>
        <v/>
      </c>
      <c r="CAD3" s="18" t="str">
        <f>IF(BZI4&gt;0,CAD4/BZI4,"")</f>
        <v/>
      </c>
      <c r="CAE3" s="18" t="str">
        <f>IF(BZI4&gt;0,CAE4/BZI4,"")</f>
        <v/>
      </c>
      <c r="CAF3" s="18" t="str">
        <f>IF(BZI4&gt;0,CAF4/BZI4,"")</f>
        <v/>
      </c>
      <c r="CAG3" s="18" t="str">
        <f>IF(BZI4&gt;0,CAG4/BZI4,"")</f>
        <v/>
      </c>
      <c r="CAH3" s="18" t="str">
        <f>IF(BZI4&gt;0,CAH4/BZI4,"")</f>
        <v/>
      </c>
      <c r="CAI3" s="18" t="str">
        <f>IF(BZI4&gt;0,CAI4/BZI4,"")</f>
        <v/>
      </c>
      <c r="CAJ3" s="18" t="str">
        <f>IF(BZI4&gt;0,CAJ4/BZI4,"")</f>
        <v/>
      </c>
      <c r="CAK3" s="18" t="str">
        <f>IF(BZI4&gt;0,CAK4/BZI4,"")</f>
        <v/>
      </c>
      <c r="CAL3" s="18" t="str">
        <f>IF(BZI4&gt;0,CAL4/BZI4,"")</f>
        <v/>
      </c>
      <c r="CAM3" s="18" t="str">
        <f>IF(BZI4&gt;0,CAM4/BZI4,"")</f>
        <v/>
      </c>
      <c r="CAO3" s="18" t="str">
        <f>IF(CAN4&gt;0,CAO4/CAN4,"")</f>
        <v/>
      </c>
      <c r="CAP3" s="18" t="str">
        <f>IF(CAN4&gt;0,CAP4/CAN4,"")</f>
        <v/>
      </c>
      <c r="CAQ3" s="18" t="str">
        <f>IF(CAN4&gt;0,CAQ4/CAN4,"")</f>
        <v/>
      </c>
      <c r="CAR3" s="18" t="str">
        <f>IF(CAN4&gt;0,CAR4/CAN4,"")</f>
        <v/>
      </c>
      <c r="CAS3" s="18" t="str">
        <f>IF(CAN4&gt;0,CAS4/CAN4,"")</f>
        <v/>
      </c>
      <c r="CAT3" s="18" t="str">
        <f>IF(CAN4&gt;0,CAT4/CAN4,"")</f>
        <v/>
      </c>
      <c r="CAU3" s="18" t="str">
        <f>IF(CAN4&gt;0,CAU4/CAN4,"")</f>
        <v/>
      </c>
      <c r="CAV3" s="18" t="str">
        <f>IF(CAN4&gt;0,CAV4/CAN4,"")</f>
        <v/>
      </c>
      <c r="CAW3" s="18" t="str">
        <f>IF(CAN4&gt;0,CAW4/CAN4,"")</f>
        <v/>
      </c>
      <c r="CAX3" s="18" t="str">
        <f>IF(CAN4&gt;0,CAX4/CAN4,"")</f>
        <v/>
      </c>
      <c r="CAY3" s="18" t="str">
        <f>IF(CAN4&gt;0,CAY4/CAN4,"")</f>
        <v/>
      </c>
      <c r="CAZ3" s="18" t="str">
        <f>IF(CAN4&gt;0,CAZ4/CAN4,"")</f>
        <v/>
      </c>
      <c r="CBA3" s="18" t="str">
        <f>IF(CAN4&gt;0,CBA4/CAN4,"")</f>
        <v/>
      </c>
      <c r="CBB3" s="18" t="str">
        <f>IF(CAN4&gt;0,CBB4/CAN4,"")</f>
        <v/>
      </c>
      <c r="CBC3" s="18" t="str">
        <f>IF(CAN4&gt;0,CBC4/CAN4,"")</f>
        <v/>
      </c>
      <c r="CBD3" s="18" t="str">
        <f>IF(CAN4&gt;0,CBD4/CAN4,"")</f>
        <v/>
      </c>
      <c r="CBE3" s="18" t="str">
        <f>IF(CAN4&gt;0,CBE4/CAN4,"")</f>
        <v/>
      </c>
      <c r="CBF3" s="18" t="str">
        <f>IF(CAN4&gt;0,CBF4/CAN4,"")</f>
        <v/>
      </c>
      <c r="CBG3" s="18" t="str">
        <f>IF(CAN4&gt;0,CBG4/CAN4,"")</f>
        <v/>
      </c>
      <c r="CBH3" s="18" t="str">
        <f>IF(CAN4&gt;0,CBH4/CAN4,"")</f>
        <v/>
      </c>
      <c r="CBI3" s="18" t="str">
        <f>IF(CAN4&gt;0,CBI4/CAN4,"")</f>
        <v/>
      </c>
      <c r="CBJ3" s="18" t="str">
        <f>IF(CAN4&gt;0,CBJ4/CAN4,"")</f>
        <v/>
      </c>
      <c r="CBK3" s="18" t="str">
        <f>IF(CAN4&gt;0,CBK4/CAN4,"")</f>
        <v/>
      </c>
      <c r="CBL3" s="18" t="str">
        <f>IF(CAN4&gt;0,CBL4/CAN4,"")</f>
        <v/>
      </c>
      <c r="CBM3" s="18" t="str">
        <f>IF(CAN4&gt;0,CBM4/CAN4,"")</f>
        <v/>
      </c>
      <c r="CBN3" s="18" t="str">
        <f>IF(CAN4&gt;0,CBN4/CAN4,"")</f>
        <v/>
      </c>
      <c r="CBO3" s="18" t="str">
        <f>IF(CAN4&gt;0,CBO4/CAN4,"")</f>
        <v/>
      </c>
      <c r="CBP3" s="18" t="str">
        <f>IF(CAN4&gt;0,CBP4/CAN4,"")</f>
        <v/>
      </c>
      <c r="CBQ3" s="18" t="str">
        <f>IF(CAN4&gt;0,CBQ4/CAN4,"")</f>
        <v/>
      </c>
      <c r="CBR3" s="18" t="str">
        <f>IF(CAN4&gt;0,CBR4/CAN4,"")</f>
        <v/>
      </c>
      <c r="CBT3" s="18" t="str">
        <f>IF(CBS4&gt;0,CBT4/CBS4,"")</f>
        <v/>
      </c>
      <c r="CBU3" s="18" t="str">
        <f>IF(CBS4&gt;0,CBU4/CBS4,"")</f>
        <v/>
      </c>
      <c r="CBV3" s="18" t="str">
        <f>IF(CBS4&gt;0,CBV4/CBS4,"")</f>
        <v/>
      </c>
      <c r="CBW3" s="18" t="str">
        <f>IF(CBS4&gt;0,CBW4/CBS4,"")</f>
        <v/>
      </c>
      <c r="CBX3" s="18" t="str">
        <f>IF(CBS4&gt;0,CBX4/CBS4,"")</f>
        <v/>
      </c>
      <c r="CBY3" s="18" t="str">
        <f>IF(CBS4&gt;0,CBY4/CBS4,"")</f>
        <v/>
      </c>
      <c r="CBZ3" s="18" t="str">
        <f>IF(CBS4&gt;0,CBZ4/CBS4,"")</f>
        <v/>
      </c>
      <c r="CCA3" s="18" t="str">
        <f>IF(CBS4&gt;0,CCA4/CBS4,"")</f>
        <v/>
      </c>
      <c r="CCB3" s="18" t="str">
        <f>IF(CBS4&gt;0,CCB4/CBS4,"")</f>
        <v/>
      </c>
      <c r="CCC3" s="18" t="str">
        <f>IF(CBS4&gt;0,CCC4/CBS4,"")</f>
        <v/>
      </c>
      <c r="CCD3" s="18" t="str">
        <f>IF(CBS4&gt;0,CCD4/CBS4,"")</f>
        <v/>
      </c>
      <c r="CCE3" s="18" t="str">
        <f>IF(CBS4&gt;0,CCE4/CBS4,"")</f>
        <v/>
      </c>
      <c r="CCF3" s="18" t="str">
        <f>IF(CBS4&gt;0,CCF4/CBS4,"")</f>
        <v/>
      </c>
      <c r="CCG3" s="18" t="str">
        <f>IF(CBS4&gt;0,CCG4/CBS4,"")</f>
        <v/>
      </c>
      <c r="CCH3" s="18" t="str">
        <f>IF(CBS4&gt;0,CCH4/CBS4,"")</f>
        <v/>
      </c>
      <c r="CCI3" s="18" t="str">
        <f>IF(CBS4&gt;0,CCI4/CBS4,"")</f>
        <v/>
      </c>
      <c r="CCJ3" s="18" t="str">
        <f>IF(CBS4&gt;0,CCJ4/CBS4,"")</f>
        <v/>
      </c>
      <c r="CCK3" s="18" t="str">
        <f>IF(CBS4&gt;0,CCK4/CBS4,"")</f>
        <v/>
      </c>
      <c r="CCL3" s="18" t="str">
        <f>IF(CBS4&gt;0,CCL4/CBS4,"")</f>
        <v/>
      </c>
      <c r="CCM3" s="18" t="str">
        <f>IF(CBS4&gt;0,CCM4/CBS4,"")</f>
        <v/>
      </c>
      <c r="CCN3" s="18" t="str">
        <f>IF(CBS4&gt;0,CCN4/CBS4,"")</f>
        <v/>
      </c>
      <c r="CCO3" s="18" t="str">
        <f>IF(CBS4&gt;0,CCO4/CBS4,"")</f>
        <v/>
      </c>
      <c r="CCP3" s="18" t="str">
        <f>IF(CBS4&gt;0,CCP4/CBS4,"")</f>
        <v/>
      </c>
      <c r="CCQ3" s="18" t="str">
        <f>IF(CBS4&gt;0,CCQ4/CBS4,"")</f>
        <v/>
      </c>
      <c r="CCR3" s="18" t="str">
        <f>IF(CBS4&gt;0,CCR4/CBS4,"")</f>
        <v/>
      </c>
      <c r="CCS3" s="18" t="str">
        <f>IF(CBS4&gt;0,CCS4/CBS4,"")</f>
        <v/>
      </c>
      <c r="CCT3" s="18" t="str">
        <f>IF(CBS4&gt;0,CCT4/CBS4,"")</f>
        <v/>
      </c>
      <c r="CCU3" s="18" t="str">
        <f>IF(CBS4&gt;0,CCU4/CBS4,"")</f>
        <v/>
      </c>
      <c r="CCV3" s="18" t="str">
        <f>IF(CBS4&gt;0,CCV4/CBS4,"")</f>
        <v/>
      </c>
      <c r="CCW3" s="18" t="str">
        <f>IF(CBS4&gt;0,CCW4/CBS4,"")</f>
        <v/>
      </c>
      <c r="CCY3" s="18" t="str">
        <f>IF(CCX4&gt;0,CCY4/CCX4,"")</f>
        <v/>
      </c>
      <c r="CCZ3" s="18" t="str">
        <f>IF(CCX4&gt;0,CCZ4/CCX4,"")</f>
        <v/>
      </c>
      <c r="CDA3" s="18" t="str">
        <f>IF(CCX4&gt;0,CDA4/CCX4,"")</f>
        <v/>
      </c>
      <c r="CDB3" s="18" t="str">
        <f>IF(CCX4&gt;0,CDB4/CCX4,"")</f>
        <v/>
      </c>
      <c r="CDC3" s="18" t="str">
        <f>IF(CCX4&gt;0,CDC4/CCX4,"")</f>
        <v/>
      </c>
      <c r="CDD3" s="18" t="str">
        <f>IF(CCX4&gt;0,CDD4/CCX4,"")</f>
        <v/>
      </c>
      <c r="CDE3" s="18" t="str">
        <f>IF(CCX4&gt;0,CDE4/CCX4,"")</f>
        <v/>
      </c>
      <c r="CDF3" s="18" t="str">
        <f>IF(CCX4&gt;0,CDF4/CCX4,"")</f>
        <v/>
      </c>
      <c r="CDG3" s="18" t="str">
        <f>IF(CCX4&gt;0,CDG4/CCX4,"")</f>
        <v/>
      </c>
      <c r="CDH3" s="18" t="str">
        <f>IF(CCX4&gt;0,CDH4/CCX4,"")</f>
        <v/>
      </c>
      <c r="CDI3" s="18" t="str">
        <f>IF(CCX4&gt;0,CDI4/CCX4,"")</f>
        <v/>
      </c>
      <c r="CDJ3" s="18" t="str">
        <f>IF(CCX4&gt;0,CDJ4/CCX4,"")</f>
        <v/>
      </c>
      <c r="CDK3" s="18" t="str">
        <f>IF(CCX4&gt;0,CDK4/CCX4,"")</f>
        <v/>
      </c>
      <c r="CDL3" s="18" t="str">
        <f>IF(CCX4&gt;0,CDL4/CCX4,"")</f>
        <v/>
      </c>
      <c r="CDM3" s="18" t="str">
        <f>IF(CCX4&gt;0,CDM4/CCX4,"")</f>
        <v/>
      </c>
      <c r="CDN3" s="18" t="str">
        <f>IF(CCX4&gt;0,CDN4/CCX4,"")</f>
        <v/>
      </c>
      <c r="CDO3" s="18" t="str">
        <f>IF(CCX4&gt;0,CDO4/CCX4,"")</f>
        <v/>
      </c>
      <c r="CDP3" s="18" t="str">
        <f>IF(CCX4&gt;0,CDP4/CCX4,"")</f>
        <v/>
      </c>
      <c r="CDQ3" s="18" t="str">
        <f>IF(CCX4&gt;0,CDQ4/CCX4,"")</f>
        <v/>
      </c>
      <c r="CDR3" s="18" t="str">
        <f>IF(CCX4&gt;0,CDR4/CCX4,"")</f>
        <v/>
      </c>
      <c r="CDS3" s="18" t="str">
        <f>IF(CCX4&gt;0,CDS4/CCX4,"")</f>
        <v/>
      </c>
      <c r="CDT3" s="18" t="str">
        <f>IF(CCX4&gt;0,CDT4/CCX4,"")</f>
        <v/>
      </c>
      <c r="CDU3" s="18" t="str">
        <f>IF(CCX4&gt;0,CDU4/CCX4,"")</f>
        <v/>
      </c>
      <c r="CDV3" s="18" t="str">
        <f>IF(CCX4&gt;0,CDV4/CCX4,"")</f>
        <v/>
      </c>
      <c r="CDW3" s="18" t="str">
        <f>IF(CCX4&gt;0,CDW4/CCX4,"")</f>
        <v/>
      </c>
      <c r="CDX3" s="18" t="str">
        <f>IF(CCX4&gt;0,CDX4/CCX4,"")</f>
        <v/>
      </c>
      <c r="CDY3" s="18" t="str">
        <f>IF(CCX4&gt;0,CDY4/CCX4,"")</f>
        <v/>
      </c>
      <c r="CDZ3" s="18" t="str">
        <f>IF(CCX4&gt;0,CDZ4/CCX4,"")</f>
        <v/>
      </c>
      <c r="CEA3" s="18" t="str">
        <f>IF(CCX4&gt;0,CEA4/CCX4,"")</f>
        <v/>
      </c>
      <c r="CEB3" s="18" t="str">
        <f>IF(CCX4&gt;0,CEB4/CCX4,"")</f>
        <v/>
      </c>
      <c r="CED3" s="18" t="str">
        <f>IF(CEC4&gt;0,CED4/CEC4,"")</f>
        <v/>
      </c>
      <c r="CEE3" s="18" t="str">
        <f>IF(CEC4&gt;0,CEE4/CEC4,"")</f>
        <v/>
      </c>
      <c r="CEF3" s="18" t="str">
        <f>IF(CEC4&gt;0,CEF4/CEC4,"")</f>
        <v/>
      </c>
      <c r="CEG3" s="18" t="str">
        <f>IF(CEC4&gt;0,CEG4/CEC4,"")</f>
        <v/>
      </c>
      <c r="CEH3" s="18" t="str">
        <f>IF(CEC4&gt;0,CEH4/CEC4,"")</f>
        <v/>
      </c>
      <c r="CEI3" s="18" t="str">
        <f>IF(CEC4&gt;0,CEI4/CEC4,"")</f>
        <v/>
      </c>
      <c r="CEJ3" s="18" t="str">
        <f>IF(CEC4&gt;0,CEJ4/CEC4,"")</f>
        <v/>
      </c>
      <c r="CEK3" s="18" t="str">
        <f>IF(CEC4&gt;0,CEK4/CEC4,"")</f>
        <v/>
      </c>
      <c r="CEL3" s="18" t="str">
        <f>IF(CEC4&gt;0,CEL4/CEC4,"")</f>
        <v/>
      </c>
      <c r="CEM3" s="18" t="str">
        <f>IF(CEC4&gt;0,CEM4/CEC4,"")</f>
        <v/>
      </c>
      <c r="CEN3" s="18" t="str">
        <f>IF(CEC4&gt;0,CEN4/CEC4,"")</f>
        <v/>
      </c>
      <c r="CEO3" s="18" t="str">
        <f>IF(CEC4&gt;0,CEO4/CEC4,"")</f>
        <v/>
      </c>
      <c r="CEP3" s="18" t="str">
        <f>IF(CEC4&gt;0,CEP4/CEC4,"")</f>
        <v/>
      </c>
      <c r="CEQ3" s="18" t="str">
        <f>IF(CEC4&gt;0,CEQ4/CEC4,"")</f>
        <v/>
      </c>
      <c r="CER3" s="18" t="str">
        <f>IF(CEC4&gt;0,CER4/CEC4,"")</f>
        <v/>
      </c>
      <c r="CES3" s="18" t="str">
        <f>IF(CEC4&gt;0,CES4/CEC4,"")</f>
        <v/>
      </c>
      <c r="CET3" s="18" t="str">
        <f>IF(CEC4&gt;0,CET4/CEC4,"")</f>
        <v/>
      </c>
      <c r="CEU3" s="18" t="str">
        <f>IF(CEC4&gt;0,CEU4/CEC4,"")</f>
        <v/>
      </c>
      <c r="CEV3" s="18" t="str">
        <f>IF(CEC4&gt;0,CEV4/CEC4,"")</f>
        <v/>
      </c>
      <c r="CEW3" s="18" t="str">
        <f>IF(CEC4&gt;0,CEW4/CEC4,"")</f>
        <v/>
      </c>
      <c r="CEX3" s="18" t="str">
        <f>IF(CEC4&gt;0,CEX4/CEC4,"")</f>
        <v/>
      </c>
      <c r="CEY3" s="18" t="str">
        <f>IF(CEC4&gt;0,CEY4/CEC4,"")</f>
        <v/>
      </c>
      <c r="CEZ3" s="18" t="str">
        <f>IF(CEC4&gt;0,CEZ4/CEC4,"")</f>
        <v/>
      </c>
      <c r="CFA3" s="18" t="str">
        <f>IF(CEC4&gt;0,CFA4/CEC4,"")</f>
        <v/>
      </c>
      <c r="CFB3" s="18" t="str">
        <f>IF(CEC4&gt;0,CFB4/CEC4,"")</f>
        <v/>
      </c>
      <c r="CFC3" s="18" t="str">
        <f>IF(CEC4&gt;0,CFC4/CEC4,"")</f>
        <v/>
      </c>
      <c r="CFD3" s="18" t="str">
        <f>IF(CEC4&gt;0,CFD4/CEC4,"")</f>
        <v/>
      </c>
      <c r="CFE3" s="18" t="str">
        <f>IF(CEC4&gt;0,CFE4/CEC4,"")</f>
        <v/>
      </c>
      <c r="CFF3" s="18" t="str">
        <f>IF(CEC4&gt;0,CFF4/CEC4,"")</f>
        <v/>
      </c>
      <c r="CFG3" s="18" t="str">
        <f>IF(CEC4&gt;0,CFG4/CEC4,"")</f>
        <v/>
      </c>
      <c r="CFI3" s="18" t="str">
        <f>IF(CFH4&gt;0,CFI4/CFH4,"")</f>
        <v/>
      </c>
      <c r="CFJ3" s="18" t="str">
        <f>IF(CFH4&gt;0,CFJ4/CFH4,"")</f>
        <v/>
      </c>
      <c r="CFK3" s="18" t="str">
        <f>IF(CFH4&gt;0,CFK4/CFH4,"")</f>
        <v/>
      </c>
      <c r="CFL3" s="18" t="str">
        <f>IF(CFH4&gt;0,CFL4/CFH4,"")</f>
        <v/>
      </c>
      <c r="CFM3" s="18" t="str">
        <f>IF(CFH4&gt;0,CFM4/CFH4,"")</f>
        <v/>
      </c>
      <c r="CFN3" s="18" t="str">
        <f>IF(CFH4&gt;0,CFN4/CFH4,"")</f>
        <v/>
      </c>
      <c r="CFO3" s="18" t="str">
        <f>IF(CFH4&gt;0,CFO4/CFH4,"")</f>
        <v/>
      </c>
      <c r="CFP3" s="18" t="str">
        <f>IF(CFH4&gt;0,CFP4/CFH4,"")</f>
        <v/>
      </c>
      <c r="CFQ3" s="18" t="str">
        <f>IF(CFH4&gt;0,CFQ4/CFH4,"")</f>
        <v/>
      </c>
      <c r="CFR3" s="18" t="str">
        <f>IF(CFH4&gt;0,CFR4/CFH4,"")</f>
        <v/>
      </c>
      <c r="CFS3" s="18" t="str">
        <f>IF(CFH4&gt;0,CFS4/CFH4,"")</f>
        <v/>
      </c>
      <c r="CFT3" s="18" t="str">
        <f>IF(CFH4&gt;0,CFT4/CFH4,"")</f>
        <v/>
      </c>
      <c r="CFU3" s="18" t="str">
        <f>IF(CFH4&gt;0,CFU4/CFH4,"")</f>
        <v/>
      </c>
      <c r="CFV3" s="18" t="str">
        <f>IF(CFH4&gt;0,CFV4/CFH4,"")</f>
        <v/>
      </c>
      <c r="CFW3" s="18" t="str">
        <f>IF(CFH4&gt;0,CFW4/CFH4,"")</f>
        <v/>
      </c>
      <c r="CFX3" s="18" t="str">
        <f>IF(CFH4&gt;0,CFX4/CFH4,"")</f>
        <v/>
      </c>
      <c r="CFY3" s="18" t="str">
        <f>IF(CFH4&gt;0,CFY4/CFH4,"")</f>
        <v/>
      </c>
      <c r="CFZ3" s="18" t="str">
        <f>IF(CFH4&gt;0,CFZ4/CFH4,"")</f>
        <v/>
      </c>
      <c r="CGA3" s="18" t="str">
        <f>IF(CFH4&gt;0,CGA4/CFH4,"")</f>
        <v/>
      </c>
      <c r="CGB3" s="18" t="str">
        <f>IF(CFH4&gt;0,CGB4/CFH4,"")</f>
        <v/>
      </c>
      <c r="CGC3" s="18" t="str">
        <f>IF(CFH4&gt;0,CGC4/CFH4,"")</f>
        <v/>
      </c>
      <c r="CGD3" s="18" t="str">
        <f>IF(CFH4&gt;0,CGD4/CFH4,"")</f>
        <v/>
      </c>
      <c r="CGE3" s="18" t="str">
        <f>IF(CFH4&gt;0,CGE4/CFH4,"")</f>
        <v/>
      </c>
      <c r="CGF3" s="18" t="str">
        <f>IF(CFH4&gt;0,CGF4/CFH4,"")</f>
        <v/>
      </c>
      <c r="CGG3" s="18" t="str">
        <f>IF(CFH4&gt;0,CGG4/CFH4,"")</f>
        <v/>
      </c>
      <c r="CGH3" s="18" t="str">
        <f>IF(CFH4&gt;0,CGH4/CFH4,"")</f>
        <v/>
      </c>
      <c r="CGI3" s="18" t="str">
        <f>IF(CFH4&gt;0,CGI4/CFH4,"")</f>
        <v/>
      </c>
      <c r="CGJ3" s="18" t="str">
        <f>IF(CFH4&gt;0,CGJ4/CFH4,"")</f>
        <v/>
      </c>
      <c r="CGK3" s="18" t="str">
        <f>IF(CFH4&gt;0,CGK4/CFH4,"")</f>
        <v/>
      </c>
      <c r="CGL3" s="18" t="str">
        <f>IF(CFH4&gt;0,CGL4/CFH4,"")</f>
        <v/>
      </c>
      <c r="CGN3" s="18" t="str">
        <f>IF(CGM4&gt;0,CGN4/CGM4,"")</f>
        <v/>
      </c>
      <c r="CGO3" s="18" t="str">
        <f>IF(CGM4&gt;0,CGO4/CGM4,"")</f>
        <v/>
      </c>
      <c r="CGP3" s="18" t="str">
        <f>IF(CGM4&gt;0,CGP4/CGM4,"")</f>
        <v/>
      </c>
      <c r="CGQ3" s="18" t="str">
        <f>IF(CGM4&gt;0,CGQ4/CGM4,"")</f>
        <v/>
      </c>
      <c r="CGR3" s="18" t="str">
        <f>IF(CGM4&gt;0,CGR4/CGM4,"")</f>
        <v/>
      </c>
      <c r="CGS3" s="18" t="str">
        <f>IF(CGM4&gt;0,CGS4/CGM4,"")</f>
        <v/>
      </c>
      <c r="CGT3" s="18" t="str">
        <f>IF(CGM4&gt;0,CGT4/CGM4,"")</f>
        <v/>
      </c>
      <c r="CGU3" s="18" t="str">
        <f>IF(CGM4&gt;0,CGU4/CGM4,"")</f>
        <v/>
      </c>
      <c r="CGV3" s="18" t="str">
        <f>IF(CGM4&gt;0,CGV4/CGM4,"")</f>
        <v/>
      </c>
      <c r="CGW3" s="18" t="str">
        <f>IF(CGM4&gt;0,CGW4/CGM4,"")</f>
        <v/>
      </c>
      <c r="CGX3" s="18" t="str">
        <f>IF(CGM4&gt;0,CGX4/CGM4,"")</f>
        <v/>
      </c>
      <c r="CGY3" s="18" t="str">
        <f>IF(CGM4&gt;0,CGY4/CGM4,"")</f>
        <v/>
      </c>
      <c r="CGZ3" s="18" t="str">
        <f>IF(CGM4&gt;0,CGZ4/CGM4,"")</f>
        <v/>
      </c>
      <c r="CHA3" s="18" t="str">
        <f>IF(CGM4&gt;0,CHA4/CGM4,"")</f>
        <v/>
      </c>
      <c r="CHB3" s="18" t="str">
        <f>IF(CGM4&gt;0,CHB4/CGM4,"")</f>
        <v/>
      </c>
      <c r="CHC3" s="18" t="str">
        <f>IF(CGM4&gt;0,CHC4/CGM4,"")</f>
        <v/>
      </c>
      <c r="CHD3" s="18" t="str">
        <f>IF(CGM4&gt;0,CHD4/CGM4,"")</f>
        <v/>
      </c>
      <c r="CHE3" s="18" t="str">
        <f>IF(CGM4&gt;0,CHE4/CGM4,"")</f>
        <v/>
      </c>
      <c r="CHF3" s="18" t="str">
        <f>IF(CGM4&gt;0,CHF4/CGM4,"")</f>
        <v/>
      </c>
      <c r="CHG3" s="18" t="str">
        <f>IF(CGM4&gt;0,CHG4/CGM4,"")</f>
        <v/>
      </c>
      <c r="CHH3" s="18" t="str">
        <f>IF(CGM4&gt;0,CHH4/CGM4,"")</f>
        <v/>
      </c>
      <c r="CHI3" s="18" t="str">
        <f>IF(CGM4&gt;0,CHI4/CGM4,"")</f>
        <v/>
      </c>
      <c r="CHJ3" s="18" t="str">
        <f>IF(CGM4&gt;0,CHJ4/CGM4,"")</f>
        <v/>
      </c>
      <c r="CHK3" s="18" t="str">
        <f>IF(CGM4&gt;0,CHK4/CGM4,"")</f>
        <v/>
      </c>
      <c r="CHL3" s="18" t="str">
        <f>IF(CGM4&gt;0,CHL4/CGM4,"")</f>
        <v/>
      </c>
      <c r="CHM3" s="18" t="str">
        <f>IF(CGM4&gt;0,CHM4/CGM4,"")</f>
        <v/>
      </c>
      <c r="CHN3" s="18" t="str">
        <f>IF(CGM4&gt;0,CHN4/CGM4,"")</f>
        <v/>
      </c>
      <c r="CHO3" s="18" t="str">
        <f>IF(CGM4&gt;0,CHO4/CGM4,"")</f>
        <v/>
      </c>
      <c r="CHP3" s="18" t="str">
        <f>IF(CGM4&gt;0,CHP4/CGM4,"")</f>
        <v/>
      </c>
      <c r="CHQ3" s="18" t="str">
        <f>IF(CGM4&gt;0,CHQ4/CGM4,"")</f>
        <v/>
      </c>
      <c r="CHS3" s="18" t="str">
        <f>IF(CHR4&gt;0,CHS4/CHR4,"")</f>
        <v/>
      </c>
      <c r="CHT3" s="18" t="str">
        <f>IF(CHR4&gt;0,CHT4/CHR4,"")</f>
        <v/>
      </c>
      <c r="CHU3" s="18" t="str">
        <f>IF(CHR4&gt;0,CHU4/CHR4,"")</f>
        <v/>
      </c>
      <c r="CHV3" s="18" t="str">
        <f>IF(CHR4&gt;0,CHV4/CHR4,"")</f>
        <v/>
      </c>
      <c r="CHW3" s="18" t="str">
        <f>IF(CHR4&gt;0,CHW4/CHR4,"")</f>
        <v/>
      </c>
      <c r="CHX3" s="18" t="str">
        <f>IF(CHR4&gt;0,CHX4/CHR4,"")</f>
        <v/>
      </c>
      <c r="CHY3" s="18" t="str">
        <f>IF(CHR4&gt;0,CHY4/CHR4,"")</f>
        <v/>
      </c>
      <c r="CHZ3" s="18" t="str">
        <f>IF(CHR4&gt;0,CHZ4/CHR4,"")</f>
        <v/>
      </c>
      <c r="CIA3" s="18" t="str">
        <f>IF(CHR4&gt;0,CIA4/CHR4,"")</f>
        <v/>
      </c>
      <c r="CIB3" s="18" t="str">
        <f>IF(CHR4&gt;0,CIB4/CHR4,"")</f>
        <v/>
      </c>
      <c r="CIC3" s="18" t="str">
        <f>IF(CHR4&gt;0,CIC4/CHR4,"")</f>
        <v/>
      </c>
      <c r="CID3" s="18" t="str">
        <f>IF(CHR4&gt;0,CID4/CHR4,"")</f>
        <v/>
      </c>
      <c r="CIE3" s="18" t="str">
        <f>IF(CHR4&gt;0,CIE4/CHR4,"")</f>
        <v/>
      </c>
      <c r="CIF3" s="18" t="str">
        <f>IF(CHR4&gt;0,CIF4/CHR4,"")</f>
        <v/>
      </c>
      <c r="CIG3" s="18" t="str">
        <f>IF(CHR4&gt;0,CIG4/CHR4,"")</f>
        <v/>
      </c>
      <c r="CIH3" s="18" t="str">
        <f>IF(CHR4&gt;0,CIH4/CHR4,"")</f>
        <v/>
      </c>
      <c r="CII3" s="18" t="str">
        <f>IF(CHR4&gt;0,CII4/CHR4,"")</f>
        <v/>
      </c>
      <c r="CIJ3" s="18" t="str">
        <f>IF(CHR4&gt;0,CIJ4/CHR4,"")</f>
        <v/>
      </c>
      <c r="CIK3" s="18" t="str">
        <f>IF(CHR4&gt;0,CIK4/CHR4,"")</f>
        <v/>
      </c>
      <c r="CIL3" s="18" t="str">
        <f>IF(CHR4&gt;0,CIL4/CHR4,"")</f>
        <v/>
      </c>
      <c r="CIM3" s="18" t="str">
        <f>IF(CHR4&gt;0,CIM4/CHR4,"")</f>
        <v/>
      </c>
      <c r="CIN3" s="18" t="str">
        <f>IF(CHR4&gt;0,CIN4/CHR4,"")</f>
        <v/>
      </c>
      <c r="CIO3" s="18" t="str">
        <f>IF(CHR4&gt;0,CIO4/CHR4,"")</f>
        <v/>
      </c>
      <c r="CIP3" s="18" t="str">
        <f>IF(CHR4&gt;0,CIP4/CHR4,"")</f>
        <v/>
      </c>
      <c r="CIQ3" s="18" t="str">
        <f>IF(CHR4&gt;0,CIQ4/CHR4,"")</f>
        <v/>
      </c>
      <c r="CIR3" s="18" t="str">
        <f>IF(CHR4&gt;0,CIR4/CHR4,"")</f>
        <v/>
      </c>
      <c r="CIS3" s="18" t="str">
        <f>IF(CHR4&gt;0,CIS4/CHR4,"")</f>
        <v/>
      </c>
      <c r="CIT3" s="18" t="str">
        <f>IF(CHR4&gt;0,CIT4/CHR4,"")</f>
        <v/>
      </c>
      <c r="CIU3" s="18" t="str">
        <f>IF(CHR4&gt;0,CIU4/CHR4,"")</f>
        <v/>
      </c>
      <c r="CIV3" s="18" t="str">
        <f>IF(CHR4&gt;0,CIV4/CHR4,"")</f>
        <v/>
      </c>
      <c r="CIX3" s="18" t="str">
        <f>IF(CIW4&gt;0,CIX4/CIW4,"")</f>
        <v/>
      </c>
      <c r="CIY3" s="18" t="str">
        <f>IF(CIW4&gt;0,CIY4/CIW4,"")</f>
        <v/>
      </c>
      <c r="CIZ3" s="18" t="str">
        <f>IF(CIW4&gt;0,CIZ4/CIW4,"")</f>
        <v/>
      </c>
      <c r="CJA3" s="18" t="str">
        <f>IF(CIW4&gt;0,CJA4/CIW4,"")</f>
        <v/>
      </c>
      <c r="CJB3" s="18" t="str">
        <f>IF(CIW4&gt;0,CJB4/CIW4,"")</f>
        <v/>
      </c>
      <c r="CJC3" s="18" t="str">
        <f>IF(CIW4&gt;0,CJC4/CIW4,"")</f>
        <v/>
      </c>
      <c r="CJD3" s="18" t="str">
        <f>IF(CIW4&gt;0,CJD4/CIW4,"")</f>
        <v/>
      </c>
      <c r="CJE3" s="18" t="str">
        <f>IF(CIW4&gt;0,CJE4/CIW4,"")</f>
        <v/>
      </c>
      <c r="CJF3" s="18" t="str">
        <f>IF(CIW4&gt;0,CJF4/CIW4,"")</f>
        <v/>
      </c>
      <c r="CJG3" s="18" t="str">
        <f>IF(CIW4&gt;0,CJG4/CIW4,"")</f>
        <v/>
      </c>
      <c r="CJH3" s="18" t="str">
        <f>IF(CIW4&gt;0,CJH4/CIW4,"")</f>
        <v/>
      </c>
      <c r="CJI3" s="18" t="str">
        <f>IF(CIW4&gt;0,CJI4/CIW4,"")</f>
        <v/>
      </c>
      <c r="CJJ3" s="18" t="str">
        <f>IF(CIW4&gt;0,CJJ4/CIW4,"")</f>
        <v/>
      </c>
      <c r="CJK3" s="18" t="str">
        <f>IF(CIW4&gt;0,CJK4/CIW4,"")</f>
        <v/>
      </c>
      <c r="CJL3" s="18" t="str">
        <f>IF(CIW4&gt;0,CJL4/CIW4,"")</f>
        <v/>
      </c>
      <c r="CJM3" s="18" t="str">
        <f>IF(CIW4&gt;0,CJM4/CIW4,"")</f>
        <v/>
      </c>
      <c r="CJN3" s="18" t="str">
        <f>IF(CIW4&gt;0,CJN4/CIW4,"")</f>
        <v/>
      </c>
      <c r="CJO3" s="18" t="str">
        <f>IF(CIW4&gt;0,CJO4/CIW4,"")</f>
        <v/>
      </c>
      <c r="CJP3" s="18" t="str">
        <f>IF(CIW4&gt;0,CJP4/CIW4,"")</f>
        <v/>
      </c>
      <c r="CJQ3" s="18" t="str">
        <f>IF(CIW4&gt;0,CJQ4/CIW4,"")</f>
        <v/>
      </c>
      <c r="CJR3" s="18" t="str">
        <f>IF(CIW4&gt;0,CJR4/CIW4,"")</f>
        <v/>
      </c>
      <c r="CJS3" s="18" t="str">
        <f>IF(CIW4&gt;0,CJS4/CIW4,"")</f>
        <v/>
      </c>
      <c r="CJT3" s="18" t="str">
        <f>IF(CIW4&gt;0,CJT4/CIW4,"")</f>
        <v/>
      </c>
      <c r="CJU3" s="18" t="str">
        <f>IF(CIW4&gt;0,CJU4/CIW4,"")</f>
        <v/>
      </c>
      <c r="CJV3" s="18" t="str">
        <f>IF(CIW4&gt;0,CJV4/CIW4,"")</f>
        <v/>
      </c>
      <c r="CJW3" s="18" t="str">
        <f>IF(CIW4&gt;0,CJW4/CIW4,"")</f>
        <v/>
      </c>
      <c r="CJX3" s="18" t="str">
        <f>IF(CIW4&gt;0,CJX4/CIW4,"")</f>
        <v/>
      </c>
      <c r="CJY3" s="18" t="str">
        <f>IF(CIW4&gt;0,CJY4/CIW4,"")</f>
        <v/>
      </c>
      <c r="CJZ3" s="18" t="str">
        <f>IF(CIW4&gt;0,CJZ4/CIW4,"")</f>
        <v/>
      </c>
      <c r="CKA3" s="18" t="str">
        <f>IF(CIW4&gt;0,CKA4/CIW4,"")</f>
        <v/>
      </c>
      <c r="CKC3" s="18" t="str">
        <f>IF(CKB4&gt;0,CKC4/CKB4,"")</f>
        <v/>
      </c>
      <c r="CKD3" s="18" t="str">
        <f>IF(CKB4&gt;0,CKD4/CKB4,"")</f>
        <v/>
      </c>
      <c r="CKE3" s="18" t="str">
        <f>IF(CKB4&gt;0,CKE4/CKB4,"")</f>
        <v/>
      </c>
      <c r="CKF3" s="18" t="str">
        <f>IF(CKB4&gt;0,CKF4/CKB4,"")</f>
        <v/>
      </c>
      <c r="CKG3" s="18" t="str">
        <f>IF(CKB4&gt;0,CKG4/CKB4,"")</f>
        <v/>
      </c>
      <c r="CKH3" s="18" t="str">
        <f>IF(CKB4&gt;0,CKH4/CKB4,"")</f>
        <v/>
      </c>
      <c r="CKI3" s="18" t="str">
        <f>IF(CKB4&gt;0,CKI4/CKB4,"")</f>
        <v/>
      </c>
      <c r="CKJ3" s="18" t="str">
        <f>IF(CKB4&gt;0,CKJ4/CKB4,"")</f>
        <v/>
      </c>
      <c r="CKK3" s="18" t="str">
        <f>IF(CKB4&gt;0,CKK4/CKB4,"")</f>
        <v/>
      </c>
      <c r="CKL3" s="18" t="str">
        <f>IF(CKB4&gt;0,CKL4/CKB4,"")</f>
        <v/>
      </c>
      <c r="CKM3" s="18" t="str">
        <f>IF(CKB4&gt;0,CKM4/CKB4,"")</f>
        <v/>
      </c>
      <c r="CKN3" s="18" t="str">
        <f>IF(CKB4&gt;0,CKN4/CKB4,"")</f>
        <v/>
      </c>
      <c r="CKO3" s="18" t="str">
        <f>IF(CKB4&gt;0,CKO4/CKB4,"")</f>
        <v/>
      </c>
      <c r="CKP3" s="18" t="str">
        <f>IF(CKB4&gt;0,CKP4/CKB4,"")</f>
        <v/>
      </c>
      <c r="CKQ3" s="18" t="str">
        <f>IF(CKB4&gt;0,CKQ4/CKB4,"")</f>
        <v/>
      </c>
      <c r="CKR3" s="18" t="str">
        <f>IF(CKB4&gt;0,CKR4/CKB4,"")</f>
        <v/>
      </c>
      <c r="CKS3" s="18" t="str">
        <f>IF(CKB4&gt;0,CKS4/CKB4,"")</f>
        <v/>
      </c>
      <c r="CKT3" s="18" t="str">
        <f>IF(CKB4&gt;0,CKT4/CKB4,"")</f>
        <v/>
      </c>
      <c r="CKU3" s="18" t="str">
        <f>IF(CKB4&gt;0,CKU4/CKB4,"")</f>
        <v/>
      </c>
      <c r="CKV3" s="18" t="str">
        <f>IF(CKB4&gt;0,CKV4/CKB4,"")</f>
        <v/>
      </c>
      <c r="CKW3" s="18" t="str">
        <f>IF(CKB4&gt;0,CKW4/CKB4,"")</f>
        <v/>
      </c>
      <c r="CKX3" s="18" t="str">
        <f>IF(CKB4&gt;0,CKX4/CKB4,"")</f>
        <v/>
      </c>
      <c r="CKY3" s="18" t="str">
        <f>IF(CKB4&gt;0,CKY4/CKB4,"")</f>
        <v/>
      </c>
      <c r="CKZ3" s="18" t="str">
        <f>IF(CKB4&gt;0,CKZ4/CKB4,"")</f>
        <v/>
      </c>
      <c r="CLA3" s="18" t="str">
        <f>IF(CKB4&gt;0,CLA4/CKB4,"")</f>
        <v/>
      </c>
      <c r="CLB3" s="18" t="str">
        <f>IF(CKB4&gt;0,CLB4/CKB4,"")</f>
        <v/>
      </c>
      <c r="CLC3" s="18" t="str">
        <f>IF(CKB4&gt;0,CLC4/CKB4,"")</f>
        <v/>
      </c>
      <c r="CLD3" s="18" t="str">
        <f>IF(CKB4&gt;0,CLD4/CKB4,"")</f>
        <v/>
      </c>
      <c r="CLE3" s="18" t="str">
        <f>IF(CKB4&gt;0,CLE4/CKB4,"")</f>
        <v/>
      </c>
      <c r="CLF3" s="18" t="str">
        <f>IF(CKB4&gt;0,CLF4/CKB4,"")</f>
        <v/>
      </c>
      <c r="CLH3" s="18" t="str">
        <f>IF(CLG4&gt;0,CLH4/CLG4,"")</f>
        <v/>
      </c>
      <c r="CLI3" s="18" t="str">
        <f>IF(CLG4&gt;0,CLI4/CLG4,"")</f>
        <v/>
      </c>
      <c r="CLJ3" s="18" t="str">
        <f>IF(CLG4&gt;0,CLJ4/CLG4,"")</f>
        <v/>
      </c>
      <c r="CLK3" s="18" t="str">
        <f>IF(CLG4&gt;0,CLK4/CLG4,"")</f>
        <v/>
      </c>
      <c r="CLL3" s="18" t="str">
        <f>IF(CLG4&gt;0,CLL4/CLG4,"")</f>
        <v/>
      </c>
      <c r="CLM3" s="18" t="str">
        <f>IF(CLG4&gt;0,CLM4/CLG4,"")</f>
        <v/>
      </c>
      <c r="CLN3" s="18" t="str">
        <f>IF(CLG4&gt;0,CLN4/CLG4,"")</f>
        <v/>
      </c>
      <c r="CLO3" s="18" t="str">
        <f>IF(CLG4&gt;0,CLO4/CLG4,"")</f>
        <v/>
      </c>
      <c r="CLP3" s="18" t="str">
        <f>IF(CLG4&gt;0,CLP4/CLG4,"")</f>
        <v/>
      </c>
      <c r="CLQ3" s="18" t="str">
        <f>IF(CLG4&gt;0,CLQ4/CLG4,"")</f>
        <v/>
      </c>
      <c r="CLR3" s="18" t="str">
        <f>IF(CLG4&gt;0,CLR4/CLG4,"")</f>
        <v/>
      </c>
      <c r="CLS3" s="18" t="str">
        <f>IF(CLG4&gt;0,CLS4/CLG4,"")</f>
        <v/>
      </c>
      <c r="CLT3" s="18" t="str">
        <f>IF(CLG4&gt;0,CLT4/CLG4,"")</f>
        <v/>
      </c>
      <c r="CLU3" s="18" t="str">
        <f>IF(CLG4&gt;0,CLU4/CLG4,"")</f>
        <v/>
      </c>
      <c r="CLV3" s="18" t="str">
        <f>IF(CLG4&gt;0,CLV4/CLG4,"")</f>
        <v/>
      </c>
      <c r="CLW3" s="18" t="str">
        <f>IF(CLG4&gt;0,CLW4/CLG4,"")</f>
        <v/>
      </c>
      <c r="CLX3" s="18" t="str">
        <f>IF(CLG4&gt;0,CLX4/CLG4,"")</f>
        <v/>
      </c>
      <c r="CLY3" s="18" t="str">
        <f>IF(CLG4&gt;0,CLY4/CLG4,"")</f>
        <v/>
      </c>
      <c r="CLZ3" s="18" t="str">
        <f>IF(CLG4&gt;0,CLZ4/CLG4,"")</f>
        <v/>
      </c>
      <c r="CMA3" s="18" t="str">
        <f>IF(CLG4&gt;0,CMA4/CLG4,"")</f>
        <v/>
      </c>
      <c r="CMB3" s="18" t="str">
        <f>IF(CLG4&gt;0,CMB4/CLG4,"")</f>
        <v/>
      </c>
      <c r="CMC3" s="18" t="str">
        <f>IF(CLG4&gt;0,CMC4/CLG4,"")</f>
        <v/>
      </c>
      <c r="CMD3" s="18" t="str">
        <f>IF(CLG4&gt;0,CMD4/CLG4,"")</f>
        <v/>
      </c>
      <c r="CME3" s="18" t="str">
        <f>IF(CLG4&gt;0,CME4/CLG4,"")</f>
        <v/>
      </c>
      <c r="CMF3" s="18" t="str">
        <f>IF(CLG4&gt;0,CMF4/CLG4,"")</f>
        <v/>
      </c>
      <c r="CMG3" s="18" t="str">
        <f>IF(CLG4&gt;0,CMG4/CLG4,"")</f>
        <v/>
      </c>
      <c r="CMH3" s="18" t="str">
        <f>IF(CLG4&gt;0,CMH4/CLG4,"")</f>
        <v/>
      </c>
      <c r="CMI3" s="18" t="str">
        <f>IF(CLG4&gt;0,CMI4/CLG4,"")</f>
        <v/>
      </c>
      <c r="CMJ3" s="18" t="str">
        <f>IF(CLG4&gt;0,CMJ4/CLG4,"")</f>
        <v/>
      </c>
      <c r="CMK3" s="18" t="str">
        <f>IF(CLG4&gt;0,CMK4/CLG4,"")</f>
        <v/>
      </c>
      <c r="CMM3" s="18" t="str">
        <f>IF(CML4&gt;0,CMM4/CML4,"")</f>
        <v/>
      </c>
      <c r="CMN3" s="18" t="str">
        <f>IF(CML4&gt;0,CMN4/CML4,"")</f>
        <v/>
      </c>
      <c r="CMO3" s="18" t="str">
        <f>IF(CML4&gt;0,CMO4/CML4,"")</f>
        <v/>
      </c>
      <c r="CMP3" s="18" t="str">
        <f>IF(CML4&gt;0,CMP4/CML4,"")</f>
        <v/>
      </c>
      <c r="CMQ3" s="18" t="str">
        <f>IF(CML4&gt;0,CMQ4/CML4,"")</f>
        <v/>
      </c>
      <c r="CMR3" s="18" t="str">
        <f>IF(CML4&gt;0,CMR4/CML4,"")</f>
        <v/>
      </c>
      <c r="CMS3" s="18" t="str">
        <f>IF(CML4&gt;0,CMS4/CML4,"")</f>
        <v/>
      </c>
      <c r="CMT3" s="18" t="str">
        <f>IF(CML4&gt;0,CMT4/CML4,"")</f>
        <v/>
      </c>
      <c r="CMU3" s="18" t="str">
        <f>IF(CML4&gt;0,CMU4/CML4,"")</f>
        <v/>
      </c>
      <c r="CMV3" s="18" t="str">
        <f>IF(CML4&gt;0,CMV4/CML4,"")</f>
        <v/>
      </c>
      <c r="CMW3" s="18" t="str">
        <f>IF(CML4&gt;0,CMW4/CML4,"")</f>
        <v/>
      </c>
      <c r="CMX3" s="18" t="str">
        <f>IF(CML4&gt;0,CMX4/CML4,"")</f>
        <v/>
      </c>
      <c r="CMY3" s="18" t="str">
        <f>IF(CML4&gt;0,CMY4/CML4,"")</f>
        <v/>
      </c>
      <c r="CMZ3" s="18" t="str">
        <f>IF(CML4&gt;0,CMZ4/CML4,"")</f>
        <v/>
      </c>
      <c r="CNA3" s="18" t="str">
        <f>IF(CML4&gt;0,CNA4/CML4,"")</f>
        <v/>
      </c>
      <c r="CNB3" s="18" t="str">
        <f>IF(CML4&gt;0,CNB4/CML4,"")</f>
        <v/>
      </c>
      <c r="CNC3" s="18" t="str">
        <f>IF(CML4&gt;0,CNC4/CML4,"")</f>
        <v/>
      </c>
      <c r="CND3" s="18" t="str">
        <f>IF(CML4&gt;0,CND4/CML4,"")</f>
        <v/>
      </c>
      <c r="CNE3" s="18" t="str">
        <f>IF(CML4&gt;0,CNE4/CML4,"")</f>
        <v/>
      </c>
      <c r="CNF3" s="18" t="str">
        <f>IF(CML4&gt;0,CNF4/CML4,"")</f>
        <v/>
      </c>
      <c r="CNG3" s="18" t="str">
        <f>IF(CML4&gt;0,CNG4/CML4,"")</f>
        <v/>
      </c>
      <c r="CNH3" s="18" t="str">
        <f>IF(CML4&gt;0,CNH4/CML4,"")</f>
        <v/>
      </c>
      <c r="CNI3" s="18" t="str">
        <f>IF(CML4&gt;0,CNI4/CML4,"")</f>
        <v/>
      </c>
      <c r="CNJ3" s="18" t="str">
        <f>IF(CML4&gt;0,CNJ4/CML4,"")</f>
        <v/>
      </c>
      <c r="CNK3" s="18" t="str">
        <f>IF(CML4&gt;0,CNK4/CML4,"")</f>
        <v/>
      </c>
      <c r="CNL3" s="18" t="str">
        <f>IF(CML4&gt;0,CNL4/CML4,"")</f>
        <v/>
      </c>
      <c r="CNM3" s="18" t="str">
        <f>IF(CML4&gt;0,CNM4/CML4,"")</f>
        <v/>
      </c>
      <c r="CNN3" s="18" t="str">
        <f>IF(CML4&gt;0,CNN4/CML4,"")</f>
        <v/>
      </c>
      <c r="CNO3" s="18" t="str">
        <f>IF(CML4&gt;0,CNO4/CML4,"")</f>
        <v/>
      </c>
      <c r="CNP3" s="18" t="str">
        <f>IF(CML4&gt;0,CNP4/CML4,"")</f>
        <v/>
      </c>
      <c r="CNR3" s="18" t="str">
        <f>IF(CNQ4&gt;0,CNR4/CNQ4,"")</f>
        <v/>
      </c>
      <c r="CNS3" s="18" t="str">
        <f>IF(CNQ4&gt;0,CNS4/CNQ4,"")</f>
        <v/>
      </c>
      <c r="CNT3" s="18" t="str">
        <f>IF(CNQ4&gt;0,CNT4/CNQ4,"")</f>
        <v/>
      </c>
      <c r="CNU3" s="18" t="str">
        <f>IF(CNQ4&gt;0,CNU4/CNQ4,"")</f>
        <v/>
      </c>
      <c r="CNV3" s="18" t="str">
        <f>IF(CNQ4&gt;0,CNV4/CNQ4,"")</f>
        <v/>
      </c>
      <c r="CNW3" s="18" t="str">
        <f>IF(CNQ4&gt;0,CNW4/CNQ4,"")</f>
        <v/>
      </c>
      <c r="CNX3" s="18" t="str">
        <f>IF(CNQ4&gt;0,CNX4/CNQ4,"")</f>
        <v/>
      </c>
      <c r="CNY3" s="18" t="str">
        <f>IF(CNQ4&gt;0,CNY4/CNQ4,"")</f>
        <v/>
      </c>
      <c r="CNZ3" s="18" t="str">
        <f>IF(CNQ4&gt;0,CNZ4/CNQ4,"")</f>
        <v/>
      </c>
      <c r="COA3" s="18" t="str">
        <f>IF(CNQ4&gt;0,COA4/CNQ4,"")</f>
        <v/>
      </c>
      <c r="COB3" s="18" t="str">
        <f>IF(CNQ4&gt;0,COB4/CNQ4,"")</f>
        <v/>
      </c>
      <c r="COC3" s="18" t="str">
        <f>IF(CNQ4&gt;0,COC4/CNQ4,"")</f>
        <v/>
      </c>
      <c r="COD3" s="18" t="str">
        <f>IF(CNQ4&gt;0,COD4/CNQ4,"")</f>
        <v/>
      </c>
      <c r="COE3" s="18" t="str">
        <f>IF(CNQ4&gt;0,COE4/CNQ4,"")</f>
        <v/>
      </c>
      <c r="COF3" s="18" t="str">
        <f>IF(CNQ4&gt;0,COF4/CNQ4,"")</f>
        <v/>
      </c>
      <c r="COG3" s="18" t="str">
        <f>IF(CNQ4&gt;0,COG4/CNQ4,"")</f>
        <v/>
      </c>
      <c r="COH3" s="18" t="str">
        <f>IF(CNQ4&gt;0,COH4/CNQ4,"")</f>
        <v/>
      </c>
      <c r="COI3" s="18" t="str">
        <f>IF(CNQ4&gt;0,COI4/CNQ4,"")</f>
        <v/>
      </c>
      <c r="COJ3" s="18" t="str">
        <f>IF(CNQ4&gt;0,COJ4/CNQ4,"")</f>
        <v/>
      </c>
      <c r="COK3" s="18" t="str">
        <f>IF(CNQ4&gt;0,COK4/CNQ4,"")</f>
        <v/>
      </c>
      <c r="COL3" s="18" t="str">
        <f>IF(CNQ4&gt;0,COL4/CNQ4,"")</f>
        <v/>
      </c>
      <c r="COM3" s="18" t="str">
        <f>IF(CNQ4&gt;0,COM4/CNQ4,"")</f>
        <v/>
      </c>
      <c r="CON3" s="18" t="str">
        <f>IF(CNQ4&gt;0,CON4/CNQ4,"")</f>
        <v/>
      </c>
      <c r="COO3" s="18" t="str">
        <f>IF(CNQ4&gt;0,COO4/CNQ4,"")</f>
        <v/>
      </c>
      <c r="COP3" s="18" t="str">
        <f>IF(CNQ4&gt;0,COP4/CNQ4,"")</f>
        <v/>
      </c>
      <c r="COQ3" s="18" t="str">
        <f>IF(CNQ4&gt;0,COQ4/CNQ4,"")</f>
        <v/>
      </c>
      <c r="COR3" s="18" t="str">
        <f>IF(CNQ4&gt;0,COR4/CNQ4,"")</f>
        <v/>
      </c>
      <c r="COS3" s="18" t="str">
        <f>IF(CNQ4&gt;0,COS4/CNQ4,"")</f>
        <v/>
      </c>
      <c r="COT3" s="18" t="str">
        <f>IF(CNQ4&gt;0,COT4/CNQ4,"")</f>
        <v/>
      </c>
      <c r="COU3" s="18" t="str">
        <f>IF(CNQ4&gt;0,COU4/CNQ4,"")</f>
        <v/>
      </c>
      <c r="COW3" s="18" t="str">
        <f>IF(COV4&gt;0,COW4/COV4,"")</f>
        <v/>
      </c>
      <c r="COX3" s="18" t="str">
        <f>IF(COV4&gt;0,COX4/COV4,"")</f>
        <v/>
      </c>
      <c r="COY3" s="18" t="str">
        <f>IF(COV4&gt;0,COY4/COV4,"")</f>
        <v/>
      </c>
      <c r="COZ3" s="18" t="str">
        <f>IF(COV4&gt;0,COZ4/COV4,"")</f>
        <v/>
      </c>
      <c r="CPA3" s="18" t="str">
        <f>IF(COV4&gt;0,CPA4/COV4,"")</f>
        <v/>
      </c>
      <c r="CPB3" s="18" t="str">
        <f>IF(COV4&gt;0,CPB4/COV4,"")</f>
        <v/>
      </c>
      <c r="CPC3" s="18" t="str">
        <f>IF(COV4&gt;0,CPC4/COV4,"")</f>
        <v/>
      </c>
      <c r="CPD3" s="18" t="str">
        <f>IF(COV4&gt;0,CPD4/COV4,"")</f>
        <v/>
      </c>
      <c r="CPE3" s="18" t="str">
        <f>IF(COV4&gt;0,CPE4/COV4,"")</f>
        <v/>
      </c>
      <c r="CPF3" s="18" t="str">
        <f>IF(COV4&gt;0,CPF4/COV4,"")</f>
        <v/>
      </c>
      <c r="CPG3" s="18" t="str">
        <f>IF(COV4&gt;0,CPG4/COV4,"")</f>
        <v/>
      </c>
      <c r="CPH3" s="18" t="str">
        <f>IF(COV4&gt;0,CPH4/COV4,"")</f>
        <v/>
      </c>
      <c r="CPI3" s="18" t="str">
        <f>IF(COV4&gt;0,CPI4/COV4,"")</f>
        <v/>
      </c>
      <c r="CPJ3" s="18" t="str">
        <f>IF(COV4&gt;0,CPJ4/COV4,"")</f>
        <v/>
      </c>
      <c r="CPK3" s="18" t="str">
        <f>IF(COV4&gt;0,CPK4/COV4,"")</f>
        <v/>
      </c>
      <c r="CPL3" s="18" t="str">
        <f>IF(COV4&gt;0,CPL4/COV4,"")</f>
        <v/>
      </c>
      <c r="CPM3" s="18" t="str">
        <f>IF(COV4&gt;0,CPM4/COV4,"")</f>
        <v/>
      </c>
      <c r="CPN3" s="18" t="str">
        <f>IF(COV4&gt;0,CPN4/COV4,"")</f>
        <v/>
      </c>
      <c r="CPO3" s="18" t="str">
        <f>IF(COV4&gt;0,CPO4/COV4,"")</f>
        <v/>
      </c>
      <c r="CPP3" s="18" t="str">
        <f>IF(COV4&gt;0,CPP4/COV4,"")</f>
        <v/>
      </c>
      <c r="CPQ3" s="18" t="str">
        <f>IF(COV4&gt;0,CPQ4/COV4,"")</f>
        <v/>
      </c>
      <c r="CPR3" s="18" t="str">
        <f>IF(COV4&gt;0,CPR4/COV4,"")</f>
        <v/>
      </c>
      <c r="CPS3" s="18" t="str">
        <f>IF(COV4&gt;0,CPS4/COV4,"")</f>
        <v/>
      </c>
      <c r="CPT3" s="18" t="str">
        <f>IF(COV4&gt;0,CPT4/COV4,"")</f>
        <v/>
      </c>
      <c r="CPU3" s="18" t="str">
        <f>IF(COV4&gt;0,CPU4/COV4,"")</f>
        <v/>
      </c>
      <c r="CPV3" s="18" t="str">
        <f>IF(COV4&gt;0,CPV4/COV4,"")</f>
        <v/>
      </c>
      <c r="CPW3" s="18" t="str">
        <f>IF(COV4&gt;0,CPW4/COV4,"")</f>
        <v/>
      </c>
      <c r="CPX3" s="18" t="str">
        <f>IF(COV4&gt;0,CPX4/COV4,"")</f>
        <v/>
      </c>
      <c r="CPY3" s="18" t="str">
        <f>IF(COV4&gt;0,CPY4/COV4,"")</f>
        <v/>
      </c>
      <c r="CPZ3" s="18" t="str">
        <f>IF(COV4&gt;0,CPZ4/COV4,"")</f>
        <v/>
      </c>
      <c r="CQB3" s="18" t="str">
        <f>IF(CQA4&gt;0,CQB4/CQA4,"")</f>
        <v/>
      </c>
      <c r="CQC3" s="18" t="str">
        <f>IF(CQA4&gt;0,CQC4/CQA4,"")</f>
        <v/>
      </c>
      <c r="CQD3" s="18" t="str">
        <f>IF(CQA4&gt;0,CQD4/CQA4,"")</f>
        <v/>
      </c>
      <c r="CQE3" s="18" t="str">
        <f>IF(CQA4&gt;0,CQE4/CQA4,"")</f>
        <v/>
      </c>
      <c r="CQF3" s="18" t="str">
        <f>IF(CQA4&gt;0,CQF4/CQA4,"")</f>
        <v/>
      </c>
      <c r="CQG3" s="18" t="str">
        <f>IF(CQA4&gt;0,CQG4/CQA4,"")</f>
        <v/>
      </c>
      <c r="CQH3" s="18" t="str">
        <f>IF(CQA4&gt;0,CQH4/CQA4,"")</f>
        <v/>
      </c>
      <c r="CQI3" s="18" t="str">
        <f>IF(CQA4&gt;0,CQI4/CQA4,"")</f>
        <v/>
      </c>
      <c r="CQJ3" s="18" t="str">
        <f>IF(CQA4&gt;0,CQJ4/CQA4,"")</f>
        <v/>
      </c>
      <c r="CQK3" s="18" t="str">
        <f>IF(CQA4&gt;0,CQK4/CQA4,"")</f>
        <v/>
      </c>
      <c r="CQL3" s="18" t="str">
        <f>IF(CQA4&gt;0,CQL4/CQA4,"")</f>
        <v/>
      </c>
      <c r="CQM3" s="18" t="str">
        <f>IF(CQA4&gt;0,CQM4/CQA4,"")</f>
        <v/>
      </c>
      <c r="CQN3" s="18" t="str">
        <f>IF(CQA4&gt;0,CQN4/CQA4,"")</f>
        <v/>
      </c>
      <c r="CQO3" s="18" t="str">
        <f>IF(CQA4&gt;0,CQO4/CQA4,"")</f>
        <v/>
      </c>
      <c r="CQP3" s="18" t="str">
        <f>IF(CQA4&gt;0,CQP4/CQA4,"")</f>
        <v/>
      </c>
      <c r="CQQ3" s="18" t="str">
        <f>IF(CQA4&gt;0,CQQ4/CQA4,"")</f>
        <v/>
      </c>
      <c r="CQR3" s="18" t="str">
        <f>IF(CQA4&gt;0,CQR4/CQA4,"")</f>
        <v/>
      </c>
      <c r="CQS3" s="18" t="str">
        <f>IF(CQA4&gt;0,CQS4/CQA4,"")</f>
        <v/>
      </c>
      <c r="CQT3" s="18" t="str">
        <f>IF(CQA4&gt;0,CQT4/CQA4,"")</f>
        <v/>
      </c>
      <c r="CQU3" s="18" t="str">
        <f>IF(CQA4&gt;0,CQU4/CQA4,"")</f>
        <v/>
      </c>
      <c r="CQV3" s="18" t="str">
        <f>IF(CQA4&gt;0,CQV4/CQA4,"")</f>
        <v/>
      </c>
      <c r="CQW3" s="18" t="str">
        <f>IF(CQA4&gt;0,CQW4/CQA4,"")</f>
        <v/>
      </c>
      <c r="CQX3" s="18" t="str">
        <f>IF(CQA4&gt;0,CQX4/CQA4,"")</f>
        <v/>
      </c>
      <c r="CQY3" s="18" t="str">
        <f>IF(CQA4&gt;0,CQY4/CQA4,"")</f>
        <v/>
      </c>
      <c r="CQZ3" s="18" t="str">
        <f>IF(CQA4&gt;0,CQZ4/CQA4,"")</f>
        <v/>
      </c>
      <c r="CRA3" s="18" t="str">
        <f>IF(CQA4&gt;0,CRA4/CQA4,"")</f>
        <v/>
      </c>
      <c r="CRB3" s="18" t="str">
        <f>IF(CQA4&gt;0,CRB4/CQA4,"")</f>
        <v/>
      </c>
      <c r="CRC3" s="18" t="str">
        <f>IF(CQA4&gt;0,CRC4/CQA4,"")</f>
        <v/>
      </c>
      <c r="CRD3" s="18" t="str">
        <f>IF(CQA4&gt;0,CRD4/CQA4,"")</f>
        <v/>
      </c>
      <c r="CRE3" s="18" t="str">
        <f>IF(CQA4&gt;0,CRE4/CQA4,"")</f>
        <v/>
      </c>
      <c r="CRG3" s="18" t="str">
        <f>IF(CRF4&gt;0,CRG4/CRF4,"")</f>
        <v/>
      </c>
      <c r="CRH3" s="18" t="str">
        <f>IF(CRF4&gt;0,CRH4/CRF4,"")</f>
        <v/>
      </c>
      <c r="CRI3" s="18" t="str">
        <f>IF(CRF4&gt;0,CRI4/CRF4,"")</f>
        <v/>
      </c>
      <c r="CRJ3" s="18" t="str">
        <f>IF(CRF4&gt;0,CRJ4/CRF4,"")</f>
        <v/>
      </c>
      <c r="CRK3" s="18" t="str">
        <f>IF(CRF4&gt;0,CRK4/CRF4,"")</f>
        <v/>
      </c>
      <c r="CRL3" s="18" t="str">
        <f>IF(CRF4&gt;0,CRL4/CRF4,"")</f>
        <v/>
      </c>
      <c r="CRM3" s="18" t="str">
        <f>IF(CRF4&gt;0,CRM4/CRF4,"")</f>
        <v/>
      </c>
      <c r="CRN3" s="18" t="str">
        <f>IF(CRF4&gt;0,CRN4/CRF4,"")</f>
        <v/>
      </c>
      <c r="CRO3" s="18" t="str">
        <f>IF(CRF4&gt;0,CRO4/CRF4,"")</f>
        <v/>
      </c>
      <c r="CRP3" s="18" t="str">
        <f>IF(CRF4&gt;0,CRP4/CRF4,"")</f>
        <v/>
      </c>
      <c r="CRQ3" s="18" t="str">
        <f>IF(CRF4&gt;0,CRQ4/CRF4,"")</f>
        <v/>
      </c>
      <c r="CRR3" s="18" t="str">
        <f>IF(CRF4&gt;0,CRR4/CRF4,"")</f>
        <v/>
      </c>
      <c r="CRS3" s="18" t="str">
        <f>IF(CRF4&gt;0,CRS4/CRF4,"")</f>
        <v/>
      </c>
      <c r="CRT3" s="18" t="str">
        <f>IF(CRF4&gt;0,CRT4/CRF4,"")</f>
        <v/>
      </c>
      <c r="CRU3" s="18" t="str">
        <f>IF(CRF4&gt;0,CRU4/CRF4,"")</f>
        <v/>
      </c>
      <c r="CRV3" s="18" t="str">
        <f>IF(CRF4&gt;0,CRV4/CRF4,"")</f>
        <v/>
      </c>
      <c r="CRW3" s="18" t="str">
        <f>IF(CRF4&gt;0,CRW4/CRF4,"")</f>
        <v/>
      </c>
      <c r="CRX3" s="18" t="str">
        <f>IF(CRF4&gt;0,CRX4/CRF4,"")</f>
        <v/>
      </c>
      <c r="CRY3" s="18" t="str">
        <f>IF(CRF4&gt;0,CRY4/CRF4,"")</f>
        <v/>
      </c>
      <c r="CRZ3" s="18" t="str">
        <f>IF(CRF4&gt;0,CRZ4/CRF4,"")</f>
        <v/>
      </c>
      <c r="CSA3" s="18" t="str">
        <f>IF(CRF4&gt;0,CSA4/CRF4,"")</f>
        <v/>
      </c>
      <c r="CSB3" s="18" t="str">
        <f>IF(CRF4&gt;0,CSB4/CRF4,"")</f>
        <v/>
      </c>
      <c r="CSC3" s="18" t="str">
        <f>IF(CRF4&gt;0,CSC4/CRF4,"")</f>
        <v/>
      </c>
      <c r="CSD3" s="18" t="str">
        <f>IF(CRF4&gt;0,CSD4/CRF4,"")</f>
        <v/>
      </c>
      <c r="CSE3" s="18" t="str">
        <f>IF(CRF4&gt;0,CSE4/CRF4,"")</f>
        <v/>
      </c>
      <c r="CSF3" s="18" t="str">
        <f>IF(CRF4&gt;0,CSF4/CRF4,"")</f>
        <v/>
      </c>
      <c r="CSG3" s="18" t="str">
        <f>IF(CRF4&gt;0,CSG4/CRF4,"")</f>
        <v/>
      </c>
      <c r="CSH3" s="18" t="str">
        <f>IF(CRF4&gt;0,CSH4/CRF4,"")</f>
        <v/>
      </c>
      <c r="CSI3" s="18" t="str">
        <f>IF(CRF4&gt;0,CSI4/CRF4,"")</f>
        <v/>
      </c>
      <c r="CSJ3" s="18" t="str">
        <f>IF(CRF4&gt;0,CSJ4/CRF4,"")</f>
        <v/>
      </c>
      <c r="CSK3" s="24" t="s">
        <v>1335</v>
      </c>
      <c r="CSL3" s="76"/>
      <c r="CSM3" s="76"/>
      <c r="CSN3" s="76"/>
      <c r="CSO3" s="76"/>
      <c r="CSP3" s="76"/>
      <c r="CSQ3" s="76"/>
      <c r="CSR3" s="76"/>
      <c r="CSS3" s="76"/>
      <c r="CST3" s="76"/>
      <c r="CSU3" s="76"/>
      <c r="CSV3" s="76"/>
      <c r="CSW3" s="76"/>
      <c r="CSX3" s="76"/>
      <c r="CSY3" s="76"/>
      <c r="CSZ3" s="76"/>
      <c r="CTA3" s="76"/>
      <c r="CTB3" s="76"/>
      <c r="CTC3" s="76"/>
      <c r="CTD3" s="76"/>
      <c r="CTE3" s="76"/>
      <c r="CTF3" s="76"/>
      <c r="CTG3" s="76"/>
      <c r="CTH3" s="76"/>
      <c r="CTI3" s="76"/>
      <c r="CTJ3" s="76"/>
      <c r="CTK3" s="76"/>
      <c r="CTL3" s="76"/>
      <c r="CTM3" s="76"/>
      <c r="CTN3" s="76"/>
      <c r="CTO3" s="76"/>
      <c r="CTP3" s="76"/>
      <c r="CTQ3" s="76"/>
      <c r="CTR3" s="76"/>
      <c r="CTS3" s="76"/>
      <c r="CTT3" s="76"/>
      <c r="CTU3" s="76"/>
      <c r="CTV3" s="76"/>
      <c r="CTW3" s="76"/>
      <c r="CTX3" s="76"/>
      <c r="CTY3" s="76"/>
      <c r="CTZ3" s="39"/>
      <c r="CUA3" s="73"/>
      <c r="CUB3" s="73"/>
      <c r="CUC3" s="73"/>
      <c r="CUD3" s="73"/>
      <c r="CUE3" s="73"/>
      <c r="CUF3" s="73"/>
      <c r="CUG3" s="73"/>
      <c r="CUH3" s="73"/>
      <c r="CUI3" s="73"/>
      <c r="CUJ3" s="73"/>
      <c r="CUK3" s="73"/>
      <c r="CUL3" s="73"/>
      <c r="CUM3" s="73"/>
      <c r="CUN3" s="73"/>
      <c r="CUO3" s="73"/>
      <c r="CUP3" s="73"/>
      <c r="CUQ3" s="73"/>
      <c r="CUR3" s="73"/>
      <c r="CUS3" s="73"/>
      <c r="CUT3" s="73"/>
      <c r="CUU3" s="73"/>
      <c r="CUV3" s="73"/>
      <c r="CUW3" s="73"/>
      <c r="CUX3" s="73"/>
      <c r="CUY3" s="73"/>
      <c r="CUZ3" s="73"/>
      <c r="CVA3" s="73"/>
      <c r="CVB3" s="73"/>
      <c r="CVC3" s="73"/>
      <c r="CVD3" s="73"/>
      <c r="CVE3" s="73"/>
      <c r="CVF3" s="73"/>
      <c r="CVG3" s="73"/>
      <c r="CVH3" s="73"/>
      <c r="CVI3" s="73"/>
      <c r="CVJ3" s="73"/>
      <c r="CVK3" s="73"/>
      <c r="CVL3" s="73"/>
      <c r="CVM3" s="73"/>
      <c r="CVN3" s="73"/>
    </row>
    <row r="4" spans="1:2616" ht="13.8" x14ac:dyDescent="0.25">
      <c r="A4" s="46" t="s">
        <v>0</v>
      </c>
      <c r="B4" s="46" t="s">
        <v>1</v>
      </c>
      <c r="C4" s="46" t="s">
        <v>2</v>
      </c>
      <c r="D4" s="46" t="s">
        <v>1396</v>
      </c>
      <c r="E4" s="61" t="s">
        <v>3</v>
      </c>
      <c r="F4" s="61" t="s">
        <v>4</v>
      </c>
      <c r="G4" s="61" t="s">
        <v>5</v>
      </c>
      <c r="H4" s="62" t="s">
        <v>1379</v>
      </c>
      <c r="I4" s="62" t="s">
        <v>1380</v>
      </c>
      <c r="J4" s="47" t="s">
        <v>7</v>
      </c>
      <c r="K4" s="48" t="s">
        <v>8</v>
      </c>
      <c r="L4" s="45" t="s">
        <v>6</v>
      </c>
      <c r="M4" s="4">
        <f t="shared" ref="M4:AZ4" ca="1" si="59">SUM(CSL6:CSL554)</f>
        <v>12</v>
      </c>
      <c r="N4" s="4">
        <f t="shared" ca="1" si="59"/>
        <v>14</v>
      </c>
      <c r="O4" s="4">
        <f t="shared" ca="1" si="59"/>
        <v>12</v>
      </c>
      <c r="P4" s="4">
        <f t="shared" ca="1" si="59"/>
        <v>18</v>
      </c>
      <c r="Q4" s="4">
        <f t="shared" ca="1" si="59"/>
        <v>17</v>
      </c>
      <c r="R4" s="4">
        <f t="shared" ca="1" si="59"/>
        <v>16</v>
      </c>
      <c r="S4" s="4">
        <f t="shared" ca="1" si="59"/>
        <v>19</v>
      </c>
      <c r="T4" s="4">
        <f t="shared" ca="1" si="59"/>
        <v>24</v>
      </c>
      <c r="U4" s="4">
        <f t="shared" ca="1" si="59"/>
        <v>0</v>
      </c>
      <c r="V4" s="4">
        <f t="shared" ca="1" si="59"/>
        <v>16</v>
      </c>
      <c r="W4" s="4">
        <f t="shared" ca="1" si="59"/>
        <v>15</v>
      </c>
      <c r="X4" s="4">
        <f t="shared" ca="1" si="59"/>
        <v>19</v>
      </c>
      <c r="Y4" s="4">
        <f t="shared" ca="1" si="59"/>
        <v>18</v>
      </c>
      <c r="Z4" s="4">
        <f t="shared" ca="1" si="59"/>
        <v>17</v>
      </c>
      <c r="AA4" s="4">
        <f t="shared" ca="1" si="59"/>
        <v>0</v>
      </c>
      <c r="AB4" s="4">
        <f t="shared" ca="1" si="59"/>
        <v>0</v>
      </c>
      <c r="AC4" s="4">
        <f t="shared" ca="1" si="59"/>
        <v>0</v>
      </c>
      <c r="AD4" s="4">
        <f t="shared" ca="1" si="59"/>
        <v>0</v>
      </c>
      <c r="AE4" s="4">
        <f t="shared" ca="1" si="59"/>
        <v>0</v>
      </c>
      <c r="AF4" s="4">
        <f t="shared" ca="1" si="59"/>
        <v>0</v>
      </c>
      <c r="AG4" s="4">
        <f t="shared" ca="1" si="59"/>
        <v>0</v>
      </c>
      <c r="AH4" s="4">
        <f t="shared" ca="1" si="59"/>
        <v>0</v>
      </c>
      <c r="AI4" s="4">
        <f t="shared" ca="1" si="59"/>
        <v>0</v>
      </c>
      <c r="AJ4" s="4">
        <f t="shared" ca="1" si="59"/>
        <v>0</v>
      </c>
      <c r="AK4" s="4">
        <f t="shared" ca="1" si="59"/>
        <v>0</v>
      </c>
      <c r="AL4" s="4">
        <f t="shared" ca="1" si="59"/>
        <v>0</v>
      </c>
      <c r="AM4" s="4">
        <f t="shared" ca="1" si="59"/>
        <v>0</v>
      </c>
      <c r="AN4" s="4">
        <f t="shared" ca="1" si="59"/>
        <v>0</v>
      </c>
      <c r="AO4" s="4">
        <f t="shared" ca="1" si="59"/>
        <v>0</v>
      </c>
      <c r="AP4" s="4">
        <f t="shared" ca="1" si="59"/>
        <v>0</v>
      </c>
      <c r="AQ4" s="4">
        <f t="shared" ca="1" si="59"/>
        <v>0</v>
      </c>
      <c r="AR4" s="4">
        <f t="shared" ca="1" si="59"/>
        <v>0</v>
      </c>
      <c r="AS4" s="4">
        <f t="shared" ca="1" si="59"/>
        <v>0</v>
      </c>
      <c r="AT4" s="4">
        <f t="shared" ca="1" si="59"/>
        <v>0</v>
      </c>
      <c r="AU4" s="4">
        <f t="shared" ca="1" si="59"/>
        <v>0</v>
      </c>
      <c r="AV4" s="4">
        <f t="shared" ca="1" si="59"/>
        <v>0</v>
      </c>
      <c r="AW4" s="4">
        <f t="shared" ca="1" si="59"/>
        <v>0</v>
      </c>
      <c r="AX4" s="4">
        <f t="shared" ca="1" si="59"/>
        <v>0</v>
      </c>
      <c r="AY4" s="4">
        <f t="shared" ca="1" si="59"/>
        <v>0</v>
      </c>
      <c r="AZ4" s="4">
        <f t="shared" ca="1" si="59"/>
        <v>0</v>
      </c>
      <c r="BA4" s="52">
        <f t="shared" ref="BA4:DL4" si="60">SUBTOTAL(9,BA6:BA554)</f>
        <v>12</v>
      </c>
      <c r="BB4" s="52">
        <f t="shared" si="60"/>
        <v>12</v>
      </c>
      <c r="BC4" s="52">
        <f t="shared" si="60"/>
        <v>7</v>
      </c>
      <c r="BD4" s="52">
        <f t="shared" si="60"/>
        <v>1</v>
      </c>
      <c r="BE4" s="52">
        <f t="shared" si="60"/>
        <v>0</v>
      </c>
      <c r="BF4" s="52">
        <f t="shared" si="60"/>
        <v>8</v>
      </c>
      <c r="BG4" s="52">
        <f t="shared" si="60"/>
        <v>6</v>
      </c>
      <c r="BH4" s="52">
        <f t="shared" si="60"/>
        <v>9</v>
      </c>
      <c r="BI4" s="52">
        <f t="shared" si="60"/>
        <v>0</v>
      </c>
      <c r="BJ4" s="52">
        <f t="shared" si="60"/>
        <v>0</v>
      </c>
      <c r="BK4" s="52">
        <f t="shared" si="60"/>
        <v>0</v>
      </c>
      <c r="BL4" s="52">
        <f t="shared" si="60"/>
        <v>0</v>
      </c>
      <c r="BM4" s="52">
        <f t="shared" si="60"/>
        <v>9</v>
      </c>
      <c r="BN4" s="52">
        <f t="shared" si="60"/>
        <v>8</v>
      </c>
      <c r="BO4" s="52">
        <f t="shared" si="60"/>
        <v>3</v>
      </c>
      <c r="BP4" s="52">
        <f t="shared" si="60"/>
        <v>8</v>
      </c>
      <c r="BQ4" s="52">
        <f t="shared" si="60"/>
        <v>5</v>
      </c>
      <c r="BR4" s="52">
        <f t="shared" si="60"/>
        <v>4</v>
      </c>
      <c r="BS4" s="52">
        <f t="shared" si="60"/>
        <v>5</v>
      </c>
      <c r="BT4" s="52">
        <f t="shared" si="60"/>
        <v>0</v>
      </c>
      <c r="BU4" s="52">
        <f t="shared" si="60"/>
        <v>0</v>
      </c>
      <c r="BV4" s="52">
        <f t="shared" si="60"/>
        <v>0</v>
      </c>
      <c r="BW4" s="52">
        <f t="shared" si="60"/>
        <v>0</v>
      </c>
      <c r="BX4" s="52">
        <f t="shared" si="60"/>
        <v>0</v>
      </c>
      <c r="BY4" s="52">
        <f t="shared" si="60"/>
        <v>0</v>
      </c>
      <c r="BZ4" s="52">
        <f t="shared" si="60"/>
        <v>0</v>
      </c>
      <c r="CA4" s="52">
        <f t="shared" si="60"/>
        <v>0</v>
      </c>
      <c r="CB4" s="52">
        <f t="shared" si="60"/>
        <v>0</v>
      </c>
      <c r="CC4" s="52">
        <f t="shared" si="60"/>
        <v>0</v>
      </c>
      <c r="CD4" s="52">
        <f t="shared" si="60"/>
        <v>0</v>
      </c>
      <c r="CE4" s="52">
        <f t="shared" si="60"/>
        <v>0</v>
      </c>
      <c r="CF4" s="52">
        <f t="shared" si="60"/>
        <v>0</v>
      </c>
      <c r="CG4" s="52">
        <f t="shared" si="60"/>
        <v>0</v>
      </c>
      <c r="CH4" s="52">
        <f t="shared" si="60"/>
        <v>0</v>
      </c>
      <c r="CI4" s="52">
        <f t="shared" si="60"/>
        <v>0</v>
      </c>
      <c r="CJ4" s="52">
        <f t="shared" si="60"/>
        <v>0</v>
      </c>
      <c r="CK4" s="52">
        <f t="shared" si="60"/>
        <v>0</v>
      </c>
      <c r="CL4" s="52">
        <f t="shared" si="60"/>
        <v>0</v>
      </c>
      <c r="CM4" s="52">
        <f t="shared" si="60"/>
        <v>0</v>
      </c>
      <c r="CN4" s="52">
        <f t="shared" si="60"/>
        <v>0</v>
      </c>
      <c r="CO4" s="52">
        <f t="shared" si="60"/>
        <v>0</v>
      </c>
      <c r="CP4" s="52">
        <f t="shared" si="60"/>
        <v>0</v>
      </c>
      <c r="CQ4" s="52">
        <f t="shared" si="60"/>
        <v>0</v>
      </c>
      <c r="CR4" s="52">
        <f t="shared" si="60"/>
        <v>0</v>
      </c>
      <c r="CS4" s="52">
        <f t="shared" si="60"/>
        <v>0</v>
      </c>
      <c r="CT4" s="52">
        <f t="shared" si="60"/>
        <v>0</v>
      </c>
      <c r="CU4" s="52">
        <f t="shared" si="60"/>
        <v>0</v>
      </c>
      <c r="CV4" s="52">
        <f t="shared" si="60"/>
        <v>0</v>
      </c>
      <c r="CW4" s="52">
        <f t="shared" si="60"/>
        <v>0</v>
      </c>
      <c r="CX4" s="52">
        <f t="shared" si="60"/>
        <v>0</v>
      </c>
      <c r="CY4" s="52">
        <f t="shared" si="60"/>
        <v>0</v>
      </c>
      <c r="CZ4" s="52">
        <f t="shared" si="60"/>
        <v>0</v>
      </c>
      <c r="DA4" s="52">
        <f t="shared" si="60"/>
        <v>0</v>
      </c>
      <c r="DB4" s="52">
        <f t="shared" si="60"/>
        <v>0</v>
      </c>
      <c r="DC4" s="52">
        <f t="shared" si="60"/>
        <v>0</v>
      </c>
      <c r="DD4" s="52">
        <f t="shared" si="60"/>
        <v>0</v>
      </c>
      <c r="DE4" s="52">
        <f t="shared" si="60"/>
        <v>0</v>
      </c>
      <c r="DF4" s="52">
        <f t="shared" si="60"/>
        <v>0</v>
      </c>
      <c r="DG4" s="52">
        <f t="shared" si="60"/>
        <v>0</v>
      </c>
      <c r="DH4" s="52">
        <f t="shared" si="60"/>
        <v>0</v>
      </c>
      <c r="DI4" s="52">
        <f t="shared" si="60"/>
        <v>0</v>
      </c>
      <c r="DJ4" s="52">
        <f t="shared" si="60"/>
        <v>0</v>
      </c>
      <c r="DK4" s="52">
        <f t="shared" si="60"/>
        <v>13</v>
      </c>
      <c r="DL4" s="52">
        <f t="shared" si="60"/>
        <v>12</v>
      </c>
      <c r="DM4" s="52">
        <f t="shared" ref="DM4:FX4" si="61">SUBTOTAL(9,DM6:DM554)</f>
        <v>5</v>
      </c>
      <c r="DN4" s="52">
        <f t="shared" si="61"/>
        <v>10</v>
      </c>
      <c r="DO4" s="52">
        <f t="shared" si="61"/>
        <v>10</v>
      </c>
      <c r="DP4" s="52">
        <f t="shared" si="61"/>
        <v>11</v>
      </c>
      <c r="DQ4" s="52">
        <f t="shared" si="61"/>
        <v>3</v>
      </c>
      <c r="DR4" s="52">
        <f t="shared" si="61"/>
        <v>9</v>
      </c>
      <c r="DS4" s="52">
        <f t="shared" si="61"/>
        <v>10</v>
      </c>
      <c r="DT4" s="52">
        <f t="shared" si="61"/>
        <v>3</v>
      </c>
      <c r="DU4" s="52">
        <f t="shared" si="61"/>
        <v>2</v>
      </c>
      <c r="DV4" s="52">
        <f t="shared" si="61"/>
        <v>3</v>
      </c>
      <c r="DW4" s="52">
        <f t="shared" si="61"/>
        <v>2</v>
      </c>
      <c r="DX4" s="52">
        <f t="shared" si="61"/>
        <v>0</v>
      </c>
      <c r="DY4" s="52">
        <f t="shared" si="61"/>
        <v>0</v>
      </c>
      <c r="DZ4" s="52">
        <f t="shared" si="61"/>
        <v>0</v>
      </c>
      <c r="EA4" s="52">
        <f t="shared" si="61"/>
        <v>0</v>
      </c>
      <c r="EB4" s="52">
        <f t="shared" si="61"/>
        <v>0</v>
      </c>
      <c r="EC4" s="52">
        <f t="shared" si="61"/>
        <v>0</v>
      </c>
      <c r="ED4" s="52">
        <f t="shared" si="61"/>
        <v>0</v>
      </c>
      <c r="EE4" s="52">
        <f t="shared" si="61"/>
        <v>0</v>
      </c>
      <c r="EF4" s="52">
        <f t="shared" si="61"/>
        <v>0</v>
      </c>
      <c r="EG4" s="52">
        <f t="shared" si="61"/>
        <v>0</v>
      </c>
      <c r="EH4" s="52">
        <f t="shared" si="61"/>
        <v>0</v>
      </c>
      <c r="EI4" s="52">
        <f t="shared" si="61"/>
        <v>0</v>
      </c>
      <c r="EJ4" s="52">
        <f t="shared" si="61"/>
        <v>0</v>
      </c>
      <c r="EK4" s="52">
        <f t="shared" si="61"/>
        <v>0</v>
      </c>
      <c r="EL4" s="52">
        <f t="shared" si="61"/>
        <v>0</v>
      </c>
      <c r="EM4" s="52">
        <f t="shared" si="61"/>
        <v>0</v>
      </c>
      <c r="EN4" s="52">
        <f t="shared" si="61"/>
        <v>0</v>
      </c>
      <c r="EO4" s="52">
        <f t="shared" si="61"/>
        <v>0</v>
      </c>
      <c r="EP4" s="52">
        <f t="shared" si="61"/>
        <v>2</v>
      </c>
      <c r="EQ4" s="52">
        <f t="shared" si="61"/>
        <v>0</v>
      </c>
      <c r="ER4" s="52">
        <f t="shared" si="61"/>
        <v>0</v>
      </c>
      <c r="ES4" s="52">
        <f t="shared" si="61"/>
        <v>2</v>
      </c>
      <c r="ET4" s="52">
        <f t="shared" si="61"/>
        <v>0</v>
      </c>
      <c r="EU4" s="52">
        <f t="shared" si="61"/>
        <v>1</v>
      </c>
      <c r="EV4" s="52">
        <f t="shared" si="61"/>
        <v>1</v>
      </c>
      <c r="EW4" s="52">
        <f t="shared" si="61"/>
        <v>1</v>
      </c>
      <c r="EX4" s="52">
        <f t="shared" si="61"/>
        <v>0</v>
      </c>
      <c r="EY4" s="52">
        <f t="shared" si="61"/>
        <v>0</v>
      </c>
      <c r="EZ4" s="52">
        <f t="shared" si="61"/>
        <v>0</v>
      </c>
      <c r="FA4" s="52">
        <f t="shared" si="61"/>
        <v>0</v>
      </c>
      <c r="FB4" s="52">
        <f t="shared" si="61"/>
        <v>0</v>
      </c>
      <c r="FC4" s="52">
        <f t="shared" si="61"/>
        <v>0</v>
      </c>
      <c r="FD4" s="52">
        <f t="shared" si="61"/>
        <v>0</v>
      </c>
      <c r="FE4" s="52">
        <f t="shared" si="61"/>
        <v>0</v>
      </c>
      <c r="FF4" s="52">
        <f t="shared" si="61"/>
        <v>0</v>
      </c>
      <c r="FG4" s="52">
        <f t="shared" si="61"/>
        <v>0</v>
      </c>
      <c r="FH4" s="52">
        <f t="shared" si="61"/>
        <v>0</v>
      </c>
      <c r="FI4" s="52">
        <f t="shared" si="61"/>
        <v>0</v>
      </c>
      <c r="FJ4" s="52">
        <f t="shared" si="61"/>
        <v>0</v>
      </c>
      <c r="FK4" s="52">
        <f t="shared" si="61"/>
        <v>0</v>
      </c>
      <c r="FL4" s="52">
        <f t="shared" si="61"/>
        <v>0</v>
      </c>
      <c r="FM4" s="52">
        <f t="shared" si="61"/>
        <v>0</v>
      </c>
      <c r="FN4" s="52">
        <f t="shared" si="61"/>
        <v>0</v>
      </c>
      <c r="FO4" s="52">
        <f t="shared" si="61"/>
        <v>0</v>
      </c>
      <c r="FP4" s="52">
        <f t="shared" si="61"/>
        <v>0</v>
      </c>
      <c r="FQ4" s="52">
        <f t="shared" si="61"/>
        <v>0</v>
      </c>
      <c r="FR4" s="52">
        <f t="shared" si="61"/>
        <v>0</v>
      </c>
      <c r="FS4" s="52">
        <f t="shared" si="61"/>
        <v>0</v>
      </c>
      <c r="FT4" s="52">
        <f t="shared" si="61"/>
        <v>0</v>
      </c>
      <c r="FU4" s="52">
        <f t="shared" si="61"/>
        <v>11</v>
      </c>
      <c r="FV4" s="52">
        <f t="shared" si="61"/>
        <v>7</v>
      </c>
      <c r="FW4" s="52">
        <f t="shared" si="61"/>
        <v>5</v>
      </c>
      <c r="FX4" s="52">
        <f t="shared" si="61"/>
        <v>5</v>
      </c>
      <c r="FY4" s="52">
        <f t="shared" ref="FY4:IJ4" si="62">SUBTOTAL(9,FY6:FY554)</f>
        <v>6</v>
      </c>
      <c r="FZ4" s="52">
        <f t="shared" si="62"/>
        <v>6</v>
      </c>
      <c r="GA4" s="52">
        <f t="shared" si="62"/>
        <v>6</v>
      </c>
      <c r="GB4" s="52">
        <f t="shared" si="62"/>
        <v>6</v>
      </c>
      <c r="GC4" s="52">
        <f t="shared" si="62"/>
        <v>7</v>
      </c>
      <c r="GD4" s="52">
        <f t="shared" si="62"/>
        <v>7</v>
      </c>
      <c r="GE4" s="52">
        <f t="shared" si="62"/>
        <v>5</v>
      </c>
      <c r="GF4" s="52">
        <f t="shared" si="62"/>
        <v>1</v>
      </c>
      <c r="GG4" s="52">
        <f t="shared" si="62"/>
        <v>1</v>
      </c>
      <c r="GH4" s="52">
        <f t="shared" si="62"/>
        <v>0</v>
      </c>
      <c r="GI4" s="52">
        <f t="shared" si="62"/>
        <v>0</v>
      </c>
      <c r="GJ4" s="52">
        <f t="shared" si="62"/>
        <v>0</v>
      </c>
      <c r="GK4" s="52">
        <f t="shared" si="62"/>
        <v>0</v>
      </c>
      <c r="GL4" s="52">
        <f t="shared" si="62"/>
        <v>0</v>
      </c>
      <c r="GM4" s="52">
        <f t="shared" si="62"/>
        <v>0</v>
      </c>
      <c r="GN4" s="52">
        <f t="shared" si="62"/>
        <v>0</v>
      </c>
      <c r="GO4" s="52">
        <f t="shared" si="62"/>
        <v>0</v>
      </c>
      <c r="GP4" s="52">
        <f t="shared" si="62"/>
        <v>0</v>
      </c>
      <c r="GQ4" s="52">
        <f t="shared" si="62"/>
        <v>0</v>
      </c>
      <c r="GR4" s="52">
        <f t="shared" si="62"/>
        <v>0</v>
      </c>
      <c r="GS4" s="52">
        <f t="shared" si="62"/>
        <v>0</v>
      </c>
      <c r="GT4" s="52">
        <f t="shared" si="62"/>
        <v>0</v>
      </c>
      <c r="GU4" s="52">
        <f t="shared" si="62"/>
        <v>0</v>
      </c>
      <c r="GV4" s="52">
        <f t="shared" si="62"/>
        <v>0</v>
      </c>
      <c r="GW4" s="52">
        <f t="shared" si="62"/>
        <v>0</v>
      </c>
      <c r="GX4" s="52">
        <f t="shared" si="62"/>
        <v>0</v>
      </c>
      <c r="GY4" s="52">
        <f t="shared" si="62"/>
        <v>0</v>
      </c>
      <c r="GZ4" s="52">
        <f t="shared" si="62"/>
        <v>1</v>
      </c>
      <c r="HA4" s="52">
        <f t="shared" si="62"/>
        <v>1</v>
      </c>
      <c r="HB4" s="52">
        <f t="shared" si="62"/>
        <v>0</v>
      </c>
      <c r="HC4" s="52">
        <f t="shared" si="62"/>
        <v>0</v>
      </c>
      <c r="HD4" s="52">
        <f t="shared" si="62"/>
        <v>0</v>
      </c>
      <c r="HE4" s="52">
        <f t="shared" si="62"/>
        <v>0</v>
      </c>
      <c r="HF4" s="52">
        <f t="shared" si="62"/>
        <v>0</v>
      </c>
      <c r="HG4" s="52">
        <f t="shared" si="62"/>
        <v>1</v>
      </c>
      <c r="HH4" s="52">
        <f t="shared" si="62"/>
        <v>0</v>
      </c>
      <c r="HI4" s="52">
        <f t="shared" si="62"/>
        <v>0</v>
      </c>
      <c r="HJ4" s="52">
        <f t="shared" si="62"/>
        <v>0</v>
      </c>
      <c r="HK4" s="52">
        <f t="shared" si="62"/>
        <v>0</v>
      </c>
      <c r="HL4" s="52">
        <f t="shared" si="62"/>
        <v>0</v>
      </c>
      <c r="HM4" s="52">
        <f t="shared" si="62"/>
        <v>0</v>
      </c>
      <c r="HN4" s="52">
        <f t="shared" si="62"/>
        <v>0</v>
      </c>
      <c r="HO4" s="52">
        <f t="shared" si="62"/>
        <v>0</v>
      </c>
      <c r="HP4" s="52">
        <f t="shared" si="62"/>
        <v>0</v>
      </c>
      <c r="HQ4" s="52">
        <f t="shared" si="62"/>
        <v>0</v>
      </c>
      <c r="HR4" s="52">
        <f t="shared" si="62"/>
        <v>0</v>
      </c>
      <c r="HS4" s="52">
        <f t="shared" si="62"/>
        <v>0</v>
      </c>
      <c r="HT4" s="52">
        <f t="shared" si="62"/>
        <v>0</v>
      </c>
      <c r="HU4" s="52">
        <f t="shared" si="62"/>
        <v>0</v>
      </c>
      <c r="HV4" s="52">
        <f t="shared" si="62"/>
        <v>0</v>
      </c>
      <c r="HW4" s="52">
        <f t="shared" si="62"/>
        <v>0</v>
      </c>
      <c r="HX4" s="52">
        <f t="shared" si="62"/>
        <v>0</v>
      </c>
      <c r="HY4" s="52">
        <f t="shared" si="62"/>
        <v>0</v>
      </c>
      <c r="HZ4" s="52">
        <f t="shared" si="62"/>
        <v>0</v>
      </c>
      <c r="IA4" s="52">
        <f t="shared" si="62"/>
        <v>0</v>
      </c>
      <c r="IB4" s="52">
        <f t="shared" si="62"/>
        <v>0</v>
      </c>
      <c r="IC4" s="52">
        <f t="shared" si="62"/>
        <v>0</v>
      </c>
      <c r="ID4" s="52">
        <f t="shared" si="62"/>
        <v>0</v>
      </c>
      <c r="IE4" s="52">
        <f t="shared" si="62"/>
        <v>16</v>
      </c>
      <c r="IF4" s="52">
        <f t="shared" si="62"/>
        <v>6</v>
      </c>
      <c r="IG4" s="52">
        <f t="shared" si="62"/>
        <v>6</v>
      </c>
      <c r="IH4" s="52">
        <f t="shared" si="62"/>
        <v>6</v>
      </c>
      <c r="II4" s="52">
        <f t="shared" si="62"/>
        <v>6</v>
      </c>
      <c r="IJ4" s="52">
        <f t="shared" si="62"/>
        <v>6</v>
      </c>
      <c r="IK4" s="52">
        <f t="shared" ref="IK4:KV4" si="63">SUBTOTAL(9,IK6:IK554)</f>
        <v>3</v>
      </c>
      <c r="IL4" s="52">
        <f t="shared" si="63"/>
        <v>5</v>
      </c>
      <c r="IM4" s="52">
        <f t="shared" si="63"/>
        <v>1</v>
      </c>
      <c r="IN4" s="52">
        <f t="shared" si="63"/>
        <v>8</v>
      </c>
      <c r="IO4" s="52">
        <f t="shared" si="63"/>
        <v>1</v>
      </c>
      <c r="IP4" s="52">
        <f t="shared" si="63"/>
        <v>3</v>
      </c>
      <c r="IQ4" s="52">
        <f t="shared" si="63"/>
        <v>5</v>
      </c>
      <c r="IR4" s="52">
        <f t="shared" si="63"/>
        <v>2</v>
      </c>
      <c r="IS4" s="52">
        <f t="shared" si="63"/>
        <v>1</v>
      </c>
      <c r="IT4" s="52">
        <f t="shared" si="63"/>
        <v>2</v>
      </c>
      <c r="IU4" s="52">
        <f t="shared" si="63"/>
        <v>1</v>
      </c>
      <c r="IV4" s="52">
        <f t="shared" si="63"/>
        <v>1</v>
      </c>
      <c r="IW4" s="52">
        <f t="shared" si="63"/>
        <v>0</v>
      </c>
      <c r="IX4" s="52">
        <f t="shared" si="63"/>
        <v>0</v>
      </c>
      <c r="IY4" s="52">
        <f t="shared" si="63"/>
        <v>0</v>
      </c>
      <c r="IZ4" s="52">
        <f t="shared" si="63"/>
        <v>0</v>
      </c>
      <c r="JA4" s="52">
        <f t="shared" si="63"/>
        <v>0</v>
      </c>
      <c r="JB4" s="52">
        <f t="shared" si="63"/>
        <v>0</v>
      </c>
      <c r="JC4" s="52">
        <f t="shared" si="63"/>
        <v>0</v>
      </c>
      <c r="JD4" s="52">
        <f t="shared" si="63"/>
        <v>0</v>
      </c>
      <c r="JE4" s="52">
        <f t="shared" si="63"/>
        <v>0</v>
      </c>
      <c r="JF4" s="52">
        <f t="shared" si="63"/>
        <v>0</v>
      </c>
      <c r="JG4" s="52">
        <f t="shared" si="63"/>
        <v>0</v>
      </c>
      <c r="JH4" s="52">
        <f t="shared" si="63"/>
        <v>0</v>
      </c>
      <c r="JI4" s="52">
        <f t="shared" si="63"/>
        <v>0</v>
      </c>
      <c r="JJ4" s="52">
        <f t="shared" si="63"/>
        <v>2</v>
      </c>
      <c r="JK4" s="52">
        <f t="shared" si="63"/>
        <v>2</v>
      </c>
      <c r="JL4" s="52">
        <f t="shared" si="63"/>
        <v>0</v>
      </c>
      <c r="JM4" s="52">
        <f t="shared" si="63"/>
        <v>0</v>
      </c>
      <c r="JN4" s="52">
        <f t="shared" si="63"/>
        <v>0</v>
      </c>
      <c r="JO4" s="52">
        <f t="shared" si="63"/>
        <v>1</v>
      </c>
      <c r="JP4" s="52">
        <f t="shared" si="63"/>
        <v>0</v>
      </c>
      <c r="JQ4" s="52">
        <f t="shared" si="63"/>
        <v>0</v>
      </c>
      <c r="JR4" s="52">
        <f t="shared" si="63"/>
        <v>1</v>
      </c>
      <c r="JS4" s="52">
        <f t="shared" si="63"/>
        <v>0</v>
      </c>
      <c r="JT4" s="52">
        <f t="shared" si="63"/>
        <v>0</v>
      </c>
      <c r="JU4" s="52">
        <f t="shared" si="63"/>
        <v>0</v>
      </c>
      <c r="JV4" s="52">
        <f t="shared" si="63"/>
        <v>0</v>
      </c>
      <c r="JW4" s="52">
        <f t="shared" si="63"/>
        <v>0</v>
      </c>
      <c r="JX4" s="52">
        <f t="shared" si="63"/>
        <v>0</v>
      </c>
      <c r="JY4" s="52">
        <f t="shared" si="63"/>
        <v>0</v>
      </c>
      <c r="JZ4" s="52">
        <f t="shared" si="63"/>
        <v>0</v>
      </c>
      <c r="KA4" s="52">
        <f t="shared" si="63"/>
        <v>0</v>
      </c>
      <c r="KB4" s="52">
        <f t="shared" si="63"/>
        <v>0</v>
      </c>
      <c r="KC4" s="52">
        <f t="shared" si="63"/>
        <v>0</v>
      </c>
      <c r="KD4" s="52">
        <f t="shared" si="63"/>
        <v>0</v>
      </c>
      <c r="KE4" s="52">
        <f t="shared" si="63"/>
        <v>0</v>
      </c>
      <c r="KF4" s="52">
        <f t="shared" si="63"/>
        <v>0</v>
      </c>
      <c r="KG4" s="52">
        <f t="shared" si="63"/>
        <v>0</v>
      </c>
      <c r="KH4" s="52">
        <f t="shared" si="63"/>
        <v>0</v>
      </c>
      <c r="KI4" s="52">
        <f t="shared" si="63"/>
        <v>0</v>
      </c>
      <c r="KJ4" s="52">
        <f t="shared" si="63"/>
        <v>0</v>
      </c>
      <c r="KK4" s="52">
        <f t="shared" si="63"/>
        <v>0</v>
      </c>
      <c r="KL4" s="52">
        <f t="shared" si="63"/>
        <v>0</v>
      </c>
      <c r="KM4" s="52">
        <f t="shared" si="63"/>
        <v>0</v>
      </c>
      <c r="KN4" s="52">
        <f t="shared" si="63"/>
        <v>0</v>
      </c>
      <c r="KO4" s="52">
        <f t="shared" si="63"/>
        <v>15</v>
      </c>
      <c r="KP4" s="52">
        <f t="shared" si="63"/>
        <v>10</v>
      </c>
      <c r="KQ4" s="52">
        <f t="shared" si="63"/>
        <v>5</v>
      </c>
      <c r="KR4" s="52">
        <f t="shared" si="63"/>
        <v>9</v>
      </c>
      <c r="KS4" s="52">
        <f t="shared" si="63"/>
        <v>9</v>
      </c>
      <c r="KT4" s="52">
        <f t="shared" si="63"/>
        <v>7</v>
      </c>
      <c r="KU4" s="52">
        <f t="shared" si="63"/>
        <v>3</v>
      </c>
      <c r="KV4" s="52">
        <f t="shared" si="63"/>
        <v>9</v>
      </c>
      <c r="KW4" s="52">
        <f t="shared" ref="KW4:NH4" si="64">SUBTOTAL(9,KW6:KW554)</f>
        <v>3</v>
      </c>
      <c r="KX4" s="52">
        <f t="shared" si="64"/>
        <v>0</v>
      </c>
      <c r="KY4" s="52">
        <f t="shared" si="64"/>
        <v>0</v>
      </c>
      <c r="KZ4" s="52">
        <f t="shared" si="64"/>
        <v>1</v>
      </c>
      <c r="LA4" s="52">
        <f t="shared" si="64"/>
        <v>1</v>
      </c>
      <c r="LB4" s="52">
        <f t="shared" si="64"/>
        <v>0</v>
      </c>
      <c r="LC4" s="52">
        <f t="shared" si="64"/>
        <v>0</v>
      </c>
      <c r="LD4" s="52">
        <f t="shared" si="64"/>
        <v>0</v>
      </c>
      <c r="LE4" s="52">
        <f t="shared" si="64"/>
        <v>0</v>
      </c>
      <c r="LF4" s="52">
        <f t="shared" si="64"/>
        <v>0</v>
      </c>
      <c r="LG4" s="52">
        <f t="shared" si="64"/>
        <v>0</v>
      </c>
      <c r="LH4" s="52">
        <f t="shared" si="64"/>
        <v>0</v>
      </c>
      <c r="LI4" s="52">
        <f t="shared" si="64"/>
        <v>0</v>
      </c>
      <c r="LJ4" s="52">
        <f t="shared" si="64"/>
        <v>0</v>
      </c>
      <c r="LK4" s="52">
        <f t="shared" si="64"/>
        <v>0</v>
      </c>
      <c r="LL4" s="52">
        <f t="shared" si="64"/>
        <v>0</v>
      </c>
      <c r="LM4" s="52">
        <f t="shared" si="64"/>
        <v>0</v>
      </c>
      <c r="LN4" s="52">
        <f t="shared" si="64"/>
        <v>0</v>
      </c>
      <c r="LO4" s="52">
        <f t="shared" si="64"/>
        <v>0</v>
      </c>
      <c r="LP4" s="52">
        <f t="shared" si="64"/>
        <v>0</v>
      </c>
      <c r="LQ4" s="52">
        <f t="shared" si="64"/>
        <v>0</v>
      </c>
      <c r="LR4" s="52">
        <f t="shared" si="64"/>
        <v>0</v>
      </c>
      <c r="LS4" s="52">
        <f t="shared" si="64"/>
        <v>0</v>
      </c>
      <c r="LT4" s="52">
        <f t="shared" si="64"/>
        <v>2</v>
      </c>
      <c r="LU4" s="52">
        <f t="shared" si="64"/>
        <v>1</v>
      </c>
      <c r="LV4" s="52">
        <f t="shared" si="64"/>
        <v>2</v>
      </c>
      <c r="LW4" s="52">
        <f t="shared" si="64"/>
        <v>0</v>
      </c>
      <c r="LX4" s="52">
        <f t="shared" si="64"/>
        <v>1</v>
      </c>
      <c r="LY4" s="52">
        <f t="shared" si="64"/>
        <v>2</v>
      </c>
      <c r="LZ4" s="52">
        <f t="shared" si="64"/>
        <v>0</v>
      </c>
      <c r="MA4" s="52">
        <f t="shared" si="64"/>
        <v>0</v>
      </c>
      <c r="MB4" s="52">
        <f t="shared" si="64"/>
        <v>0</v>
      </c>
      <c r="MC4" s="52">
        <f t="shared" si="64"/>
        <v>0</v>
      </c>
      <c r="MD4" s="52">
        <f t="shared" si="64"/>
        <v>0</v>
      </c>
      <c r="ME4" s="52">
        <f t="shared" si="64"/>
        <v>0</v>
      </c>
      <c r="MF4" s="52">
        <f t="shared" si="64"/>
        <v>0</v>
      </c>
      <c r="MG4" s="52">
        <f t="shared" si="64"/>
        <v>0</v>
      </c>
      <c r="MH4" s="52">
        <f t="shared" si="64"/>
        <v>0</v>
      </c>
      <c r="MI4" s="52">
        <f t="shared" si="64"/>
        <v>0</v>
      </c>
      <c r="MJ4" s="52">
        <f t="shared" si="64"/>
        <v>0</v>
      </c>
      <c r="MK4" s="52">
        <f t="shared" si="64"/>
        <v>0</v>
      </c>
      <c r="ML4" s="52">
        <f t="shared" si="64"/>
        <v>0</v>
      </c>
      <c r="MM4" s="52">
        <f t="shared" si="64"/>
        <v>0</v>
      </c>
      <c r="MN4" s="52">
        <f t="shared" si="64"/>
        <v>0</v>
      </c>
      <c r="MO4" s="52">
        <f t="shared" si="64"/>
        <v>0</v>
      </c>
      <c r="MP4" s="52">
        <f t="shared" si="64"/>
        <v>0</v>
      </c>
      <c r="MQ4" s="52">
        <f t="shared" si="64"/>
        <v>0</v>
      </c>
      <c r="MR4" s="52">
        <f t="shared" si="64"/>
        <v>0</v>
      </c>
      <c r="MS4" s="52">
        <f t="shared" si="64"/>
        <v>0</v>
      </c>
      <c r="MT4" s="52">
        <f t="shared" si="64"/>
        <v>0</v>
      </c>
      <c r="MU4" s="52">
        <f t="shared" si="64"/>
        <v>0</v>
      </c>
      <c r="MV4" s="52">
        <f t="shared" si="64"/>
        <v>0</v>
      </c>
      <c r="MW4" s="52">
        <f t="shared" si="64"/>
        <v>0</v>
      </c>
      <c r="MX4" s="52">
        <f t="shared" si="64"/>
        <v>0</v>
      </c>
      <c r="MY4" s="52">
        <f t="shared" si="64"/>
        <v>14</v>
      </c>
      <c r="MZ4" s="52">
        <f t="shared" si="64"/>
        <v>10</v>
      </c>
      <c r="NA4" s="52">
        <f t="shared" si="64"/>
        <v>6</v>
      </c>
      <c r="NB4" s="52">
        <f t="shared" si="64"/>
        <v>10</v>
      </c>
      <c r="NC4" s="52">
        <f t="shared" si="64"/>
        <v>9</v>
      </c>
      <c r="ND4" s="52">
        <f t="shared" si="64"/>
        <v>7</v>
      </c>
      <c r="NE4" s="52">
        <f t="shared" si="64"/>
        <v>5</v>
      </c>
      <c r="NF4" s="52">
        <f t="shared" si="64"/>
        <v>4</v>
      </c>
      <c r="NG4" s="52">
        <f t="shared" si="64"/>
        <v>3</v>
      </c>
      <c r="NH4" s="52">
        <f t="shared" si="64"/>
        <v>3</v>
      </c>
      <c r="NI4" s="52">
        <f t="shared" ref="NI4:PT4" si="65">SUBTOTAL(9,NI6:NI554)</f>
        <v>2</v>
      </c>
      <c r="NJ4" s="52">
        <f t="shared" si="65"/>
        <v>1</v>
      </c>
      <c r="NK4" s="52">
        <f t="shared" si="65"/>
        <v>0</v>
      </c>
      <c r="NL4" s="52">
        <f t="shared" si="65"/>
        <v>2</v>
      </c>
      <c r="NM4" s="52">
        <f t="shared" si="65"/>
        <v>2</v>
      </c>
      <c r="NN4" s="52">
        <f t="shared" si="65"/>
        <v>0</v>
      </c>
      <c r="NO4" s="52">
        <f t="shared" si="65"/>
        <v>0</v>
      </c>
      <c r="NP4" s="52">
        <f t="shared" si="65"/>
        <v>0</v>
      </c>
      <c r="NQ4" s="52">
        <f t="shared" si="65"/>
        <v>0</v>
      </c>
      <c r="NR4" s="52">
        <f t="shared" si="65"/>
        <v>0</v>
      </c>
      <c r="NS4" s="52">
        <f t="shared" si="65"/>
        <v>0</v>
      </c>
      <c r="NT4" s="52">
        <f t="shared" si="65"/>
        <v>0</v>
      </c>
      <c r="NU4" s="52">
        <f t="shared" si="65"/>
        <v>0</v>
      </c>
      <c r="NV4" s="52">
        <f t="shared" si="65"/>
        <v>0</v>
      </c>
      <c r="NW4" s="52">
        <f t="shared" si="65"/>
        <v>0</v>
      </c>
      <c r="NX4" s="52">
        <f t="shared" si="65"/>
        <v>0</v>
      </c>
      <c r="NY4" s="52">
        <f t="shared" si="65"/>
        <v>0</v>
      </c>
      <c r="NZ4" s="52">
        <f t="shared" si="65"/>
        <v>0</v>
      </c>
      <c r="OA4" s="52">
        <f t="shared" si="65"/>
        <v>0</v>
      </c>
      <c r="OB4" s="52">
        <f t="shared" si="65"/>
        <v>0</v>
      </c>
      <c r="OC4" s="52">
        <f t="shared" si="65"/>
        <v>0</v>
      </c>
      <c r="OD4" s="52">
        <f t="shared" si="65"/>
        <v>2</v>
      </c>
      <c r="OE4" s="52">
        <f t="shared" si="65"/>
        <v>2</v>
      </c>
      <c r="OF4" s="52">
        <f t="shared" si="65"/>
        <v>1</v>
      </c>
      <c r="OG4" s="52">
        <f t="shared" si="65"/>
        <v>1</v>
      </c>
      <c r="OH4" s="52">
        <f t="shared" si="65"/>
        <v>0</v>
      </c>
      <c r="OI4" s="52">
        <f t="shared" si="65"/>
        <v>0</v>
      </c>
      <c r="OJ4" s="52">
        <f t="shared" si="65"/>
        <v>2</v>
      </c>
      <c r="OK4" s="52">
        <f t="shared" si="65"/>
        <v>1</v>
      </c>
      <c r="OL4" s="52">
        <f t="shared" si="65"/>
        <v>0</v>
      </c>
      <c r="OM4" s="52">
        <f t="shared" si="65"/>
        <v>0</v>
      </c>
      <c r="ON4" s="52">
        <f t="shared" si="65"/>
        <v>1</v>
      </c>
      <c r="OO4" s="52">
        <f t="shared" si="65"/>
        <v>1</v>
      </c>
      <c r="OP4" s="52">
        <f t="shared" si="65"/>
        <v>0</v>
      </c>
      <c r="OQ4" s="52">
        <f t="shared" si="65"/>
        <v>0</v>
      </c>
      <c r="OR4" s="52">
        <f t="shared" si="65"/>
        <v>0</v>
      </c>
      <c r="OS4" s="52">
        <f t="shared" si="65"/>
        <v>0</v>
      </c>
      <c r="OT4" s="52">
        <f t="shared" si="65"/>
        <v>0</v>
      </c>
      <c r="OU4" s="52">
        <f t="shared" si="65"/>
        <v>0</v>
      </c>
      <c r="OV4" s="52">
        <f t="shared" si="65"/>
        <v>0</v>
      </c>
      <c r="OW4" s="52">
        <f t="shared" si="65"/>
        <v>0</v>
      </c>
      <c r="OX4" s="52">
        <f t="shared" si="65"/>
        <v>0</v>
      </c>
      <c r="OY4" s="52">
        <f t="shared" si="65"/>
        <v>0</v>
      </c>
      <c r="OZ4" s="52">
        <f t="shared" si="65"/>
        <v>0</v>
      </c>
      <c r="PA4" s="52">
        <f t="shared" si="65"/>
        <v>0</v>
      </c>
      <c r="PB4" s="52">
        <f t="shared" si="65"/>
        <v>0</v>
      </c>
      <c r="PC4" s="52">
        <f t="shared" si="65"/>
        <v>0</v>
      </c>
      <c r="PD4" s="52">
        <f t="shared" si="65"/>
        <v>0</v>
      </c>
      <c r="PE4" s="52">
        <f t="shared" si="65"/>
        <v>0</v>
      </c>
      <c r="PF4" s="52">
        <f t="shared" si="65"/>
        <v>0</v>
      </c>
      <c r="PG4" s="52">
        <f t="shared" si="65"/>
        <v>0</v>
      </c>
      <c r="PH4" s="52">
        <f t="shared" si="65"/>
        <v>0</v>
      </c>
      <c r="PI4" s="52">
        <f t="shared" si="65"/>
        <v>17</v>
      </c>
      <c r="PJ4" s="52">
        <f t="shared" si="65"/>
        <v>9</v>
      </c>
      <c r="PK4" s="52">
        <f t="shared" si="65"/>
        <v>10</v>
      </c>
      <c r="PL4" s="52">
        <f t="shared" si="65"/>
        <v>10</v>
      </c>
      <c r="PM4" s="52">
        <f t="shared" si="65"/>
        <v>13</v>
      </c>
      <c r="PN4" s="52">
        <f t="shared" si="65"/>
        <v>13</v>
      </c>
      <c r="PO4" s="52">
        <f t="shared" si="65"/>
        <v>8</v>
      </c>
      <c r="PP4" s="52">
        <f t="shared" si="65"/>
        <v>6</v>
      </c>
      <c r="PQ4" s="52">
        <f t="shared" si="65"/>
        <v>6</v>
      </c>
      <c r="PR4" s="52">
        <f t="shared" si="65"/>
        <v>3</v>
      </c>
      <c r="PS4" s="52">
        <f t="shared" si="65"/>
        <v>4</v>
      </c>
      <c r="PT4" s="52">
        <f t="shared" si="65"/>
        <v>4</v>
      </c>
      <c r="PU4" s="52">
        <f t="shared" ref="PU4:SF4" si="66">SUBTOTAL(9,PU6:PU554)</f>
        <v>3</v>
      </c>
      <c r="PV4" s="52">
        <f t="shared" si="66"/>
        <v>0</v>
      </c>
      <c r="PW4" s="52">
        <f t="shared" si="66"/>
        <v>1</v>
      </c>
      <c r="PX4" s="52">
        <f t="shared" si="66"/>
        <v>1</v>
      </c>
      <c r="PY4" s="52">
        <f t="shared" si="66"/>
        <v>0</v>
      </c>
      <c r="PZ4" s="52">
        <f t="shared" si="66"/>
        <v>0</v>
      </c>
      <c r="QA4" s="52">
        <f t="shared" si="66"/>
        <v>0</v>
      </c>
      <c r="QB4" s="52">
        <f t="shared" si="66"/>
        <v>0</v>
      </c>
      <c r="QC4" s="52">
        <f t="shared" si="66"/>
        <v>0</v>
      </c>
      <c r="QD4" s="52">
        <f t="shared" si="66"/>
        <v>0</v>
      </c>
      <c r="QE4" s="52">
        <f t="shared" si="66"/>
        <v>0</v>
      </c>
      <c r="QF4" s="52">
        <f t="shared" si="66"/>
        <v>0</v>
      </c>
      <c r="QG4" s="52">
        <f t="shared" si="66"/>
        <v>0</v>
      </c>
      <c r="QH4" s="52">
        <f t="shared" si="66"/>
        <v>0</v>
      </c>
      <c r="QI4" s="52">
        <f t="shared" si="66"/>
        <v>0</v>
      </c>
      <c r="QJ4" s="52">
        <f t="shared" si="66"/>
        <v>0</v>
      </c>
      <c r="QK4" s="52">
        <f t="shared" si="66"/>
        <v>0</v>
      </c>
      <c r="QL4" s="52">
        <f t="shared" si="66"/>
        <v>0</v>
      </c>
      <c r="QM4" s="52">
        <f t="shared" si="66"/>
        <v>0</v>
      </c>
      <c r="QN4" s="52">
        <f t="shared" si="66"/>
        <v>2</v>
      </c>
      <c r="QO4" s="52">
        <f t="shared" si="66"/>
        <v>0</v>
      </c>
      <c r="QP4" s="52">
        <f t="shared" si="66"/>
        <v>1</v>
      </c>
      <c r="QQ4" s="52">
        <f t="shared" si="66"/>
        <v>1</v>
      </c>
      <c r="QR4" s="52">
        <f t="shared" si="66"/>
        <v>0</v>
      </c>
      <c r="QS4" s="52">
        <f t="shared" si="66"/>
        <v>0</v>
      </c>
      <c r="QT4" s="52">
        <f t="shared" si="66"/>
        <v>2</v>
      </c>
      <c r="QU4" s="52">
        <f t="shared" si="66"/>
        <v>1</v>
      </c>
      <c r="QV4" s="52">
        <f t="shared" si="66"/>
        <v>0</v>
      </c>
      <c r="QW4" s="52">
        <f t="shared" si="66"/>
        <v>1</v>
      </c>
      <c r="QX4" s="52">
        <f t="shared" si="66"/>
        <v>0</v>
      </c>
      <c r="QY4" s="52">
        <f t="shared" si="66"/>
        <v>0</v>
      </c>
      <c r="QZ4" s="52">
        <f t="shared" si="66"/>
        <v>0</v>
      </c>
      <c r="RA4" s="52">
        <f t="shared" si="66"/>
        <v>0</v>
      </c>
      <c r="RB4" s="52">
        <f t="shared" si="66"/>
        <v>0</v>
      </c>
      <c r="RC4" s="52">
        <f t="shared" si="66"/>
        <v>0</v>
      </c>
      <c r="RD4" s="52">
        <f t="shared" si="66"/>
        <v>0</v>
      </c>
      <c r="RE4" s="52">
        <f t="shared" si="66"/>
        <v>0</v>
      </c>
      <c r="RF4" s="52">
        <f t="shared" si="66"/>
        <v>0</v>
      </c>
      <c r="RG4" s="52">
        <f t="shared" si="66"/>
        <v>0</v>
      </c>
      <c r="RH4" s="52">
        <f t="shared" si="66"/>
        <v>0</v>
      </c>
      <c r="RI4" s="52">
        <f t="shared" si="66"/>
        <v>0</v>
      </c>
      <c r="RJ4" s="52">
        <f t="shared" si="66"/>
        <v>0</v>
      </c>
      <c r="RK4" s="52">
        <f t="shared" si="66"/>
        <v>0</v>
      </c>
      <c r="RL4" s="52">
        <f t="shared" si="66"/>
        <v>0</v>
      </c>
      <c r="RM4" s="52">
        <f t="shared" si="66"/>
        <v>0</v>
      </c>
      <c r="RN4" s="52">
        <f t="shared" si="66"/>
        <v>0</v>
      </c>
      <c r="RO4" s="52">
        <f t="shared" si="66"/>
        <v>0</v>
      </c>
      <c r="RP4" s="52">
        <f t="shared" si="66"/>
        <v>0</v>
      </c>
      <c r="RQ4" s="52">
        <f t="shared" si="66"/>
        <v>0</v>
      </c>
      <c r="RR4" s="52">
        <f t="shared" si="66"/>
        <v>0</v>
      </c>
      <c r="RS4" s="52">
        <f t="shared" si="66"/>
        <v>24</v>
      </c>
      <c r="RT4" s="52">
        <f t="shared" si="66"/>
        <v>7</v>
      </c>
      <c r="RU4" s="52">
        <f t="shared" si="66"/>
        <v>16</v>
      </c>
      <c r="RV4" s="52">
        <f t="shared" si="66"/>
        <v>11</v>
      </c>
      <c r="RW4" s="52">
        <f t="shared" si="66"/>
        <v>6</v>
      </c>
      <c r="RX4" s="52">
        <f t="shared" si="66"/>
        <v>14</v>
      </c>
      <c r="RY4" s="52">
        <f t="shared" si="66"/>
        <v>15</v>
      </c>
      <c r="RZ4" s="52">
        <f t="shared" si="66"/>
        <v>11</v>
      </c>
      <c r="SA4" s="52">
        <f t="shared" si="66"/>
        <v>7</v>
      </c>
      <c r="SB4" s="52">
        <f t="shared" si="66"/>
        <v>10</v>
      </c>
      <c r="SC4" s="52">
        <f t="shared" si="66"/>
        <v>3</v>
      </c>
      <c r="SD4" s="52">
        <f t="shared" si="66"/>
        <v>6</v>
      </c>
      <c r="SE4" s="52">
        <f t="shared" si="66"/>
        <v>1</v>
      </c>
      <c r="SF4" s="52">
        <f t="shared" si="66"/>
        <v>1</v>
      </c>
      <c r="SG4" s="52">
        <f t="shared" ref="SG4:UR4" si="67">SUBTOTAL(9,SG6:SG554)</f>
        <v>1</v>
      </c>
      <c r="SH4" s="52">
        <f t="shared" si="67"/>
        <v>0</v>
      </c>
      <c r="SI4" s="52">
        <f t="shared" si="67"/>
        <v>0</v>
      </c>
      <c r="SJ4" s="52">
        <f t="shared" si="67"/>
        <v>0</v>
      </c>
      <c r="SK4" s="52">
        <f t="shared" si="67"/>
        <v>0</v>
      </c>
      <c r="SL4" s="52">
        <f t="shared" si="67"/>
        <v>0</v>
      </c>
      <c r="SM4" s="52">
        <f t="shared" si="67"/>
        <v>0</v>
      </c>
      <c r="SN4" s="52">
        <f t="shared" si="67"/>
        <v>0</v>
      </c>
      <c r="SO4" s="52">
        <f t="shared" si="67"/>
        <v>0</v>
      </c>
      <c r="SP4" s="52">
        <f t="shared" si="67"/>
        <v>0</v>
      </c>
      <c r="SQ4" s="52">
        <f t="shared" si="67"/>
        <v>0</v>
      </c>
      <c r="SR4" s="52">
        <f t="shared" si="67"/>
        <v>0</v>
      </c>
      <c r="SS4" s="52">
        <f t="shared" si="67"/>
        <v>0</v>
      </c>
      <c r="ST4" s="52">
        <f t="shared" si="67"/>
        <v>0</v>
      </c>
      <c r="SU4" s="52">
        <f t="shared" si="67"/>
        <v>0</v>
      </c>
      <c r="SV4" s="52">
        <f t="shared" si="67"/>
        <v>0</v>
      </c>
      <c r="SW4" s="52">
        <f t="shared" si="67"/>
        <v>0</v>
      </c>
      <c r="SX4" s="52">
        <f t="shared" si="67"/>
        <v>0</v>
      </c>
      <c r="SY4" s="52">
        <f t="shared" si="67"/>
        <v>0</v>
      </c>
      <c r="SZ4" s="52">
        <f t="shared" si="67"/>
        <v>0</v>
      </c>
      <c r="TA4" s="52">
        <f t="shared" si="67"/>
        <v>0</v>
      </c>
      <c r="TB4" s="52">
        <f t="shared" si="67"/>
        <v>0</v>
      </c>
      <c r="TC4" s="52">
        <f t="shared" si="67"/>
        <v>0</v>
      </c>
      <c r="TD4" s="52">
        <f t="shared" si="67"/>
        <v>0</v>
      </c>
      <c r="TE4" s="52">
        <f t="shared" si="67"/>
        <v>0</v>
      </c>
      <c r="TF4" s="52">
        <f t="shared" si="67"/>
        <v>0</v>
      </c>
      <c r="TG4" s="52">
        <f t="shared" si="67"/>
        <v>0</v>
      </c>
      <c r="TH4" s="52">
        <f t="shared" si="67"/>
        <v>0</v>
      </c>
      <c r="TI4" s="52">
        <f t="shared" si="67"/>
        <v>0</v>
      </c>
      <c r="TJ4" s="52">
        <f t="shared" si="67"/>
        <v>0</v>
      </c>
      <c r="TK4" s="52">
        <f t="shared" si="67"/>
        <v>0</v>
      </c>
      <c r="TL4" s="52">
        <f t="shared" si="67"/>
        <v>0</v>
      </c>
      <c r="TM4" s="52">
        <f t="shared" si="67"/>
        <v>0</v>
      </c>
      <c r="TN4" s="52">
        <f t="shared" si="67"/>
        <v>0</v>
      </c>
      <c r="TO4" s="52">
        <f t="shared" si="67"/>
        <v>0</v>
      </c>
      <c r="TP4" s="52">
        <f t="shared" si="67"/>
        <v>0</v>
      </c>
      <c r="TQ4" s="52">
        <f t="shared" si="67"/>
        <v>0</v>
      </c>
      <c r="TR4" s="52">
        <f t="shared" si="67"/>
        <v>0</v>
      </c>
      <c r="TS4" s="52">
        <f t="shared" si="67"/>
        <v>0</v>
      </c>
      <c r="TT4" s="52">
        <f t="shared" si="67"/>
        <v>0</v>
      </c>
      <c r="TU4" s="52">
        <f t="shared" si="67"/>
        <v>0</v>
      </c>
      <c r="TV4" s="52">
        <f t="shared" si="67"/>
        <v>0</v>
      </c>
      <c r="TW4" s="52">
        <f t="shared" si="67"/>
        <v>0</v>
      </c>
      <c r="TX4" s="52">
        <f t="shared" si="67"/>
        <v>0</v>
      </c>
      <c r="TY4" s="52">
        <f t="shared" si="67"/>
        <v>0</v>
      </c>
      <c r="TZ4" s="52">
        <f t="shared" si="67"/>
        <v>0</v>
      </c>
      <c r="UA4" s="52">
        <f t="shared" si="67"/>
        <v>0</v>
      </c>
      <c r="UB4" s="52">
        <f t="shared" si="67"/>
        <v>0</v>
      </c>
      <c r="UC4" s="52">
        <f t="shared" si="67"/>
        <v>0</v>
      </c>
      <c r="UD4" s="52">
        <f t="shared" si="67"/>
        <v>0</v>
      </c>
      <c r="UE4" s="52">
        <f t="shared" si="67"/>
        <v>0</v>
      </c>
      <c r="UF4" s="52">
        <f t="shared" si="67"/>
        <v>0</v>
      </c>
      <c r="UG4" s="52">
        <f t="shared" si="67"/>
        <v>0</v>
      </c>
      <c r="UH4" s="52">
        <f t="shared" si="67"/>
        <v>0</v>
      </c>
      <c r="UI4" s="52">
        <f t="shared" si="67"/>
        <v>0</v>
      </c>
      <c r="UJ4" s="52">
        <f t="shared" si="67"/>
        <v>0</v>
      </c>
      <c r="UK4" s="52">
        <f t="shared" si="67"/>
        <v>0</v>
      </c>
      <c r="UL4" s="52">
        <f t="shared" si="67"/>
        <v>0</v>
      </c>
      <c r="UM4" s="52">
        <f t="shared" si="67"/>
        <v>0</v>
      </c>
      <c r="UN4" s="52">
        <f t="shared" si="67"/>
        <v>0</v>
      </c>
      <c r="UO4" s="52">
        <f t="shared" si="67"/>
        <v>0</v>
      </c>
      <c r="UP4" s="52">
        <f t="shared" si="67"/>
        <v>0</v>
      </c>
      <c r="UQ4" s="52">
        <f t="shared" si="67"/>
        <v>0</v>
      </c>
      <c r="UR4" s="52">
        <f t="shared" si="67"/>
        <v>0</v>
      </c>
      <c r="US4" s="52">
        <f t="shared" ref="US4:XD4" si="68">SUBTOTAL(9,US6:US554)</f>
        <v>0</v>
      </c>
      <c r="UT4" s="52">
        <f t="shared" si="68"/>
        <v>0</v>
      </c>
      <c r="UU4" s="52">
        <f t="shared" si="68"/>
        <v>0</v>
      </c>
      <c r="UV4" s="52">
        <f t="shared" si="68"/>
        <v>0</v>
      </c>
      <c r="UW4" s="52">
        <f t="shared" si="68"/>
        <v>0</v>
      </c>
      <c r="UX4" s="52">
        <f t="shared" si="68"/>
        <v>0</v>
      </c>
      <c r="UY4" s="52">
        <f t="shared" si="68"/>
        <v>0</v>
      </c>
      <c r="UZ4" s="52">
        <f t="shared" si="68"/>
        <v>0</v>
      </c>
      <c r="VA4" s="52">
        <f t="shared" si="68"/>
        <v>0</v>
      </c>
      <c r="VB4" s="52">
        <f t="shared" si="68"/>
        <v>0</v>
      </c>
      <c r="VC4" s="52">
        <f t="shared" si="68"/>
        <v>0</v>
      </c>
      <c r="VD4" s="52">
        <f t="shared" si="68"/>
        <v>0</v>
      </c>
      <c r="VE4" s="52">
        <f t="shared" si="68"/>
        <v>0</v>
      </c>
      <c r="VF4" s="52">
        <f t="shared" si="68"/>
        <v>0</v>
      </c>
      <c r="VG4" s="52">
        <f t="shared" si="68"/>
        <v>0</v>
      </c>
      <c r="VH4" s="52">
        <f t="shared" si="68"/>
        <v>0</v>
      </c>
      <c r="VI4" s="52">
        <f t="shared" si="68"/>
        <v>0</v>
      </c>
      <c r="VJ4" s="52">
        <f t="shared" si="68"/>
        <v>0</v>
      </c>
      <c r="VK4" s="52">
        <f t="shared" si="68"/>
        <v>0</v>
      </c>
      <c r="VL4" s="52">
        <f t="shared" si="68"/>
        <v>0</v>
      </c>
      <c r="VM4" s="52">
        <f t="shared" si="68"/>
        <v>0</v>
      </c>
      <c r="VN4" s="52">
        <f t="shared" si="68"/>
        <v>0</v>
      </c>
      <c r="VO4" s="52">
        <f t="shared" si="68"/>
        <v>0</v>
      </c>
      <c r="VP4" s="52">
        <f t="shared" si="68"/>
        <v>0</v>
      </c>
      <c r="VQ4" s="52">
        <f t="shared" si="68"/>
        <v>0</v>
      </c>
      <c r="VR4" s="52">
        <f t="shared" si="68"/>
        <v>0</v>
      </c>
      <c r="VS4" s="52">
        <f t="shared" si="68"/>
        <v>0</v>
      </c>
      <c r="VT4" s="52">
        <f t="shared" si="68"/>
        <v>0</v>
      </c>
      <c r="VU4" s="52">
        <f t="shared" si="68"/>
        <v>0</v>
      </c>
      <c r="VV4" s="52">
        <f t="shared" si="68"/>
        <v>0</v>
      </c>
      <c r="VW4" s="52">
        <f t="shared" si="68"/>
        <v>0</v>
      </c>
      <c r="VX4" s="52">
        <f t="shared" si="68"/>
        <v>0</v>
      </c>
      <c r="VY4" s="52">
        <f t="shared" si="68"/>
        <v>0</v>
      </c>
      <c r="VZ4" s="52">
        <f t="shared" si="68"/>
        <v>0</v>
      </c>
      <c r="WA4" s="52">
        <f t="shared" si="68"/>
        <v>0</v>
      </c>
      <c r="WB4" s="52">
        <f t="shared" si="68"/>
        <v>0</v>
      </c>
      <c r="WC4" s="52">
        <f t="shared" si="68"/>
        <v>0</v>
      </c>
      <c r="WD4" s="52">
        <f t="shared" si="68"/>
        <v>0</v>
      </c>
      <c r="WE4" s="52">
        <f t="shared" si="68"/>
        <v>0</v>
      </c>
      <c r="WF4" s="52">
        <f t="shared" si="68"/>
        <v>0</v>
      </c>
      <c r="WG4" s="52">
        <f t="shared" si="68"/>
        <v>0</v>
      </c>
      <c r="WH4" s="52">
        <f t="shared" si="68"/>
        <v>0</v>
      </c>
      <c r="WI4" s="52">
        <f t="shared" si="68"/>
        <v>0</v>
      </c>
      <c r="WJ4" s="52">
        <f t="shared" si="68"/>
        <v>0</v>
      </c>
      <c r="WK4" s="52">
        <f t="shared" si="68"/>
        <v>0</v>
      </c>
      <c r="WL4" s="52">
        <f t="shared" si="68"/>
        <v>0</v>
      </c>
      <c r="WM4" s="52">
        <f t="shared" si="68"/>
        <v>14</v>
      </c>
      <c r="WN4" s="52">
        <f t="shared" si="68"/>
        <v>7</v>
      </c>
      <c r="WO4" s="52">
        <f t="shared" si="68"/>
        <v>5</v>
      </c>
      <c r="WP4" s="52">
        <f t="shared" si="68"/>
        <v>5</v>
      </c>
      <c r="WQ4" s="52">
        <f t="shared" si="68"/>
        <v>7</v>
      </c>
      <c r="WR4" s="52">
        <f t="shared" si="68"/>
        <v>4</v>
      </c>
      <c r="WS4" s="52">
        <f t="shared" si="68"/>
        <v>6</v>
      </c>
      <c r="WT4" s="52">
        <f t="shared" si="68"/>
        <v>4</v>
      </c>
      <c r="WU4" s="52">
        <f t="shared" si="68"/>
        <v>11</v>
      </c>
      <c r="WV4" s="52">
        <f t="shared" si="68"/>
        <v>4</v>
      </c>
      <c r="WW4" s="52">
        <f t="shared" si="68"/>
        <v>13</v>
      </c>
      <c r="WX4" s="52">
        <f t="shared" si="68"/>
        <v>6</v>
      </c>
      <c r="WY4" s="52">
        <f t="shared" si="68"/>
        <v>0</v>
      </c>
      <c r="WZ4" s="52">
        <f t="shared" si="68"/>
        <v>1</v>
      </c>
      <c r="XA4" s="52">
        <f t="shared" si="68"/>
        <v>0</v>
      </c>
      <c r="XB4" s="52">
        <f t="shared" si="68"/>
        <v>3</v>
      </c>
      <c r="XC4" s="52">
        <f t="shared" si="68"/>
        <v>1</v>
      </c>
      <c r="XD4" s="52">
        <f t="shared" si="68"/>
        <v>0</v>
      </c>
      <c r="XE4" s="52">
        <f t="shared" ref="XE4:ZP4" si="69">SUBTOTAL(9,XE6:XE554)</f>
        <v>0</v>
      </c>
      <c r="XF4" s="52">
        <f t="shared" si="69"/>
        <v>0</v>
      </c>
      <c r="XG4" s="52">
        <f t="shared" si="69"/>
        <v>0</v>
      </c>
      <c r="XH4" s="52">
        <f t="shared" si="69"/>
        <v>0</v>
      </c>
      <c r="XI4" s="52">
        <f t="shared" si="69"/>
        <v>0</v>
      </c>
      <c r="XJ4" s="52">
        <f t="shared" si="69"/>
        <v>0</v>
      </c>
      <c r="XK4" s="52">
        <f t="shared" si="69"/>
        <v>0</v>
      </c>
      <c r="XL4" s="52">
        <f t="shared" si="69"/>
        <v>0</v>
      </c>
      <c r="XM4" s="52">
        <f t="shared" si="69"/>
        <v>0</v>
      </c>
      <c r="XN4" s="52">
        <f t="shared" si="69"/>
        <v>0</v>
      </c>
      <c r="XO4" s="52">
        <f t="shared" si="69"/>
        <v>0</v>
      </c>
      <c r="XP4" s="52">
        <f t="shared" si="69"/>
        <v>0</v>
      </c>
      <c r="XQ4" s="52">
        <f t="shared" si="69"/>
        <v>0</v>
      </c>
      <c r="XR4" s="52">
        <f t="shared" si="69"/>
        <v>2</v>
      </c>
      <c r="XS4" s="52">
        <f t="shared" si="69"/>
        <v>1</v>
      </c>
      <c r="XT4" s="52">
        <f t="shared" si="69"/>
        <v>2</v>
      </c>
      <c r="XU4" s="52">
        <f t="shared" si="69"/>
        <v>1</v>
      </c>
      <c r="XV4" s="52">
        <f t="shared" si="69"/>
        <v>0</v>
      </c>
      <c r="XW4" s="52">
        <f t="shared" si="69"/>
        <v>2</v>
      </c>
      <c r="XX4" s="52">
        <f t="shared" si="69"/>
        <v>1</v>
      </c>
      <c r="XY4" s="52">
        <f t="shared" si="69"/>
        <v>1</v>
      </c>
      <c r="XZ4" s="52">
        <f t="shared" si="69"/>
        <v>0</v>
      </c>
      <c r="YA4" s="52">
        <f t="shared" si="69"/>
        <v>1</v>
      </c>
      <c r="YB4" s="52">
        <f t="shared" si="69"/>
        <v>0</v>
      </c>
      <c r="YC4" s="52">
        <f t="shared" si="69"/>
        <v>1</v>
      </c>
      <c r="YD4" s="52">
        <f t="shared" si="69"/>
        <v>0</v>
      </c>
      <c r="YE4" s="52">
        <f t="shared" si="69"/>
        <v>0</v>
      </c>
      <c r="YF4" s="52">
        <f t="shared" si="69"/>
        <v>0</v>
      </c>
      <c r="YG4" s="52">
        <f t="shared" si="69"/>
        <v>0</v>
      </c>
      <c r="YH4" s="52">
        <f t="shared" si="69"/>
        <v>0</v>
      </c>
      <c r="YI4" s="52">
        <f t="shared" si="69"/>
        <v>0</v>
      </c>
      <c r="YJ4" s="52">
        <f t="shared" si="69"/>
        <v>0</v>
      </c>
      <c r="YK4" s="52">
        <f t="shared" si="69"/>
        <v>0</v>
      </c>
      <c r="YL4" s="52">
        <f t="shared" si="69"/>
        <v>0</v>
      </c>
      <c r="YM4" s="52">
        <f t="shared" si="69"/>
        <v>0</v>
      </c>
      <c r="YN4" s="52">
        <f t="shared" si="69"/>
        <v>0</v>
      </c>
      <c r="YO4" s="52">
        <f t="shared" si="69"/>
        <v>0</v>
      </c>
      <c r="YP4" s="52">
        <f t="shared" si="69"/>
        <v>0</v>
      </c>
      <c r="YQ4" s="52">
        <f t="shared" si="69"/>
        <v>0</v>
      </c>
      <c r="YR4" s="52">
        <f t="shared" si="69"/>
        <v>0</v>
      </c>
      <c r="YS4" s="52">
        <f t="shared" si="69"/>
        <v>0</v>
      </c>
      <c r="YT4" s="52">
        <f t="shared" si="69"/>
        <v>0</v>
      </c>
      <c r="YU4" s="52">
        <f t="shared" si="69"/>
        <v>0</v>
      </c>
      <c r="YV4" s="52">
        <f t="shared" si="69"/>
        <v>0</v>
      </c>
      <c r="YW4" s="52">
        <f t="shared" si="69"/>
        <v>12</v>
      </c>
      <c r="YX4" s="52">
        <f t="shared" si="69"/>
        <v>7</v>
      </c>
      <c r="YY4" s="52">
        <f t="shared" si="69"/>
        <v>6</v>
      </c>
      <c r="YZ4" s="52">
        <f t="shared" si="69"/>
        <v>11</v>
      </c>
      <c r="ZA4" s="52">
        <f t="shared" si="69"/>
        <v>1</v>
      </c>
      <c r="ZB4" s="52">
        <f t="shared" si="69"/>
        <v>12</v>
      </c>
      <c r="ZC4" s="52">
        <f t="shared" si="69"/>
        <v>5</v>
      </c>
      <c r="ZD4" s="52">
        <f t="shared" si="69"/>
        <v>6</v>
      </c>
      <c r="ZE4" s="52">
        <f t="shared" si="69"/>
        <v>6</v>
      </c>
      <c r="ZF4" s="52">
        <f t="shared" si="69"/>
        <v>1</v>
      </c>
      <c r="ZG4" s="52">
        <f t="shared" si="69"/>
        <v>0</v>
      </c>
      <c r="ZH4" s="52">
        <f t="shared" si="69"/>
        <v>0</v>
      </c>
      <c r="ZI4" s="52">
        <f t="shared" si="69"/>
        <v>2</v>
      </c>
      <c r="ZJ4" s="52">
        <f t="shared" si="69"/>
        <v>0</v>
      </c>
      <c r="ZK4" s="52">
        <f t="shared" si="69"/>
        <v>1</v>
      </c>
      <c r="ZL4" s="52">
        <f t="shared" si="69"/>
        <v>0</v>
      </c>
      <c r="ZM4" s="52">
        <f t="shared" si="69"/>
        <v>2</v>
      </c>
      <c r="ZN4" s="52">
        <f t="shared" si="69"/>
        <v>1</v>
      </c>
      <c r="ZO4" s="52">
        <f t="shared" si="69"/>
        <v>0</v>
      </c>
      <c r="ZP4" s="52">
        <f t="shared" si="69"/>
        <v>0</v>
      </c>
      <c r="ZQ4" s="52">
        <f t="shared" ref="ZQ4:ACB4" si="70">SUBTOTAL(9,ZQ6:ZQ554)</f>
        <v>0</v>
      </c>
      <c r="ZR4" s="52">
        <f t="shared" si="70"/>
        <v>0</v>
      </c>
      <c r="ZS4" s="52">
        <f t="shared" si="70"/>
        <v>0</v>
      </c>
      <c r="ZT4" s="52">
        <f t="shared" si="70"/>
        <v>0</v>
      </c>
      <c r="ZU4" s="52">
        <f t="shared" si="70"/>
        <v>0</v>
      </c>
      <c r="ZV4" s="52">
        <f t="shared" si="70"/>
        <v>0</v>
      </c>
      <c r="ZW4" s="52">
        <f t="shared" si="70"/>
        <v>0</v>
      </c>
      <c r="ZX4" s="52">
        <f t="shared" si="70"/>
        <v>0</v>
      </c>
      <c r="ZY4" s="52">
        <f t="shared" si="70"/>
        <v>0</v>
      </c>
      <c r="ZZ4" s="52">
        <f t="shared" si="70"/>
        <v>0</v>
      </c>
      <c r="AAA4" s="52">
        <f t="shared" si="70"/>
        <v>0</v>
      </c>
      <c r="AAB4" s="52">
        <f t="shared" si="70"/>
        <v>2</v>
      </c>
      <c r="AAC4" s="52">
        <f t="shared" si="70"/>
        <v>0</v>
      </c>
      <c r="AAD4" s="52">
        <f t="shared" si="70"/>
        <v>1</v>
      </c>
      <c r="AAE4" s="52">
        <f t="shared" si="70"/>
        <v>2</v>
      </c>
      <c r="AAF4" s="52">
        <f t="shared" si="70"/>
        <v>0</v>
      </c>
      <c r="AAG4" s="52">
        <f t="shared" si="70"/>
        <v>0</v>
      </c>
      <c r="AAH4" s="52">
        <f t="shared" si="70"/>
        <v>0</v>
      </c>
      <c r="AAI4" s="52">
        <f t="shared" si="70"/>
        <v>1</v>
      </c>
      <c r="AAJ4" s="52">
        <f t="shared" si="70"/>
        <v>1</v>
      </c>
      <c r="AAK4" s="52">
        <f t="shared" si="70"/>
        <v>1</v>
      </c>
      <c r="AAL4" s="52">
        <f t="shared" si="70"/>
        <v>0</v>
      </c>
      <c r="AAM4" s="52">
        <f t="shared" si="70"/>
        <v>0</v>
      </c>
      <c r="AAN4" s="52">
        <f t="shared" si="70"/>
        <v>0</v>
      </c>
      <c r="AAO4" s="52">
        <f t="shared" si="70"/>
        <v>0</v>
      </c>
      <c r="AAP4" s="52">
        <f t="shared" si="70"/>
        <v>0</v>
      </c>
      <c r="AAQ4" s="52">
        <f t="shared" si="70"/>
        <v>0</v>
      </c>
      <c r="AAR4" s="52">
        <f t="shared" si="70"/>
        <v>0</v>
      </c>
      <c r="AAS4" s="52">
        <f t="shared" si="70"/>
        <v>0</v>
      </c>
      <c r="AAT4" s="52">
        <f t="shared" si="70"/>
        <v>0</v>
      </c>
      <c r="AAU4" s="52">
        <f t="shared" si="70"/>
        <v>0</v>
      </c>
      <c r="AAV4" s="52">
        <f t="shared" si="70"/>
        <v>0</v>
      </c>
      <c r="AAW4" s="52">
        <f t="shared" si="70"/>
        <v>0</v>
      </c>
      <c r="AAX4" s="52">
        <f t="shared" si="70"/>
        <v>0</v>
      </c>
      <c r="AAY4" s="52">
        <f t="shared" si="70"/>
        <v>0</v>
      </c>
      <c r="AAZ4" s="52">
        <f t="shared" si="70"/>
        <v>0</v>
      </c>
      <c r="ABA4" s="52">
        <f t="shared" si="70"/>
        <v>0</v>
      </c>
      <c r="ABB4" s="52">
        <f t="shared" si="70"/>
        <v>0</v>
      </c>
      <c r="ABC4" s="52">
        <f t="shared" si="70"/>
        <v>0</v>
      </c>
      <c r="ABD4" s="52">
        <f t="shared" si="70"/>
        <v>0</v>
      </c>
      <c r="ABE4" s="52">
        <f t="shared" si="70"/>
        <v>0</v>
      </c>
      <c r="ABF4" s="52">
        <f t="shared" si="70"/>
        <v>0</v>
      </c>
      <c r="ABG4" s="52">
        <f t="shared" si="70"/>
        <v>18</v>
      </c>
      <c r="ABH4" s="52">
        <f t="shared" si="70"/>
        <v>6</v>
      </c>
      <c r="ABI4" s="52">
        <f t="shared" si="70"/>
        <v>12</v>
      </c>
      <c r="ABJ4" s="52">
        <f t="shared" si="70"/>
        <v>8</v>
      </c>
      <c r="ABK4" s="52">
        <f t="shared" si="70"/>
        <v>7</v>
      </c>
      <c r="ABL4" s="52">
        <f t="shared" si="70"/>
        <v>2</v>
      </c>
      <c r="ABM4" s="52">
        <f t="shared" si="70"/>
        <v>16</v>
      </c>
      <c r="ABN4" s="52">
        <f t="shared" si="70"/>
        <v>3</v>
      </c>
      <c r="ABO4" s="52">
        <f t="shared" si="70"/>
        <v>6</v>
      </c>
      <c r="ABP4" s="52">
        <f t="shared" si="70"/>
        <v>4</v>
      </c>
      <c r="ABQ4" s="52">
        <f t="shared" si="70"/>
        <v>3</v>
      </c>
      <c r="ABR4" s="52">
        <f t="shared" si="70"/>
        <v>1</v>
      </c>
      <c r="ABS4" s="52">
        <f t="shared" si="70"/>
        <v>8</v>
      </c>
      <c r="ABT4" s="52">
        <f t="shared" si="70"/>
        <v>5</v>
      </c>
      <c r="ABU4" s="52">
        <f t="shared" si="70"/>
        <v>8</v>
      </c>
      <c r="ABV4" s="52">
        <f t="shared" si="70"/>
        <v>0</v>
      </c>
      <c r="ABW4" s="52">
        <f t="shared" si="70"/>
        <v>0</v>
      </c>
      <c r="ABX4" s="52">
        <f t="shared" si="70"/>
        <v>2</v>
      </c>
      <c r="ABY4" s="52">
        <f t="shared" si="70"/>
        <v>2</v>
      </c>
      <c r="ABZ4" s="52">
        <f t="shared" si="70"/>
        <v>0</v>
      </c>
      <c r="ACA4" s="52">
        <f t="shared" si="70"/>
        <v>0</v>
      </c>
      <c r="ACB4" s="52">
        <f t="shared" si="70"/>
        <v>0</v>
      </c>
      <c r="ACC4" s="52">
        <f t="shared" ref="ACC4:AEN4" si="71">SUBTOTAL(9,ACC6:ACC554)</f>
        <v>0</v>
      </c>
      <c r="ACD4" s="52">
        <f t="shared" si="71"/>
        <v>0</v>
      </c>
      <c r="ACE4" s="52">
        <f t="shared" si="71"/>
        <v>0</v>
      </c>
      <c r="ACF4" s="52">
        <f t="shared" si="71"/>
        <v>0</v>
      </c>
      <c r="ACG4" s="52">
        <f t="shared" si="71"/>
        <v>0</v>
      </c>
      <c r="ACH4" s="52">
        <f t="shared" si="71"/>
        <v>0</v>
      </c>
      <c r="ACI4" s="52">
        <f t="shared" si="71"/>
        <v>0</v>
      </c>
      <c r="ACJ4" s="52">
        <f t="shared" si="71"/>
        <v>0</v>
      </c>
      <c r="ACK4" s="52">
        <f t="shared" si="71"/>
        <v>0</v>
      </c>
      <c r="ACL4" s="52">
        <f t="shared" si="71"/>
        <v>1</v>
      </c>
      <c r="ACM4" s="52">
        <f t="shared" si="71"/>
        <v>1</v>
      </c>
      <c r="ACN4" s="52">
        <f t="shared" si="71"/>
        <v>1</v>
      </c>
      <c r="ACO4" s="52">
        <f t="shared" si="71"/>
        <v>0</v>
      </c>
      <c r="ACP4" s="52">
        <f t="shared" si="71"/>
        <v>0</v>
      </c>
      <c r="ACQ4" s="52">
        <f t="shared" si="71"/>
        <v>1</v>
      </c>
      <c r="ACR4" s="52">
        <f t="shared" si="71"/>
        <v>0</v>
      </c>
      <c r="ACS4" s="52">
        <f t="shared" si="71"/>
        <v>0</v>
      </c>
      <c r="ACT4" s="52">
        <f t="shared" si="71"/>
        <v>0</v>
      </c>
      <c r="ACU4" s="52">
        <f t="shared" si="71"/>
        <v>0</v>
      </c>
      <c r="ACV4" s="52">
        <f t="shared" si="71"/>
        <v>0</v>
      </c>
      <c r="ACW4" s="52">
        <f t="shared" si="71"/>
        <v>0</v>
      </c>
      <c r="ACX4" s="52">
        <f t="shared" si="71"/>
        <v>0</v>
      </c>
      <c r="ACY4" s="52">
        <f t="shared" si="71"/>
        <v>0</v>
      </c>
      <c r="ACZ4" s="52">
        <f t="shared" si="71"/>
        <v>0</v>
      </c>
      <c r="ADA4" s="52">
        <f t="shared" si="71"/>
        <v>0</v>
      </c>
      <c r="ADB4" s="52">
        <f t="shared" si="71"/>
        <v>0</v>
      </c>
      <c r="ADC4" s="52">
        <f t="shared" si="71"/>
        <v>0</v>
      </c>
      <c r="ADD4" s="52">
        <f t="shared" si="71"/>
        <v>0</v>
      </c>
      <c r="ADE4" s="52">
        <f t="shared" si="71"/>
        <v>0</v>
      </c>
      <c r="ADF4" s="52">
        <f t="shared" si="71"/>
        <v>0</v>
      </c>
      <c r="ADG4" s="52">
        <f t="shared" si="71"/>
        <v>0</v>
      </c>
      <c r="ADH4" s="52">
        <f t="shared" si="71"/>
        <v>0</v>
      </c>
      <c r="ADI4" s="52">
        <f t="shared" si="71"/>
        <v>0</v>
      </c>
      <c r="ADJ4" s="52">
        <f t="shared" si="71"/>
        <v>0</v>
      </c>
      <c r="ADK4" s="52">
        <f t="shared" si="71"/>
        <v>0</v>
      </c>
      <c r="ADL4" s="52">
        <f t="shared" si="71"/>
        <v>0</v>
      </c>
      <c r="ADM4" s="52">
        <f t="shared" si="71"/>
        <v>0</v>
      </c>
      <c r="ADN4" s="52">
        <f t="shared" si="71"/>
        <v>0</v>
      </c>
      <c r="ADO4" s="52">
        <f t="shared" si="71"/>
        <v>0</v>
      </c>
      <c r="ADP4" s="52">
        <f t="shared" si="71"/>
        <v>0</v>
      </c>
      <c r="ADQ4" s="52">
        <f t="shared" si="71"/>
        <v>16</v>
      </c>
      <c r="ADR4" s="52">
        <f t="shared" si="71"/>
        <v>9</v>
      </c>
      <c r="ADS4" s="52">
        <f t="shared" si="71"/>
        <v>4</v>
      </c>
      <c r="ADT4" s="52">
        <f t="shared" si="71"/>
        <v>12</v>
      </c>
      <c r="ADU4" s="52">
        <f t="shared" si="71"/>
        <v>12</v>
      </c>
      <c r="ADV4" s="52">
        <f t="shared" si="71"/>
        <v>5</v>
      </c>
      <c r="ADW4" s="52">
        <f t="shared" si="71"/>
        <v>8</v>
      </c>
      <c r="ADX4" s="52">
        <f t="shared" si="71"/>
        <v>10</v>
      </c>
      <c r="ADY4" s="52">
        <f t="shared" si="71"/>
        <v>10</v>
      </c>
      <c r="ADZ4" s="52">
        <f t="shared" si="71"/>
        <v>5</v>
      </c>
      <c r="AEA4" s="52">
        <f t="shared" si="71"/>
        <v>10</v>
      </c>
      <c r="AEB4" s="52">
        <f t="shared" si="71"/>
        <v>9</v>
      </c>
      <c r="AEC4" s="52">
        <f t="shared" si="71"/>
        <v>5</v>
      </c>
      <c r="AED4" s="52">
        <f t="shared" si="71"/>
        <v>2</v>
      </c>
      <c r="AEE4" s="52">
        <f t="shared" si="71"/>
        <v>1</v>
      </c>
      <c r="AEF4" s="52">
        <f t="shared" si="71"/>
        <v>1</v>
      </c>
      <c r="AEG4" s="52">
        <f t="shared" si="71"/>
        <v>2</v>
      </c>
      <c r="AEH4" s="52">
        <f t="shared" si="71"/>
        <v>2</v>
      </c>
      <c r="AEI4" s="52">
        <f t="shared" si="71"/>
        <v>0</v>
      </c>
      <c r="AEJ4" s="52">
        <f t="shared" si="71"/>
        <v>0</v>
      </c>
      <c r="AEK4" s="52">
        <f t="shared" si="71"/>
        <v>0</v>
      </c>
      <c r="AEL4" s="52">
        <f t="shared" si="71"/>
        <v>0</v>
      </c>
      <c r="AEM4" s="52">
        <f t="shared" si="71"/>
        <v>0</v>
      </c>
      <c r="AEN4" s="52">
        <f t="shared" si="71"/>
        <v>0</v>
      </c>
      <c r="AEO4" s="52">
        <f t="shared" ref="AEO4:AGZ4" si="72">SUBTOTAL(9,AEO6:AEO554)</f>
        <v>0</v>
      </c>
      <c r="AEP4" s="52">
        <f t="shared" si="72"/>
        <v>0</v>
      </c>
      <c r="AEQ4" s="52">
        <f t="shared" si="72"/>
        <v>0</v>
      </c>
      <c r="AER4" s="52">
        <f t="shared" si="72"/>
        <v>0</v>
      </c>
      <c r="AES4" s="52">
        <f t="shared" si="72"/>
        <v>0</v>
      </c>
      <c r="AET4" s="52">
        <f t="shared" si="72"/>
        <v>0</v>
      </c>
      <c r="AEU4" s="52">
        <f t="shared" si="72"/>
        <v>0</v>
      </c>
      <c r="AEV4" s="52">
        <f t="shared" si="72"/>
        <v>2</v>
      </c>
      <c r="AEW4" s="52">
        <f t="shared" si="72"/>
        <v>1</v>
      </c>
      <c r="AEX4" s="52">
        <f t="shared" si="72"/>
        <v>1</v>
      </c>
      <c r="AEY4" s="52">
        <f t="shared" si="72"/>
        <v>1</v>
      </c>
      <c r="AEZ4" s="52">
        <f t="shared" si="72"/>
        <v>1</v>
      </c>
      <c r="AFA4" s="52">
        <f t="shared" si="72"/>
        <v>0</v>
      </c>
      <c r="AFB4" s="52">
        <f t="shared" si="72"/>
        <v>0</v>
      </c>
      <c r="AFC4" s="52">
        <f t="shared" si="72"/>
        <v>0</v>
      </c>
      <c r="AFD4" s="52">
        <f t="shared" si="72"/>
        <v>0</v>
      </c>
      <c r="AFE4" s="52">
        <f t="shared" si="72"/>
        <v>0</v>
      </c>
      <c r="AFF4" s="52">
        <f t="shared" si="72"/>
        <v>0</v>
      </c>
      <c r="AFG4" s="52">
        <f t="shared" si="72"/>
        <v>0</v>
      </c>
      <c r="AFH4" s="52">
        <f t="shared" si="72"/>
        <v>0</v>
      </c>
      <c r="AFI4" s="52">
        <f t="shared" si="72"/>
        <v>0</v>
      </c>
      <c r="AFJ4" s="52">
        <f t="shared" si="72"/>
        <v>0</v>
      </c>
      <c r="AFK4" s="52">
        <f t="shared" si="72"/>
        <v>0</v>
      </c>
      <c r="AFL4" s="52">
        <f t="shared" si="72"/>
        <v>0</v>
      </c>
      <c r="AFM4" s="52">
        <f t="shared" si="72"/>
        <v>0</v>
      </c>
      <c r="AFN4" s="52">
        <f t="shared" si="72"/>
        <v>0</v>
      </c>
      <c r="AFO4" s="52">
        <f t="shared" si="72"/>
        <v>0</v>
      </c>
      <c r="AFP4" s="52">
        <f t="shared" si="72"/>
        <v>0</v>
      </c>
      <c r="AFQ4" s="52">
        <f t="shared" si="72"/>
        <v>0</v>
      </c>
      <c r="AFR4" s="52">
        <f t="shared" si="72"/>
        <v>0</v>
      </c>
      <c r="AFS4" s="52">
        <f t="shared" si="72"/>
        <v>0</v>
      </c>
      <c r="AFT4" s="52">
        <f t="shared" si="72"/>
        <v>0</v>
      </c>
      <c r="AFU4" s="52">
        <f t="shared" si="72"/>
        <v>0</v>
      </c>
      <c r="AFV4" s="52">
        <f t="shared" si="72"/>
        <v>0</v>
      </c>
      <c r="AFW4" s="52">
        <f t="shared" si="72"/>
        <v>0</v>
      </c>
      <c r="AFX4" s="52">
        <f t="shared" si="72"/>
        <v>0</v>
      </c>
      <c r="AFY4" s="52">
        <f t="shared" si="72"/>
        <v>0</v>
      </c>
      <c r="AFZ4" s="52">
        <f t="shared" si="72"/>
        <v>0</v>
      </c>
      <c r="AGA4" s="52">
        <f t="shared" si="72"/>
        <v>15</v>
      </c>
      <c r="AGB4" s="52">
        <f t="shared" si="72"/>
        <v>12</v>
      </c>
      <c r="AGC4" s="52">
        <f t="shared" si="72"/>
        <v>7</v>
      </c>
      <c r="AGD4" s="52">
        <f t="shared" si="72"/>
        <v>0</v>
      </c>
      <c r="AGE4" s="52">
        <f t="shared" si="72"/>
        <v>3</v>
      </c>
      <c r="AGF4" s="52">
        <f t="shared" si="72"/>
        <v>3</v>
      </c>
      <c r="AGG4" s="52">
        <f t="shared" si="72"/>
        <v>6</v>
      </c>
      <c r="AGH4" s="52">
        <f t="shared" si="72"/>
        <v>6</v>
      </c>
      <c r="AGI4" s="52">
        <f t="shared" si="72"/>
        <v>5</v>
      </c>
      <c r="AGJ4" s="52">
        <f t="shared" si="72"/>
        <v>9</v>
      </c>
      <c r="AGK4" s="52">
        <f t="shared" si="72"/>
        <v>10</v>
      </c>
      <c r="AGL4" s="52">
        <f t="shared" si="72"/>
        <v>4</v>
      </c>
      <c r="AGM4" s="52">
        <f t="shared" si="72"/>
        <v>4</v>
      </c>
      <c r="AGN4" s="52">
        <f t="shared" si="72"/>
        <v>3</v>
      </c>
      <c r="AGO4" s="52">
        <f t="shared" si="72"/>
        <v>1</v>
      </c>
      <c r="AGP4" s="52">
        <f t="shared" si="72"/>
        <v>1</v>
      </c>
      <c r="AGQ4" s="52">
        <f t="shared" si="72"/>
        <v>0</v>
      </c>
      <c r="AGR4" s="52">
        <f t="shared" si="72"/>
        <v>0</v>
      </c>
      <c r="AGS4" s="52">
        <f t="shared" si="72"/>
        <v>1</v>
      </c>
      <c r="AGT4" s="52">
        <f t="shared" si="72"/>
        <v>2</v>
      </c>
      <c r="AGU4" s="52">
        <f t="shared" si="72"/>
        <v>0</v>
      </c>
      <c r="AGV4" s="52">
        <f t="shared" si="72"/>
        <v>0</v>
      </c>
      <c r="AGW4" s="52">
        <f t="shared" si="72"/>
        <v>0</v>
      </c>
      <c r="AGX4" s="52">
        <f t="shared" si="72"/>
        <v>0</v>
      </c>
      <c r="AGY4" s="52">
        <f t="shared" si="72"/>
        <v>0</v>
      </c>
      <c r="AGZ4" s="52">
        <f t="shared" si="72"/>
        <v>0</v>
      </c>
      <c r="AHA4" s="52">
        <f t="shared" ref="AHA4:AJL4" si="73">SUBTOTAL(9,AHA6:AHA554)</f>
        <v>0</v>
      </c>
      <c r="AHB4" s="52">
        <f t="shared" si="73"/>
        <v>0</v>
      </c>
      <c r="AHC4" s="52">
        <f t="shared" si="73"/>
        <v>0</v>
      </c>
      <c r="AHD4" s="52">
        <f t="shared" si="73"/>
        <v>0</v>
      </c>
      <c r="AHE4" s="52">
        <f t="shared" si="73"/>
        <v>0</v>
      </c>
      <c r="AHF4" s="52">
        <f t="shared" si="73"/>
        <v>2</v>
      </c>
      <c r="AHG4" s="52">
        <f t="shared" si="73"/>
        <v>1</v>
      </c>
      <c r="AHH4" s="52">
        <f t="shared" si="73"/>
        <v>1</v>
      </c>
      <c r="AHI4" s="52">
        <f t="shared" si="73"/>
        <v>0</v>
      </c>
      <c r="AHJ4" s="52">
        <f t="shared" si="73"/>
        <v>1</v>
      </c>
      <c r="AHK4" s="52">
        <f t="shared" si="73"/>
        <v>0</v>
      </c>
      <c r="AHL4" s="52">
        <f t="shared" si="73"/>
        <v>0</v>
      </c>
      <c r="AHM4" s="52">
        <f t="shared" si="73"/>
        <v>0</v>
      </c>
      <c r="AHN4" s="52">
        <f t="shared" si="73"/>
        <v>0</v>
      </c>
      <c r="AHO4" s="52">
        <f t="shared" si="73"/>
        <v>0</v>
      </c>
      <c r="AHP4" s="52">
        <f t="shared" si="73"/>
        <v>0</v>
      </c>
      <c r="AHQ4" s="52">
        <f t="shared" si="73"/>
        <v>0</v>
      </c>
      <c r="AHR4" s="52">
        <f t="shared" si="73"/>
        <v>0</v>
      </c>
      <c r="AHS4" s="52">
        <f t="shared" si="73"/>
        <v>0</v>
      </c>
      <c r="AHT4" s="52">
        <f t="shared" si="73"/>
        <v>0</v>
      </c>
      <c r="AHU4" s="52">
        <f t="shared" si="73"/>
        <v>0</v>
      </c>
      <c r="AHV4" s="52">
        <f t="shared" si="73"/>
        <v>0</v>
      </c>
      <c r="AHW4" s="52">
        <f t="shared" si="73"/>
        <v>0</v>
      </c>
      <c r="AHX4" s="52">
        <f t="shared" si="73"/>
        <v>0</v>
      </c>
      <c r="AHY4" s="52">
        <f t="shared" si="73"/>
        <v>0</v>
      </c>
      <c r="AHZ4" s="52">
        <f t="shared" si="73"/>
        <v>0</v>
      </c>
      <c r="AIA4" s="52">
        <f t="shared" si="73"/>
        <v>0</v>
      </c>
      <c r="AIB4" s="52">
        <f t="shared" si="73"/>
        <v>0</v>
      </c>
      <c r="AIC4" s="52">
        <f t="shared" si="73"/>
        <v>0</v>
      </c>
      <c r="AID4" s="52">
        <f t="shared" si="73"/>
        <v>0</v>
      </c>
      <c r="AIE4" s="52">
        <f t="shared" si="73"/>
        <v>0</v>
      </c>
      <c r="AIF4" s="52">
        <f t="shared" si="73"/>
        <v>0</v>
      </c>
      <c r="AIG4" s="52">
        <f t="shared" si="73"/>
        <v>0</v>
      </c>
      <c r="AIH4" s="52">
        <f t="shared" si="73"/>
        <v>0</v>
      </c>
      <c r="AII4" s="52">
        <f t="shared" si="73"/>
        <v>0</v>
      </c>
      <c r="AIJ4" s="52">
        <f t="shared" si="73"/>
        <v>0</v>
      </c>
      <c r="AIK4" s="52">
        <f t="shared" si="73"/>
        <v>0</v>
      </c>
      <c r="AIL4" s="52">
        <f t="shared" si="73"/>
        <v>0</v>
      </c>
      <c r="AIM4" s="52">
        <f t="shared" si="73"/>
        <v>0</v>
      </c>
      <c r="AIN4" s="52">
        <f t="shared" si="73"/>
        <v>0</v>
      </c>
      <c r="AIO4" s="52">
        <f t="shared" si="73"/>
        <v>0</v>
      </c>
      <c r="AIP4" s="52">
        <f t="shared" si="73"/>
        <v>0</v>
      </c>
      <c r="AIQ4" s="52">
        <f t="shared" si="73"/>
        <v>0</v>
      </c>
      <c r="AIR4" s="52">
        <f t="shared" si="73"/>
        <v>0</v>
      </c>
      <c r="AIS4" s="52">
        <f t="shared" si="73"/>
        <v>0</v>
      </c>
      <c r="AIT4" s="52">
        <f t="shared" si="73"/>
        <v>0</v>
      </c>
      <c r="AIU4" s="52">
        <f t="shared" si="73"/>
        <v>0</v>
      </c>
      <c r="AIV4" s="52">
        <f t="shared" si="73"/>
        <v>0</v>
      </c>
      <c r="AIW4" s="52">
        <f t="shared" si="73"/>
        <v>0</v>
      </c>
      <c r="AIX4" s="52">
        <f t="shared" si="73"/>
        <v>0</v>
      </c>
      <c r="AIY4" s="52">
        <f t="shared" si="73"/>
        <v>0</v>
      </c>
      <c r="AIZ4" s="52">
        <f t="shared" si="73"/>
        <v>0</v>
      </c>
      <c r="AJA4" s="52">
        <f t="shared" si="73"/>
        <v>0</v>
      </c>
      <c r="AJB4" s="52">
        <f t="shared" si="73"/>
        <v>0</v>
      </c>
      <c r="AJC4" s="52">
        <f t="shared" si="73"/>
        <v>0</v>
      </c>
      <c r="AJD4" s="52">
        <f t="shared" si="73"/>
        <v>0</v>
      </c>
      <c r="AJE4" s="52">
        <f t="shared" si="73"/>
        <v>0</v>
      </c>
      <c r="AJF4" s="52">
        <f t="shared" si="73"/>
        <v>0</v>
      </c>
      <c r="AJG4" s="52">
        <f t="shared" si="73"/>
        <v>0</v>
      </c>
      <c r="AJH4" s="52">
        <f t="shared" si="73"/>
        <v>0</v>
      </c>
      <c r="AJI4" s="52">
        <f t="shared" si="73"/>
        <v>0</v>
      </c>
      <c r="AJJ4" s="52">
        <f t="shared" si="73"/>
        <v>0</v>
      </c>
      <c r="AJK4" s="52">
        <f t="shared" si="73"/>
        <v>0</v>
      </c>
      <c r="AJL4" s="52">
        <f t="shared" si="73"/>
        <v>0</v>
      </c>
      <c r="AJM4" s="52">
        <f t="shared" ref="AJM4:ALX4" si="74">SUBTOTAL(9,AJM6:AJM554)</f>
        <v>0</v>
      </c>
      <c r="AJN4" s="52">
        <f t="shared" si="74"/>
        <v>0</v>
      </c>
      <c r="AJO4" s="52">
        <f t="shared" si="74"/>
        <v>0</v>
      </c>
      <c r="AJP4" s="52">
        <f t="shared" si="74"/>
        <v>0</v>
      </c>
      <c r="AJQ4" s="52">
        <f t="shared" si="74"/>
        <v>0</v>
      </c>
      <c r="AJR4" s="52">
        <f t="shared" si="74"/>
        <v>0</v>
      </c>
      <c r="AJS4" s="52">
        <f t="shared" si="74"/>
        <v>0</v>
      </c>
      <c r="AJT4" s="52">
        <f t="shared" si="74"/>
        <v>0</v>
      </c>
      <c r="AJU4" s="52">
        <f t="shared" si="74"/>
        <v>0</v>
      </c>
      <c r="AJV4" s="52">
        <f t="shared" si="74"/>
        <v>0</v>
      </c>
      <c r="AJW4" s="52">
        <f t="shared" si="74"/>
        <v>0</v>
      </c>
      <c r="AJX4" s="52">
        <f t="shared" si="74"/>
        <v>0</v>
      </c>
      <c r="AJY4" s="52">
        <f t="shared" si="74"/>
        <v>0</v>
      </c>
      <c r="AJZ4" s="52">
        <f t="shared" si="74"/>
        <v>0</v>
      </c>
      <c r="AKA4" s="52">
        <f t="shared" si="74"/>
        <v>0</v>
      </c>
      <c r="AKB4" s="52">
        <f t="shared" si="74"/>
        <v>0</v>
      </c>
      <c r="AKC4" s="52">
        <f t="shared" si="74"/>
        <v>0</v>
      </c>
      <c r="AKD4" s="52">
        <f t="shared" si="74"/>
        <v>0</v>
      </c>
      <c r="AKE4" s="52">
        <f t="shared" si="74"/>
        <v>0</v>
      </c>
      <c r="AKF4" s="52">
        <f t="shared" si="74"/>
        <v>0</v>
      </c>
      <c r="AKG4" s="52">
        <f t="shared" si="74"/>
        <v>0</v>
      </c>
      <c r="AKH4" s="52">
        <f t="shared" si="74"/>
        <v>0</v>
      </c>
      <c r="AKI4" s="52">
        <f t="shared" si="74"/>
        <v>0</v>
      </c>
      <c r="AKJ4" s="52">
        <f t="shared" si="74"/>
        <v>0</v>
      </c>
      <c r="AKK4" s="52">
        <f t="shared" si="74"/>
        <v>0</v>
      </c>
      <c r="AKL4" s="52">
        <f t="shared" si="74"/>
        <v>0</v>
      </c>
      <c r="AKM4" s="52">
        <f t="shared" si="74"/>
        <v>0</v>
      </c>
      <c r="AKN4" s="52">
        <f t="shared" si="74"/>
        <v>0</v>
      </c>
      <c r="AKO4" s="52">
        <f t="shared" si="74"/>
        <v>0</v>
      </c>
      <c r="AKP4" s="52">
        <f t="shared" si="74"/>
        <v>0</v>
      </c>
      <c r="AKQ4" s="52">
        <f t="shared" si="74"/>
        <v>0</v>
      </c>
      <c r="AKR4" s="52">
        <f t="shared" si="74"/>
        <v>0</v>
      </c>
      <c r="AKS4" s="52">
        <f t="shared" si="74"/>
        <v>0</v>
      </c>
      <c r="AKT4" s="52">
        <f t="shared" si="74"/>
        <v>0</v>
      </c>
      <c r="AKU4" s="52">
        <f t="shared" si="74"/>
        <v>0</v>
      </c>
      <c r="AKV4" s="52">
        <f t="shared" si="74"/>
        <v>0</v>
      </c>
      <c r="AKW4" s="52">
        <f t="shared" si="74"/>
        <v>0</v>
      </c>
      <c r="AKX4" s="52">
        <f t="shared" si="74"/>
        <v>0</v>
      </c>
      <c r="AKY4" s="52">
        <f t="shared" si="74"/>
        <v>0</v>
      </c>
      <c r="AKZ4" s="52">
        <f t="shared" si="74"/>
        <v>0</v>
      </c>
      <c r="ALA4" s="52">
        <f t="shared" si="74"/>
        <v>0</v>
      </c>
      <c r="ALB4" s="52">
        <f t="shared" si="74"/>
        <v>0</v>
      </c>
      <c r="ALC4" s="52">
        <f t="shared" si="74"/>
        <v>0</v>
      </c>
      <c r="ALD4" s="52">
        <f t="shared" si="74"/>
        <v>0</v>
      </c>
      <c r="ALE4" s="52">
        <f t="shared" si="74"/>
        <v>0</v>
      </c>
      <c r="ALF4" s="52">
        <f t="shared" si="74"/>
        <v>0</v>
      </c>
      <c r="ALG4" s="52">
        <f t="shared" si="74"/>
        <v>0</v>
      </c>
      <c r="ALH4" s="52">
        <f t="shared" si="74"/>
        <v>0</v>
      </c>
      <c r="ALI4" s="52">
        <f t="shared" si="74"/>
        <v>0</v>
      </c>
      <c r="ALJ4" s="52">
        <f t="shared" si="74"/>
        <v>0</v>
      </c>
      <c r="ALK4" s="52">
        <f t="shared" si="74"/>
        <v>0</v>
      </c>
      <c r="ALL4" s="52">
        <f t="shared" si="74"/>
        <v>0</v>
      </c>
      <c r="ALM4" s="52">
        <f t="shared" si="74"/>
        <v>0</v>
      </c>
      <c r="ALN4" s="52">
        <f t="shared" si="74"/>
        <v>0</v>
      </c>
      <c r="ALO4" s="52">
        <f t="shared" si="74"/>
        <v>0</v>
      </c>
      <c r="ALP4" s="52">
        <f t="shared" si="74"/>
        <v>0</v>
      </c>
      <c r="ALQ4" s="52">
        <f t="shared" si="74"/>
        <v>0</v>
      </c>
      <c r="ALR4" s="52">
        <f t="shared" si="74"/>
        <v>0</v>
      </c>
      <c r="ALS4" s="52">
        <f t="shared" si="74"/>
        <v>0</v>
      </c>
      <c r="ALT4" s="52">
        <f t="shared" si="74"/>
        <v>0</v>
      </c>
      <c r="ALU4" s="52">
        <f t="shared" si="74"/>
        <v>0</v>
      </c>
      <c r="ALV4" s="52">
        <f t="shared" si="74"/>
        <v>0</v>
      </c>
      <c r="ALW4" s="52">
        <f t="shared" si="74"/>
        <v>0</v>
      </c>
      <c r="ALX4" s="52">
        <f t="shared" si="74"/>
        <v>0</v>
      </c>
      <c r="ALY4" s="52">
        <f t="shared" ref="ALY4:AOJ4" si="75">SUBTOTAL(9,ALY6:ALY554)</f>
        <v>0</v>
      </c>
      <c r="ALZ4" s="52">
        <f t="shared" si="75"/>
        <v>0</v>
      </c>
      <c r="AMA4" s="52">
        <f t="shared" si="75"/>
        <v>0</v>
      </c>
      <c r="AMB4" s="52">
        <f t="shared" si="75"/>
        <v>0</v>
      </c>
      <c r="AMC4" s="52">
        <f t="shared" si="75"/>
        <v>0</v>
      </c>
      <c r="AMD4" s="52">
        <f t="shared" si="75"/>
        <v>0</v>
      </c>
      <c r="AME4" s="52">
        <f t="shared" si="75"/>
        <v>0</v>
      </c>
      <c r="AMF4" s="52">
        <f t="shared" si="75"/>
        <v>0</v>
      </c>
      <c r="AMG4" s="52">
        <f t="shared" si="75"/>
        <v>0</v>
      </c>
      <c r="AMH4" s="52">
        <f t="shared" si="75"/>
        <v>0</v>
      </c>
      <c r="AMI4" s="52">
        <f t="shared" si="75"/>
        <v>0</v>
      </c>
      <c r="AMJ4" s="52">
        <f t="shared" si="75"/>
        <v>0</v>
      </c>
      <c r="AMK4" s="52">
        <f t="shared" si="75"/>
        <v>0</v>
      </c>
      <c r="AML4" s="52">
        <f t="shared" si="75"/>
        <v>0</v>
      </c>
      <c r="AMM4" s="52">
        <f t="shared" si="75"/>
        <v>0</v>
      </c>
      <c r="AMN4" s="52">
        <f t="shared" si="75"/>
        <v>0</v>
      </c>
      <c r="AMO4" s="52">
        <f t="shared" si="75"/>
        <v>0</v>
      </c>
      <c r="AMP4" s="52">
        <f t="shared" si="75"/>
        <v>0</v>
      </c>
      <c r="AMQ4" s="52">
        <f t="shared" si="75"/>
        <v>0</v>
      </c>
      <c r="AMR4" s="52">
        <f t="shared" si="75"/>
        <v>0</v>
      </c>
      <c r="AMS4" s="52">
        <f t="shared" si="75"/>
        <v>0</v>
      </c>
      <c r="AMT4" s="52">
        <f t="shared" si="75"/>
        <v>0</v>
      </c>
      <c r="AMU4" s="52">
        <f t="shared" si="75"/>
        <v>0</v>
      </c>
      <c r="AMV4" s="52">
        <f t="shared" si="75"/>
        <v>0</v>
      </c>
      <c r="AMW4" s="52">
        <f t="shared" si="75"/>
        <v>0</v>
      </c>
      <c r="AMX4" s="52">
        <f t="shared" si="75"/>
        <v>0</v>
      </c>
      <c r="AMY4" s="52">
        <f t="shared" si="75"/>
        <v>0</v>
      </c>
      <c r="AMZ4" s="52">
        <f t="shared" si="75"/>
        <v>0</v>
      </c>
      <c r="ANA4" s="52">
        <f t="shared" si="75"/>
        <v>0</v>
      </c>
      <c r="ANB4" s="52">
        <f t="shared" si="75"/>
        <v>0</v>
      </c>
      <c r="ANC4" s="52">
        <f t="shared" si="75"/>
        <v>0</v>
      </c>
      <c r="AND4" s="52">
        <f t="shared" si="75"/>
        <v>0</v>
      </c>
      <c r="ANE4" s="52">
        <f t="shared" si="75"/>
        <v>0</v>
      </c>
      <c r="ANF4" s="52">
        <f t="shared" si="75"/>
        <v>0</v>
      </c>
      <c r="ANG4" s="52">
        <f t="shared" si="75"/>
        <v>0</v>
      </c>
      <c r="ANH4" s="52">
        <f t="shared" si="75"/>
        <v>0</v>
      </c>
      <c r="ANI4" s="52">
        <f t="shared" si="75"/>
        <v>0</v>
      </c>
      <c r="ANJ4" s="52">
        <f t="shared" si="75"/>
        <v>0</v>
      </c>
      <c r="ANK4" s="52">
        <f t="shared" si="75"/>
        <v>0</v>
      </c>
      <c r="ANL4" s="52">
        <f t="shared" si="75"/>
        <v>0</v>
      </c>
      <c r="ANM4" s="52">
        <f t="shared" si="75"/>
        <v>0</v>
      </c>
      <c r="ANN4" s="52">
        <f t="shared" si="75"/>
        <v>0</v>
      </c>
      <c r="ANO4" s="52">
        <f t="shared" si="75"/>
        <v>0</v>
      </c>
      <c r="ANP4" s="52">
        <f t="shared" si="75"/>
        <v>0</v>
      </c>
      <c r="ANQ4" s="52">
        <f t="shared" si="75"/>
        <v>0</v>
      </c>
      <c r="ANR4" s="52">
        <f t="shared" si="75"/>
        <v>0</v>
      </c>
      <c r="ANS4" s="52">
        <f t="shared" si="75"/>
        <v>0</v>
      </c>
      <c r="ANT4" s="52">
        <f t="shared" si="75"/>
        <v>0</v>
      </c>
      <c r="ANU4" s="52">
        <f t="shared" si="75"/>
        <v>0</v>
      </c>
      <c r="ANV4" s="52">
        <f t="shared" si="75"/>
        <v>0</v>
      </c>
      <c r="ANW4" s="52">
        <f t="shared" si="75"/>
        <v>0</v>
      </c>
      <c r="ANX4" s="52">
        <f t="shared" si="75"/>
        <v>0</v>
      </c>
      <c r="ANY4" s="52">
        <f t="shared" si="75"/>
        <v>0</v>
      </c>
      <c r="ANZ4" s="52">
        <f t="shared" si="75"/>
        <v>0</v>
      </c>
      <c r="AOA4" s="52">
        <f t="shared" si="75"/>
        <v>0</v>
      </c>
      <c r="AOB4" s="52">
        <f t="shared" si="75"/>
        <v>0</v>
      </c>
      <c r="AOC4" s="52">
        <f t="shared" si="75"/>
        <v>0</v>
      </c>
      <c r="AOD4" s="52">
        <f t="shared" si="75"/>
        <v>0</v>
      </c>
      <c r="AOE4" s="52">
        <f t="shared" si="75"/>
        <v>0</v>
      </c>
      <c r="AOF4" s="52">
        <f t="shared" si="75"/>
        <v>0</v>
      </c>
      <c r="AOG4" s="52">
        <f t="shared" si="75"/>
        <v>0</v>
      </c>
      <c r="AOH4" s="52">
        <f t="shared" si="75"/>
        <v>0</v>
      </c>
      <c r="AOI4" s="52">
        <f t="shared" si="75"/>
        <v>0</v>
      </c>
      <c r="AOJ4" s="52">
        <f t="shared" si="75"/>
        <v>0</v>
      </c>
      <c r="AOK4" s="52">
        <f t="shared" ref="AOK4:AQV4" si="76">SUBTOTAL(9,AOK6:AOK554)</f>
        <v>0</v>
      </c>
      <c r="AOL4" s="52">
        <f t="shared" si="76"/>
        <v>0</v>
      </c>
      <c r="AOM4" s="52">
        <f t="shared" si="76"/>
        <v>0</v>
      </c>
      <c r="AON4" s="52">
        <f t="shared" si="76"/>
        <v>0</v>
      </c>
      <c r="AOO4" s="52">
        <f t="shared" si="76"/>
        <v>0</v>
      </c>
      <c r="AOP4" s="52">
        <f t="shared" si="76"/>
        <v>0</v>
      </c>
      <c r="AOQ4" s="52">
        <f t="shared" si="76"/>
        <v>0</v>
      </c>
      <c r="AOR4" s="52">
        <f t="shared" si="76"/>
        <v>0</v>
      </c>
      <c r="AOS4" s="52">
        <f t="shared" si="76"/>
        <v>0</v>
      </c>
      <c r="AOT4" s="52">
        <f t="shared" si="76"/>
        <v>0</v>
      </c>
      <c r="AOU4" s="52">
        <f t="shared" si="76"/>
        <v>0</v>
      </c>
      <c r="AOV4" s="52">
        <f t="shared" si="76"/>
        <v>0</v>
      </c>
      <c r="AOW4" s="52">
        <f t="shared" si="76"/>
        <v>0</v>
      </c>
      <c r="AOX4" s="52">
        <f t="shared" si="76"/>
        <v>0</v>
      </c>
      <c r="AOY4" s="52">
        <f t="shared" si="76"/>
        <v>0</v>
      </c>
      <c r="AOZ4" s="52">
        <f t="shared" si="76"/>
        <v>0</v>
      </c>
      <c r="APA4" s="52">
        <f t="shared" si="76"/>
        <v>0</v>
      </c>
      <c r="APB4" s="52">
        <f t="shared" si="76"/>
        <v>0</v>
      </c>
      <c r="APC4" s="52">
        <f t="shared" si="76"/>
        <v>0</v>
      </c>
      <c r="APD4" s="52">
        <f t="shared" si="76"/>
        <v>0</v>
      </c>
      <c r="APE4" s="52">
        <f t="shared" si="76"/>
        <v>0</v>
      </c>
      <c r="APF4" s="52">
        <f t="shared" si="76"/>
        <v>0</v>
      </c>
      <c r="APG4" s="52">
        <f t="shared" si="76"/>
        <v>0</v>
      </c>
      <c r="APH4" s="52">
        <f t="shared" si="76"/>
        <v>0</v>
      </c>
      <c r="API4" s="52">
        <f t="shared" si="76"/>
        <v>0</v>
      </c>
      <c r="APJ4" s="52">
        <f t="shared" si="76"/>
        <v>0</v>
      </c>
      <c r="APK4" s="52">
        <f t="shared" si="76"/>
        <v>0</v>
      </c>
      <c r="APL4" s="52">
        <f t="shared" si="76"/>
        <v>0</v>
      </c>
      <c r="APM4" s="52">
        <f t="shared" si="76"/>
        <v>0</v>
      </c>
      <c r="APN4" s="52">
        <f t="shared" si="76"/>
        <v>0</v>
      </c>
      <c r="APO4" s="52">
        <f t="shared" si="76"/>
        <v>0</v>
      </c>
      <c r="APP4" s="52">
        <f t="shared" si="76"/>
        <v>0</v>
      </c>
      <c r="APQ4" s="52">
        <f t="shared" si="76"/>
        <v>0</v>
      </c>
      <c r="APR4" s="52">
        <f t="shared" si="76"/>
        <v>0</v>
      </c>
      <c r="APS4" s="52">
        <f t="shared" si="76"/>
        <v>0</v>
      </c>
      <c r="APT4" s="52">
        <f t="shared" si="76"/>
        <v>0</v>
      </c>
      <c r="APU4" s="52">
        <f t="shared" si="76"/>
        <v>0</v>
      </c>
      <c r="APV4" s="52">
        <f t="shared" si="76"/>
        <v>0</v>
      </c>
      <c r="APW4" s="52">
        <f t="shared" si="76"/>
        <v>0</v>
      </c>
      <c r="APX4" s="52">
        <f t="shared" si="76"/>
        <v>0</v>
      </c>
      <c r="APY4" s="52">
        <f t="shared" si="76"/>
        <v>0</v>
      </c>
      <c r="APZ4" s="52">
        <f t="shared" si="76"/>
        <v>0</v>
      </c>
      <c r="AQA4" s="52">
        <f t="shared" si="76"/>
        <v>0</v>
      </c>
      <c r="AQB4" s="52">
        <f t="shared" si="76"/>
        <v>0</v>
      </c>
      <c r="AQC4" s="52">
        <f t="shared" si="76"/>
        <v>0</v>
      </c>
      <c r="AQD4" s="52">
        <f t="shared" si="76"/>
        <v>0</v>
      </c>
      <c r="AQE4" s="52">
        <f t="shared" si="76"/>
        <v>0</v>
      </c>
      <c r="AQF4" s="52">
        <f t="shared" si="76"/>
        <v>0</v>
      </c>
      <c r="AQG4" s="52">
        <f t="shared" si="76"/>
        <v>0</v>
      </c>
      <c r="AQH4" s="52">
        <f t="shared" si="76"/>
        <v>0</v>
      </c>
      <c r="AQI4" s="52">
        <f t="shared" si="76"/>
        <v>0</v>
      </c>
      <c r="AQJ4" s="52">
        <f t="shared" si="76"/>
        <v>0</v>
      </c>
      <c r="AQK4" s="52">
        <f t="shared" si="76"/>
        <v>0</v>
      </c>
      <c r="AQL4" s="52">
        <f t="shared" si="76"/>
        <v>0</v>
      </c>
      <c r="AQM4" s="52">
        <f t="shared" si="76"/>
        <v>0</v>
      </c>
      <c r="AQN4" s="52">
        <f t="shared" si="76"/>
        <v>0</v>
      </c>
      <c r="AQO4" s="52">
        <f t="shared" si="76"/>
        <v>0</v>
      </c>
      <c r="AQP4" s="52">
        <f t="shared" si="76"/>
        <v>0</v>
      </c>
      <c r="AQQ4" s="52">
        <f t="shared" si="76"/>
        <v>0</v>
      </c>
      <c r="AQR4" s="52">
        <f t="shared" si="76"/>
        <v>0</v>
      </c>
      <c r="AQS4" s="52">
        <f t="shared" si="76"/>
        <v>0</v>
      </c>
      <c r="AQT4" s="52">
        <f t="shared" si="76"/>
        <v>0</v>
      </c>
      <c r="AQU4" s="52">
        <f t="shared" si="76"/>
        <v>0</v>
      </c>
      <c r="AQV4" s="52">
        <f t="shared" si="76"/>
        <v>0</v>
      </c>
      <c r="AQW4" s="52">
        <f t="shared" ref="AQW4:ATH4" si="77">SUBTOTAL(9,AQW6:AQW554)</f>
        <v>0</v>
      </c>
      <c r="AQX4" s="52">
        <f t="shared" si="77"/>
        <v>0</v>
      </c>
      <c r="AQY4" s="52">
        <f t="shared" si="77"/>
        <v>0</v>
      </c>
      <c r="AQZ4" s="52">
        <f t="shared" si="77"/>
        <v>0</v>
      </c>
      <c r="ARA4" s="52">
        <f t="shared" si="77"/>
        <v>0</v>
      </c>
      <c r="ARB4" s="52">
        <f t="shared" si="77"/>
        <v>0</v>
      </c>
      <c r="ARC4" s="52">
        <f t="shared" si="77"/>
        <v>0</v>
      </c>
      <c r="ARD4" s="52">
        <f t="shared" si="77"/>
        <v>0</v>
      </c>
      <c r="ARE4" s="52">
        <f t="shared" si="77"/>
        <v>0</v>
      </c>
      <c r="ARF4" s="52">
        <f t="shared" si="77"/>
        <v>0</v>
      </c>
      <c r="ARG4" s="52">
        <f t="shared" si="77"/>
        <v>0</v>
      </c>
      <c r="ARH4" s="52">
        <f t="shared" si="77"/>
        <v>0</v>
      </c>
      <c r="ARI4" s="52">
        <f t="shared" si="77"/>
        <v>0</v>
      </c>
      <c r="ARJ4" s="52">
        <f t="shared" si="77"/>
        <v>0</v>
      </c>
      <c r="ARK4" s="52">
        <f t="shared" si="77"/>
        <v>0</v>
      </c>
      <c r="ARL4" s="52">
        <f t="shared" si="77"/>
        <v>0</v>
      </c>
      <c r="ARM4" s="52">
        <f t="shared" si="77"/>
        <v>0</v>
      </c>
      <c r="ARN4" s="52">
        <f t="shared" si="77"/>
        <v>0</v>
      </c>
      <c r="ARO4" s="52">
        <f t="shared" si="77"/>
        <v>0</v>
      </c>
      <c r="ARP4" s="52">
        <f t="shared" si="77"/>
        <v>0</v>
      </c>
      <c r="ARQ4" s="52">
        <f t="shared" si="77"/>
        <v>0</v>
      </c>
      <c r="ARR4" s="52">
        <f t="shared" si="77"/>
        <v>0</v>
      </c>
      <c r="ARS4" s="52">
        <f t="shared" si="77"/>
        <v>0</v>
      </c>
      <c r="ART4" s="52">
        <f t="shared" si="77"/>
        <v>0</v>
      </c>
      <c r="ARU4" s="52">
        <f t="shared" si="77"/>
        <v>0</v>
      </c>
      <c r="ARV4" s="52">
        <f t="shared" si="77"/>
        <v>0</v>
      </c>
      <c r="ARW4" s="52">
        <f t="shared" si="77"/>
        <v>0</v>
      </c>
      <c r="ARX4" s="52">
        <f t="shared" si="77"/>
        <v>0</v>
      </c>
      <c r="ARY4" s="52">
        <f t="shared" si="77"/>
        <v>0</v>
      </c>
      <c r="ARZ4" s="52">
        <f t="shared" si="77"/>
        <v>0</v>
      </c>
      <c r="ASA4" s="52">
        <f t="shared" si="77"/>
        <v>0</v>
      </c>
      <c r="ASB4" s="52">
        <f t="shared" si="77"/>
        <v>0</v>
      </c>
      <c r="ASC4" s="52">
        <f t="shared" si="77"/>
        <v>0</v>
      </c>
      <c r="ASD4" s="52">
        <f t="shared" si="77"/>
        <v>0</v>
      </c>
      <c r="ASE4" s="52">
        <f t="shared" si="77"/>
        <v>0</v>
      </c>
      <c r="ASF4" s="52">
        <f t="shared" si="77"/>
        <v>0</v>
      </c>
      <c r="ASG4" s="52">
        <f t="shared" si="77"/>
        <v>0</v>
      </c>
      <c r="ASH4" s="52">
        <f t="shared" si="77"/>
        <v>0</v>
      </c>
      <c r="ASI4" s="52">
        <f t="shared" si="77"/>
        <v>0</v>
      </c>
      <c r="ASJ4" s="52">
        <f t="shared" si="77"/>
        <v>0</v>
      </c>
      <c r="ASK4" s="52">
        <f t="shared" si="77"/>
        <v>0</v>
      </c>
      <c r="ASL4" s="52">
        <f t="shared" si="77"/>
        <v>0</v>
      </c>
      <c r="ASM4" s="52">
        <f t="shared" si="77"/>
        <v>0</v>
      </c>
      <c r="ASN4" s="52">
        <f t="shared" si="77"/>
        <v>0</v>
      </c>
      <c r="ASO4" s="52">
        <f t="shared" si="77"/>
        <v>0</v>
      </c>
      <c r="ASP4" s="52">
        <f t="shared" si="77"/>
        <v>0</v>
      </c>
      <c r="ASQ4" s="52">
        <f t="shared" si="77"/>
        <v>0</v>
      </c>
      <c r="ASR4" s="52">
        <f t="shared" si="77"/>
        <v>0</v>
      </c>
      <c r="ASS4" s="52">
        <f t="shared" si="77"/>
        <v>0</v>
      </c>
      <c r="AST4" s="52">
        <f t="shared" si="77"/>
        <v>0</v>
      </c>
      <c r="ASU4" s="52">
        <f t="shared" si="77"/>
        <v>0</v>
      </c>
      <c r="ASV4" s="52">
        <f t="shared" si="77"/>
        <v>0</v>
      </c>
      <c r="ASW4" s="52">
        <f t="shared" si="77"/>
        <v>0</v>
      </c>
      <c r="ASX4" s="52">
        <f t="shared" si="77"/>
        <v>0</v>
      </c>
      <c r="ASY4" s="52">
        <f t="shared" si="77"/>
        <v>0</v>
      </c>
      <c r="ASZ4" s="52">
        <f t="shared" si="77"/>
        <v>0</v>
      </c>
      <c r="ATA4" s="52">
        <f t="shared" si="77"/>
        <v>0</v>
      </c>
      <c r="ATB4" s="52">
        <f t="shared" si="77"/>
        <v>0</v>
      </c>
      <c r="ATC4" s="52">
        <f t="shared" si="77"/>
        <v>0</v>
      </c>
      <c r="ATD4" s="52">
        <f t="shared" si="77"/>
        <v>0</v>
      </c>
      <c r="ATE4" s="52">
        <f t="shared" si="77"/>
        <v>0</v>
      </c>
      <c r="ATF4" s="52">
        <f t="shared" si="77"/>
        <v>0</v>
      </c>
      <c r="ATG4" s="52">
        <f t="shared" si="77"/>
        <v>0</v>
      </c>
      <c r="ATH4" s="52">
        <f t="shared" si="77"/>
        <v>0</v>
      </c>
      <c r="ATI4" s="52">
        <f t="shared" ref="ATI4:AVT4" si="78">SUBTOTAL(9,ATI6:ATI554)</f>
        <v>0</v>
      </c>
      <c r="ATJ4" s="52">
        <f t="shared" si="78"/>
        <v>0</v>
      </c>
      <c r="ATK4" s="52">
        <f t="shared" si="78"/>
        <v>0</v>
      </c>
      <c r="ATL4" s="52">
        <f t="shared" si="78"/>
        <v>0</v>
      </c>
      <c r="ATM4" s="52">
        <f t="shared" si="78"/>
        <v>0</v>
      </c>
      <c r="ATN4" s="52">
        <f t="shared" si="78"/>
        <v>0</v>
      </c>
      <c r="ATO4" s="52">
        <f t="shared" si="78"/>
        <v>0</v>
      </c>
      <c r="ATP4" s="52">
        <f t="shared" si="78"/>
        <v>0</v>
      </c>
      <c r="ATQ4" s="52">
        <f t="shared" si="78"/>
        <v>0</v>
      </c>
      <c r="ATR4" s="52">
        <f t="shared" si="78"/>
        <v>0</v>
      </c>
      <c r="ATS4" s="52">
        <f t="shared" si="78"/>
        <v>0</v>
      </c>
      <c r="ATT4" s="52">
        <f t="shared" si="78"/>
        <v>0</v>
      </c>
      <c r="ATU4" s="52">
        <f t="shared" si="78"/>
        <v>0</v>
      </c>
      <c r="ATV4" s="52">
        <f t="shared" si="78"/>
        <v>0</v>
      </c>
      <c r="ATW4" s="52">
        <f t="shared" si="78"/>
        <v>0</v>
      </c>
      <c r="ATX4" s="52">
        <f t="shared" si="78"/>
        <v>0</v>
      </c>
      <c r="ATY4" s="52">
        <f t="shared" si="78"/>
        <v>0</v>
      </c>
      <c r="ATZ4" s="52">
        <f t="shared" si="78"/>
        <v>0</v>
      </c>
      <c r="AUA4" s="52">
        <f t="shared" si="78"/>
        <v>0</v>
      </c>
      <c r="AUB4" s="52">
        <f t="shared" si="78"/>
        <v>0</v>
      </c>
      <c r="AUC4" s="52">
        <f t="shared" si="78"/>
        <v>0</v>
      </c>
      <c r="AUD4" s="52">
        <f t="shared" si="78"/>
        <v>0</v>
      </c>
      <c r="AUE4" s="52">
        <f t="shared" si="78"/>
        <v>0</v>
      </c>
      <c r="AUF4" s="52">
        <f t="shared" si="78"/>
        <v>0</v>
      </c>
      <c r="AUG4" s="52">
        <f t="shared" si="78"/>
        <v>0</v>
      </c>
      <c r="AUH4" s="52">
        <f t="shared" si="78"/>
        <v>0</v>
      </c>
      <c r="AUI4" s="52">
        <f t="shared" si="78"/>
        <v>0</v>
      </c>
      <c r="AUJ4" s="52">
        <f t="shared" si="78"/>
        <v>0</v>
      </c>
      <c r="AUK4" s="52">
        <f t="shared" si="78"/>
        <v>0</v>
      </c>
      <c r="AUL4" s="52">
        <f t="shared" si="78"/>
        <v>0</v>
      </c>
      <c r="AUM4" s="52">
        <f t="shared" si="78"/>
        <v>0</v>
      </c>
      <c r="AUN4" s="52">
        <f t="shared" si="78"/>
        <v>0</v>
      </c>
      <c r="AUO4" s="52">
        <f t="shared" si="78"/>
        <v>0</v>
      </c>
      <c r="AUP4" s="52">
        <f t="shared" si="78"/>
        <v>0</v>
      </c>
      <c r="AUQ4" s="52">
        <f t="shared" si="78"/>
        <v>0</v>
      </c>
      <c r="AUR4" s="52">
        <f t="shared" si="78"/>
        <v>0</v>
      </c>
      <c r="AUS4" s="52">
        <f t="shared" si="78"/>
        <v>0</v>
      </c>
      <c r="AUT4" s="52">
        <f t="shared" si="78"/>
        <v>0</v>
      </c>
      <c r="AUU4" s="52">
        <f t="shared" si="78"/>
        <v>0</v>
      </c>
      <c r="AUV4" s="52">
        <f t="shared" si="78"/>
        <v>0</v>
      </c>
      <c r="AUW4" s="52">
        <f t="shared" si="78"/>
        <v>0</v>
      </c>
      <c r="AUX4" s="52">
        <f t="shared" si="78"/>
        <v>0</v>
      </c>
      <c r="AUY4" s="52">
        <f t="shared" si="78"/>
        <v>0</v>
      </c>
      <c r="AUZ4" s="52">
        <f t="shared" si="78"/>
        <v>0</v>
      </c>
      <c r="AVA4" s="52">
        <f t="shared" si="78"/>
        <v>0</v>
      </c>
      <c r="AVB4" s="52">
        <f t="shared" si="78"/>
        <v>0</v>
      </c>
      <c r="AVC4" s="52">
        <f t="shared" si="78"/>
        <v>0</v>
      </c>
      <c r="AVD4" s="52">
        <f t="shared" si="78"/>
        <v>0</v>
      </c>
      <c r="AVE4" s="52">
        <f t="shared" si="78"/>
        <v>0</v>
      </c>
      <c r="AVF4" s="52">
        <f t="shared" si="78"/>
        <v>0</v>
      </c>
      <c r="AVG4" s="52">
        <f t="shared" si="78"/>
        <v>0</v>
      </c>
      <c r="AVH4" s="52">
        <f t="shared" si="78"/>
        <v>0</v>
      </c>
      <c r="AVI4" s="52">
        <f t="shared" si="78"/>
        <v>0</v>
      </c>
      <c r="AVJ4" s="52">
        <f t="shared" si="78"/>
        <v>0</v>
      </c>
      <c r="AVK4" s="52">
        <f t="shared" si="78"/>
        <v>0</v>
      </c>
      <c r="AVL4" s="52">
        <f t="shared" si="78"/>
        <v>0</v>
      </c>
      <c r="AVM4" s="52">
        <f t="shared" si="78"/>
        <v>0</v>
      </c>
      <c r="AVN4" s="52">
        <f t="shared" si="78"/>
        <v>0</v>
      </c>
      <c r="AVO4" s="52">
        <f t="shared" si="78"/>
        <v>0</v>
      </c>
      <c r="AVP4" s="52">
        <f t="shared" si="78"/>
        <v>0</v>
      </c>
      <c r="AVQ4" s="52">
        <f t="shared" si="78"/>
        <v>0</v>
      </c>
      <c r="AVR4" s="52">
        <f t="shared" si="78"/>
        <v>0</v>
      </c>
      <c r="AVS4" s="52">
        <f t="shared" si="78"/>
        <v>0</v>
      </c>
      <c r="AVT4" s="52">
        <f t="shared" si="78"/>
        <v>0</v>
      </c>
      <c r="AVU4" s="52">
        <f t="shared" ref="AVU4:AYF4" si="79">SUBTOTAL(9,AVU6:AVU554)</f>
        <v>0</v>
      </c>
      <c r="AVV4" s="52">
        <f t="shared" si="79"/>
        <v>0</v>
      </c>
      <c r="AVW4" s="52">
        <f t="shared" si="79"/>
        <v>0</v>
      </c>
      <c r="AVX4" s="52">
        <f t="shared" si="79"/>
        <v>0</v>
      </c>
      <c r="AVY4" s="52">
        <f t="shared" si="79"/>
        <v>0</v>
      </c>
      <c r="AVZ4" s="52">
        <f t="shared" si="79"/>
        <v>0</v>
      </c>
      <c r="AWA4" s="52">
        <f t="shared" si="79"/>
        <v>0</v>
      </c>
      <c r="AWB4" s="52">
        <f t="shared" si="79"/>
        <v>0</v>
      </c>
      <c r="AWC4" s="52">
        <f t="shared" si="79"/>
        <v>0</v>
      </c>
      <c r="AWD4" s="52">
        <f t="shared" si="79"/>
        <v>0</v>
      </c>
      <c r="AWE4" s="52">
        <f t="shared" si="79"/>
        <v>0</v>
      </c>
      <c r="AWF4" s="52">
        <f t="shared" si="79"/>
        <v>0</v>
      </c>
      <c r="AWG4" s="52">
        <f t="shared" si="79"/>
        <v>0</v>
      </c>
      <c r="AWH4" s="52">
        <f t="shared" si="79"/>
        <v>0</v>
      </c>
      <c r="AWI4" s="52">
        <f t="shared" si="79"/>
        <v>0</v>
      </c>
      <c r="AWJ4" s="52">
        <f t="shared" si="79"/>
        <v>0</v>
      </c>
      <c r="AWK4" s="52">
        <f t="shared" si="79"/>
        <v>0</v>
      </c>
      <c r="AWL4" s="52">
        <f t="shared" si="79"/>
        <v>0</v>
      </c>
      <c r="AWM4" s="52">
        <f t="shared" si="79"/>
        <v>0</v>
      </c>
      <c r="AWN4" s="52">
        <f t="shared" si="79"/>
        <v>0</v>
      </c>
      <c r="AWO4" s="52">
        <f t="shared" si="79"/>
        <v>0</v>
      </c>
      <c r="AWP4" s="52">
        <f t="shared" si="79"/>
        <v>0</v>
      </c>
      <c r="AWQ4" s="52">
        <f t="shared" si="79"/>
        <v>0</v>
      </c>
      <c r="AWR4" s="52">
        <f t="shared" si="79"/>
        <v>0</v>
      </c>
      <c r="AWS4" s="52">
        <f t="shared" si="79"/>
        <v>0</v>
      </c>
      <c r="AWT4" s="52">
        <f t="shared" si="79"/>
        <v>0</v>
      </c>
      <c r="AWU4" s="52">
        <f t="shared" si="79"/>
        <v>0</v>
      </c>
      <c r="AWV4" s="52">
        <f t="shared" si="79"/>
        <v>0</v>
      </c>
      <c r="AWW4" s="52">
        <f t="shared" si="79"/>
        <v>0</v>
      </c>
      <c r="AWX4" s="52">
        <f t="shared" si="79"/>
        <v>0</v>
      </c>
      <c r="AWY4" s="52">
        <f t="shared" si="79"/>
        <v>0</v>
      </c>
      <c r="AWZ4" s="52">
        <f t="shared" si="79"/>
        <v>0</v>
      </c>
      <c r="AXA4" s="52">
        <f t="shared" si="79"/>
        <v>0</v>
      </c>
      <c r="AXB4" s="52">
        <f t="shared" si="79"/>
        <v>0</v>
      </c>
      <c r="AXC4" s="52">
        <f t="shared" si="79"/>
        <v>0</v>
      </c>
      <c r="AXD4" s="52">
        <f t="shared" si="79"/>
        <v>0</v>
      </c>
      <c r="AXE4" s="52">
        <f t="shared" si="79"/>
        <v>0</v>
      </c>
      <c r="AXF4" s="52">
        <f t="shared" si="79"/>
        <v>0</v>
      </c>
      <c r="AXG4" s="52">
        <f t="shared" si="79"/>
        <v>0</v>
      </c>
      <c r="AXH4" s="52">
        <f t="shared" si="79"/>
        <v>0</v>
      </c>
      <c r="AXI4" s="52">
        <f t="shared" si="79"/>
        <v>0</v>
      </c>
      <c r="AXJ4" s="52">
        <f t="shared" si="79"/>
        <v>0</v>
      </c>
      <c r="AXK4" s="52">
        <f t="shared" si="79"/>
        <v>0</v>
      </c>
      <c r="AXL4" s="52">
        <f t="shared" si="79"/>
        <v>0</v>
      </c>
      <c r="AXM4" s="52">
        <f t="shared" si="79"/>
        <v>0</v>
      </c>
      <c r="AXN4" s="52">
        <f t="shared" si="79"/>
        <v>0</v>
      </c>
      <c r="AXO4" s="52">
        <f t="shared" si="79"/>
        <v>0</v>
      </c>
      <c r="AXP4" s="52">
        <f t="shared" si="79"/>
        <v>0</v>
      </c>
      <c r="AXQ4" s="52">
        <f t="shared" si="79"/>
        <v>0</v>
      </c>
      <c r="AXR4" s="52">
        <f t="shared" si="79"/>
        <v>0</v>
      </c>
      <c r="AXS4" s="52">
        <f t="shared" si="79"/>
        <v>0</v>
      </c>
      <c r="AXT4" s="52">
        <f t="shared" si="79"/>
        <v>0</v>
      </c>
      <c r="AXU4" s="52">
        <f t="shared" si="79"/>
        <v>0</v>
      </c>
      <c r="AXV4" s="52">
        <f t="shared" si="79"/>
        <v>0</v>
      </c>
      <c r="AXW4" s="52">
        <f t="shared" si="79"/>
        <v>0</v>
      </c>
      <c r="AXX4" s="52">
        <f t="shared" si="79"/>
        <v>0</v>
      </c>
      <c r="AXY4" s="52">
        <f t="shared" si="79"/>
        <v>0</v>
      </c>
      <c r="AXZ4" s="52">
        <f t="shared" si="79"/>
        <v>0</v>
      </c>
      <c r="AYA4" s="52">
        <f t="shared" si="79"/>
        <v>0</v>
      </c>
      <c r="AYB4" s="52">
        <f t="shared" si="79"/>
        <v>0</v>
      </c>
      <c r="AYC4" s="52">
        <f t="shared" si="79"/>
        <v>0</v>
      </c>
      <c r="AYD4" s="52">
        <f t="shared" si="79"/>
        <v>0</v>
      </c>
      <c r="AYE4" s="52">
        <f t="shared" si="79"/>
        <v>0</v>
      </c>
      <c r="AYF4" s="52">
        <f t="shared" si="79"/>
        <v>0</v>
      </c>
      <c r="AYG4" s="52">
        <f t="shared" ref="AYG4:BAR4" si="80">SUBTOTAL(9,AYG6:AYG554)</f>
        <v>0</v>
      </c>
      <c r="AYH4" s="52">
        <f t="shared" si="80"/>
        <v>0</v>
      </c>
      <c r="AYI4" s="52">
        <f t="shared" si="80"/>
        <v>0</v>
      </c>
      <c r="AYJ4" s="52">
        <f t="shared" si="80"/>
        <v>0</v>
      </c>
      <c r="AYK4" s="52">
        <f t="shared" si="80"/>
        <v>0</v>
      </c>
      <c r="AYL4" s="52">
        <f t="shared" si="80"/>
        <v>0</v>
      </c>
      <c r="AYM4" s="52">
        <f t="shared" si="80"/>
        <v>0</v>
      </c>
      <c r="AYN4" s="52">
        <f t="shared" si="80"/>
        <v>0</v>
      </c>
      <c r="AYO4" s="52">
        <f t="shared" si="80"/>
        <v>0</v>
      </c>
      <c r="AYP4" s="52">
        <f t="shared" si="80"/>
        <v>0</v>
      </c>
      <c r="AYQ4" s="52">
        <f t="shared" si="80"/>
        <v>0</v>
      </c>
      <c r="AYR4" s="52">
        <f t="shared" si="80"/>
        <v>0</v>
      </c>
      <c r="AYS4" s="52">
        <f t="shared" si="80"/>
        <v>0</v>
      </c>
      <c r="AYT4" s="52">
        <f t="shared" si="80"/>
        <v>0</v>
      </c>
      <c r="AYU4" s="52">
        <f t="shared" si="80"/>
        <v>0</v>
      </c>
      <c r="AYV4" s="52">
        <f t="shared" si="80"/>
        <v>0</v>
      </c>
      <c r="AYW4" s="52">
        <f t="shared" si="80"/>
        <v>0</v>
      </c>
      <c r="AYX4" s="52">
        <f t="shared" si="80"/>
        <v>0</v>
      </c>
      <c r="AYY4" s="52">
        <f t="shared" si="80"/>
        <v>0</v>
      </c>
      <c r="AYZ4" s="52">
        <f t="shared" si="80"/>
        <v>0</v>
      </c>
      <c r="AZA4" s="52">
        <f t="shared" si="80"/>
        <v>0</v>
      </c>
      <c r="AZB4" s="52">
        <f t="shared" si="80"/>
        <v>0</v>
      </c>
      <c r="AZC4" s="52">
        <f t="shared" si="80"/>
        <v>0</v>
      </c>
      <c r="AZD4" s="52">
        <f t="shared" si="80"/>
        <v>0</v>
      </c>
      <c r="AZE4" s="52">
        <f t="shared" si="80"/>
        <v>0</v>
      </c>
      <c r="AZF4" s="52">
        <f t="shared" si="80"/>
        <v>0</v>
      </c>
      <c r="AZG4" s="52">
        <f t="shared" si="80"/>
        <v>0</v>
      </c>
      <c r="AZH4" s="52">
        <f t="shared" si="80"/>
        <v>0</v>
      </c>
      <c r="AZI4" s="52">
        <f t="shared" si="80"/>
        <v>0</v>
      </c>
      <c r="AZJ4" s="52">
        <f t="shared" si="80"/>
        <v>0</v>
      </c>
      <c r="AZK4" s="52">
        <f t="shared" si="80"/>
        <v>0</v>
      </c>
      <c r="AZL4" s="52">
        <f t="shared" si="80"/>
        <v>0</v>
      </c>
      <c r="AZM4" s="52">
        <f t="shared" si="80"/>
        <v>0</v>
      </c>
      <c r="AZN4" s="52">
        <f t="shared" si="80"/>
        <v>0</v>
      </c>
      <c r="AZO4" s="52">
        <f t="shared" si="80"/>
        <v>0</v>
      </c>
      <c r="AZP4" s="52">
        <f t="shared" si="80"/>
        <v>0</v>
      </c>
      <c r="AZQ4" s="52">
        <f t="shared" si="80"/>
        <v>0</v>
      </c>
      <c r="AZR4" s="52">
        <f t="shared" si="80"/>
        <v>0</v>
      </c>
      <c r="AZS4" s="52">
        <f t="shared" si="80"/>
        <v>0</v>
      </c>
      <c r="AZT4" s="52">
        <f t="shared" si="80"/>
        <v>0</v>
      </c>
      <c r="AZU4" s="52">
        <f t="shared" si="80"/>
        <v>0</v>
      </c>
      <c r="AZV4" s="52">
        <f t="shared" si="80"/>
        <v>0</v>
      </c>
      <c r="AZW4" s="52">
        <f t="shared" si="80"/>
        <v>0</v>
      </c>
      <c r="AZX4" s="52">
        <f t="shared" si="80"/>
        <v>0</v>
      </c>
      <c r="AZY4" s="52">
        <f t="shared" si="80"/>
        <v>0</v>
      </c>
      <c r="AZZ4" s="52">
        <f t="shared" si="80"/>
        <v>0</v>
      </c>
      <c r="BAA4" s="52">
        <f t="shared" si="80"/>
        <v>0</v>
      </c>
      <c r="BAB4" s="52">
        <f t="shared" si="80"/>
        <v>0</v>
      </c>
      <c r="BAC4" s="52">
        <f t="shared" si="80"/>
        <v>0</v>
      </c>
      <c r="BAD4" s="52">
        <f t="shared" si="80"/>
        <v>0</v>
      </c>
      <c r="BAE4" s="52">
        <f t="shared" si="80"/>
        <v>0</v>
      </c>
      <c r="BAF4" s="52">
        <f t="shared" si="80"/>
        <v>0</v>
      </c>
      <c r="BAG4" s="52">
        <f t="shared" si="80"/>
        <v>0</v>
      </c>
      <c r="BAH4" s="52">
        <f t="shared" si="80"/>
        <v>0</v>
      </c>
      <c r="BAI4" s="52">
        <f t="shared" si="80"/>
        <v>0</v>
      </c>
      <c r="BAJ4" s="52">
        <f t="shared" si="80"/>
        <v>0</v>
      </c>
      <c r="BAK4" s="52">
        <f t="shared" si="80"/>
        <v>0</v>
      </c>
      <c r="BAL4" s="52">
        <f t="shared" si="80"/>
        <v>0</v>
      </c>
      <c r="BAM4" s="52">
        <f t="shared" si="80"/>
        <v>0</v>
      </c>
      <c r="BAN4" s="52">
        <f t="shared" si="80"/>
        <v>0</v>
      </c>
      <c r="BAO4" s="52">
        <f t="shared" si="80"/>
        <v>0</v>
      </c>
      <c r="BAP4" s="52">
        <f t="shared" si="80"/>
        <v>0</v>
      </c>
      <c r="BAQ4" s="52">
        <f t="shared" si="80"/>
        <v>0</v>
      </c>
      <c r="BAR4" s="52">
        <f t="shared" si="80"/>
        <v>0</v>
      </c>
      <c r="BAS4" s="52">
        <f t="shared" ref="BAS4:BDD4" si="81">SUBTOTAL(9,BAS6:BAS554)</f>
        <v>0</v>
      </c>
      <c r="BAT4" s="52">
        <f t="shared" si="81"/>
        <v>0</v>
      </c>
      <c r="BAU4" s="52">
        <f t="shared" si="81"/>
        <v>0</v>
      </c>
      <c r="BAV4" s="52">
        <f t="shared" si="81"/>
        <v>0</v>
      </c>
      <c r="BAW4" s="52">
        <f t="shared" si="81"/>
        <v>0</v>
      </c>
      <c r="BAX4" s="52">
        <f t="shared" si="81"/>
        <v>0</v>
      </c>
      <c r="BAY4" s="52">
        <f t="shared" si="81"/>
        <v>0</v>
      </c>
      <c r="BAZ4" s="52">
        <f t="shared" si="81"/>
        <v>0</v>
      </c>
      <c r="BBA4" s="52">
        <f t="shared" si="81"/>
        <v>0</v>
      </c>
      <c r="BBB4" s="52">
        <f t="shared" si="81"/>
        <v>0</v>
      </c>
      <c r="BBC4" s="52">
        <f t="shared" si="81"/>
        <v>0</v>
      </c>
      <c r="BBD4" s="52">
        <f t="shared" si="81"/>
        <v>0</v>
      </c>
      <c r="BBE4" s="52">
        <f t="shared" si="81"/>
        <v>0</v>
      </c>
      <c r="BBF4" s="52">
        <f t="shared" si="81"/>
        <v>0</v>
      </c>
      <c r="BBG4" s="52">
        <f t="shared" si="81"/>
        <v>0</v>
      </c>
      <c r="BBH4" s="52">
        <f t="shared" si="81"/>
        <v>0</v>
      </c>
      <c r="BBI4" s="52">
        <f t="shared" si="81"/>
        <v>0</v>
      </c>
      <c r="BBJ4" s="52">
        <f t="shared" si="81"/>
        <v>0</v>
      </c>
      <c r="BBK4" s="52">
        <f t="shared" si="81"/>
        <v>0</v>
      </c>
      <c r="BBL4" s="52">
        <f t="shared" si="81"/>
        <v>0</v>
      </c>
      <c r="BBM4" s="52">
        <f t="shared" si="81"/>
        <v>0</v>
      </c>
      <c r="BBN4" s="52">
        <f t="shared" si="81"/>
        <v>0</v>
      </c>
      <c r="BBO4" s="52">
        <f t="shared" si="81"/>
        <v>0</v>
      </c>
      <c r="BBP4" s="52">
        <f t="shared" si="81"/>
        <v>0</v>
      </c>
      <c r="BBQ4" s="52">
        <f t="shared" si="81"/>
        <v>0</v>
      </c>
      <c r="BBR4" s="52">
        <f t="shared" si="81"/>
        <v>0</v>
      </c>
      <c r="BBS4" s="52">
        <f t="shared" si="81"/>
        <v>0</v>
      </c>
      <c r="BBT4" s="52">
        <f t="shared" si="81"/>
        <v>0</v>
      </c>
      <c r="BBU4" s="52">
        <f t="shared" si="81"/>
        <v>0</v>
      </c>
      <c r="BBV4" s="52">
        <f t="shared" si="81"/>
        <v>0</v>
      </c>
      <c r="BBW4" s="52">
        <f t="shared" si="81"/>
        <v>0</v>
      </c>
      <c r="BBX4" s="52">
        <f t="shared" si="81"/>
        <v>0</v>
      </c>
      <c r="BBY4" s="52">
        <f t="shared" si="81"/>
        <v>0</v>
      </c>
      <c r="BBZ4" s="52">
        <f t="shared" si="81"/>
        <v>0</v>
      </c>
      <c r="BCA4" s="52">
        <f t="shared" si="81"/>
        <v>0</v>
      </c>
      <c r="BCB4" s="52">
        <f t="shared" si="81"/>
        <v>0</v>
      </c>
      <c r="BCC4" s="52">
        <f t="shared" si="81"/>
        <v>0</v>
      </c>
      <c r="BCD4" s="52">
        <f t="shared" si="81"/>
        <v>0</v>
      </c>
      <c r="BCE4" s="52">
        <f t="shared" si="81"/>
        <v>0</v>
      </c>
      <c r="BCF4" s="52">
        <f t="shared" si="81"/>
        <v>0</v>
      </c>
      <c r="BCG4" s="52">
        <f t="shared" si="81"/>
        <v>0</v>
      </c>
      <c r="BCH4" s="52">
        <f t="shared" si="81"/>
        <v>0</v>
      </c>
      <c r="BCI4" s="52">
        <f t="shared" si="81"/>
        <v>0</v>
      </c>
      <c r="BCJ4" s="52">
        <f t="shared" si="81"/>
        <v>0</v>
      </c>
      <c r="BCK4" s="52">
        <f t="shared" si="81"/>
        <v>0</v>
      </c>
      <c r="BCL4" s="52">
        <f t="shared" si="81"/>
        <v>0</v>
      </c>
      <c r="BCM4" s="52">
        <f t="shared" si="81"/>
        <v>0</v>
      </c>
      <c r="BCN4" s="52">
        <f t="shared" si="81"/>
        <v>0</v>
      </c>
      <c r="BCO4" s="52">
        <f t="shared" si="81"/>
        <v>0</v>
      </c>
      <c r="BCP4" s="52">
        <f t="shared" si="81"/>
        <v>0</v>
      </c>
      <c r="BCQ4" s="52">
        <f t="shared" si="81"/>
        <v>0</v>
      </c>
      <c r="BCR4" s="52">
        <f t="shared" si="81"/>
        <v>0</v>
      </c>
      <c r="BCS4" s="52">
        <f t="shared" si="81"/>
        <v>0</v>
      </c>
      <c r="BCT4" s="52">
        <f t="shared" si="81"/>
        <v>0</v>
      </c>
      <c r="BCU4" s="52">
        <f t="shared" si="81"/>
        <v>0</v>
      </c>
      <c r="BCV4" s="52">
        <f t="shared" si="81"/>
        <v>0</v>
      </c>
      <c r="BCW4" s="52">
        <f t="shared" si="81"/>
        <v>0</v>
      </c>
      <c r="BCX4" s="52">
        <f t="shared" si="81"/>
        <v>0</v>
      </c>
      <c r="BCY4" s="52">
        <f t="shared" si="81"/>
        <v>0</v>
      </c>
      <c r="BCZ4" s="52">
        <f t="shared" si="81"/>
        <v>0</v>
      </c>
      <c r="BDA4" s="52">
        <f t="shared" si="81"/>
        <v>0</v>
      </c>
      <c r="BDB4" s="52">
        <f t="shared" si="81"/>
        <v>0</v>
      </c>
      <c r="BDC4" s="52">
        <f t="shared" si="81"/>
        <v>0</v>
      </c>
      <c r="BDD4" s="52">
        <f t="shared" si="81"/>
        <v>0</v>
      </c>
      <c r="BDE4" s="52">
        <f t="shared" ref="BDE4:BFP4" si="82">SUBTOTAL(9,BDE6:BDE554)</f>
        <v>0</v>
      </c>
      <c r="BDF4" s="52">
        <f t="shared" si="82"/>
        <v>0</v>
      </c>
      <c r="BDG4" s="52">
        <f t="shared" si="82"/>
        <v>0</v>
      </c>
      <c r="BDH4" s="52">
        <f t="shared" si="82"/>
        <v>0</v>
      </c>
      <c r="BDI4" s="52">
        <f t="shared" si="82"/>
        <v>0</v>
      </c>
      <c r="BDJ4" s="52">
        <f t="shared" si="82"/>
        <v>0</v>
      </c>
      <c r="BDK4" s="52">
        <f t="shared" si="82"/>
        <v>0</v>
      </c>
      <c r="BDL4" s="52">
        <f t="shared" si="82"/>
        <v>0</v>
      </c>
      <c r="BDM4" s="52">
        <f t="shared" si="82"/>
        <v>0</v>
      </c>
      <c r="BDN4" s="52">
        <f t="shared" si="82"/>
        <v>0</v>
      </c>
      <c r="BDO4" s="52">
        <f t="shared" si="82"/>
        <v>0</v>
      </c>
      <c r="BDP4" s="52">
        <f t="shared" si="82"/>
        <v>0</v>
      </c>
      <c r="BDQ4" s="52">
        <f t="shared" si="82"/>
        <v>0</v>
      </c>
      <c r="BDR4" s="52">
        <f t="shared" si="82"/>
        <v>0</v>
      </c>
      <c r="BDS4" s="52">
        <f t="shared" si="82"/>
        <v>0</v>
      </c>
      <c r="BDT4" s="52">
        <f t="shared" si="82"/>
        <v>0</v>
      </c>
      <c r="BDU4" s="52">
        <f t="shared" si="82"/>
        <v>0</v>
      </c>
      <c r="BDV4" s="52">
        <f t="shared" si="82"/>
        <v>0</v>
      </c>
      <c r="BDW4" s="52">
        <f t="shared" si="82"/>
        <v>0</v>
      </c>
      <c r="BDX4" s="52">
        <f t="shared" si="82"/>
        <v>0</v>
      </c>
      <c r="BDY4" s="52">
        <f t="shared" si="82"/>
        <v>0</v>
      </c>
      <c r="BDZ4" s="52">
        <f t="shared" si="82"/>
        <v>0</v>
      </c>
      <c r="BEA4" s="52">
        <f t="shared" si="82"/>
        <v>0</v>
      </c>
      <c r="BEB4" s="52">
        <f t="shared" si="82"/>
        <v>0</v>
      </c>
      <c r="BEC4" s="52">
        <f t="shared" si="82"/>
        <v>0</v>
      </c>
      <c r="BED4" s="52">
        <f t="shared" si="82"/>
        <v>0</v>
      </c>
      <c r="BEE4" s="52">
        <f t="shared" si="82"/>
        <v>0</v>
      </c>
      <c r="BEF4" s="52">
        <f t="shared" si="82"/>
        <v>0</v>
      </c>
      <c r="BEG4" s="52">
        <f t="shared" si="82"/>
        <v>0</v>
      </c>
      <c r="BEH4" s="52">
        <f t="shared" si="82"/>
        <v>0</v>
      </c>
      <c r="BEI4" s="52">
        <f t="shared" si="82"/>
        <v>0</v>
      </c>
      <c r="BEJ4" s="52">
        <f t="shared" si="82"/>
        <v>0</v>
      </c>
      <c r="BEK4" s="52">
        <f t="shared" si="82"/>
        <v>0</v>
      </c>
      <c r="BEL4" s="52">
        <f t="shared" si="82"/>
        <v>0</v>
      </c>
      <c r="BEM4" s="52">
        <f t="shared" si="82"/>
        <v>0</v>
      </c>
      <c r="BEN4" s="52">
        <f t="shared" si="82"/>
        <v>0</v>
      </c>
      <c r="BEO4" s="52">
        <f t="shared" si="82"/>
        <v>0</v>
      </c>
      <c r="BEP4" s="52">
        <f t="shared" si="82"/>
        <v>0</v>
      </c>
      <c r="BEQ4" s="52">
        <f t="shared" si="82"/>
        <v>0</v>
      </c>
      <c r="BER4" s="52">
        <f t="shared" si="82"/>
        <v>0</v>
      </c>
      <c r="BES4" s="52">
        <f t="shared" si="82"/>
        <v>0</v>
      </c>
      <c r="BET4" s="52">
        <f t="shared" si="82"/>
        <v>0</v>
      </c>
      <c r="BEU4" s="52">
        <f t="shared" si="82"/>
        <v>0</v>
      </c>
      <c r="BEV4" s="52">
        <f t="shared" si="82"/>
        <v>0</v>
      </c>
      <c r="BEW4" s="52">
        <f t="shared" si="82"/>
        <v>0</v>
      </c>
      <c r="BEX4" s="52">
        <f t="shared" si="82"/>
        <v>0</v>
      </c>
      <c r="BEY4" s="52">
        <f t="shared" si="82"/>
        <v>0</v>
      </c>
      <c r="BEZ4" s="52">
        <f t="shared" si="82"/>
        <v>0</v>
      </c>
      <c r="BFA4" s="52">
        <f t="shared" si="82"/>
        <v>0</v>
      </c>
      <c r="BFB4" s="52">
        <f t="shared" si="82"/>
        <v>0</v>
      </c>
      <c r="BFC4" s="52">
        <f t="shared" si="82"/>
        <v>0</v>
      </c>
      <c r="BFD4" s="52">
        <f t="shared" si="82"/>
        <v>0</v>
      </c>
      <c r="BFE4" s="52">
        <f t="shared" si="82"/>
        <v>0</v>
      </c>
      <c r="BFF4" s="52">
        <f t="shared" si="82"/>
        <v>0</v>
      </c>
      <c r="BFG4" s="52">
        <f t="shared" si="82"/>
        <v>0</v>
      </c>
      <c r="BFH4" s="52">
        <f t="shared" si="82"/>
        <v>0</v>
      </c>
      <c r="BFI4" s="52">
        <f t="shared" si="82"/>
        <v>0</v>
      </c>
      <c r="BFJ4" s="52">
        <f t="shared" si="82"/>
        <v>0</v>
      </c>
      <c r="BFK4" s="52">
        <f t="shared" si="82"/>
        <v>0</v>
      </c>
      <c r="BFL4" s="52">
        <f t="shared" si="82"/>
        <v>0</v>
      </c>
      <c r="BFM4" s="52">
        <f t="shared" si="82"/>
        <v>0</v>
      </c>
      <c r="BFN4" s="52">
        <f t="shared" si="82"/>
        <v>0</v>
      </c>
      <c r="BFO4" s="52">
        <f t="shared" si="82"/>
        <v>0</v>
      </c>
      <c r="BFP4" s="52">
        <f t="shared" si="82"/>
        <v>0</v>
      </c>
      <c r="BFQ4" s="52">
        <f t="shared" ref="BFQ4:BIB4" si="83">SUBTOTAL(9,BFQ6:BFQ554)</f>
        <v>0</v>
      </c>
      <c r="BFR4" s="52">
        <f t="shared" si="83"/>
        <v>0</v>
      </c>
      <c r="BFS4" s="52">
        <f t="shared" si="83"/>
        <v>0</v>
      </c>
      <c r="BFT4" s="52">
        <f t="shared" si="83"/>
        <v>0</v>
      </c>
      <c r="BFU4" s="52">
        <f t="shared" si="83"/>
        <v>0</v>
      </c>
      <c r="BFV4" s="52">
        <f t="shared" si="83"/>
        <v>0</v>
      </c>
      <c r="BFW4" s="52">
        <f t="shared" si="83"/>
        <v>0</v>
      </c>
      <c r="BFX4" s="52">
        <f t="shared" si="83"/>
        <v>0</v>
      </c>
      <c r="BFY4" s="52">
        <f t="shared" si="83"/>
        <v>0</v>
      </c>
      <c r="BFZ4" s="52">
        <f t="shared" si="83"/>
        <v>0</v>
      </c>
      <c r="BGA4" s="52">
        <f t="shared" si="83"/>
        <v>0</v>
      </c>
      <c r="BGB4" s="52">
        <f t="shared" si="83"/>
        <v>0</v>
      </c>
      <c r="BGC4" s="52">
        <f t="shared" si="83"/>
        <v>0</v>
      </c>
      <c r="BGD4" s="52">
        <f t="shared" si="83"/>
        <v>0</v>
      </c>
      <c r="BGE4" s="52">
        <f t="shared" si="83"/>
        <v>0</v>
      </c>
      <c r="BGF4" s="52">
        <f t="shared" si="83"/>
        <v>0</v>
      </c>
      <c r="BGG4" s="52">
        <f t="shared" si="83"/>
        <v>0</v>
      </c>
      <c r="BGH4" s="52">
        <f t="shared" si="83"/>
        <v>0</v>
      </c>
      <c r="BGI4" s="52">
        <f t="shared" si="83"/>
        <v>0</v>
      </c>
      <c r="BGJ4" s="52">
        <f t="shared" si="83"/>
        <v>0</v>
      </c>
      <c r="BGK4" s="52">
        <f t="shared" si="83"/>
        <v>0</v>
      </c>
      <c r="BGL4" s="52">
        <f t="shared" si="83"/>
        <v>0</v>
      </c>
      <c r="BGM4" s="52">
        <f t="shared" si="83"/>
        <v>0</v>
      </c>
      <c r="BGN4" s="52">
        <f t="shared" si="83"/>
        <v>0</v>
      </c>
      <c r="BGO4" s="52">
        <f t="shared" si="83"/>
        <v>0</v>
      </c>
      <c r="BGP4" s="52">
        <f t="shared" si="83"/>
        <v>0</v>
      </c>
      <c r="BGQ4" s="52">
        <f t="shared" si="83"/>
        <v>0</v>
      </c>
      <c r="BGR4" s="52">
        <f t="shared" si="83"/>
        <v>0</v>
      </c>
      <c r="BGS4" s="52">
        <f t="shared" si="83"/>
        <v>0</v>
      </c>
      <c r="BGT4" s="52">
        <f t="shared" si="83"/>
        <v>0</v>
      </c>
      <c r="BGU4" s="52">
        <f t="shared" si="83"/>
        <v>0</v>
      </c>
      <c r="BGV4" s="52">
        <f t="shared" si="83"/>
        <v>0</v>
      </c>
      <c r="BGW4" s="52">
        <f t="shared" si="83"/>
        <v>0</v>
      </c>
      <c r="BGX4" s="52">
        <f t="shared" si="83"/>
        <v>0</v>
      </c>
      <c r="BGY4" s="52">
        <f t="shared" si="83"/>
        <v>0</v>
      </c>
      <c r="BGZ4" s="52">
        <f t="shared" si="83"/>
        <v>0</v>
      </c>
      <c r="BHA4" s="52">
        <f t="shared" si="83"/>
        <v>0</v>
      </c>
      <c r="BHB4" s="52">
        <f t="shared" si="83"/>
        <v>0</v>
      </c>
      <c r="BHC4" s="52">
        <f t="shared" si="83"/>
        <v>0</v>
      </c>
      <c r="BHD4" s="52">
        <f t="shared" si="83"/>
        <v>0</v>
      </c>
      <c r="BHE4" s="52">
        <f t="shared" si="83"/>
        <v>0</v>
      </c>
      <c r="BHF4" s="52">
        <f t="shared" si="83"/>
        <v>0</v>
      </c>
      <c r="BHG4" s="52">
        <f t="shared" si="83"/>
        <v>0</v>
      </c>
      <c r="BHH4" s="52">
        <f t="shared" si="83"/>
        <v>0</v>
      </c>
      <c r="BHI4" s="52">
        <f t="shared" si="83"/>
        <v>0</v>
      </c>
      <c r="BHJ4" s="52">
        <f t="shared" si="83"/>
        <v>0</v>
      </c>
      <c r="BHK4" s="52">
        <f t="shared" si="83"/>
        <v>0</v>
      </c>
      <c r="BHL4" s="52">
        <f t="shared" si="83"/>
        <v>0</v>
      </c>
      <c r="BHM4" s="52">
        <f t="shared" si="83"/>
        <v>0</v>
      </c>
      <c r="BHN4" s="52">
        <f t="shared" si="83"/>
        <v>0</v>
      </c>
      <c r="BHO4" s="52">
        <f t="shared" si="83"/>
        <v>0</v>
      </c>
      <c r="BHP4" s="52">
        <f t="shared" si="83"/>
        <v>0</v>
      </c>
      <c r="BHQ4" s="52">
        <f t="shared" si="83"/>
        <v>0</v>
      </c>
      <c r="BHR4" s="52">
        <f t="shared" si="83"/>
        <v>0</v>
      </c>
      <c r="BHS4" s="52">
        <f t="shared" si="83"/>
        <v>0</v>
      </c>
      <c r="BHT4" s="52">
        <f t="shared" si="83"/>
        <v>0</v>
      </c>
      <c r="BHU4" s="52">
        <f t="shared" si="83"/>
        <v>0</v>
      </c>
      <c r="BHV4" s="52">
        <f t="shared" si="83"/>
        <v>0</v>
      </c>
      <c r="BHW4" s="52">
        <f t="shared" si="83"/>
        <v>0</v>
      </c>
      <c r="BHX4" s="52">
        <f t="shared" si="83"/>
        <v>0</v>
      </c>
      <c r="BHY4" s="52">
        <f t="shared" si="83"/>
        <v>0</v>
      </c>
      <c r="BHZ4" s="52">
        <f t="shared" si="83"/>
        <v>0</v>
      </c>
      <c r="BIA4" s="52">
        <f t="shared" si="83"/>
        <v>0</v>
      </c>
      <c r="BIB4" s="52">
        <f t="shared" si="83"/>
        <v>0</v>
      </c>
      <c r="BIC4" s="52">
        <f t="shared" ref="BIC4:BKN4" si="84">SUBTOTAL(9,BIC6:BIC554)</f>
        <v>0</v>
      </c>
      <c r="BID4" s="52">
        <f t="shared" si="84"/>
        <v>0</v>
      </c>
      <c r="BIE4" s="52">
        <f t="shared" si="84"/>
        <v>0</v>
      </c>
      <c r="BIF4" s="52">
        <f t="shared" si="84"/>
        <v>0</v>
      </c>
      <c r="BIG4" s="52">
        <f t="shared" si="84"/>
        <v>0</v>
      </c>
      <c r="BIH4" s="52">
        <f t="shared" si="84"/>
        <v>0</v>
      </c>
      <c r="BII4" s="52">
        <f t="shared" si="84"/>
        <v>0</v>
      </c>
      <c r="BIJ4" s="52">
        <f t="shared" si="84"/>
        <v>0</v>
      </c>
      <c r="BIK4" s="52">
        <f t="shared" si="84"/>
        <v>0</v>
      </c>
      <c r="BIL4" s="52">
        <f t="shared" si="84"/>
        <v>0</v>
      </c>
      <c r="BIM4" s="52">
        <f t="shared" si="84"/>
        <v>0</v>
      </c>
      <c r="BIN4" s="52">
        <f t="shared" si="84"/>
        <v>0</v>
      </c>
      <c r="BIO4" s="52">
        <f t="shared" si="84"/>
        <v>0</v>
      </c>
      <c r="BIP4" s="52">
        <f t="shared" si="84"/>
        <v>0</v>
      </c>
      <c r="BIQ4" s="52">
        <f t="shared" si="84"/>
        <v>0</v>
      </c>
      <c r="BIR4" s="52">
        <f t="shared" si="84"/>
        <v>0</v>
      </c>
      <c r="BIS4" s="52">
        <f t="shared" si="84"/>
        <v>0</v>
      </c>
      <c r="BIT4" s="52">
        <f t="shared" si="84"/>
        <v>0</v>
      </c>
      <c r="BIU4" s="52">
        <f t="shared" si="84"/>
        <v>0</v>
      </c>
      <c r="BIV4" s="52">
        <f t="shared" si="84"/>
        <v>0</v>
      </c>
      <c r="BIW4" s="52">
        <f t="shared" si="84"/>
        <v>0</v>
      </c>
      <c r="BIX4" s="52">
        <f t="shared" si="84"/>
        <v>0</v>
      </c>
      <c r="BIY4" s="52">
        <f t="shared" si="84"/>
        <v>0</v>
      </c>
      <c r="BIZ4" s="52">
        <f t="shared" si="84"/>
        <v>0</v>
      </c>
      <c r="BJA4" s="52">
        <f t="shared" si="84"/>
        <v>0</v>
      </c>
      <c r="BJB4" s="52">
        <f t="shared" si="84"/>
        <v>0</v>
      </c>
      <c r="BJC4" s="52">
        <f t="shared" si="84"/>
        <v>0</v>
      </c>
      <c r="BJD4" s="52">
        <f t="shared" si="84"/>
        <v>0</v>
      </c>
      <c r="BJE4" s="52">
        <f t="shared" si="84"/>
        <v>0</v>
      </c>
      <c r="BJF4" s="52">
        <f t="shared" si="84"/>
        <v>0</v>
      </c>
      <c r="BJG4" s="52">
        <f t="shared" si="84"/>
        <v>0</v>
      </c>
      <c r="BJH4" s="52">
        <f t="shared" si="84"/>
        <v>0</v>
      </c>
      <c r="BJI4" s="52">
        <f t="shared" si="84"/>
        <v>0</v>
      </c>
      <c r="BJJ4" s="52">
        <f t="shared" si="84"/>
        <v>0</v>
      </c>
      <c r="BJK4" s="52">
        <f t="shared" si="84"/>
        <v>0</v>
      </c>
      <c r="BJL4" s="52">
        <f t="shared" si="84"/>
        <v>0</v>
      </c>
      <c r="BJM4" s="52">
        <f t="shared" si="84"/>
        <v>0</v>
      </c>
      <c r="BJN4" s="52">
        <f t="shared" si="84"/>
        <v>0</v>
      </c>
      <c r="BJO4" s="52">
        <f t="shared" si="84"/>
        <v>0</v>
      </c>
      <c r="BJP4" s="52">
        <f t="shared" si="84"/>
        <v>0</v>
      </c>
      <c r="BJQ4" s="52">
        <f t="shared" si="84"/>
        <v>0</v>
      </c>
      <c r="BJR4" s="52">
        <f t="shared" si="84"/>
        <v>0</v>
      </c>
      <c r="BJS4" s="52">
        <f t="shared" si="84"/>
        <v>0</v>
      </c>
      <c r="BJT4" s="52">
        <f t="shared" si="84"/>
        <v>0</v>
      </c>
      <c r="BJU4" s="52">
        <f t="shared" si="84"/>
        <v>0</v>
      </c>
      <c r="BJV4" s="52">
        <f t="shared" si="84"/>
        <v>0</v>
      </c>
      <c r="BJW4" s="52">
        <f t="shared" si="84"/>
        <v>0</v>
      </c>
      <c r="BJX4" s="52">
        <f t="shared" si="84"/>
        <v>0</v>
      </c>
      <c r="BJY4" s="52">
        <f t="shared" si="84"/>
        <v>0</v>
      </c>
      <c r="BJZ4" s="52">
        <f t="shared" si="84"/>
        <v>0</v>
      </c>
      <c r="BKA4" s="52">
        <f t="shared" si="84"/>
        <v>0</v>
      </c>
      <c r="BKB4" s="52">
        <f t="shared" si="84"/>
        <v>0</v>
      </c>
      <c r="BKC4" s="52">
        <f t="shared" si="84"/>
        <v>0</v>
      </c>
      <c r="BKD4" s="52">
        <f t="shared" si="84"/>
        <v>0</v>
      </c>
      <c r="BKE4" s="52">
        <f t="shared" si="84"/>
        <v>0</v>
      </c>
      <c r="BKF4" s="52">
        <f t="shared" si="84"/>
        <v>0</v>
      </c>
      <c r="BKG4" s="52">
        <f t="shared" si="84"/>
        <v>0</v>
      </c>
      <c r="BKH4" s="52">
        <f t="shared" si="84"/>
        <v>0</v>
      </c>
      <c r="BKI4" s="52">
        <f t="shared" si="84"/>
        <v>0</v>
      </c>
      <c r="BKJ4" s="52">
        <f t="shared" si="84"/>
        <v>0</v>
      </c>
      <c r="BKK4" s="52">
        <f t="shared" si="84"/>
        <v>0</v>
      </c>
      <c r="BKL4" s="52">
        <f t="shared" si="84"/>
        <v>0</v>
      </c>
      <c r="BKM4" s="52">
        <f t="shared" si="84"/>
        <v>0</v>
      </c>
      <c r="BKN4" s="52">
        <f t="shared" si="84"/>
        <v>0</v>
      </c>
      <c r="BKO4" s="52">
        <f t="shared" ref="BKO4:BMZ4" si="85">SUBTOTAL(9,BKO6:BKO554)</f>
        <v>0</v>
      </c>
      <c r="BKP4" s="52">
        <f t="shared" si="85"/>
        <v>0</v>
      </c>
      <c r="BKQ4" s="52">
        <f t="shared" si="85"/>
        <v>0</v>
      </c>
      <c r="BKR4" s="52">
        <f t="shared" si="85"/>
        <v>0</v>
      </c>
      <c r="BKS4" s="52">
        <f t="shared" si="85"/>
        <v>0</v>
      </c>
      <c r="BKT4" s="52">
        <f t="shared" si="85"/>
        <v>0</v>
      </c>
      <c r="BKU4" s="52">
        <f t="shared" si="85"/>
        <v>0</v>
      </c>
      <c r="BKV4" s="52">
        <f t="shared" si="85"/>
        <v>0</v>
      </c>
      <c r="BKW4" s="52">
        <f t="shared" si="85"/>
        <v>0</v>
      </c>
      <c r="BKX4" s="52">
        <f t="shared" si="85"/>
        <v>0</v>
      </c>
      <c r="BKY4" s="52">
        <f t="shared" si="85"/>
        <v>0</v>
      </c>
      <c r="BKZ4" s="52">
        <f t="shared" si="85"/>
        <v>0</v>
      </c>
      <c r="BLA4" s="52">
        <f t="shared" si="85"/>
        <v>0</v>
      </c>
      <c r="BLB4" s="52">
        <f t="shared" si="85"/>
        <v>0</v>
      </c>
      <c r="BLC4" s="52">
        <f t="shared" si="85"/>
        <v>0</v>
      </c>
      <c r="BLD4" s="52">
        <f t="shared" si="85"/>
        <v>0</v>
      </c>
      <c r="BLE4" s="52">
        <f t="shared" si="85"/>
        <v>0</v>
      </c>
      <c r="BLF4" s="52">
        <f t="shared" si="85"/>
        <v>0</v>
      </c>
      <c r="BLG4" s="52">
        <f t="shared" si="85"/>
        <v>0</v>
      </c>
      <c r="BLH4" s="52">
        <f t="shared" si="85"/>
        <v>0</v>
      </c>
      <c r="BLI4" s="52">
        <f t="shared" si="85"/>
        <v>0</v>
      </c>
      <c r="BLJ4" s="52">
        <f t="shared" si="85"/>
        <v>0</v>
      </c>
      <c r="BLK4" s="52">
        <f t="shared" si="85"/>
        <v>0</v>
      </c>
      <c r="BLL4" s="52">
        <f t="shared" si="85"/>
        <v>0</v>
      </c>
      <c r="BLM4" s="52">
        <f t="shared" si="85"/>
        <v>0</v>
      </c>
      <c r="BLN4" s="52">
        <f t="shared" si="85"/>
        <v>0</v>
      </c>
      <c r="BLO4" s="52">
        <f t="shared" si="85"/>
        <v>0</v>
      </c>
      <c r="BLP4" s="52">
        <f t="shared" si="85"/>
        <v>0</v>
      </c>
      <c r="BLQ4" s="52">
        <f t="shared" si="85"/>
        <v>0</v>
      </c>
      <c r="BLR4" s="52">
        <f t="shared" si="85"/>
        <v>0</v>
      </c>
      <c r="BLS4" s="52">
        <f t="shared" si="85"/>
        <v>0</v>
      </c>
      <c r="BLT4" s="52">
        <f t="shared" si="85"/>
        <v>0</v>
      </c>
      <c r="BLU4" s="52">
        <f t="shared" si="85"/>
        <v>0</v>
      </c>
      <c r="BLV4" s="52">
        <f t="shared" si="85"/>
        <v>0</v>
      </c>
      <c r="BLW4" s="52">
        <f t="shared" si="85"/>
        <v>0</v>
      </c>
      <c r="BLX4" s="52">
        <f t="shared" si="85"/>
        <v>0</v>
      </c>
      <c r="BLY4" s="52">
        <f t="shared" si="85"/>
        <v>0</v>
      </c>
      <c r="BLZ4" s="52">
        <f t="shared" si="85"/>
        <v>0</v>
      </c>
      <c r="BMA4" s="52">
        <f t="shared" si="85"/>
        <v>0</v>
      </c>
      <c r="BMB4" s="52">
        <f t="shared" si="85"/>
        <v>0</v>
      </c>
      <c r="BMC4" s="52">
        <f t="shared" si="85"/>
        <v>0</v>
      </c>
      <c r="BMD4" s="52">
        <f t="shared" si="85"/>
        <v>0</v>
      </c>
      <c r="BME4" s="52">
        <f t="shared" si="85"/>
        <v>0</v>
      </c>
      <c r="BMF4" s="52">
        <f t="shared" si="85"/>
        <v>0</v>
      </c>
      <c r="BMG4" s="52">
        <f t="shared" si="85"/>
        <v>0</v>
      </c>
      <c r="BMH4" s="52">
        <f t="shared" si="85"/>
        <v>0</v>
      </c>
      <c r="BMI4" s="52">
        <f t="shared" si="85"/>
        <v>0</v>
      </c>
      <c r="BMJ4" s="52">
        <f t="shared" si="85"/>
        <v>0</v>
      </c>
      <c r="BMK4" s="52">
        <f t="shared" si="85"/>
        <v>0</v>
      </c>
      <c r="BML4" s="52">
        <f t="shared" si="85"/>
        <v>0</v>
      </c>
      <c r="BMM4" s="52">
        <f t="shared" si="85"/>
        <v>0</v>
      </c>
      <c r="BMN4" s="52">
        <f t="shared" si="85"/>
        <v>0</v>
      </c>
      <c r="BMO4" s="52">
        <f t="shared" si="85"/>
        <v>0</v>
      </c>
      <c r="BMP4" s="52">
        <f t="shared" si="85"/>
        <v>0</v>
      </c>
      <c r="BMQ4" s="52">
        <f t="shared" si="85"/>
        <v>0</v>
      </c>
      <c r="BMR4" s="52">
        <f t="shared" si="85"/>
        <v>0</v>
      </c>
      <c r="BMS4" s="52">
        <f t="shared" si="85"/>
        <v>0</v>
      </c>
      <c r="BMT4" s="52">
        <f t="shared" si="85"/>
        <v>0</v>
      </c>
      <c r="BMU4" s="52">
        <f t="shared" si="85"/>
        <v>0</v>
      </c>
      <c r="BMV4" s="52">
        <f t="shared" si="85"/>
        <v>0</v>
      </c>
      <c r="BMW4" s="52">
        <f t="shared" si="85"/>
        <v>0</v>
      </c>
      <c r="BMX4" s="52">
        <f t="shared" si="85"/>
        <v>0</v>
      </c>
      <c r="BMY4" s="52">
        <f t="shared" si="85"/>
        <v>0</v>
      </c>
      <c r="BMZ4" s="52">
        <f t="shared" si="85"/>
        <v>0</v>
      </c>
      <c r="BNA4" s="52">
        <f t="shared" ref="BNA4:BPL4" si="86">SUBTOTAL(9,BNA6:BNA554)</f>
        <v>0</v>
      </c>
      <c r="BNB4" s="52">
        <f t="shared" si="86"/>
        <v>0</v>
      </c>
      <c r="BNC4" s="52">
        <f t="shared" si="86"/>
        <v>0</v>
      </c>
      <c r="BND4" s="52">
        <f t="shared" si="86"/>
        <v>0</v>
      </c>
      <c r="BNE4" s="52">
        <f t="shared" si="86"/>
        <v>0</v>
      </c>
      <c r="BNF4" s="52">
        <f t="shared" si="86"/>
        <v>0</v>
      </c>
      <c r="BNG4" s="52">
        <f t="shared" si="86"/>
        <v>0</v>
      </c>
      <c r="BNH4" s="52">
        <f t="shared" si="86"/>
        <v>0</v>
      </c>
      <c r="BNI4" s="52">
        <f t="shared" si="86"/>
        <v>0</v>
      </c>
      <c r="BNJ4" s="52">
        <f t="shared" si="86"/>
        <v>0</v>
      </c>
      <c r="BNK4" s="52">
        <f t="shared" si="86"/>
        <v>0</v>
      </c>
      <c r="BNL4" s="52">
        <f t="shared" si="86"/>
        <v>0</v>
      </c>
      <c r="BNM4" s="52">
        <f t="shared" si="86"/>
        <v>0</v>
      </c>
      <c r="BNN4" s="52">
        <f t="shared" si="86"/>
        <v>0</v>
      </c>
      <c r="BNO4" s="52">
        <f t="shared" si="86"/>
        <v>0</v>
      </c>
      <c r="BNP4" s="52">
        <f t="shared" si="86"/>
        <v>0</v>
      </c>
      <c r="BNQ4" s="52">
        <f t="shared" si="86"/>
        <v>0</v>
      </c>
      <c r="BNR4" s="52">
        <f t="shared" si="86"/>
        <v>0</v>
      </c>
      <c r="BNS4" s="52">
        <f t="shared" si="86"/>
        <v>0</v>
      </c>
      <c r="BNT4" s="52">
        <f t="shared" si="86"/>
        <v>0</v>
      </c>
      <c r="BNU4" s="52">
        <f t="shared" si="86"/>
        <v>0</v>
      </c>
      <c r="BNV4" s="52">
        <f t="shared" si="86"/>
        <v>0</v>
      </c>
      <c r="BNW4" s="52">
        <f t="shared" si="86"/>
        <v>0</v>
      </c>
      <c r="BNX4" s="52">
        <f t="shared" si="86"/>
        <v>0</v>
      </c>
      <c r="BNY4" s="52">
        <f t="shared" si="86"/>
        <v>0</v>
      </c>
      <c r="BNZ4" s="52">
        <f t="shared" si="86"/>
        <v>0</v>
      </c>
      <c r="BOA4" s="52">
        <f t="shared" si="86"/>
        <v>0</v>
      </c>
      <c r="BOB4" s="52">
        <f t="shared" si="86"/>
        <v>0</v>
      </c>
      <c r="BOC4" s="52">
        <f t="shared" si="86"/>
        <v>0</v>
      </c>
      <c r="BOD4" s="52">
        <f t="shared" si="86"/>
        <v>0</v>
      </c>
      <c r="BOE4" s="52">
        <f t="shared" si="86"/>
        <v>0</v>
      </c>
      <c r="BOF4" s="52">
        <f t="shared" si="86"/>
        <v>0</v>
      </c>
      <c r="BOG4" s="52">
        <f t="shared" si="86"/>
        <v>0</v>
      </c>
      <c r="BOH4" s="52">
        <f t="shared" si="86"/>
        <v>0</v>
      </c>
      <c r="BOI4" s="52">
        <f t="shared" si="86"/>
        <v>0</v>
      </c>
      <c r="BOJ4" s="52">
        <f t="shared" si="86"/>
        <v>0</v>
      </c>
      <c r="BOK4" s="52">
        <f t="shared" si="86"/>
        <v>0</v>
      </c>
      <c r="BOL4" s="52">
        <f t="shared" si="86"/>
        <v>0</v>
      </c>
      <c r="BOM4" s="52">
        <f t="shared" si="86"/>
        <v>0</v>
      </c>
      <c r="BON4" s="52">
        <f t="shared" si="86"/>
        <v>0</v>
      </c>
      <c r="BOO4" s="52">
        <f t="shared" si="86"/>
        <v>0</v>
      </c>
      <c r="BOP4" s="52">
        <f t="shared" si="86"/>
        <v>0</v>
      </c>
      <c r="BOQ4" s="52">
        <f t="shared" si="86"/>
        <v>0</v>
      </c>
      <c r="BOR4" s="52">
        <f t="shared" si="86"/>
        <v>0</v>
      </c>
      <c r="BOS4" s="52">
        <f t="shared" si="86"/>
        <v>0</v>
      </c>
      <c r="BOT4" s="52">
        <f t="shared" si="86"/>
        <v>0</v>
      </c>
      <c r="BOU4" s="52">
        <f t="shared" si="86"/>
        <v>0</v>
      </c>
      <c r="BOV4" s="52">
        <f t="shared" si="86"/>
        <v>0</v>
      </c>
      <c r="BOW4" s="52">
        <f t="shared" si="86"/>
        <v>0</v>
      </c>
      <c r="BOX4" s="52">
        <f t="shared" si="86"/>
        <v>0</v>
      </c>
      <c r="BOY4" s="52">
        <f t="shared" si="86"/>
        <v>0</v>
      </c>
      <c r="BOZ4" s="52">
        <f t="shared" si="86"/>
        <v>0</v>
      </c>
      <c r="BPA4" s="52">
        <f t="shared" si="86"/>
        <v>0</v>
      </c>
      <c r="BPB4" s="52">
        <f t="shared" si="86"/>
        <v>0</v>
      </c>
      <c r="BPC4" s="52">
        <f t="shared" si="86"/>
        <v>0</v>
      </c>
      <c r="BPD4" s="52">
        <f t="shared" si="86"/>
        <v>0</v>
      </c>
      <c r="BPE4" s="52">
        <f t="shared" si="86"/>
        <v>0</v>
      </c>
      <c r="BPF4" s="52">
        <f t="shared" si="86"/>
        <v>0</v>
      </c>
      <c r="BPG4" s="52">
        <f t="shared" si="86"/>
        <v>0</v>
      </c>
      <c r="BPH4" s="52">
        <f t="shared" si="86"/>
        <v>0</v>
      </c>
      <c r="BPI4" s="52">
        <f t="shared" si="86"/>
        <v>0</v>
      </c>
      <c r="BPJ4" s="52">
        <f t="shared" si="86"/>
        <v>0</v>
      </c>
      <c r="BPK4" s="52">
        <f t="shared" si="86"/>
        <v>0</v>
      </c>
      <c r="BPL4" s="52">
        <f t="shared" si="86"/>
        <v>0</v>
      </c>
      <c r="BPM4" s="52">
        <f t="shared" ref="BPM4:BRX4" si="87">SUBTOTAL(9,BPM6:BPM554)</f>
        <v>0</v>
      </c>
      <c r="BPN4" s="52">
        <f t="shared" si="87"/>
        <v>0</v>
      </c>
      <c r="BPO4" s="52">
        <f t="shared" si="87"/>
        <v>0</v>
      </c>
      <c r="BPP4" s="52">
        <f t="shared" si="87"/>
        <v>0</v>
      </c>
      <c r="BPQ4" s="52">
        <f t="shared" si="87"/>
        <v>0</v>
      </c>
      <c r="BPR4" s="52">
        <f t="shared" si="87"/>
        <v>0</v>
      </c>
      <c r="BPS4" s="52">
        <f t="shared" si="87"/>
        <v>0</v>
      </c>
      <c r="BPT4" s="52">
        <f t="shared" si="87"/>
        <v>0</v>
      </c>
      <c r="BPU4" s="52">
        <f t="shared" si="87"/>
        <v>0</v>
      </c>
      <c r="BPV4" s="52">
        <f t="shared" si="87"/>
        <v>0</v>
      </c>
      <c r="BPW4" s="52">
        <f t="shared" si="87"/>
        <v>0</v>
      </c>
      <c r="BPX4" s="52">
        <f t="shared" si="87"/>
        <v>0</v>
      </c>
      <c r="BPY4" s="52">
        <f t="shared" si="87"/>
        <v>0</v>
      </c>
      <c r="BPZ4" s="52">
        <f t="shared" si="87"/>
        <v>0</v>
      </c>
      <c r="BQA4" s="52">
        <f t="shared" si="87"/>
        <v>0</v>
      </c>
      <c r="BQB4" s="52">
        <f t="shared" si="87"/>
        <v>0</v>
      </c>
      <c r="BQC4" s="52">
        <f t="shared" si="87"/>
        <v>0</v>
      </c>
      <c r="BQD4" s="52">
        <f t="shared" si="87"/>
        <v>0</v>
      </c>
      <c r="BQE4" s="52">
        <f t="shared" si="87"/>
        <v>0</v>
      </c>
      <c r="BQF4" s="52">
        <f t="shared" si="87"/>
        <v>0</v>
      </c>
      <c r="BQG4" s="52">
        <f t="shared" si="87"/>
        <v>0</v>
      </c>
      <c r="BQH4" s="52">
        <f t="shared" si="87"/>
        <v>0</v>
      </c>
      <c r="BQI4" s="52">
        <f t="shared" si="87"/>
        <v>0</v>
      </c>
      <c r="BQJ4" s="52">
        <f t="shared" si="87"/>
        <v>0</v>
      </c>
      <c r="BQK4" s="52">
        <f t="shared" si="87"/>
        <v>0</v>
      </c>
      <c r="BQL4" s="52">
        <f t="shared" si="87"/>
        <v>0</v>
      </c>
      <c r="BQM4" s="52">
        <f t="shared" si="87"/>
        <v>0</v>
      </c>
      <c r="BQN4" s="52">
        <f t="shared" si="87"/>
        <v>0</v>
      </c>
      <c r="BQO4" s="52">
        <f t="shared" si="87"/>
        <v>0</v>
      </c>
      <c r="BQP4" s="52">
        <f t="shared" si="87"/>
        <v>0</v>
      </c>
      <c r="BQQ4" s="52">
        <f t="shared" si="87"/>
        <v>0</v>
      </c>
      <c r="BQR4" s="52">
        <f t="shared" si="87"/>
        <v>0</v>
      </c>
      <c r="BQS4" s="52">
        <f t="shared" si="87"/>
        <v>0</v>
      </c>
      <c r="BQT4" s="52">
        <f t="shared" si="87"/>
        <v>0</v>
      </c>
      <c r="BQU4" s="52">
        <f t="shared" si="87"/>
        <v>0</v>
      </c>
      <c r="BQV4" s="52">
        <f t="shared" si="87"/>
        <v>0</v>
      </c>
      <c r="BQW4" s="52">
        <f t="shared" si="87"/>
        <v>0</v>
      </c>
      <c r="BQX4" s="52">
        <f t="shared" si="87"/>
        <v>0</v>
      </c>
      <c r="BQY4" s="52">
        <f t="shared" si="87"/>
        <v>0</v>
      </c>
      <c r="BQZ4" s="52">
        <f t="shared" si="87"/>
        <v>0</v>
      </c>
      <c r="BRA4" s="52">
        <f t="shared" si="87"/>
        <v>0</v>
      </c>
      <c r="BRB4" s="52">
        <f t="shared" si="87"/>
        <v>0</v>
      </c>
      <c r="BRC4" s="52">
        <f t="shared" si="87"/>
        <v>0</v>
      </c>
      <c r="BRD4" s="52">
        <f t="shared" si="87"/>
        <v>0</v>
      </c>
      <c r="BRE4" s="52">
        <f t="shared" si="87"/>
        <v>0</v>
      </c>
      <c r="BRF4" s="52">
        <f t="shared" si="87"/>
        <v>0</v>
      </c>
      <c r="BRG4" s="52">
        <f t="shared" si="87"/>
        <v>0</v>
      </c>
      <c r="BRH4" s="52">
        <f t="shared" si="87"/>
        <v>0</v>
      </c>
      <c r="BRI4" s="52">
        <f t="shared" si="87"/>
        <v>0</v>
      </c>
      <c r="BRJ4" s="52">
        <f t="shared" si="87"/>
        <v>0</v>
      </c>
      <c r="BRK4" s="52">
        <f t="shared" si="87"/>
        <v>0</v>
      </c>
      <c r="BRL4" s="52">
        <f t="shared" si="87"/>
        <v>0</v>
      </c>
      <c r="BRM4" s="52">
        <f t="shared" si="87"/>
        <v>0</v>
      </c>
      <c r="BRN4" s="52">
        <f t="shared" si="87"/>
        <v>0</v>
      </c>
      <c r="BRO4" s="52">
        <f t="shared" si="87"/>
        <v>0</v>
      </c>
      <c r="BRP4" s="52">
        <f t="shared" si="87"/>
        <v>0</v>
      </c>
      <c r="BRQ4" s="52">
        <f t="shared" si="87"/>
        <v>0</v>
      </c>
      <c r="BRR4" s="52">
        <f t="shared" si="87"/>
        <v>0</v>
      </c>
      <c r="BRS4" s="52">
        <f t="shared" si="87"/>
        <v>0</v>
      </c>
      <c r="BRT4" s="52">
        <f t="shared" si="87"/>
        <v>0</v>
      </c>
      <c r="BRU4" s="52">
        <f t="shared" si="87"/>
        <v>0</v>
      </c>
      <c r="BRV4" s="52">
        <f t="shared" si="87"/>
        <v>0</v>
      </c>
      <c r="BRW4" s="52">
        <f t="shared" si="87"/>
        <v>0</v>
      </c>
      <c r="BRX4" s="52">
        <f t="shared" si="87"/>
        <v>0</v>
      </c>
      <c r="BRY4" s="52">
        <f t="shared" ref="BRY4:BUJ4" si="88">SUBTOTAL(9,BRY6:BRY554)</f>
        <v>0</v>
      </c>
      <c r="BRZ4" s="52">
        <f t="shared" si="88"/>
        <v>0</v>
      </c>
      <c r="BSA4" s="52">
        <f t="shared" si="88"/>
        <v>0</v>
      </c>
      <c r="BSB4" s="52">
        <f t="shared" si="88"/>
        <v>0</v>
      </c>
      <c r="BSC4" s="52">
        <f t="shared" si="88"/>
        <v>0</v>
      </c>
      <c r="BSD4" s="52">
        <f t="shared" si="88"/>
        <v>0</v>
      </c>
      <c r="BSE4" s="52">
        <f t="shared" si="88"/>
        <v>0</v>
      </c>
      <c r="BSF4" s="52">
        <f t="shared" si="88"/>
        <v>0</v>
      </c>
      <c r="BSG4" s="52">
        <f t="shared" si="88"/>
        <v>0</v>
      </c>
      <c r="BSH4" s="52">
        <f t="shared" si="88"/>
        <v>0</v>
      </c>
      <c r="BSI4" s="52">
        <f t="shared" si="88"/>
        <v>0</v>
      </c>
      <c r="BSJ4" s="52">
        <f t="shared" si="88"/>
        <v>0</v>
      </c>
      <c r="BSK4" s="52">
        <f t="shared" si="88"/>
        <v>0</v>
      </c>
      <c r="BSL4" s="52">
        <f t="shared" si="88"/>
        <v>0</v>
      </c>
      <c r="BSM4" s="52">
        <f t="shared" si="88"/>
        <v>0</v>
      </c>
      <c r="BSN4" s="52">
        <f t="shared" si="88"/>
        <v>0</v>
      </c>
      <c r="BSO4" s="52">
        <f t="shared" si="88"/>
        <v>0</v>
      </c>
      <c r="BSP4" s="52">
        <f t="shared" si="88"/>
        <v>0</v>
      </c>
      <c r="BSQ4" s="52">
        <f t="shared" si="88"/>
        <v>0</v>
      </c>
      <c r="BSR4" s="52">
        <f t="shared" si="88"/>
        <v>0</v>
      </c>
      <c r="BSS4" s="52">
        <f t="shared" si="88"/>
        <v>0</v>
      </c>
      <c r="BST4" s="52">
        <f t="shared" si="88"/>
        <v>0</v>
      </c>
      <c r="BSU4" s="52">
        <f t="shared" si="88"/>
        <v>0</v>
      </c>
      <c r="BSV4" s="52">
        <f t="shared" si="88"/>
        <v>0</v>
      </c>
      <c r="BSW4" s="52">
        <f t="shared" si="88"/>
        <v>0</v>
      </c>
      <c r="BSX4" s="52">
        <f t="shared" si="88"/>
        <v>0</v>
      </c>
      <c r="BSY4" s="52">
        <f t="shared" si="88"/>
        <v>0</v>
      </c>
      <c r="BSZ4" s="52">
        <f t="shared" si="88"/>
        <v>0</v>
      </c>
      <c r="BTA4" s="52">
        <f t="shared" si="88"/>
        <v>0</v>
      </c>
      <c r="BTB4" s="52">
        <f t="shared" si="88"/>
        <v>0</v>
      </c>
      <c r="BTC4" s="52">
        <f t="shared" si="88"/>
        <v>0</v>
      </c>
      <c r="BTD4" s="52">
        <f t="shared" si="88"/>
        <v>0</v>
      </c>
      <c r="BTE4" s="52">
        <f t="shared" si="88"/>
        <v>0</v>
      </c>
      <c r="BTF4" s="52">
        <f t="shared" si="88"/>
        <v>0</v>
      </c>
      <c r="BTG4" s="52">
        <f t="shared" si="88"/>
        <v>0</v>
      </c>
      <c r="BTH4" s="52">
        <f t="shared" si="88"/>
        <v>0</v>
      </c>
      <c r="BTI4" s="52">
        <f t="shared" si="88"/>
        <v>0</v>
      </c>
      <c r="BTJ4" s="52">
        <f t="shared" si="88"/>
        <v>0</v>
      </c>
      <c r="BTK4" s="52">
        <f t="shared" si="88"/>
        <v>0</v>
      </c>
      <c r="BTL4" s="52">
        <f t="shared" si="88"/>
        <v>0</v>
      </c>
      <c r="BTM4" s="52">
        <f t="shared" si="88"/>
        <v>0</v>
      </c>
      <c r="BTN4" s="52">
        <f t="shared" si="88"/>
        <v>0</v>
      </c>
      <c r="BTO4" s="52">
        <f t="shared" si="88"/>
        <v>0</v>
      </c>
      <c r="BTP4" s="52">
        <f t="shared" si="88"/>
        <v>0</v>
      </c>
      <c r="BTQ4" s="52">
        <f t="shared" si="88"/>
        <v>0</v>
      </c>
      <c r="BTR4" s="52">
        <f t="shared" si="88"/>
        <v>0</v>
      </c>
      <c r="BTS4" s="52">
        <f t="shared" si="88"/>
        <v>0</v>
      </c>
      <c r="BTT4" s="52">
        <f t="shared" si="88"/>
        <v>0</v>
      </c>
      <c r="BTU4" s="52">
        <f t="shared" si="88"/>
        <v>0</v>
      </c>
      <c r="BTV4" s="52">
        <f t="shared" si="88"/>
        <v>0</v>
      </c>
      <c r="BTW4" s="52">
        <f t="shared" si="88"/>
        <v>0</v>
      </c>
      <c r="BTX4" s="52">
        <f t="shared" si="88"/>
        <v>0</v>
      </c>
      <c r="BTY4" s="52">
        <f t="shared" si="88"/>
        <v>0</v>
      </c>
      <c r="BTZ4" s="52">
        <f t="shared" si="88"/>
        <v>0</v>
      </c>
      <c r="BUA4" s="52">
        <f t="shared" si="88"/>
        <v>0</v>
      </c>
      <c r="BUB4" s="52">
        <f t="shared" si="88"/>
        <v>0</v>
      </c>
      <c r="BUC4" s="52">
        <f t="shared" si="88"/>
        <v>0</v>
      </c>
      <c r="BUD4" s="52">
        <f t="shared" si="88"/>
        <v>0</v>
      </c>
      <c r="BUE4" s="52">
        <f t="shared" si="88"/>
        <v>0</v>
      </c>
      <c r="BUF4" s="52">
        <f t="shared" si="88"/>
        <v>0</v>
      </c>
      <c r="BUG4" s="52">
        <f t="shared" si="88"/>
        <v>0</v>
      </c>
      <c r="BUH4" s="52">
        <f t="shared" si="88"/>
        <v>0</v>
      </c>
      <c r="BUI4" s="52">
        <f t="shared" si="88"/>
        <v>0</v>
      </c>
      <c r="BUJ4" s="52">
        <f t="shared" si="88"/>
        <v>0</v>
      </c>
      <c r="BUK4" s="52">
        <f t="shared" ref="BUK4:BWV4" si="89">SUBTOTAL(9,BUK6:BUK554)</f>
        <v>0</v>
      </c>
      <c r="BUL4" s="52">
        <f t="shared" si="89"/>
        <v>0</v>
      </c>
      <c r="BUM4" s="52">
        <f t="shared" si="89"/>
        <v>0</v>
      </c>
      <c r="BUN4" s="52">
        <f t="shared" si="89"/>
        <v>0</v>
      </c>
      <c r="BUO4" s="52">
        <f t="shared" si="89"/>
        <v>0</v>
      </c>
      <c r="BUP4" s="52">
        <f t="shared" si="89"/>
        <v>0</v>
      </c>
      <c r="BUQ4" s="52">
        <f t="shared" si="89"/>
        <v>0</v>
      </c>
      <c r="BUR4" s="52">
        <f t="shared" si="89"/>
        <v>0</v>
      </c>
      <c r="BUS4" s="52">
        <f t="shared" si="89"/>
        <v>0</v>
      </c>
      <c r="BUT4" s="52">
        <f t="shared" si="89"/>
        <v>0</v>
      </c>
      <c r="BUU4" s="52">
        <f t="shared" si="89"/>
        <v>0</v>
      </c>
      <c r="BUV4" s="52">
        <f t="shared" si="89"/>
        <v>0</v>
      </c>
      <c r="BUW4" s="52">
        <f t="shared" si="89"/>
        <v>0</v>
      </c>
      <c r="BUX4" s="52">
        <f t="shared" si="89"/>
        <v>0</v>
      </c>
      <c r="BUY4" s="52">
        <f t="shared" si="89"/>
        <v>0</v>
      </c>
      <c r="BUZ4" s="52">
        <f t="shared" si="89"/>
        <v>0</v>
      </c>
      <c r="BVA4" s="52">
        <f t="shared" si="89"/>
        <v>0</v>
      </c>
      <c r="BVB4" s="52">
        <f t="shared" si="89"/>
        <v>0</v>
      </c>
      <c r="BVC4" s="52">
        <f t="shared" si="89"/>
        <v>0</v>
      </c>
      <c r="BVD4" s="52">
        <f t="shared" si="89"/>
        <v>0</v>
      </c>
      <c r="BVE4" s="52">
        <f t="shared" si="89"/>
        <v>0</v>
      </c>
      <c r="BVF4" s="52">
        <f t="shared" si="89"/>
        <v>0</v>
      </c>
      <c r="BVG4" s="52">
        <f t="shared" si="89"/>
        <v>0</v>
      </c>
      <c r="BVH4" s="52">
        <f t="shared" si="89"/>
        <v>0</v>
      </c>
      <c r="BVI4" s="52">
        <f t="shared" si="89"/>
        <v>0</v>
      </c>
      <c r="BVJ4" s="52">
        <f t="shared" si="89"/>
        <v>0</v>
      </c>
      <c r="BVK4" s="52">
        <f t="shared" si="89"/>
        <v>0</v>
      </c>
      <c r="BVL4" s="52">
        <f t="shared" si="89"/>
        <v>0</v>
      </c>
      <c r="BVM4" s="52">
        <f t="shared" si="89"/>
        <v>0</v>
      </c>
      <c r="BVN4" s="52">
        <f t="shared" si="89"/>
        <v>0</v>
      </c>
      <c r="BVO4" s="52">
        <f t="shared" si="89"/>
        <v>0</v>
      </c>
      <c r="BVP4" s="52">
        <f t="shared" si="89"/>
        <v>0</v>
      </c>
      <c r="BVQ4" s="52">
        <f t="shared" si="89"/>
        <v>0</v>
      </c>
      <c r="BVR4" s="52">
        <f t="shared" si="89"/>
        <v>0</v>
      </c>
      <c r="BVS4" s="52">
        <f t="shared" si="89"/>
        <v>0</v>
      </c>
      <c r="BVT4" s="52">
        <f t="shared" si="89"/>
        <v>0</v>
      </c>
      <c r="BVU4" s="52">
        <f t="shared" si="89"/>
        <v>0</v>
      </c>
      <c r="BVV4" s="52">
        <f t="shared" si="89"/>
        <v>0</v>
      </c>
      <c r="BVW4" s="52">
        <f t="shared" si="89"/>
        <v>0</v>
      </c>
      <c r="BVX4" s="52">
        <f t="shared" si="89"/>
        <v>0</v>
      </c>
      <c r="BVY4" s="52">
        <f t="shared" si="89"/>
        <v>0</v>
      </c>
      <c r="BVZ4" s="52">
        <f t="shared" si="89"/>
        <v>0</v>
      </c>
      <c r="BWA4" s="52">
        <f t="shared" si="89"/>
        <v>0</v>
      </c>
      <c r="BWB4" s="52">
        <f t="shared" si="89"/>
        <v>0</v>
      </c>
      <c r="BWC4" s="52">
        <f t="shared" si="89"/>
        <v>0</v>
      </c>
      <c r="BWD4" s="52">
        <f t="shared" si="89"/>
        <v>0</v>
      </c>
      <c r="BWE4" s="52">
        <f t="shared" si="89"/>
        <v>0</v>
      </c>
      <c r="BWF4" s="52">
        <f t="shared" si="89"/>
        <v>0</v>
      </c>
      <c r="BWG4" s="52">
        <f t="shared" si="89"/>
        <v>0</v>
      </c>
      <c r="BWH4" s="52">
        <f t="shared" si="89"/>
        <v>0</v>
      </c>
      <c r="BWI4" s="52">
        <f t="shared" si="89"/>
        <v>0</v>
      </c>
      <c r="BWJ4" s="52">
        <f t="shared" si="89"/>
        <v>0</v>
      </c>
      <c r="BWK4" s="52">
        <f t="shared" si="89"/>
        <v>0</v>
      </c>
      <c r="BWL4" s="52">
        <f t="shared" si="89"/>
        <v>0</v>
      </c>
      <c r="BWM4" s="52">
        <f t="shared" si="89"/>
        <v>0</v>
      </c>
      <c r="BWN4" s="52">
        <f t="shared" si="89"/>
        <v>0</v>
      </c>
      <c r="BWO4" s="52">
        <f t="shared" si="89"/>
        <v>0</v>
      </c>
      <c r="BWP4" s="52">
        <f t="shared" si="89"/>
        <v>0</v>
      </c>
      <c r="BWQ4" s="52">
        <f t="shared" si="89"/>
        <v>0</v>
      </c>
      <c r="BWR4" s="52">
        <f t="shared" si="89"/>
        <v>0</v>
      </c>
      <c r="BWS4" s="52">
        <f t="shared" si="89"/>
        <v>0</v>
      </c>
      <c r="BWT4" s="52">
        <f t="shared" si="89"/>
        <v>0</v>
      </c>
      <c r="BWU4" s="52">
        <f t="shared" si="89"/>
        <v>0</v>
      </c>
      <c r="BWV4" s="52">
        <f t="shared" si="89"/>
        <v>0</v>
      </c>
      <c r="BWW4" s="52">
        <f t="shared" ref="BWW4:BZH4" si="90">SUBTOTAL(9,BWW6:BWW554)</f>
        <v>0</v>
      </c>
      <c r="BWX4" s="52">
        <f t="shared" si="90"/>
        <v>0</v>
      </c>
      <c r="BWY4" s="52">
        <f t="shared" si="90"/>
        <v>0</v>
      </c>
      <c r="BWZ4" s="52">
        <f t="shared" si="90"/>
        <v>0</v>
      </c>
      <c r="BXA4" s="52">
        <f t="shared" si="90"/>
        <v>0</v>
      </c>
      <c r="BXB4" s="52">
        <f t="shared" si="90"/>
        <v>0</v>
      </c>
      <c r="BXC4" s="52">
        <f t="shared" si="90"/>
        <v>0</v>
      </c>
      <c r="BXD4" s="52">
        <f t="shared" si="90"/>
        <v>0</v>
      </c>
      <c r="BXE4" s="52">
        <f t="shared" si="90"/>
        <v>0</v>
      </c>
      <c r="BXF4" s="52">
        <f t="shared" si="90"/>
        <v>0</v>
      </c>
      <c r="BXG4" s="52">
        <f t="shared" si="90"/>
        <v>0</v>
      </c>
      <c r="BXH4" s="52">
        <f t="shared" si="90"/>
        <v>0</v>
      </c>
      <c r="BXI4" s="52">
        <f t="shared" si="90"/>
        <v>0</v>
      </c>
      <c r="BXJ4" s="52">
        <f t="shared" si="90"/>
        <v>0</v>
      </c>
      <c r="BXK4" s="52">
        <f t="shared" si="90"/>
        <v>0</v>
      </c>
      <c r="BXL4" s="52">
        <f t="shared" si="90"/>
        <v>0</v>
      </c>
      <c r="BXM4" s="52">
        <f t="shared" si="90"/>
        <v>0</v>
      </c>
      <c r="BXN4" s="52">
        <f t="shared" si="90"/>
        <v>0</v>
      </c>
      <c r="BXO4" s="52">
        <f t="shared" si="90"/>
        <v>0</v>
      </c>
      <c r="BXP4" s="52">
        <f t="shared" si="90"/>
        <v>0</v>
      </c>
      <c r="BXQ4" s="52">
        <f t="shared" si="90"/>
        <v>0</v>
      </c>
      <c r="BXR4" s="52">
        <f t="shared" si="90"/>
        <v>0</v>
      </c>
      <c r="BXS4" s="52">
        <f t="shared" si="90"/>
        <v>0</v>
      </c>
      <c r="BXT4" s="52">
        <f t="shared" si="90"/>
        <v>0</v>
      </c>
      <c r="BXU4" s="52">
        <f t="shared" si="90"/>
        <v>0</v>
      </c>
      <c r="BXV4" s="52">
        <f t="shared" si="90"/>
        <v>0</v>
      </c>
      <c r="BXW4" s="52">
        <f t="shared" si="90"/>
        <v>0</v>
      </c>
      <c r="BXX4" s="52">
        <f t="shared" si="90"/>
        <v>0</v>
      </c>
      <c r="BXY4" s="52">
        <f t="shared" si="90"/>
        <v>0</v>
      </c>
      <c r="BXZ4" s="52">
        <f t="shared" si="90"/>
        <v>0</v>
      </c>
      <c r="BYA4" s="52">
        <f t="shared" si="90"/>
        <v>0</v>
      </c>
      <c r="BYB4" s="52">
        <f t="shared" si="90"/>
        <v>0</v>
      </c>
      <c r="BYC4" s="52">
        <f t="shared" si="90"/>
        <v>0</v>
      </c>
      <c r="BYD4" s="52">
        <f t="shared" si="90"/>
        <v>0</v>
      </c>
      <c r="BYE4" s="52">
        <f t="shared" si="90"/>
        <v>0</v>
      </c>
      <c r="BYF4" s="52">
        <f t="shared" si="90"/>
        <v>0</v>
      </c>
      <c r="BYG4" s="52">
        <f t="shared" si="90"/>
        <v>0</v>
      </c>
      <c r="BYH4" s="52">
        <f t="shared" si="90"/>
        <v>0</v>
      </c>
      <c r="BYI4" s="52">
        <f t="shared" si="90"/>
        <v>0</v>
      </c>
      <c r="BYJ4" s="52">
        <f t="shared" si="90"/>
        <v>0</v>
      </c>
      <c r="BYK4" s="52">
        <f t="shared" si="90"/>
        <v>0</v>
      </c>
      <c r="BYL4" s="52">
        <f t="shared" si="90"/>
        <v>0</v>
      </c>
      <c r="BYM4" s="52">
        <f t="shared" si="90"/>
        <v>0</v>
      </c>
      <c r="BYN4" s="52">
        <f t="shared" si="90"/>
        <v>0</v>
      </c>
      <c r="BYO4" s="52">
        <f t="shared" si="90"/>
        <v>0</v>
      </c>
      <c r="BYP4" s="52">
        <f t="shared" si="90"/>
        <v>0</v>
      </c>
      <c r="BYQ4" s="52">
        <f t="shared" si="90"/>
        <v>0</v>
      </c>
      <c r="BYR4" s="52">
        <f t="shared" si="90"/>
        <v>0</v>
      </c>
      <c r="BYS4" s="52">
        <f t="shared" si="90"/>
        <v>0</v>
      </c>
      <c r="BYT4" s="52">
        <f t="shared" si="90"/>
        <v>0</v>
      </c>
      <c r="BYU4" s="52">
        <f t="shared" si="90"/>
        <v>0</v>
      </c>
      <c r="BYV4" s="52">
        <f t="shared" si="90"/>
        <v>0</v>
      </c>
      <c r="BYW4" s="52">
        <f t="shared" si="90"/>
        <v>0</v>
      </c>
      <c r="BYX4" s="52">
        <f t="shared" si="90"/>
        <v>0</v>
      </c>
      <c r="BYY4" s="52">
        <f t="shared" si="90"/>
        <v>0</v>
      </c>
      <c r="BYZ4" s="52">
        <f t="shared" si="90"/>
        <v>0</v>
      </c>
      <c r="BZA4" s="52">
        <f t="shared" si="90"/>
        <v>0</v>
      </c>
      <c r="BZB4" s="52">
        <f t="shared" si="90"/>
        <v>0</v>
      </c>
      <c r="BZC4" s="52">
        <f t="shared" si="90"/>
        <v>0</v>
      </c>
      <c r="BZD4" s="52">
        <f t="shared" si="90"/>
        <v>0</v>
      </c>
      <c r="BZE4" s="52">
        <f t="shared" si="90"/>
        <v>0</v>
      </c>
      <c r="BZF4" s="52">
        <f t="shared" si="90"/>
        <v>0</v>
      </c>
      <c r="BZG4" s="52">
        <f t="shared" si="90"/>
        <v>0</v>
      </c>
      <c r="BZH4" s="52">
        <f t="shared" si="90"/>
        <v>0</v>
      </c>
      <c r="BZI4" s="52">
        <f t="shared" ref="BZI4:CBT4" si="91">SUBTOTAL(9,BZI6:BZI554)</f>
        <v>0</v>
      </c>
      <c r="BZJ4" s="52">
        <f t="shared" si="91"/>
        <v>0</v>
      </c>
      <c r="BZK4" s="52">
        <f t="shared" si="91"/>
        <v>0</v>
      </c>
      <c r="BZL4" s="52">
        <f t="shared" si="91"/>
        <v>0</v>
      </c>
      <c r="BZM4" s="52">
        <f t="shared" si="91"/>
        <v>0</v>
      </c>
      <c r="BZN4" s="52">
        <f t="shared" si="91"/>
        <v>0</v>
      </c>
      <c r="BZO4" s="52">
        <f t="shared" si="91"/>
        <v>0</v>
      </c>
      <c r="BZP4" s="52">
        <f t="shared" si="91"/>
        <v>0</v>
      </c>
      <c r="BZQ4" s="52">
        <f t="shared" si="91"/>
        <v>0</v>
      </c>
      <c r="BZR4" s="52">
        <f t="shared" si="91"/>
        <v>0</v>
      </c>
      <c r="BZS4" s="52">
        <f t="shared" si="91"/>
        <v>0</v>
      </c>
      <c r="BZT4" s="52">
        <f t="shared" si="91"/>
        <v>0</v>
      </c>
      <c r="BZU4" s="52">
        <f t="shared" si="91"/>
        <v>0</v>
      </c>
      <c r="BZV4" s="52">
        <f t="shared" si="91"/>
        <v>0</v>
      </c>
      <c r="BZW4" s="52">
        <f t="shared" si="91"/>
        <v>0</v>
      </c>
      <c r="BZX4" s="52">
        <f t="shared" si="91"/>
        <v>0</v>
      </c>
      <c r="BZY4" s="52">
        <f t="shared" si="91"/>
        <v>0</v>
      </c>
      <c r="BZZ4" s="52">
        <f t="shared" si="91"/>
        <v>0</v>
      </c>
      <c r="CAA4" s="52">
        <f t="shared" si="91"/>
        <v>0</v>
      </c>
      <c r="CAB4" s="52">
        <f t="shared" si="91"/>
        <v>0</v>
      </c>
      <c r="CAC4" s="52">
        <f t="shared" si="91"/>
        <v>0</v>
      </c>
      <c r="CAD4" s="52">
        <f t="shared" si="91"/>
        <v>0</v>
      </c>
      <c r="CAE4" s="52">
        <f t="shared" si="91"/>
        <v>0</v>
      </c>
      <c r="CAF4" s="52">
        <f t="shared" si="91"/>
        <v>0</v>
      </c>
      <c r="CAG4" s="52">
        <f t="shared" si="91"/>
        <v>0</v>
      </c>
      <c r="CAH4" s="52">
        <f t="shared" si="91"/>
        <v>0</v>
      </c>
      <c r="CAI4" s="52">
        <f t="shared" si="91"/>
        <v>0</v>
      </c>
      <c r="CAJ4" s="52">
        <f t="shared" si="91"/>
        <v>0</v>
      </c>
      <c r="CAK4" s="52">
        <f t="shared" si="91"/>
        <v>0</v>
      </c>
      <c r="CAL4" s="52">
        <f t="shared" si="91"/>
        <v>0</v>
      </c>
      <c r="CAM4" s="52">
        <f t="shared" si="91"/>
        <v>0</v>
      </c>
      <c r="CAN4" s="52">
        <f t="shared" si="91"/>
        <v>0</v>
      </c>
      <c r="CAO4" s="52">
        <f t="shared" si="91"/>
        <v>0</v>
      </c>
      <c r="CAP4" s="52">
        <f t="shared" si="91"/>
        <v>0</v>
      </c>
      <c r="CAQ4" s="52">
        <f t="shared" si="91"/>
        <v>0</v>
      </c>
      <c r="CAR4" s="52">
        <f t="shared" si="91"/>
        <v>0</v>
      </c>
      <c r="CAS4" s="52">
        <f t="shared" si="91"/>
        <v>0</v>
      </c>
      <c r="CAT4" s="52">
        <f t="shared" si="91"/>
        <v>0</v>
      </c>
      <c r="CAU4" s="52">
        <f t="shared" si="91"/>
        <v>0</v>
      </c>
      <c r="CAV4" s="52">
        <f t="shared" si="91"/>
        <v>0</v>
      </c>
      <c r="CAW4" s="52">
        <f t="shared" si="91"/>
        <v>0</v>
      </c>
      <c r="CAX4" s="52">
        <f t="shared" si="91"/>
        <v>0</v>
      </c>
      <c r="CAY4" s="52">
        <f t="shared" si="91"/>
        <v>0</v>
      </c>
      <c r="CAZ4" s="52">
        <f t="shared" si="91"/>
        <v>0</v>
      </c>
      <c r="CBA4" s="52">
        <f t="shared" si="91"/>
        <v>0</v>
      </c>
      <c r="CBB4" s="52">
        <f t="shared" si="91"/>
        <v>0</v>
      </c>
      <c r="CBC4" s="52">
        <f t="shared" si="91"/>
        <v>0</v>
      </c>
      <c r="CBD4" s="52">
        <f t="shared" si="91"/>
        <v>0</v>
      </c>
      <c r="CBE4" s="52">
        <f t="shared" si="91"/>
        <v>0</v>
      </c>
      <c r="CBF4" s="52">
        <f t="shared" si="91"/>
        <v>0</v>
      </c>
      <c r="CBG4" s="52">
        <f t="shared" si="91"/>
        <v>0</v>
      </c>
      <c r="CBH4" s="52">
        <f t="shared" si="91"/>
        <v>0</v>
      </c>
      <c r="CBI4" s="52">
        <f t="shared" si="91"/>
        <v>0</v>
      </c>
      <c r="CBJ4" s="52">
        <f t="shared" si="91"/>
        <v>0</v>
      </c>
      <c r="CBK4" s="52">
        <f t="shared" si="91"/>
        <v>0</v>
      </c>
      <c r="CBL4" s="52">
        <f t="shared" si="91"/>
        <v>0</v>
      </c>
      <c r="CBM4" s="52">
        <f t="shared" si="91"/>
        <v>0</v>
      </c>
      <c r="CBN4" s="52">
        <f t="shared" si="91"/>
        <v>0</v>
      </c>
      <c r="CBO4" s="52">
        <f t="shared" si="91"/>
        <v>0</v>
      </c>
      <c r="CBP4" s="52">
        <f t="shared" si="91"/>
        <v>0</v>
      </c>
      <c r="CBQ4" s="52">
        <f t="shared" si="91"/>
        <v>0</v>
      </c>
      <c r="CBR4" s="52">
        <f t="shared" si="91"/>
        <v>0</v>
      </c>
      <c r="CBS4" s="52">
        <f t="shared" si="91"/>
        <v>0</v>
      </c>
      <c r="CBT4" s="52">
        <f t="shared" si="91"/>
        <v>0</v>
      </c>
      <c r="CBU4" s="52">
        <f t="shared" ref="CBU4:CEF4" si="92">SUBTOTAL(9,CBU6:CBU554)</f>
        <v>0</v>
      </c>
      <c r="CBV4" s="52">
        <f t="shared" si="92"/>
        <v>0</v>
      </c>
      <c r="CBW4" s="52">
        <f t="shared" si="92"/>
        <v>0</v>
      </c>
      <c r="CBX4" s="52">
        <f t="shared" si="92"/>
        <v>0</v>
      </c>
      <c r="CBY4" s="52">
        <f t="shared" si="92"/>
        <v>0</v>
      </c>
      <c r="CBZ4" s="52">
        <f t="shared" si="92"/>
        <v>0</v>
      </c>
      <c r="CCA4" s="52">
        <f t="shared" si="92"/>
        <v>0</v>
      </c>
      <c r="CCB4" s="52">
        <f t="shared" si="92"/>
        <v>0</v>
      </c>
      <c r="CCC4" s="52">
        <f t="shared" si="92"/>
        <v>0</v>
      </c>
      <c r="CCD4" s="52">
        <f t="shared" si="92"/>
        <v>0</v>
      </c>
      <c r="CCE4" s="52">
        <f t="shared" si="92"/>
        <v>0</v>
      </c>
      <c r="CCF4" s="52">
        <f t="shared" si="92"/>
        <v>0</v>
      </c>
      <c r="CCG4" s="52">
        <f t="shared" si="92"/>
        <v>0</v>
      </c>
      <c r="CCH4" s="52">
        <f t="shared" si="92"/>
        <v>0</v>
      </c>
      <c r="CCI4" s="52">
        <f t="shared" si="92"/>
        <v>0</v>
      </c>
      <c r="CCJ4" s="52">
        <f t="shared" si="92"/>
        <v>0</v>
      </c>
      <c r="CCK4" s="52">
        <f t="shared" si="92"/>
        <v>0</v>
      </c>
      <c r="CCL4" s="52">
        <f t="shared" si="92"/>
        <v>0</v>
      </c>
      <c r="CCM4" s="52">
        <f t="shared" si="92"/>
        <v>0</v>
      </c>
      <c r="CCN4" s="52">
        <f t="shared" si="92"/>
        <v>0</v>
      </c>
      <c r="CCO4" s="52">
        <f t="shared" si="92"/>
        <v>0</v>
      </c>
      <c r="CCP4" s="52">
        <f t="shared" si="92"/>
        <v>0</v>
      </c>
      <c r="CCQ4" s="52">
        <f t="shared" si="92"/>
        <v>0</v>
      </c>
      <c r="CCR4" s="52">
        <f t="shared" si="92"/>
        <v>0</v>
      </c>
      <c r="CCS4" s="52">
        <f t="shared" si="92"/>
        <v>0</v>
      </c>
      <c r="CCT4" s="52">
        <f t="shared" si="92"/>
        <v>0</v>
      </c>
      <c r="CCU4" s="52">
        <f t="shared" si="92"/>
        <v>0</v>
      </c>
      <c r="CCV4" s="52">
        <f t="shared" si="92"/>
        <v>0</v>
      </c>
      <c r="CCW4" s="52">
        <f t="shared" si="92"/>
        <v>0</v>
      </c>
      <c r="CCX4" s="52">
        <f t="shared" si="92"/>
        <v>0</v>
      </c>
      <c r="CCY4" s="52">
        <f t="shared" si="92"/>
        <v>0</v>
      </c>
      <c r="CCZ4" s="52">
        <f t="shared" si="92"/>
        <v>0</v>
      </c>
      <c r="CDA4" s="52">
        <f t="shared" si="92"/>
        <v>0</v>
      </c>
      <c r="CDB4" s="52">
        <f t="shared" si="92"/>
        <v>0</v>
      </c>
      <c r="CDC4" s="52">
        <f t="shared" si="92"/>
        <v>0</v>
      </c>
      <c r="CDD4" s="52">
        <f t="shared" si="92"/>
        <v>0</v>
      </c>
      <c r="CDE4" s="52">
        <f t="shared" si="92"/>
        <v>0</v>
      </c>
      <c r="CDF4" s="52">
        <f t="shared" si="92"/>
        <v>0</v>
      </c>
      <c r="CDG4" s="52">
        <f t="shared" si="92"/>
        <v>0</v>
      </c>
      <c r="CDH4" s="52">
        <f t="shared" si="92"/>
        <v>0</v>
      </c>
      <c r="CDI4" s="52">
        <f t="shared" si="92"/>
        <v>0</v>
      </c>
      <c r="CDJ4" s="52">
        <f t="shared" si="92"/>
        <v>0</v>
      </c>
      <c r="CDK4" s="52">
        <f t="shared" si="92"/>
        <v>0</v>
      </c>
      <c r="CDL4" s="52">
        <f t="shared" si="92"/>
        <v>0</v>
      </c>
      <c r="CDM4" s="52">
        <f t="shared" si="92"/>
        <v>0</v>
      </c>
      <c r="CDN4" s="52">
        <f t="shared" si="92"/>
        <v>0</v>
      </c>
      <c r="CDO4" s="52">
        <f t="shared" si="92"/>
        <v>0</v>
      </c>
      <c r="CDP4" s="52">
        <f t="shared" si="92"/>
        <v>0</v>
      </c>
      <c r="CDQ4" s="52">
        <f t="shared" si="92"/>
        <v>0</v>
      </c>
      <c r="CDR4" s="52">
        <f t="shared" si="92"/>
        <v>0</v>
      </c>
      <c r="CDS4" s="52">
        <f t="shared" si="92"/>
        <v>0</v>
      </c>
      <c r="CDT4" s="52">
        <f t="shared" si="92"/>
        <v>0</v>
      </c>
      <c r="CDU4" s="52">
        <f t="shared" si="92"/>
        <v>0</v>
      </c>
      <c r="CDV4" s="52">
        <f t="shared" si="92"/>
        <v>0</v>
      </c>
      <c r="CDW4" s="52">
        <f t="shared" si="92"/>
        <v>0</v>
      </c>
      <c r="CDX4" s="52">
        <f t="shared" si="92"/>
        <v>0</v>
      </c>
      <c r="CDY4" s="52">
        <f t="shared" si="92"/>
        <v>0</v>
      </c>
      <c r="CDZ4" s="52">
        <f t="shared" si="92"/>
        <v>0</v>
      </c>
      <c r="CEA4" s="52">
        <f t="shared" si="92"/>
        <v>0</v>
      </c>
      <c r="CEB4" s="52">
        <f t="shared" si="92"/>
        <v>0</v>
      </c>
      <c r="CEC4" s="52">
        <f t="shared" si="92"/>
        <v>0</v>
      </c>
      <c r="CED4" s="52">
        <f t="shared" si="92"/>
        <v>0</v>
      </c>
      <c r="CEE4" s="52">
        <f t="shared" si="92"/>
        <v>0</v>
      </c>
      <c r="CEF4" s="52">
        <f t="shared" si="92"/>
        <v>0</v>
      </c>
      <c r="CEG4" s="52">
        <f t="shared" ref="CEG4:CGR4" si="93">SUBTOTAL(9,CEG6:CEG554)</f>
        <v>0</v>
      </c>
      <c r="CEH4" s="52">
        <f t="shared" si="93"/>
        <v>0</v>
      </c>
      <c r="CEI4" s="52">
        <f t="shared" si="93"/>
        <v>0</v>
      </c>
      <c r="CEJ4" s="52">
        <f t="shared" si="93"/>
        <v>0</v>
      </c>
      <c r="CEK4" s="52">
        <f t="shared" si="93"/>
        <v>0</v>
      </c>
      <c r="CEL4" s="52">
        <f t="shared" si="93"/>
        <v>0</v>
      </c>
      <c r="CEM4" s="52">
        <f t="shared" si="93"/>
        <v>0</v>
      </c>
      <c r="CEN4" s="52">
        <f t="shared" si="93"/>
        <v>0</v>
      </c>
      <c r="CEO4" s="52">
        <f t="shared" si="93"/>
        <v>0</v>
      </c>
      <c r="CEP4" s="52">
        <f t="shared" si="93"/>
        <v>0</v>
      </c>
      <c r="CEQ4" s="52">
        <f t="shared" si="93"/>
        <v>0</v>
      </c>
      <c r="CER4" s="52">
        <f t="shared" si="93"/>
        <v>0</v>
      </c>
      <c r="CES4" s="52">
        <f t="shared" si="93"/>
        <v>0</v>
      </c>
      <c r="CET4" s="52">
        <f t="shared" si="93"/>
        <v>0</v>
      </c>
      <c r="CEU4" s="52">
        <f t="shared" si="93"/>
        <v>0</v>
      </c>
      <c r="CEV4" s="52">
        <f t="shared" si="93"/>
        <v>0</v>
      </c>
      <c r="CEW4" s="52">
        <f t="shared" si="93"/>
        <v>0</v>
      </c>
      <c r="CEX4" s="52">
        <f t="shared" si="93"/>
        <v>0</v>
      </c>
      <c r="CEY4" s="52">
        <f t="shared" si="93"/>
        <v>0</v>
      </c>
      <c r="CEZ4" s="52">
        <f t="shared" si="93"/>
        <v>0</v>
      </c>
      <c r="CFA4" s="52">
        <f t="shared" si="93"/>
        <v>0</v>
      </c>
      <c r="CFB4" s="52">
        <f t="shared" si="93"/>
        <v>0</v>
      </c>
      <c r="CFC4" s="52">
        <f t="shared" si="93"/>
        <v>0</v>
      </c>
      <c r="CFD4" s="52">
        <f t="shared" si="93"/>
        <v>0</v>
      </c>
      <c r="CFE4" s="52">
        <f t="shared" si="93"/>
        <v>0</v>
      </c>
      <c r="CFF4" s="52">
        <f t="shared" si="93"/>
        <v>0</v>
      </c>
      <c r="CFG4" s="52">
        <f t="shared" si="93"/>
        <v>0</v>
      </c>
      <c r="CFH4" s="52">
        <f t="shared" si="93"/>
        <v>0</v>
      </c>
      <c r="CFI4" s="52">
        <f t="shared" si="93"/>
        <v>0</v>
      </c>
      <c r="CFJ4" s="52">
        <f t="shared" si="93"/>
        <v>0</v>
      </c>
      <c r="CFK4" s="52">
        <f t="shared" si="93"/>
        <v>0</v>
      </c>
      <c r="CFL4" s="52">
        <f t="shared" si="93"/>
        <v>0</v>
      </c>
      <c r="CFM4" s="52">
        <f t="shared" si="93"/>
        <v>0</v>
      </c>
      <c r="CFN4" s="52">
        <f t="shared" si="93"/>
        <v>0</v>
      </c>
      <c r="CFO4" s="52">
        <f t="shared" si="93"/>
        <v>0</v>
      </c>
      <c r="CFP4" s="52">
        <f t="shared" si="93"/>
        <v>0</v>
      </c>
      <c r="CFQ4" s="52">
        <f t="shared" si="93"/>
        <v>0</v>
      </c>
      <c r="CFR4" s="52">
        <f t="shared" si="93"/>
        <v>0</v>
      </c>
      <c r="CFS4" s="52">
        <f t="shared" si="93"/>
        <v>0</v>
      </c>
      <c r="CFT4" s="52">
        <f t="shared" si="93"/>
        <v>0</v>
      </c>
      <c r="CFU4" s="52">
        <f t="shared" si="93"/>
        <v>0</v>
      </c>
      <c r="CFV4" s="52">
        <f t="shared" si="93"/>
        <v>0</v>
      </c>
      <c r="CFW4" s="52">
        <f t="shared" si="93"/>
        <v>0</v>
      </c>
      <c r="CFX4" s="52">
        <f t="shared" si="93"/>
        <v>0</v>
      </c>
      <c r="CFY4" s="52">
        <f t="shared" si="93"/>
        <v>0</v>
      </c>
      <c r="CFZ4" s="52">
        <f t="shared" si="93"/>
        <v>0</v>
      </c>
      <c r="CGA4" s="52">
        <f t="shared" si="93"/>
        <v>0</v>
      </c>
      <c r="CGB4" s="52">
        <f t="shared" si="93"/>
        <v>0</v>
      </c>
      <c r="CGC4" s="52">
        <f t="shared" si="93"/>
        <v>0</v>
      </c>
      <c r="CGD4" s="52">
        <f t="shared" si="93"/>
        <v>0</v>
      </c>
      <c r="CGE4" s="52">
        <f t="shared" si="93"/>
        <v>0</v>
      </c>
      <c r="CGF4" s="52">
        <f t="shared" si="93"/>
        <v>0</v>
      </c>
      <c r="CGG4" s="52">
        <f t="shared" si="93"/>
        <v>0</v>
      </c>
      <c r="CGH4" s="52">
        <f t="shared" si="93"/>
        <v>0</v>
      </c>
      <c r="CGI4" s="52">
        <f t="shared" si="93"/>
        <v>0</v>
      </c>
      <c r="CGJ4" s="52">
        <f t="shared" si="93"/>
        <v>0</v>
      </c>
      <c r="CGK4" s="52">
        <f t="shared" si="93"/>
        <v>0</v>
      </c>
      <c r="CGL4" s="52">
        <f t="shared" si="93"/>
        <v>0</v>
      </c>
      <c r="CGM4" s="52">
        <f t="shared" si="93"/>
        <v>0</v>
      </c>
      <c r="CGN4" s="52">
        <f t="shared" si="93"/>
        <v>0</v>
      </c>
      <c r="CGO4" s="52">
        <f t="shared" si="93"/>
        <v>0</v>
      </c>
      <c r="CGP4" s="52">
        <f t="shared" si="93"/>
        <v>0</v>
      </c>
      <c r="CGQ4" s="52">
        <f t="shared" si="93"/>
        <v>0</v>
      </c>
      <c r="CGR4" s="52">
        <f t="shared" si="93"/>
        <v>0</v>
      </c>
      <c r="CGS4" s="52">
        <f t="shared" ref="CGS4:CJD4" si="94">SUBTOTAL(9,CGS6:CGS554)</f>
        <v>0</v>
      </c>
      <c r="CGT4" s="52">
        <f t="shared" si="94"/>
        <v>0</v>
      </c>
      <c r="CGU4" s="52">
        <f t="shared" si="94"/>
        <v>0</v>
      </c>
      <c r="CGV4" s="52">
        <f t="shared" si="94"/>
        <v>0</v>
      </c>
      <c r="CGW4" s="52">
        <f t="shared" si="94"/>
        <v>0</v>
      </c>
      <c r="CGX4" s="52">
        <f t="shared" si="94"/>
        <v>0</v>
      </c>
      <c r="CGY4" s="52">
        <f t="shared" si="94"/>
        <v>0</v>
      </c>
      <c r="CGZ4" s="52">
        <f t="shared" si="94"/>
        <v>0</v>
      </c>
      <c r="CHA4" s="52">
        <f t="shared" si="94"/>
        <v>0</v>
      </c>
      <c r="CHB4" s="52">
        <f t="shared" si="94"/>
        <v>0</v>
      </c>
      <c r="CHC4" s="52">
        <f t="shared" si="94"/>
        <v>0</v>
      </c>
      <c r="CHD4" s="52">
        <f t="shared" si="94"/>
        <v>0</v>
      </c>
      <c r="CHE4" s="52">
        <f t="shared" si="94"/>
        <v>0</v>
      </c>
      <c r="CHF4" s="52">
        <f t="shared" si="94"/>
        <v>0</v>
      </c>
      <c r="CHG4" s="52">
        <f t="shared" si="94"/>
        <v>0</v>
      </c>
      <c r="CHH4" s="52">
        <f t="shared" si="94"/>
        <v>0</v>
      </c>
      <c r="CHI4" s="52">
        <f t="shared" si="94"/>
        <v>0</v>
      </c>
      <c r="CHJ4" s="52">
        <f t="shared" si="94"/>
        <v>0</v>
      </c>
      <c r="CHK4" s="52">
        <f t="shared" si="94"/>
        <v>0</v>
      </c>
      <c r="CHL4" s="52">
        <f t="shared" si="94"/>
        <v>0</v>
      </c>
      <c r="CHM4" s="52">
        <f t="shared" si="94"/>
        <v>0</v>
      </c>
      <c r="CHN4" s="52">
        <f t="shared" si="94"/>
        <v>0</v>
      </c>
      <c r="CHO4" s="52">
        <f t="shared" si="94"/>
        <v>0</v>
      </c>
      <c r="CHP4" s="52">
        <f t="shared" si="94"/>
        <v>0</v>
      </c>
      <c r="CHQ4" s="52">
        <f t="shared" si="94"/>
        <v>0</v>
      </c>
      <c r="CHR4" s="52">
        <f t="shared" si="94"/>
        <v>0</v>
      </c>
      <c r="CHS4" s="52">
        <f t="shared" si="94"/>
        <v>0</v>
      </c>
      <c r="CHT4" s="52">
        <f t="shared" si="94"/>
        <v>0</v>
      </c>
      <c r="CHU4" s="52">
        <f t="shared" si="94"/>
        <v>0</v>
      </c>
      <c r="CHV4" s="52">
        <f t="shared" si="94"/>
        <v>0</v>
      </c>
      <c r="CHW4" s="52">
        <f t="shared" si="94"/>
        <v>0</v>
      </c>
      <c r="CHX4" s="52">
        <f t="shared" si="94"/>
        <v>0</v>
      </c>
      <c r="CHY4" s="52">
        <f t="shared" si="94"/>
        <v>0</v>
      </c>
      <c r="CHZ4" s="52">
        <f t="shared" si="94"/>
        <v>0</v>
      </c>
      <c r="CIA4" s="52">
        <f t="shared" si="94"/>
        <v>0</v>
      </c>
      <c r="CIB4" s="52">
        <f t="shared" si="94"/>
        <v>0</v>
      </c>
      <c r="CIC4" s="52">
        <f t="shared" si="94"/>
        <v>0</v>
      </c>
      <c r="CID4" s="52">
        <f t="shared" si="94"/>
        <v>0</v>
      </c>
      <c r="CIE4" s="52">
        <f t="shared" si="94"/>
        <v>0</v>
      </c>
      <c r="CIF4" s="52">
        <f t="shared" si="94"/>
        <v>0</v>
      </c>
      <c r="CIG4" s="52">
        <f t="shared" si="94"/>
        <v>0</v>
      </c>
      <c r="CIH4" s="52">
        <f t="shared" si="94"/>
        <v>0</v>
      </c>
      <c r="CII4" s="52">
        <f t="shared" si="94"/>
        <v>0</v>
      </c>
      <c r="CIJ4" s="52">
        <f t="shared" si="94"/>
        <v>0</v>
      </c>
      <c r="CIK4" s="52">
        <f t="shared" si="94"/>
        <v>0</v>
      </c>
      <c r="CIL4" s="52">
        <f t="shared" si="94"/>
        <v>0</v>
      </c>
      <c r="CIM4" s="52">
        <f t="shared" si="94"/>
        <v>0</v>
      </c>
      <c r="CIN4" s="52">
        <f t="shared" si="94"/>
        <v>0</v>
      </c>
      <c r="CIO4" s="52">
        <f t="shared" si="94"/>
        <v>0</v>
      </c>
      <c r="CIP4" s="52">
        <f t="shared" si="94"/>
        <v>0</v>
      </c>
      <c r="CIQ4" s="52">
        <f t="shared" si="94"/>
        <v>0</v>
      </c>
      <c r="CIR4" s="52">
        <f t="shared" si="94"/>
        <v>0</v>
      </c>
      <c r="CIS4" s="52">
        <f t="shared" si="94"/>
        <v>0</v>
      </c>
      <c r="CIT4" s="52">
        <f t="shared" si="94"/>
        <v>0</v>
      </c>
      <c r="CIU4" s="52">
        <f t="shared" si="94"/>
        <v>0</v>
      </c>
      <c r="CIV4" s="52">
        <f t="shared" si="94"/>
        <v>0</v>
      </c>
      <c r="CIW4" s="52">
        <f t="shared" si="94"/>
        <v>0</v>
      </c>
      <c r="CIX4" s="52">
        <f t="shared" si="94"/>
        <v>0</v>
      </c>
      <c r="CIY4" s="52">
        <f t="shared" si="94"/>
        <v>0</v>
      </c>
      <c r="CIZ4" s="52">
        <f t="shared" si="94"/>
        <v>0</v>
      </c>
      <c r="CJA4" s="52">
        <f t="shared" si="94"/>
        <v>0</v>
      </c>
      <c r="CJB4" s="52">
        <f t="shared" si="94"/>
        <v>0</v>
      </c>
      <c r="CJC4" s="52">
        <f t="shared" si="94"/>
        <v>0</v>
      </c>
      <c r="CJD4" s="52">
        <f t="shared" si="94"/>
        <v>0</v>
      </c>
      <c r="CJE4" s="52">
        <f t="shared" ref="CJE4:CLP4" si="95">SUBTOTAL(9,CJE6:CJE554)</f>
        <v>0</v>
      </c>
      <c r="CJF4" s="52">
        <f t="shared" si="95"/>
        <v>0</v>
      </c>
      <c r="CJG4" s="52">
        <f t="shared" si="95"/>
        <v>0</v>
      </c>
      <c r="CJH4" s="52">
        <f t="shared" si="95"/>
        <v>0</v>
      </c>
      <c r="CJI4" s="52">
        <f t="shared" si="95"/>
        <v>0</v>
      </c>
      <c r="CJJ4" s="52">
        <f t="shared" si="95"/>
        <v>0</v>
      </c>
      <c r="CJK4" s="52">
        <f t="shared" si="95"/>
        <v>0</v>
      </c>
      <c r="CJL4" s="52">
        <f t="shared" si="95"/>
        <v>0</v>
      </c>
      <c r="CJM4" s="52">
        <f t="shared" si="95"/>
        <v>0</v>
      </c>
      <c r="CJN4" s="52">
        <f t="shared" si="95"/>
        <v>0</v>
      </c>
      <c r="CJO4" s="52">
        <f t="shared" si="95"/>
        <v>0</v>
      </c>
      <c r="CJP4" s="52">
        <f t="shared" si="95"/>
        <v>0</v>
      </c>
      <c r="CJQ4" s="52">
        <f t="shared" si="95"/>
        <v>0</v>
      </c>
      <c r="CJR4" s="52">
        <f t="shared" si="95"/>
        <v>0</v>
      </c>
      <c r="CJS4" s="52">
        <f t="shared" si="95"/>
        <v>0</v>
      </c>
      <c r="CJT4" s="52">
        <f t="shared" si="95"/>
        <v>0</v>
      </c>
      <c r="CJU4" s="52">
        <f t="shared" si="95"/>
        <v>0</v>
      </c>
      <c r="CJV4" s="52">
        <f t="shared" si="95"/>
        <v>0</v>
      </c>
      <c r="CJW4" s="52">
        <f t="shared" si="95"/>
        <v>0</v>
      </c>
      <c r="CJX4" s="52">
        <f t="shared" si="95"/>
        <v>0</v>
      </c>
      <c r="CJY4" s="52">
        <f t="shared" si="95"/>
        <v>0</v>
      </c>
      <c r="CJZ4" s="52">
        <f t="shared" si="95"/>
        <v>0</v>
      </c>
      <c r="CKA4" s="52">
        <f t="shared" si="95"/>
        <v>0</v>
      </c>
      <c r="CKB4" s="52">
        <f t="shared" si="95"/>
        <v>0</v>
      </c>
      <c r="CKC4" s="52">
        <f t="shared" si="95"/>
        <v>0</v>
      </c>
      <c r="CKD4" s="52">
        <f t="shared" si="95"/>
        <v>0</v>
      </c>
      <c r="CKE4" s="52">
        <f t="shared" si="95"/>
        <v>0</v>
      </c>
      <c r="CKF4" s="52">
        <f t="shared" si="95"/>
        <v>0</v>
      </c>
      <c r="CKG4" s="52">
        <f t="shared" si="95"/>
        <v>0</v>
      </c>
      <c r="CKH4" s="52">
        <f t="shared" si="95"/>
        <v>0</v>
      </c>
      <c r="CKI4" s="52">
        <f t="shared" si="95"/>
        <v>0</v>
      </c>
      <c r="CKJ4" s="52">
        <f t="shared" si="95"/>
        <v>0</v>
      </c>
      <c r="CKK4" s="52">
        <f t="shared" si="95"/>
        <v>0</v>
      </c>
      <c r="CKL4" s="52">
        <f t="shared" si="95"/>
        <v>0</v>
      </c>
      <c r="CKM4" s="52">
        <f t="shared" si="95"/>
        <v>0</v>
      </c>
      <c r="CKN4" s="52">
        <f t="shared" si="95"/>
        <v>0</v>
      </c>
      <c r="CKO4" s="52">
        <f t="shared" si="95"/>
        <v>0</v>
      </c>
      <c r="CKP4" s="52">
        <f t="shared" si="95"/>
        <v>0</v>
      </c>
      <c r="CKQ4" s="52">
        <f t="shared" si="95"/>
        <v>0</v>
      </c>
      <c r="CKR4" s="52">
        <f t="shared" si="95"/>
        <v>0</v>
      </c>
      <c r="CKS4" s="52">
        <f t="shared" si="95"/>
        <v>0</v>
      </c>
      <c r="CKT4" s="52">
        <f t="shared" si="95"/>
        <v>0</v>
      </c>
      <c r="CKU4" s="52">
        <f t="shared" si="95"/>
        <v>0</v>
      </c>
      <c r="CKV4" s="52">
        <f t="shared" si="95"/>
        <v>0</v>
      </c>
      <c r="CKW4" s="52">
        <f t="shared" si="95"/>
        <v>0</v>
      </c>
      <c r="CKX4" s="52">
        <f t="shared" si="95"/>
        <v>0</v>
      </c>
      <c r="CKY4" s="52">
        <f t="shared" si="95"/>
        <v>0</v>
      </c>
      <c r="CKZ4" s="52">
        <f t="shared" si="95"/>
        <v>0</v>
      </c>
      <c r="CLA4" s="52">
        <f t="shared" si="95"/>
        <v>0</v>
      </c>
      <c r="CLB4" s="52">
        <f t="shared" si="95"/>
        <v>0</v>
      </c>
      <c r="CLC4" s="52">
        <f t="shared" si="95"/>
        <v>0</v>
      </c>
      <c r="CLD4" s="52">
        <f t="shared" si="95"/>
        <v>0</v>
      </c>
      <c r="CLE4" s="52">
        <f t="shared" si="95"/>
        <v>0</v>
      </c>
      <c r="CLF4" s="52">
        <f t="shared" si="95"/>
        <v>0</v>
      </c>
      <c r="CLG4" s="52">
        <f t="shared" si="95"/>
        <v>0</v>
      </c>
      <c r="CLH4" s="52">
        <f t="shared" si="95"/>
        <v>0</v>
      </c>
      <c r="CLI4" s="52">
        <f t="shared" si="95"/>
        <v>0</v>
      </c>
      <c r="CLJ4" s="52">
        <f t="shared" si="95"/>
        <v>0</v>
      </c>
      <c r="CLK4" s="52">
        <f t="shared" si="95"/>
        <v>0</v>
      </c>
      <c r="CLL4" s="52">
        <f t="shared" si="95"/>
        <v>0</v>
      </c>
      <c r="CLM4" s="52">
        <f t="shared" si="95"/>
        <v>0</v>
      </c>
      <c r="CLN4" s="52">
        <f t="shared" si="95"/>
        <v>0</v>
      </c>
      <c r="CLO4" s="52">
        <f t="shared" si="95"/>
        <v>0</v>
      </c>
      <c r="CLP4" s="52">
        <f t="shared" si="95"/>
        <v>0</v>
      </c>
      <c r="CLQ4" s="52">
        <f t="shared" ref="CLQ4:COB4" si="96">SUBTOTAL(9,CLQ6:CLQ554)</f>
        <v>0</v>
      </c>
      <c r="CLR4" s="52">
        <f t="shared" si="96"/>
        <v>0</v>
      </c>
      <c r="CLS4" s="52">
        <f t="shared" si="96"/>
        <v>0</v>
      </c>
      <c r="CLT4" s="52">
        <f t="shared" si="96"/>
        <v>0</v>
      </c>
      <c r="CLU4" s="52">
        <f t="shared" si="96"/>
        <v>0</v>
      </c>
      <c r="CLV4" s="52">
        <f t="shared" si="96"/>
        <v>0</v>
      </c>
      <c r="CLW4" s="52">
        <f t="shared" si="96"/>
        <v>0</v>
      </c>
      <c r="CLX4" s="52">
        <f t="shared" si="96"/>
        <v>0</v>
      </c>
      <c r="CLY4" s="52">
        <f t="shared" si="96"/>
        <v>0</v>
      </c>
      <c r="CLZ4" s="52">
        <f t="shared" si="96"/>
        <v>0</v>
      </c>
      <c r="CMA4" s="52">
        <f t="shared" si="96"/>
        <v>0</v>
      </c>
      <c r="CMB4" s="52">
        <f t="shared" si="96"/>
        <v>0</v>
      </c>
      <c r="CMC4" s="52">
        <f t="shared" si="96"/>
        <v>0</v>
      </c>
      <c r="CMD4" s="52">
        <f t="shared" si="96"/>
        <v>0</v>
      </c>
      <c r="CME4" s="52">
        <f t="shared" si="96"/>
        <v>0</v>
      </c>
      <c r="CMF4" s="52">
        <f t="shared" si="96"/>
        <v>0</v>
      </c>
      <c r="CMG4" s="52">
        <f t="shared" si="96"/>
        <v>0</v>
      </c>
      <c r="CMH4" s="52">
        <f t="shared" si="96"/>
        <v>0</v>
      </c>
      <c r="CMI4" s="52">
        <f t="shared" si="96"/>
        <v>0</v>
      </c>
      <c r="CMJ4" s="52">
        <f t="shared" si="96"/>
        <v>0</v>
      </c>
      <c r="CMK4" s="52">
        <f t="shared" si="96"/>
        <v>0</v>
      </c>
      <c r="CML4" s="52">
        <f t="shared" si="96"/>
        <v>0</v>
      </c>
      <c r="CMM4" s="52">
        <f t="shared" si="96"/>
        <v>0</v>
      </c>
      <c r="CMN4" s="52">
        <f t="shared" si="96"/>
        <v>0</v>
      </c>
      <c r="CMO4" s="52">
        <f t="shared" si="96"/>
        <v>0</v>
      </c>
      <c r="CMP4" s="52">
        <f t="shared" si="96"/>
        <v>0</v>
      </c>
      <c r="CMQ4" s="52">
        <f t="shared" si="96"/>
        <v>0</v>
      </c>
      <c r="CMR4" s="52">
        <f t="shared" si="96"/>
        <v>0</v>
      </c>
      <c r="CMS4" s="52">
        <f t="shared" si="96"/>
        <v>0</v>
      </c>
      <c r="CMT4" s="52">
        <f t="shared" si="96"/>
        <v>0</v>
      </c>
      <c r="CMU4" s="52">
        <f t="shared" si="96"/>
        <v>0</v>
      </c>
      <c r="CMV4" s="52">
        <f t="shared" si="96"/>
        <v>0</v>
      </c>
      <c r="CMW4" s="52">
        <f t="shared" si="96"/>
        <v>0</v>
      </c>
      <c r="CMX4" s="52">
        <f t="shared" si="96"/>
        <v>0</v>
      </c>
      <c r="CMY4" s="52">
        <f t="shared" si="96"/>
        <v>0</v>
      </c>
      <c r="CMZ4" s="52">
        <f t="shared" si="96"/>
        <v>0</v>
      </c>
      <c r="CNA4" s="52">
        <f t="shared" si="96"/>
        <v>0</v>
      </c>
      <c r="CNB4" s="52">
        <f t="shared" si="96"/>
        <v>0</v>
      </c>
      <c r="CNC4" s="52">
        <f t="shared" si="96"/>
        <v>0</v>
      </c>
      <c r="CND4" s="52">
        <f t="shared" si="96"/>
        <v>0</v>
      </c>
      <c r="CNE4" s="52">
        <f t="shared" si="96"/>
        <v>0</v>
      </c>
      <c r="CNF4" s="52">
        <f t="shared" si="96"/>
        <v>0</v>
      </c>
      <c r="CNG4" s="52">
        <f t="shared" si="96"/>
        <v>0</v>
      </c>
      <c r="CNH4" s="52">
        <f t="shared" si="96"/>
        <v>0</v>
      </c>
      <c r="CNI4" s="52">
        <f t="shared" si="96"/>
        <v>0</v>
      </c>
      <c r="CNJ4" s="52">
        <f t="shared" si="96"/>
        <v>0</v>
      </c>
      <c r="CNK4" s="52">
        <f t="shared" si="96"/>
        <v>0</v>
      </c>
      <c r="CNL4" s="52">
        <f t="shared" si="96"/>
        <v>0</v>
      </c>
      <c r="CNM4" s="52">
        <f t="shared" si="96"/>
        <v>0</v>
      </c>
      <c r="CNN4" s="52">
        <f t="shared" si="96"/>
        <v>0</v>
      </c>
      <c r="CNO4" s="52">
        <f t="shared" si="96"/>
        <v>0</v>
      </c>
      <c r="CNP4" s="52">
        <f t="shared" si="96"/>
        <v>0</v>
      </c>
      <c r="CNQ4" s="52">
        <f t="shared" si="96"/>
        <v>0</v>
      </c>
      <c r="CNR4" s="52">
        <f t="shared" si="96"/>
        <v>0</v>
      </c>
      <c r="CNS4" s="52">
        <f t="shared" si="96"/>
        <v>0</v>
      </c>
      <c r="CNT4" s="52">
        <f t="shared" si="96"/>
        <v>0</v>
      </c>
      <c r="CNU4" s="52">
        <f t="shared" si="96"/>
        <v>0</v>
      </c>
      <c r="CNV4" s="52">
        <f t="shared" si="96"/>
        <v>0</v>
      </c>
      <c r="CNW4" s="52">
        <f t="shared" si="96"/>
        <v>0</v>
      </c>
      <c r="CNX4" s="52">
        <f t="shared" si="96"/>
        <v>0</v>
      </c>
      <c r="CNY4" s="52">
        <f t="shared" si="96"/>
        <v>0</v>
      </c>
      <c r="CNZ4" s="52">
        <f t="shared" si="96"/>
        <v>0</v>
      </c>
      <c r="COA4" s="52">
        <f t="shared" si="96"/>
        <v>0</v>
      </c>
      <c r="COB4" s="52">
        <f t="shared" si="96"/>
        <v>0</v>
      </c>
      <c r="COC4" s="52">
        <f t="shared" ref="COC4:CQN4" si="97">SUBTOTAL(9,COC6:COC554)</f>
        <v>0</v>
      </c>
      <c r="COD4" s="52">
        <f t="shared" si="97"/>
        <v>0</v>
      </c>
      <c r="COE4" s="52">
        <f t="shared" si="97"/>
        <v>0</v>
      </c>
      <c r="COF4" s="52">
        <f t="shared" si="97"/>
        <v>0</v>
      </c>
      <c r="COG4" s="52">
        <f t="shared" si="97"/>
        <v>0</v>
      </c>
      <c r="COH4" s="52">
        <f t="shared" si="97"/>
        <v>0</v>
      </c>
      <c r="COI4" s="52">
        <f t="shared" si="97"/>
        <v>0</v>
      </c>
      <c r="COJ4" s="52">
        <f t="shared" si="97"/>
        <v>0</v>
      </c>
      <c r="COK4" s="52">
        <f t="shared" si="97"/>
        <v>0</v>
      </c>
      <c r="COL4" s="52">
        <f t="shared" si="97"/>
        <v>0</v>
      </c>
      <c r="COM4" s="52">
        <f t="shared" si="97"/>
        <v>0</v>
      </c>
      <c r="CON4" s="52">
        <f t="shared" si="97"/>
        <v>0</v>
      </c>
      <c r="COO4" s="52">
        <f t="shared" si="97"/>
        <v>0</v>
      </c>
      <c r="COP4" s="52">
        <f t="shared" si="97"/>
        <v>0</v>
      </c>
      <c r="COQ4" s="52">
        <f t="shared" si="97"/>
        <v>0</v>
      </c>
      <c r="COR4" s="52">
        <f t="shared" si="97"/>
        <v>0</v>
      </c>
      <c r="COS4" s="52">
        <f t="shared" si="97"/>
        <v>0</v>
      </c>
      <c r="COT4" s="52">
        <f t="shared" si="97"/>
        <v>0</v>
      </c>
      <c r="COU4" s="52">
        <f t="shared" si="97"/>
        <v>0</v>
      </c>
      <c r="COV4" s="52">
        <f t="shared" si="97"/>
        <v>0</v>
      </c>
      <c r="COW4" s="52">
        <f t="shared" si="97"/>
        <v>0</v>
      </c>
      <c r="COX4" s="52">
        <f t="shared" si="97"/>
        <v>0</v>
      </c>
      <c r="COY4" s="52">
        <f t="shared" si="97"/>
        <v>0</v>
      </c>
      <c r="COZ4" s="52">
        <f t="shared" si="97"/>
        <v>0</v>
      </c>
      <c r="CPA4" s="52">
        <f t="shared" si="97"/>
        <v>0</v>
      </c>
      <c r="CPB4" s="52">
        <f t="shared" si="97"/>
        <v>0</v>
      </c>
      <c r="CPC4" s="52">
        <f t="shared" si="97"/>
        <v>0</v>
      </c>
      <c r="CPD4" s="52">
        <f t="shared" si="97"/>
        <v>0</v>
      </c>
      <c r="CPE4" s="52">
        <f t="shared" si="97"/>
        <v>0</v>
      </c>
      <c r="CPF4" s="52">
        <f t="shared" si="97"/>
        <v>0</v>
      </c>
      <c r="CPG4" s="52">
        <f t="shared" si="97"/>
        <v>0</v>
      </c>
      <c r="CPH4" s="52">
        <f t="shared" si="97"/>
        <v>0</v>
      </c>
      <c r="CPI4" s="52">
        <f t="shared" si="97"/>
        <v>0</v>
      </c>
      <c r="CPJ4" s="52">
        <f t="shared" si="97"/>
        <v>0</v>
      </c>
      <c r="CPK4" s="52">
        <f t="shared" si="97"/>
        <v>0</v>
      </c>
      <c r="CPL4" s="52">
        <f t="shared" si="97"/>
        <v>0</v>
      </c>
      <c r="CPM4" s="52">
        <f t="shared" si="97"/>
        <v>0</v>
      </c>
      <c r="CPN4" s="52">
        <f t="shared" si="97"/>
        <v>0</v>
      </c>
      <c r="CPO4" s="52">
        <f t="shared" si="97"/>
        <v>0</v>
      </c>
      <c r="CPP4" s="52">
        <f t="shared" si="97"/>
        <v>0</v>
      </c>
      <c r="CPQ4" s="52">
        <f t="shared" si="97"/>
        <v>0</v>
      </c>
      <c r="CPR4" s="52">
        <f t="shared" si="97"/>
        <v>0</v>
      </c>
      <c r="CPS4" s="52">
        <f t="shared" si="97"/>
        <v>0</v>
      </c>
      <c r="CPT4" s="52">
        <f t="shared" si="97"/>
        <v>0</v>
      </c>
      <c r="CPU4" s="52">
        <f t="shared" si="97"/>
        <v>0</v>
      </c>
      <c r="CPV4" s="52">
        <f t="shared" si="97"/>
        <v>0</v>
      </c>
      <c r="CPW4" s="52">
        <f t="shared" si="97"/>
        <v>0</v>
      </c>
      <c r="CPX4" s="52">
        <f t="shared" si="97"/>
        <v>0</v>
      </c>
      <c r="CPY4" s="52">
        <f t="shared" si="97"/>
        <v>0</v>
      </c>
      <c r="CPZ4" s="52">
        <f t="shared" si="97"/>
        <v>0</v>
      </c>
      <c r="CQA4" s="52">
        <f t="shared" si="97"/>
        <v>0</v>
      </c>
      <c r="CQB4" s="52">
        <f t="shared" si="97"/>
        <v>0</v>
      </c>
      <c r="CQC4" s="52">
        <f t="shared" si="97"/>
        <v>0</v>
      </c>
      <c r="CQD4" s="52">
        <f t="shared" si="97"/>
        <v>0</v>
      </c>
      <c r="CQE4" s="52">
        <f t="shared" si="97"/>
        <v>0</v>
      </c>
      <c r="CQF4" s="52">
        <f t="shared" si="97"/>
        <v>0</v>
      </c>
      <c r="CQG4" s="52">
        <f t="shared" si="97"/>
        <v>0</v>
      </c>
      <c r="CQH4" s="52">
        <f t="shared" si="97"/>
        <v>0</v>
      </c>
      <c r="CQI4" s="52">
        <f t="shared" si="97"/>
        <v>0</v>
      </c>
      <c r="CQJ4" s="52">
        <f t="shared" si="97"/>
        <v>0</v>
      </c>
      <c r="CQK4" s="52">
        <f t="shared" si="97"/>
        <v>0</v>
      </c>
      <c r="CQL4" s="52">
        <f t="shared" si="97"/>
        <v>0</v>
      </c>
      <c r="CQM4" s="52">
        <f t="shared" si="97"/>
        <v>0</v>
      </c>
      <c r="CQN4" s="52">
        <f t="shared" si="97"/>
        <v>0</v>
      </c>
      <c r="CQO4" s="52">
        <f t="shared" ref="CQO4:CSJ4" si="98">SUBTOTAL(9,CQO6:CQO554)</f>
        <v>0</v>
      </c>
      <c r="CQP4" s="52">
        <f t="shared" si="98"/>
        <v>0</v>
      </c>
      <c r="CQQ4" s="52">
        <f t="shared" si="98"/>
        <v>0</v>
      </c>
      <c r="CQR4" s="52">
        <f t="shared" si="98"/>
        <v>0</v>
      </c>
      <c r="CQS4" s="52">
        <f t="shared" si="98"/>
        <v>0</v>
      </c>
      <c r="CQT4" s="52">
        <f t="shared" si="98"/>
        <v>0</v>
      </c>
      <c r="CQU4" s="52">
        <f t="shared" si="98"/>
        <v>0</v>
      </c>
      <c r="CQV4" s="52">
        <f t="shared" si="98"/>
        <v>0</v>
      </c>
      <c r="CQW4" s="52">
        <f t="shared" si="98"/>
        <v>0</v>
      </c>
      <c r="CQX4" s="52">
        <f t="shared" si="98"/>
        <v>0</v>
      </c>
      <c r="CQY4" s="52">
        <f t="shared" si="98"/>
        <v>0</v>
      </c>
      <c r="CQZ4" s="52">
        <f t="shared" si="98"/>
        <v>0</v>
      </c>
      <c r="CRA4" s="52">
        <f t="shared" si="98"/>
        <v>0</v>
      </c>
      <c r="CRB4" s="52">
        <f t="shared" si="98"/>
        <v>0</v>
      </c>
      <c r="CRC4" s="52">
        <f t="shared" si="98"/>
        <v>0</v>
      </c>
      <c r="CRD4" s="52">
        <f t="shared" si="98"/>
        <v>0</v>
      </c>
      <c r="CRE4" s="52">
        <f t="shared" si="98"/>
        <v>0</v>
      </c>
      <c r="CRF4" s="52">
        <f t="shared" si="98"/>
        <v>0</v>
      </c>
      <c r="CRG4" s="52">
        <f t="shared" si="98"/>
        <v>0</v>
      </c>
      <c r="CRH4" s="52">
        <f t="shared" si="98"/>
        <v>0</v>
      </c>
      <c r="CRI4" s="52">
        <f t="shared" si="98"/>
        <v>0</v>
      </c>
      <c r="CRJ4" s="52">
        <f t="shared" si="98"/>
        <v>0</v>
      </c>
      <c r="CRK4" s="52">
        <f t="shared" si="98"/>
        <v>0</v>
      </c>
      <c r="CRL4" s="52">
        <f t="shared" si="98"/>
        <v>0</v>
      </c>
      <c r="CRM4" s="52">
        <f t="shared" si="98"/>
        <v>0</v>
      </c>
      <c r="CRN4" s="52">
        <f t="shared" si="98"/>
        <v>0</v>
      </c>
      <c r="CRO4" s="52">
        <f t="shared" si="98"/>
        <v>0</v>
      </c>
      <c r="CRP4" s="52">
        <f t="shared" si="98"/>
        <v>0</v>
      </c>
      <c r="CRQ4" s="52">
        <f t="shared" si="98"/>
        <v>0</v>
      </c>
      <c r="CRR4" s="52">
        <f t="shared" si="98"/>
        <v>0</v>
      </c>
      <c r="CRS4" s="52">
        <f t="shared" si="98"/>
        <v>0</v>
      </c>
      <c r="CRT4" s="52">
        <f t="shared" si="98"/>
        <v>0</v>
      </c>
      <c r="CRU4" s="52">
        <f t="shared" si="98"/>
        <v>0</v>
      </c>
      <c r="CRV4" s="52">
        <f t="shared" si="98"/>
        <v>0</v>
      </c>
      <c r="CRW4" s="52">
        <f t="shared" si="98"/>
        <v>0</v>
      </c>
      <c r="CRX4" s="52">
        <f t="shared" si="98"/>
        <v>0</v>
      </c>
      <c r="CRY4" s="52">
        <f t="shared" si="98"/>
        <v>0</v>
      </c>
      <c r="CRZ4" s="52">
        <f t="shared" si="98"/>
        <v>0</v>
      </c>
      <c r="CSA4" s="52">
        <f t="shared" si="98"/>
        <v>0</v>
      </c>
      <c r="CSB4" s="52">
        <f t="shared" si="98"/>
        <v>0</v>
      </c>
      <c r="CSC4" s="52">
        <f t="shared" si="98"/>
        <v>0</v>
      </c>
      <c r="CSD4" s="52">
        <f t="shared" si="98"/>
        <v>0</v>
      </c>
      <c r="CSE4" s="52">
        <f t="shared" si="98"/>
        <v>0</v>
      </c>
      <c r="CSF4" s="52">
        <f t="shared" si="98"/>
        <v>0</v>
      </c>
      <c r="CSG4" s="52">
        <f t="shared" si="98"/>
        <v>0</v>
      </c>
      <c r="CSH4" s="52">
        <f t="shared" si="98"/>
        <v>0</v>
      </c>
      <c r="CSI4" s="52">
        <f t="shared" si="98"/>
        <v>0</v>
      </c>
      <c r="CSJ4" s="52">
        <f t="shared" si="98"/>
        <v>0</v>
      </c>
      <c r="CSK4" s="24" t="s">
        <v>1335</v>
      </c>
      <c r="CSL4" s="3"/>
      <c r="CSM4" s="3"/>
      <c r="CSN4" s="3"/>
      <c r="CSO4" s="3"/>
      <c r="CSP4" s="3"/>
      <c r="CSQ4" s="21"/>
      <c r="CTZ4" s="36" t="s">
        <v>1335</v>
      </c>
      <c r="CUA4" s="1"/>
      <c r="CUB4" s="1"/>
      <c r="CUC4" s="1"/>
      <c r="CUD4" s="1"/>
      <c r="CUE4" s="1"/>
      <c r="CUF4" s="1"/>
    </row>
    <row r="5" spans="1:2616" s="63" customFormat="1" ht="10.199999999999999" x14ac:dyDescent="0.2">
      <c r="A5" s="63" t="s">
        <v>0</v>
      </c>
      <c r="B5" s="63" t="s">
        <v>1</v>
      </c>
      <c r="C5" s="63" t="s">
        <v>2</v>
      </c>
      <c r="D5" s="11" t="s">
        <v>1396</v>
      </c>
      <c r="E5" s="63" t="s">
        <v>3</v>
      </c>
      <c r="F5" s="63" t="s">
        <v>4</v>
      </c>
      <c r="G5" s="63" t="s">
        <v>5</v>
      </c>
      <c r="H5" s="11" t="s">
        <v>1379</v>
      </c>
      <c r="I5" s="11" t="s">
        <v>1380</v>
      </c>
      <c r="J5" s="63" t="s">
        <v>7</v>
      </c>
      <c r="K5" s="64" t="s">
        <v>8</v>
      </c>
      <c r="L5" s="63" t="s">
        <v>6</v>
      </c>
      <c r="M5" s="11" t="s">
        <v>1397</v>
      </c>
      <c r="N5" s="11" t="s">
        <v>1398</v>
      </c>
      <c r="O5" s="11" t="s">
        <v>1399</v>
      </c>
      <c r="P5" s="11" t="s">
        <v>1400</v>
      </c>
      <c r="Q5" s="11" t="s">
        <v>1401</v>
      </c>
      <c r="R5" s="11" t="s">
        <v>1402</v>
      </c>
      <c r="S5" s="11" t="s">
        <v>1403</v>
      </c>
      <c r="T5" s="11" t="s">
        <v>1404</v>
      </c>
      <c r="U5" s="11" t="s">
        <v>1405</v>
      </c>
      <c r="V5" s="11" t="s">
        <v>1406</v>
      </c>
      <c r="W5" s="11" t="s">
        <v>1407</v>
      </c>
      <c r="X5" s="11" t="s">
        <v>1408</v>
      </c>
      <c r="Y5" s="11" t="s">
        <v>1409</v>
      </c>
      <c r="Z5" s="11" t="s">
        <v>1410</v>
      </c>
      <c r="AA5" s="11" t="s">
        <v>1411</v>
      </c>
      <c r="AB5" s="11" t="s">
        <v>1412</v>
      </c>
      <c r="AC5" s="11" t="s">
        <v>1413</v>
      </c>
      <c r="AD5" s="11" t="s">
        <v>1414</v>
      </c>
      <c r="AE5" s="11" t="s">
        <v>1415</v>
      </c>
      <c r="AF5" s="11" t="s">
        <v>1416</v>
      </c>
      <c r="AG5" s="11" t="s">
        <v>1417</v>
      </c>
      <c r="AH5" s="11" t="s">
        <v>1418</v>
      </c>
      <c r="AI5" s="11" t="s">
        <v>1419</v>
      </c>
      <c r="AJ5" s="11" t="s">
        <v>1420</v>
      </c>
      <c r="AK5" s="11" t="s">
        <v>1421</v>
      </c>
      <c r="AL5" s="11" t="s">
        <v>1422</v>
      </c>
      <c r="AM5" s="11" t="s">
        <v>1423</v>
      </c>
      <c r="AN5" s="11" t="s">
        <v>1424</v>
      </c>
      <c r="AO5" s="11" t="s">
        <v>1425</v>
      </c>
      <c r="AP5" s="11" t="s">
        <v>1426</v>
      </c>
      <c r="AQ5" s="11" t="s">
        <v>1427</v>
      </c>
      <c r="AR5" s="11" t="s">
        <v>1428</v>
      </c>
      <c r="AS5" s="11" t="s">
        <v>1429</v>
      </c>
      <c r="AT5" s="11" t="s">
        <v>1430</v>
      </c>
      <c r="AU5" s="11" t="s">
        <v>1431</v>
      </c>
      <c r="AV5" s="11" t="s">
        <v>1432</v>
      </c>
      <c r="AW5" s="11" t="s">
        <v>1433</v>
      </c>
      <c r="AX5" s="11" t="s">
        <v>1434</v>
      </c>
      <c r="AY5" s="11" t="s">
        <v>1435</v>
      </c>
      <c r="AZ5" s="11" t="s">
        <v>1436</v>
      </c>
      <c r="BA5" s="65" t="s">
        <v>9</v>
      </c>
      <c r="BB5" s="65" t="s">
        <v>2565</v>
      </c>
      <c r="BC5" s="65" t="s">
        <v>2566</v>
      </c>
      <c r="BD5" s="65" t="s">
        <v>2567</v>
      </c>
      <c r="BE5" s="65" t="s">
        <v>2568</v>
      </c>
      <c r="BF5" s="65" t="s">
        <v>2569</v>
      </c>
      <c r="BG5" s="65" t="s">
        <v>2570</v>
      </c>
      <c r="BH5" s="65" t="s">
        <v>2571</v>
      </c>
      <c r="BI5" s="65" t="s">
        <v>2572</v>
      </c>
      <c r="BJ5" s="65" t="s">
        <v>2573</v>
      </c>
      <c r="BK5" s="65" t="s">
        <v>2574</v>
      </c>
      <c r="BL5" s="65" t="s">
        <v>2575</v>
      </c>
      <c r="BM5" s="65" t="s">
        <v>2576</v>
      </c>
      <c r="BN5" s="65" t="s">
        <v>2577</v>
      </c>
      <c r="BO5" s="65" t="s">
        <v>2578</v>
      </c>
      <c r="BP5" s="65" t="s">
        <v>2579</v>
      </c>
      <c r="BQ5" s="65" t="s">
        <v>2580</v>
      </c>
      <c r="BR5" s="65" t="s">
        <v>2581</v>
      </c>
      <c r="BS5" s="65" t="s">
        <v>2582</v>
      </c>
      <c r="BT5" s="65" t="s">
        <v>87</v>
      </c>
      <c r="BU5" s="65" t="s">
        <v>88</v>
      </c>
      <c r="BV5" s="65" t="s">
        <v>89</v>
      </c>
      <c r="BW5" s="65" t="s">
        <v>90</v>
      </c>
      <c r="BX5" s="65" t="s">
        <v>91</v>
      </c>
      <c r="BY5" s="65" t="s">
        <v>92</v>
      </c>
      <c r="BZ5" s="65" t="s">
        <v>93</v>
      </c>
      <c r="CA5" s="65" t="s">
        <v>94</v>
      </c>
      <c r="CB5" s="65" t="s">
        <v>95</v>
      </c>
      <c r="CC5" s="65" t="s">
        <v>96</v>
      </c>
      <c r="CD5" s="65" t="s">
        <v>97</v>
      </c>
      <c r="CE5" s="65" t="s">
        <v>98</v>
      </c>
      <c r="CF5" s="65" t="s">
        <v>10</v>
      </c>
      <c r="CG5" s="65" t="s">
        <v>2583</v>
      </c>
      <c r="CH5" s="65" t="s">
        <v>2584</v>
      </c>
      <c r="CI5" s="65" t="s">
        <v>2585</v>
      </c>
      <c r="CJ5" s="65" t="s">
        <v>2586</v>
      </c>
      <c r="CK5" s="65" t="s">
        <v>2587</v>
      </c>
      <c r="CL5" s="65" t="s">
        <v>2588</v>
      </c>
      <c r="CM5" s="65" t="s">
        <v>2589</v>
      </c>
      <c r="CN5" s="65" t="s">
        <v>2590</v>
      </c>
      <c r="CO5" s="65" t="s">
        <v>2591</v>
      </c>
      <c r="CP5" s="65" t="s">
        <v>2592</v>
      </c>
      <c r="CQ5" s="65" t="s">
        <v>2593</v>
      </c>
      <c r="CR5" s="65" t="s">
        <v>2594</v>
      </c>
      <c r="CS5" s="65" t="s">
        <v>2251</v>
      </c>
      <c r="CT5" s="65" t="s">
        <v>2252</v>
      </c>
      <c r="CU5" s="65" t="s">
        <v>2253</v>
      </c>
      <c r="CV5" s="65" t="s">
        <v>2254</v>
      </c>
      <c r="CW5" s="65" t="s">
        <v>99</v>
      </c>
      <c r="CX5" s="65" t="s">
        <v>100</v>
      </c>
      <c r="CY5" s="65" t="s">
        <v>101</v>
      </c>
      <c r="CZ5" s="65" t="s">
        <v>102</v>
      </c>
      <c r="DA5" s="65" t="s">
        <v>103</v>
      </c>
      <c r="DB5" s="65" t="s">
        <v>104</v>
      </c>
      <c r="DC5" s="65" t="s">
        <v>105</v>
      </c>
      <c r="DD5" s="65" t="s">
        <v>106</v>
      </c>
      <c r="DE5" s="65" t="s">
        <v>107</v>
      </c>
      <c r="DF5" s="65" t="s">
        <v>108</v>
      </c>
      <c r="DG5" s="65" t="s">
        <v>109</v>
      </c>
      <c r="DH5" s="65" t="s">
        <v>110</v>
      </c>
      <c r="DI5" s="65" t="s">
        <v>111</v>
      </c>
      <c r="DJ5" s="65" t="s">
        <v>112</v>
      </c>
      <c r="DK5" s="63" t="s">
        <v>11</v>
      </c>
      <c r="DL5" s="63" t="s">
        <v>2595</v>
      </c>
      <c r="DM5" s="63" t="s">
        <v>2596</v>
      </c>
      <c r="DN5" s="63" t="s">
        <v>2597</v>
      </c>
      <c r="DO5" s="63" t="s">
        <v>2598</v>
      </c>
      <c r="DP5" s="63" t="s">
        <v>2599</v>
      </c>
      <c r="DQ5" s="63" t="s">
        <v>2600</v>
      </c>
      <c r="DR5" s="63" t="s">
        <v>2601</v>
      </c>
      <c r="DS5" s="63" t="s">
        <v>2602</v>
      </c>
      <c r="DT5" s="63" t="s">
        <v>2603</v>
      </c>
      <c r="DU5" s="63" t="s">
        <v>2604</v>
      </c>
      <c r="DV5" s="63" t="s">
        <v>2605</v>
      </c>
      <c r="DW5" s="63" t="s">
        <v>2606</v>
      </c>
      <c r="DX5" s="63" t="s">
        <v>1500</v>
      </c>
      <c r="DY5" s="63" t="s">
        <v>1501</v>
      </c>
      <c r="DZ5" s="63" t="s">
        <v>1502</v>
      </c>
      <c r="EA5" s="63" t="s">
        <v>1503</v>
      </c>
      <c r="EB5" s="63" t="s">
        <v>113</v>
      </c>
      <c r="EC5" s="63" t="s">
        <v>114</v>
      </c>
      <c r="ED5" s="63" t="s">
        <v>115</v>
      </c>
      <c r="EE5" s="63" t="s">
        <v>116</v>
      </c>
      <c r="EF5" s="63" t="s">
        <v>117</v>
      </c>
      <c r="EG5" s="63" t="s">
        <v>118</v>
      </c>
      <c r="EH5" s="63" t="s">
        <v>119</v>
      </c>
      <c r="EI5" s="63" t="s">
        <v>120</v>
      </c>
      <c r="EJ5" s="63" t="s">
        <v>121</v>
      </c>
      <c r="EK5" s="63" t="s">
        <v>122</v>
      </c>
      <c r="EL5" s="63" t="s">
        <v>123</v>
      </c>
      <c r="EM5" s="63" t="s">
        <v>124</v>
      </c>
      <c r="EN5" s="63" t="s">
        <v>125</v>
      </c>
      <c r="EO5" s="63" t="s">
        <v>126</v>
      </c>
      <c r="EP5" s="63" t="s">
        <v>12</v>
      </c>
      <c r="EQ5" s="63" t="s">
        <v>2607</v>
      </c>
      <c r="ER5" s="63" t="s">
        <v>2608</v>
      </c>
      <c r="ES5" s="63" t="s">
        <v>2609</v>
      </c>
      <c r="ET5" s="63" t="s">
        <v>2610</v>
      </c>
      <c r="EU5" s="63" t="s">
        <v>2611</v>
      </c>
      <c r="EV5" s="63" t="s">
        <v>2612</v>
      </c>
      <c r="EW5" s="63" t="s">
        <v>2613</v>
      </c>
      <c r="EX5" s="63" t="s">
        <v>2614</v>
      </c>
      <c r="EY5" s="63" t="s">
        <v>2615</v>
      </c>
      <c r="EZ5" s="63" t="s">
        <v>2616</v>
      </c>
      <c r="FA5" s="63" t="s">
        <v>2617</v>
      </c>
      <c r="FB5" s="63" t="s">
        <v>2618</v>
      </c>
      <c r="FC5" s="63" t="s">
        <v>1504</v>
      </c>
      <c r="FD5" s="63" t="s">
        <v>1505</v>
      </c>
      <c r="FE5" s="63" t="s">
        <v>1506</v>
      </c>
      <c r="FF5" s="63" t="s">
        <v>1507</v>
      </c>
      <c r="FG5" s="63" t="s">
        <v>127</v>
      </c>
      <c r="FH5" s="63" t="s">
        <v>128</v>
      </c>
      <c r="FI5" s="63" t="s">
        <v>129</v>
      </c>
      <c r="FJ5" s="63" t="s">
        <v>130</v>
      </c>
      <c r="FK5" s="63" t="s">
        <v>131</v>
      </c>
      <c r="FL5" s="63" t="s">
        <v>132</v>
      </c>
      <c r="FM5" s="63" t="s">
        <v>133</v>
      </c>
      <c r="FN5" s="63" t="s">
        <v>134</v>
      </c>
      <c r="FO5" s="63" t="s">
        <v>135</v>
      </c>
      <c r="FP5" s="63" t="s">
        <v>136</v>
      </c>
      <c r="FQ5" s="63" t="s">
        <v>137</v>
      </c>
      <c r="FR5" s="63" t="s">
        <v>138</v>
      </c>
      <c r="FS5" s="63" t="s">
        <v>139</v>
      </c>
      <c r="FT5" s="63" t="s">
        <v>140</v>
      </c>
      <c r="FU5" s="63" t="s">
        <v>13</v>
      </c>
      <c r="FV5" s="63" t="s">
        <v>2619</v>
      </c>
      <c r="FW5" s="63" t="s">
        <v>2620</v>
      </c>
      <c r="FX5" s="63" t="s">
        <v>2621</v>
      </c>
      <c r="FY5" s="63" t="s">
        <v>2622</v>
      </c>
      <c r="FZ5" s="63" t="s">
        <v>2623</v>
      </c>
      <c r="GA5" s="63" t="s">
        <v>2624</v>
      </c>
      <c r="GB5" s="63" t="s">
        <v>2625</v>
      </c>
      <c r="GC5" s="63" t="s">
        <v>2626</v>
      </c>
      <c r="GD5" s="63" t="s">
        <v>2627</v>
      </c>
      <c r="GE5" s="63" t="s">
        <v>2628</v>
      </c>
      <c r="GF5" s="63" t="s">
        <v>2629</v>
      </c>
      <c r="GG5" s="63" t="s">
        <v>2630</v>
      </c>
      <c r="GH5" s="63" t="s">
        <v>2631</v>
      </c>
      <c r="GI5" s="63" t="s">
        <v>2632</v>
      </c>
      <c r="GJ5" s="63" t="s">
        <v>2633</v>
      </c>
      <c r="GK5" s="63" t="s">
        <v>1508</v>
      </c>
      <c r="GL5" s="63" t="s">
        <v>1509</v>
      </c>
      <c r="GM5" s="63" t="s">
        <v>1510</v>
      </c>
      <c r="GN5" s="63" t="s">
        <v>1511</v>
      </c>
      <c r="GO5" s="63" t="s">
        <v>141</v>
      </c>
      <c r="GP5" s="63" t="s">
        <v>142</v>
      </c>
      <c r="GQ5" s="63" t="s">
        <v>143</v>
      </c>
      <c r="GR5" s="63" t="s">
        <v>144</v>
      </c>
      <c r="GS5" s="63" t="s">
        <v>145</v>
      </c>
      <c r="GT5" s="63" t="s">
        <v>146</v>
      </c>
      <c r="GU5" s="63" t="s">
        <v>147</v>
      </c>
      <c r="GV5" s="63" t="s">
        <v>148</v>
      </c>
      <c r="GW5" s="63" t="s">
        <v>149</v>
      </c>
      <c r="GX5" s="63" t="s">
        <v>150</v>
      </c>
      <c r="GY5" s="63" t="s">
        <v>151</v>
      </c>
      <c r="GZ5" s="63" t="s">
        <v>14</v>
      </c>
      <c r="HA5" s="63" t="s">
        <v>2634</v>
      </c>
      <c r="HB5" s="63" t="s">
        <v>2635</v>
      </c>
      <c r="HC5" s="63" t="s">
        <v>2636</v>
      </c>
      <c r="HD5" s="63" t="s">
        <v>2637</v>
      </c>
      <c r="HE5" s="63" t="s">
        <v>2638</v>
      </c>
      <c r="HF5" s="63" t="s">
        <v>2639</v>
      </c>
      <c r="HG5" s="63" t="s">
        <v>2640</v>
      </c>
      <c r="HH5" s="63" t="s">
        <v>2641</v>
      </c>
      <c r="HI5" s="63" t="s">
        <v>2642</v>
      </c>
      <c r="HJ5" s="63" t="s">
        <v>2643</v>
      </c>
      <c r="HK5" s="63" t="s">
        <v>2644</v>
      </c>
      <c r="HL5" s="63" t="s">
        <v>2645</v>
      </c>
      <c r="HM5" s="63" t="s">
        <v>1512</v>
      </c>
      <c r="HN5" s="63" t="s">
        <v>1513</v>
      </c>
      <c r="HO5" s="63" t="s">
        <v>1514</v>
      </c>
      <c r="HP5" s="63" t="s">
        <v>1515</v>
      </c>
      <c r="HQ5" s="63" t="s">
        <v>1516</v>
      </c>
      <c r="HR5" s="63" t="s">
        <v>1517</v>
      </c>
      <c r="HS5" s="63" t="s">
        <v>152</v>
      </c>
      <c r="HT5" s="63" t="s">
        <v>153</v>
      </c>
      <c r="HU5" s="63" t="s">
        <v>154</v>
      </c>
      <c r="HV5" s="63" t="s">
        <v>155</v>
      </c>
      <c r="HW5" s="63" t="s">
        <v>156</v>
      </c>
      <c r="HX5" s="63" t="s">
        <v>157</v>
      </c>
      <c r="HY5" s="63" t="s">
        <v>158</v>
      </c>
      <c r="HZ5" s="63" t="s">
        <v>159</v>
      </c>
      <c r="IA5" s="63" t="s">
        <v>160</v>
      </c>
      <c r="IB5" s="63" t="s">
        <v>161</v>
      </c>
      <c r="IC5" s="63" t="s">
        <v>162</v>
      </c>
      <c r="ID5" s="63" t="s">
        <v>163</v>
      </c>
      <c r="IE5" s="63" t="s">
        <v>15</v>
      </c>
      <c r="IF5" s="63" t="s">
        <v>2646</v>
      </c>
      <c r="IG5" s="63" t="s">
        <v>2647</v>
      </c>
      <c r="IH5" s="63" t="s">
        <v>2648</v>
      </c>
      <c r="II5" s="63" t="s">
        <v>2649</v>
      </c>
      <c r="IJ5" s="63" t="s">
        <v>2650</v>
      </c>
      <c r="IK5" s="63" t="s">
        <v>2651</v>
      </c>
      <c r="IL5" s="63" t="s">
        <v>2652</v>
      </c>
      <c r="IM5" s="63" t="s">
        <v>2653</v>
      </c>
      <c r="IN5" s="63" t="s">
        <v>2654</v>
      </c>
      <c r="IO5" s="63" t="s">
        <v>2655</v>
      </c>
      <c r="IP5" s="63" t="s">
        <v>2656</v>
      </c>
      <c r="IQ5" s="63" t="s">
        <v>2657</v>
      </c>
      <c r="IR5" s="63" t="s">
        <v>2658</v>
      </c>
      <c r="IS5" s="63" t="s">
        <v>2659</v>
      </c>
      <c r="IT5" s="63" t="s">
        <v>2660</v>
      </c>
      <c r="IU5" s="63" t="s">
        <v>2661</v>
      </c>
      <c r="IV5" s="63" t="s">
        <v>2662</v>
      </c>
      <c r="IW5" s="63" t="s">
        <v>2663</v>
      </c>
      <c r="IX5" s="63" t="s">
        <v>2664</v>
      </c>
      <c r="IY5" s="63" t="s">
        <v>1518</v>
      </c>
      <c r="IZ5" s="63" t="s">
        <v>1519</v>
      </c>
      <c r="JA5" s="63" t="s">
        <v>1520</v>
      </c>
      <c r="JB5" s="63" t="s">
        <v>164</v>
      </c>
      <c r="JC5" s="63" t="s">
        <v>165</v>
      </c>
      <c r="JD5" s="63" t="s">
        <v>166</v>
      </c>
      <c r="JE5" s="63" t="s">
        <v>167</v>
      </c>
      <c r="JF5" s="63" t="s">
        <v>168</v>
      </c>
      <c r="JG5" s="63" t="s">
        <v>169</v>
      </c>
      <c r="JH5" s="63" t="s">
        <v>170</v>
      </c>
      <c r="JI5" s="63" t="s">
        <v>171</v>
      </c>
      <c r="JJ5" s="63" t="s">
        <v>16</v>
      </c>
      <c r="JK5" s="63" t="s">
        <v>2665</v>
      </c>
      <c r="JL5" s="63" t="s">
        <v>2666</v>
      </c>
      <c r="JM5" s="63" t="s">
        <v>2667</v>
      </c>
      <c r="JN5" s="63" t="s">
        <v>2668</v>
      </c>
      <c r="JO5" s="63" t="s">
        <v>2669</v>
      </c>
      <c r="JP5" s="63" t="s">
        <v>2670</v>
      </c>
      <c r="JQ5" s="63" t="s">
        <v>2671</v>
      </c>
      <c r="JR5" s="63" t="s">
        <v>2672</v>
      </c>
      <c r="JS5" s="63" t="s">
        <v>2673</v>
      </c>
      <c r="JT5" s="63" t="s">
        <v>2674</v>
      </c>
      <c r="JU5" s="63" t="s">
        <v>2675</v>
      </c>
      <c r="JV5" s="63" t="s">
        <v>2676</v>
      </c>
      <c r="JW5" s="63" t="s">
        <v>2677</v>
      </c>
      <c r="JX5" s="63" t="s">
        <v>2678</v>
      </c>
      <c r="JY5" s="63" t="s">
        <v>2679</v>
      </c>
      <c r="JZ5" s="63" t="s">
        <v>1521</v>
      </c>
      <c r="KA5" s="63" t="s">
        <v>1522</v>
      </c>
      <c r="KB5" s="63" t="s">
        <v>1523</v>
      </c>
      <c r="KC5" s="63" t="s">
        <v>1524</v>
      </c>
      <c r="KD5" s="63" t="s">
        <v>1525</v>
      </c>
      <c r="KE5" s="63" t="s">
        <v>1526</v>
      </c>
      <c r="KF5" s="63" t="s">
        <v>1527</v>
      </c>
      <c r="KG5" s="63" t="s">
        <v>172</v>
      </c>
      <c r="KH5" s="63" t="s">
        <v>173</v>
      </c>
      <c r="KI5" s="63" t="s">
        <v>174</v>
      </c>
      <c r="KJ5" s="63" t="s">
        <v>175</v>
      </c>
      <c r="KK5" s="63" t="s">
        <v>176</v>
      </c>
      <c r="KL5" s="63" t="s">
        <v>177</v>
      </c>
      <c r="KM5" s="63" t="s">
        <v>178</v>
      </c>
      <c r="KN5" s="63" t="s">
        <v>179</v>
      </c>
      <c r="KO5" s="63" t="s">
        <v>17</v>
      </c>
      <c r="KP5" s="63" t="s">
        <v>2680</v>
      </c>
      <c r="KQ5" s="63" t="s">
        <v>2681</v>
      </c>
      <c r="KR5" s="63" t="s">
        <v>2682</v>
      </c>
      <c r="KS5" s="63" t="s">
        <v>2683</v>
      </c>
      <c r="KT5" s="63" t="s">
        <v>2684</v>
      </c>
      <c r="KU5" s="63" t="s">
        <v>2685</v>
      </c>
      <c r="KV5" s="63" t="s">
        <v>2686</v>
      </c>
      <c r="KW5" s="63" t="s">
        <v>2687</v>
      </c>
      <c r="KX5" s="63" t="s">
        <v>2688</v>
      </c>
      <c r="KY5" s="63" t="s">
        <v>2689</v>
      </c>
      <c r="KZ5" s="63" t="s">
        <v>2690</v>
      </c>
      <c r="LA5" s="63" t="s">
        <v>2691</v>
      </c>
      <c r="LB5" s="63" t="s">
        <v>1528</v>
      </c>
      <c r="LC5" s="63" t="s">
        <v>1529</v>
      </c>
      <c r="LD5" s="63" t="s">
        <v>1530</v>
      </c>
      <c r="LE5" s="63" t="s">
        <v>1531</v>
      </c>
      <c r="LF5" s="63" t="s">
        <v>1532</v>
      </c>
      <c r="LG5" s="63" t="s">
        <v>1533</v>
      </c>
      <c r="LH5" s="63" t="s">
        <v>1534</v>
      </c>
      <c r="LI5" s="63" t="s">
        <v>180</v>
      </c>
      <c r="LJ5" s="63" t="s">
        <v>181</v>
      </c>
      <c r="LK5" s="63" t="s">
        <v>182</v>
      </c>
      <c r="LL5" s="63" t="s">
        <v>183</v>
      </c>
      <c r="LM5" s="63" t="s">
        <v>184</v>
      </c>
      <c r="LN5" s="63" t="s">
        <v>185</v>
      </c>
      <c r="LO5" s="63" t="s">
        <v>186</v>
      </c>
      <c r="LP5" s="63" t="s">
        <v>187</v>
      </c>
      <c r="LQ5" s="63" t="s">
        <v>188</v>
      </c>
      <c r="LR5" s="63" t="s">
        <v>189</v>
      </c>
      <c r="LS5" s="63" t="s">
        <v>190</v>
      </c>
      <c r="LT5" s="63" t="s">
        <v>18</v>
      </c>
      <c r="LU5" s="63" t="s">
        <v>2692</v>
      </c>
      <c r="LV5" s="63" t="s">
        <v>2693</v>
      </c>
      <c r="LW5" s="63" t="s">
        <v>2694</v>
      </c>
      <c r="LX5" s="63" t="s">
        <v>2695</v>
      </c>
      <c r="LY5" s="63" t="s">
        <v>2696</v>
      </c>
      <c r="LZ5" s="63" t="s">
        <v>2697</v>
      </c>
      <c r="MA5" s="63" t="s">
        <v>2698</v>
      </c>
      <c r="MB5" s="63" t="s">
        <v>2699</v>
      </c>
      <c r="MC5" s="63" t="s">
        <v>2700</v>
      </c>
      <c r="MD5" s="63" t="s">
        <v>2701</v>
      </c>
      <c r="ME5" s="63" t="s">
        <v>2702</v>
      </c>
      <c r="MF5" s="63" t="s">
        <v>2703</v>
      </c>
      <c r="MG5" s="63" t="s">
        <v>1535</v>
      </c>
      <c r="MH5" s="63" t="s">
        <v>1536</v>
      </c>
      <c r="MI5" s="63" t="s">
        <v>1537</v>
      </c>
      <c r="MJ5" s="63" t="s">
        <v>1538</v>
      </c>
      <c r="MK5" s="63" t="s">
        <v>1539</v>
      </c>
      <c r="ML5" s="63" t="s">
        <v>191</v>
      </c>
      <c r="MM5" s="63" t="s">
        <v>192</v>
      </c>
      <c r="MN5" s="63" t="s">
        <v>193</v>
      </c>
      <c r="MO5" s="63" t="s">
        <v>194</v>
      </c>
      <c r="MP5" s="63" t="s">
        <v>195</v>
      </c>
      <c r="MQ5" s="63" t="s">
        <v>196</v>
      </c>
      <c r="MR5" s="63" t="s">
        <v>197</v>
      </c>
      <c r="MS5" s="63" t="s">
        <v>198</v>
      </c>
      <c r="MT5" s="63" t="s">
        <v>199</v>
      </c>
      <c r="MU5" s="63" t="s">
        <v>200</v>
      </c>
      <c r="MV5" s="63" t="s">
        <v>201</v>
      </c>
      <c r="MW5" s="63" t="s">
        <v>202</v>
      </c>
      <c r="MX5" s="63" t="s">
        <v>203</v>
      </c>
      <c r="MY5" s="63" t="s">
        <v>19</v>
      </c>
      <c r="MZ5" s="63" t="s">
        <v>2704</v>
      </c>
      <c r="NA5" s="63" t="s">
        <v>2705</v>
      </c>
      <c r="NB5" s="63" t="s">
        <v>2706</v>
      </c>
      <c r="NC5" s="63" t="s">
        <v>2707</v>
      </c>
      <c r="ND5" s="63" t="s">
        <v>2708</v>
      </c>
      <c r="NE5" s="63" t="s">
        <v>2709</v>
      </c>
      <c r="NF5" s="63" t="s">
        <v>2710</v>
      </c>
      <c r="NG5" s="63" t="s">
        <v>2711</v>
      </c>
      <c r="NH5" s="63" t="s">
        <v>2712</v>
      </c>
      <c r="NI5" s="63" t="s">
        <v>2713</v>
      </c>
      <c r="NJ5" s="63" t="s">
        <v>2714</v>
      </c>
      <c r="NK5" s="63" t="s">
        <v>2715</v>
      </c>
      <c r="NL5" s="63" t="s">
        <v>2716</v>
      </c>
      <c r="NM5" s="63" t="s">
        <v>2717</v>
      </c>
      <c r="NN5" s="63" t="s">
        <v>1540</v>
      </c>
      <c r="NO5" s="63" t="s">
        <v>1541</v>
      </c>
      <c r="NP5" s="63" t="s">
        <v>1542</v>
      </c>
      <c r="NQ5" s="63" t="s">
        <v>1543</v>
      </c>
      <c r="NR5" s="63" t="s">
        <v>1544</v>
      </c>
      <c r="NS5" s="63" t="s">
        <v>1545</v>
      </c>
      <c r="NT5" s="63" t="s">
        <v>1546</v>
      </c>
      <c r="NU5" s="63" t="s">
        <v>204</v>
      </c>
      <c r="NV5" s="63" t="s">
        <v>205</v>
      </c>
      <c r="NW5" s="63" t="s">
        <v>206</v>
      </c>
      <c r="NX5" s="63" t="s">
        <v>207</v>
      </c>
      <c r="NY5" s="63" t="s">
        <v>208</v>
      </c>
      <c r="NZ5" s="63" t="s">
        <v>209</v>
      </c>
      <c r="OA5" s="63" t="s">
        <v>210</v>
      </c>
      <c r="OB5" s="63" t="s">
        <v>211</v>
      </c>
      <c r="OC5" s="63" t="s">
        <v>212</v>
      </c>
      <c r="OD5" s="63" t="s">
        <v>20</v>
      </c>
      <c r="OE5" s="63" t="s">
        <v>2718</v>
      </c>
      <c r="OF5" s="63" t="s">
        <v>2719</v>
      </c>
      <c r="OG5" s="63" t="s">
        <v>2720</v>
      </c>
      <c r="OH5" s="63" t="s">
        <v>2721</v>
      </c>
      <c r="OI5" s="63" t="s">
        <v>2722</v>
      </c>
      <c r="OJ5" s="63" t="s">
        <v>2723</v>
      </c>
      <c r="OK5" s="63" t="s">
        <v>2724</v>
      </c>
      <c r="OL5" s="63" t="s">
        <v>2725</v>
      </c>
      <c r="OM5" s="63" t="s">
        <v>2726</v>
      </c>
      <c r="ON5" s="63" t="s">
        <v>2727</v>
      </c>
      <c r="OO5" s="63" t="s">
        <v>2728</v>
      </c>
      <c r="OP5" s="63" t="s">
        <v>2729</v>
      </c>
      <c r="OQ5" s="63" t="s">
        <v>2730</v>
      </c>
      <c r="OR5" s="63" t="s">
        <v>2731</v>
      </c>
      <c r="OS5" s="63" t="s">
        <v>2732</v>
      </c>
      <c r="OT5" s="63" t="s">
        <v>1547</v>
      </c>
      <c r="OU5" s="63" t="s">
        <v>1548</v>
      </c>
      <c r="OV5" s="63" t="s">
        <v>1549</v>
      </c>
      <c r="OW5" s="63" t="s">
        <v>213</v>
      </c>
      <c r="OX5" s="63" t="s">
        <v>214</v>
      </c>
      <c r="OY5" s="63" t="s">
        <v>215</v>
      </c>
      <c r="OZ5" s="63" t="s">
        <v>216</v>
      </c>
      <c r="PA5" s="63" t="s">
        <v>217</v>
      </c>
      <c r="PB5" s="63" t="s">
        <v>218</v>
      </c>
      <c r="PC5" s="63" t="s">
        <v>219</v>
      </c>
      <c r="PD5" s="63" t="s">
        <v>220</v>
      </c>
      <c r="PE5" s="63" t="s">
        <v>221</v>
      </c>
      <c r="PF5" s="63" t="s">
        <v>222</v>
      </c>
      <c r="PG5" s="63" t="s">
        <v>223</v>
      </c>
      <c r="PH5" s="63" t="s">
        <v>224</v>
      </c>
      <c r="PI5" s="63" t="s">
        <v>21</v>
      </c>
      <c r="PJ5" s="63" t="s">
        <v>2733</v>
      </c>
      <c r="PK5" s="63" t="s">
        <v>2734</v>
      </c>
      <c r="PL5" s="63" t="s">
        <v>2735</v>
      </c>
      <c r="PM5" s="63" t="s">
        <v>2736</v>
      </c>
      <c r="PN5" s="63" t="s">
        <v>2737</v>
      </c>
      <c r="PO5" s="63" t="s">
        <v>2738</v>
      </c>
      <c r="PP5" s="63" t="s">
        <v>2739</v>
      </c>
      <c r="PQ5" s="63" t="s">
        <v>2740</v>
      </c>
      <c r="PR5" s="63" t="s">
        <v>2741</v>
      </c>
      <c r="PS5" s="63" t="s">
        <v>2742</v>
      </c>
      <c r="PT5" s="63" t="s">
        <v>2743</v>
      </c>
      <c r="PU5" s="63" t="s">
        <v>2744</v>
      </c>
      <c r="PV5" s="63" t="s">
        <v>2745</v>
      </c>
      <c r="PW5" s="63" t="s">
        <v>2746</v>
      </c>
      <c r="PX5" s="63" t="s">
        <v>2747</v>
      </c>
      <c r="PY5" s="63" t="s">
        <v>2748</v>
      </c>
      <c r="PZ5" s="63" t="s">
        <v>1550</v>
      </c>
      <c r="QA5" s="63" t="s">
        <v>1551</v>
      </c>
      <c r="QB5" s="63" t="s">
        <v>1552</v>
      </c>
      <c r="QC5" s="63" t="s">
        <v>1553</v>
      </c>
      <c r="QD5" s="63" t="s">
        <v>1554</v>
      </c>
      <c r="QE5" s="63" t="s">
        <v>225</v>
      </c>
      <c r="QF5" s="63" t="s">
        <v>226</v>
      </c>
      <c r="QG5" s="63" t="s">
        <v>227</v>
      </c>
      <c r="QH5" s="63" t="s">
        <v>228</v>
      </c>
      <c r="QI5" s="63" t="s">
        <v>229</v>
      </c>
      <c r="QJ5" s="63" t="s">
        <v>230</v>
      </c>
      <c r="QK5" s="63" t="s">
        <v>231</v>
      </c>
      <c r="QL5" s="63" t="s">
        <v>232</v>
      </c>
      <c r="QM5" s="63" t="s">
        <v>233</v>
      </c>
      <c r="QN5" s="63" t="s">
        <v>22</v>
      </c>
      <c r="QO5" s="63" t="s">
        <v>2749</v>
      </c>
      <c r="QP5" s="63" t="s">
        <v>2750</v>
      </c>
      <c r="QQ5" s="63" t="s">
        <v>2751</v>
      </c>
      <c r="QR5" s="63" t="s">
        <v>2752</v>
      </c>
      <c r="QS5" s="63" t="s">
        <v>2753</v>
      </c>
      <c r="QT5" s="63" t="s">
        <v>2754</v>
      </c>
      <c r="QU5" s="63" t="s">
        <v>2755</v>
      </c>
      <c r="QV5" s="63" t="s">
        <v>2756</v>
      </c>
      <c r="QW5" s="63" t="s">
        <v>2757</v>
      </c>
      <c r="QX5" s="63" t="s">
        <v>2758</v>
      </c>
      <c r="QY5" s="63" t="s">
        <v>2759</v>
      </c>
      <c r="QZ5" s="63" t="s">
        <v>2760</v>
      </c>
      <c r="RA5" s="63" t="s">
        <v>1555</v>
      </c>
      <c r="RB5" s="63" t="s">
        <v>1556</v>
      </c>
      <c r="RC5" s="63" t="s">
        <v>1557</v>
      </c>
      <c r="RD5" s="63" t="s">
        <v>1558</v>
      </c>
      <c r="RE5" s="63" t="s">
        <v>1559</v>
      </c>
      <c r="RF5" s="63" t="s">
        <v>1560</v>
      </c>
      <c r="RG5" s="63" t="s">
        <v>1561</v>
      </c>
      <c r="RH5" s="63" t="s">
        <v>1562</v>
      </c>
      <c r="RI5" s="63" t="s">
        <v>1563</v>
      </c>
      <c r="RJ5" s="63" t="s">
        <v>1564</v>
      </c>
      <c r="RK5" s="63" t="s">
        <v>234</v>
      </c>
      <c r="RL5" s="63" t="s">
        <v>235</v>
      </c>
      <c r="RM5" s="63" t="s">
        <v>236</v>
      </c>
      <c r="RN5" s="63" t="s">
        <v>237</v>
      </c>
      <c r="RO5" s="63" t="s">
        <v>238</v>
      </c>
      <c r="RP5" s="63" t="s">
        <v>239</v>
      </c>
      <c r="RQ5" s="63" t="s">
        <v>240</v>
      </c>
      <c r="RR5" s="63" t="s">
        <v>241</v>
      </c>
      <c r="RS5" s="63" t="s">
        <v>23</v>
      </c>
      <c r="RT5" s="63" t="s">
        <v>2761</v>
      </c>
      <c r="RU5" s="63" t="s">
        <v>2762</v>
      </c>
      <c r="RV5" s="63" t="s">
        <v>2763</v>
      </c>
      <c r="RW5" s="63" t="s">
        <v>2764</v>
      </c>
      <c r="RX5" s="63" t="s">
        <v>2765</v>
      </c>
      <c r="RY5" s="63" t="s">
        <v>2766</v>
      </c>
      <c r="RZ5" s="63" t="s">
        <v>2767</v>
      </c>
      <c r="SA5" s="63" t="s">
        <v>2768</v>
      </c>
      <c r="SB5" s="63" t="s">
        <v>2769</v>
      </c>
      <c r="SC5" s="63" t="s">
        <v>2770</v>
      </c>
      <c r="SD5" s="63" t="s">
        <v>2771</v>
      </c>
      <c r="SE5" s="63" t="s">
        <v>2772</v>
      </c>
      <c r="SF5" s="63" t="s">
        <v>2773</v>
      </c>
      <c r="SG5" s="63" t="s">
        <v>2774</v>
      </c>
      <c r="SH5" s="63" t="s">
        <v>2775</v>
      </c>
      <c r="SI5" s="63" t="s">
        <v>1565</v>
      </c>
      <c r="SJ5" s="63" t="s">
        <v>1566</v>
      </c>
      <c r="SK5" s="63" t="s">
        <v>1567</v>
      </c>
      <c r="SL5" s="63" t="s">
        <v>1568</v>
      </c>
      <c r="SM5" s="63" t="s">
        <v>1569</v>
      </c>
      <c r="SN5" s="63" t="s">
        <v>1570</v>
      </c>
      <c r="SO5" s="63" t="s">
        <v>1571</v>
      </c>
      <c r="SP5" s="63" t="s">
        <v>1572</v>
      </c>
      <c r="SQ5" s="63" t="s">
        <v>1573</v>
      </c>
      <c r="SR5" s="63" t="s">
        <v>1574</v>
      </c>
      <c r="SS5" s="63" t="s">
        <v>242</v>
      </c>
      <c r="ST5" s="63" t="s">
        <v>243</v>
      </c>
      <c r="SU5" s="63" t="s">
        <v>244</v>
      </c>
      <c r="SV5" s="63" t="s">
        <v>245</v>
      </c>
      <c r="SW5" s="63" t="s">
        <v>246</v>
      </c>
      <c r="SX5" s="63" t="s">
        <v>24</v>
      </c>
      <c r="SY5" s="63" t="s">
        <v>2776</v>
      </c>
      <c r="SZ5" s="63" t="s">
        <v>2777</v>
      </c>
      <c r="TA5" s="63" t="s">
        <v>2778</v>
      </c>
      <c r="TB5" s="63" t="s">
        <v>2998</v>
      </c>
      <c r="TC5" s="63" t="s">
        <v>2779</v>
      </c>
      <c r="TD5" s="63" t="s">
        <v>2780</v>
      </c>
      <c r="TE5" s="63" t="s">
        <v>2781</v>
      </c>
      <c r="TF5" s="63" t="s">
        <v>2782</v>
      </c>
      <c r="TG5" s="63" t="s">
        <v>2783</v>
      </c>
      <c r="TH5" s="63" t="s">
        <v>2784</v>
      </c>
      <c r="TI5" s="63" t="s">
        <v>2785</v>
      </c>
      <c r="TJ5" s="63" t="s">
        <v>2786</v>
      </c>
      <c r="TK5" s="63" t="s">
        <v>2787</v>
      </c>
      <c r="TL5" s="63" t="s">
        <v>1575</v>
      </c>
      <c r="TM5" s="63" t="s">
        <v>1576</v>
      </c>
      <c r="TN5" s="63" t="s">
        <v>1577</v>
      </c>
      <c r="TO5" s="63" t="s">
        <v>247</v>
      </c>
      <c r="TP5" s="63" t="s">
        <v>248</v>
      </c>
      <c r="TQ5" s="63" t="s">
        <v>249</v>
      </c>
      <c r="TR5" s="63" t="s">
        <v>250</v>
      </c>
      <c r="TS5" s="63" t="s">
        <v>251</v>
      </c>
      <c r="TT5" s="63" t="s">
        <v>252</v>
      </c>
      <c r="TU5" s="63" t="s">
        <v>253</v>
      </c>
      <c r="TV5" s="63" t="s">
        <v>254</v>
      </c>
      <c r="TW5" s="63" t="s">
        <v>255</v>
      </c>
      <c r="TX5" s="63" t="s">
        <v>256</v>
      </c>
      <c r="TY5" s="63" t="s">
        <v>257</v>
      </c>
      <c r="TZ5" s="63" t="s">
        <v>258</v>
      </c>
      <c r="UA5" s="63" t="s">
        <v>259</v>
      </c>
      <c r="UB5" s="63" t="s">
        <v>260</v>
      </c>
      <c r="UC5" s="63" t="s">
        <v>2979</v>
      </c>
      <c r="UD5" s="63" t="s">
        <v>1578</v>
      </c>
      <c r="UE5" s="63" t="s">
        <v>1579</v>
      </c>
      <c r="UF5" s="63" t="s">
        <v>2980</v>
      </c>
      <c r="UG5" s="63" t="s">
        <v>2981</v>
      </c>
      <c r="UH5" s="63" t="s">
        <v>2982</v>
      </c>
      <c r="UI5" s="63" t="s">
        <v>2983</v>
      </c>
      <c r="UJ5" s="63" t="s">
        <v>2984</v>
      </c>
      <c r="UK5" s="63" t="s">
        <v>1580</v>
      </c>
      <c r="UL5" s="63" t="s">
        <v>1581</v>
      </c>
      <c r="UM5" s="63" t="s">
        <v>1582</v>
      </c>
      <c r="UN5" s="63" t="s">
        <v>1583</v>
      </c>
      <c r="UO5" s="63" t="s">
        <v>1584</v>
      </c>
      <c r="UP5" s="63" t="s">
        <v>1585</v>
      </c>
      <c r="UQ5" s="63" t="s">
        <v>1586</v>
      </c>
      <c r="UR5" s="63" t="s">
        <v>1587</v>
      </c>
      <c r="US5" s="63" t="s">
        <v>1588</v>
      </c>
      <c r="UT5" s="63" t="s">
        <v>261</v>
      </c>
      <c r="UU5" s="63" t="s">
        <v>262</v>
      </c>
      <c r="UV5" s="63" t="s">
        <v>263</v>
      </c>
      <c r="UW5" s="63" t="s">
        <v>264</v>
      </c>
      <c r="UX5" s="63" t="s">
        <v>265</v>
      </c>
      <c r="UY5" s="63" t="s">
        <v>266</v>
      </c>
      <c r="UZ5" s="63" t="s">
        <v>267</v>
      </c>
      <c r="VA5" s="63" t="s">
        <v>268</v>
      </c>
      <c r="VB5" s="63" t="s">
        <v>269</v>
      </c>
      <c r="VC5" s="63" t="s">
        <v>270</v>
      </c>
      <c r="VD5" s="63" t="s">
        <v>271</v>
      </c>
      <c r="VE5" s="63" t="s">
        <v>272</v>
      </c>
      <c r="VF5" s="63" t="s">
        <v>273</v>
      </c>
      <c r="VG5" s="63" t="s">
        <v>274</v>
      </c>
      <c r="VH5" s="63" t="s">
        <v>2985</v>
      </c>
      <c r="VI5" s="63" t="s">
        <v>1589</v>
      </c>
      <c r="VJ5" s="63" t="s">
        <v>1590</v>
      </c>
      <c r="VK5" s="63" t="s">
        <v>1591</v>
      </c>
      <c r="VL5" s="63" t="s">
        <v>1592</v>
      </c>
      <c r="VM5" s="63" t="s">
        <v>2986</v>
      </c>
      <c r="VN5" s="63" t="s">
        <v>2987</v>
      </c>
      <c r="VO5" s="63" t="s">
        <v>1593</v>
      </c>
      <c r="VP5" s="63" t="s">
        <v>1594</v>
      </c>
      <c r="VQ5" s="63" t="s">
        <v>1595</v>
      </c>
      <c r="VR5" s="63" t="s">
        <v>1596</v>
      </c>
      <c r="VS5" s="63" t="s">
        <v>1597</v>
      </c>
      <c r="VT5" s="63" t="s">
        <v>1598</v>
      </c>
      <c r="VU5" s="63" t="s">
        <v>1599</v>
      </c>
      <c r="VV5" s="63" t="s">
        <v>1600</v>
      </c>
      <c r="VW5" s="63" t="s">
        <v>1601</v>
      </c>
      <c r="VX5" s="63" t="s">
        <v>1602</v>
      </c>
      <c r="VY5" s="63" t="s">
        <v>1603</v>
      </c>
      <c r="VZ5" s="63" t="s">
        <v>275</v>
      </c>
      <c r="WA5" s="63" t="s">
        <v>276</v>
      </c>
      <c r="WB5" s="63" t="s">
        <v>277</v>
      </c>
      <c r="WC5" s="63" t="s">
        <v>278</v>
      </c>
      <c r="WD5" s="63" t="s">
        <v>279</v>
      </c>
      <c r="WE5" s="63" t="s">
        <v>280</v>
      </c>
      <c r="WF5" s="63" t="s">
        <v>281</v>
      </c>
      <c r="WG5" s="63" t="s">
        <v>282</v>
      </c>
      <c r="WH5" s="63" t="s">
        <v>283</v>
      </c>
      <c r="WI5" s="63" t="s">
        <v>284</v>
      </c>
      <c r="WJ5" s="63" t="s">
        <v>285</v>
      </c>
      <c r="WK5" s="63" t="s">
        <v>286</v>
      </c>
      <c r="WL5" s="63" t="s">
        <v>287</v>
      </c>
      <c r="WM5" s="63" t="s">
        <v>25</v>
      </c>
      <c r="WN5" s="63" t="s">
        <v>2788</v>
      </c>
      <c r="WO5" s="63" t="s">
        <v>2789</v>
      </c>
      <c r="WP5" s="63" t="s">
        <v>2790</v>
      </c>
      <c r="WQ5" s="63" t="s">
        <v>2791</v>
      </c>
      <c r="WR5" s="63" t="s">
        <v>2792</v>
      </c>
      <c r="WS5" s="63" t="s">
        <v>2793</v>
      </c>
      <c r="WT5" s="63" t="s">
        <v>2794</v>
      </c>
      <c r="WU5" s="63" t="s">
        <v>2795</v>
      </c>
      <c r="WV5" s="63" t="s">
        <v>2796</v>
      </c>
      <c r="WW5" s="63" t="s">
        <v>2797</v>
      </c>
      <c r="WX5" s="63" t="s">
        <v>2798</v>
      </c>
      <c r="WY5" s="63" t="s">
        <v>2799</v>
      </c>
      <c r="WZ5" s="63" t="s">
        <v>2800</v>
      </c>
      <c r="XA5" s="63" t="s">
        <v>2801</v>
      </c>
      <c r="XB5" s="63" t="s">
        <v>2802</v>
      </c>
      <c r="XC5" s="63" t="s">
        <v>2803</v>
      </c>
      <c r="XD5" s="63" t="s">
        <v>1604</v>
      </c>
      <c r="XE5" s="63" t="s">
        <v>1605</v>
      </c>
      <c r="XF5" s="63" t="s">
        <v>1606</v>
      </c>
      <c r="XG5" s="63" t="s">
        <v>288</v>
      </c>
      <c r="XH5" s="63" t="s">
        <v>289</v>
      </c>
      <c r="XI5" s="63" t="s">
        <v>290</v>
      </c>
      <c r="XJ5" s="63" t="s">
        <v>291</v>
      </c>
      <c r="XK5" s="63" t="s">
        <v>292</v>
      </c>
      <c r="XL5" s="63" t="s">
        <v>293</v>
      </c>
      <c r="XM5" s="63" t="s">
        <v>294</v>
      </c>
      <c r="XN5" s="63" t="s">
        <v>295</v>
      </c>
      <c r="XO5" s="63" t="s">
        <v>296</v>
      </c>
      <c r="XP5" s="63" t="s">
        <v>297</v>
      </c>
      <c r="XQ5" s="63" t="s">
        <v>298</v>
      </c>
      <c r="XR5" s="63" t="s">
        <v>26</v>
      </c>
      <c r="XS5" s="63" t="s">
        <v>2804</v>
      </c>
      <c r="XT5" s="63" t="s">
        <v>2805</v>
      </c>
      <c r="XU5" s="63" t="s">
        <v>2806</v>
      </c>
      <c r="XV5" s="63" t="s">
        <v>2807</v>
      </c>
      <c r="XW5" s="63" t="s">
        <v>2808</v>
      </c>
      <c r="XX5" s="63" t="s">
        <v>2809</v>
      </c>
      <c r="XY5" s="63" t="s">
        <v>2810</v>
      </c>
      <c r="XZ5" s="63" t="s">
        <v>2811</v>
      </c>
      <c r="YA5" s="63" t="s">
        <v>2812</v>
      </c>
      <c r="YB5" s="63" t="s">
        <v>2813</v>
      </c>
      <c r="YC5" s="63" t="s">
        <v>2814</v>
      </c>
      <c r="YD5" s="63" t="s">
        <v>2815</v>
      </c>
      <c r="YE5" s="63" t="s">
        <v>2816</v>
      </c>
      <c r="YF5" s="63" t="s">
        <v>2817</v>
      </c>
      <c r="YG5" s="63" t="s">
        <v>2818</v>
      </c>
      <c r="YH5" s="63" t="s">
        <v>2819</v>
      </c>
      <c r="YI5" s="63" t="s">
        <v>2820</v>
      </c>
      <c r="YJ5" s="63" t="s">
        <v>2821</v>
      </c>
      <c r="YK5" s="63" t="s">
        <v>2822</v>
      </c>
      <c r="YL5" s="63" t="s">
        <v>2823</v>
      </c>
      <c r="YM5" s="63" t="s">
        <v>2824</v>
      </c>
      <c r="YN5" s="63" t="s">
        <v>2825</v>
      </c>
      <c r="YO5" s="63" t="s">
        <v>2826</v>
      </c>
      <c r="YP5" s="63" t="s">
        <v>2827</v>
      </c>
      <c r="YQ5" s="63" t="s">
        <v>2828</v>
      </c>
      <c r="YR5" s="63" t="s">
        <v>2829</v>
      </c>
      <c r="YS5" s="63" t="s">
        <v>2830</v>
      </c>
      <c r="YT5" s="63" t="s">
        <v>2831</v>
      </c>
      <c r="YU5" s="63" t="s">
        <v>2832</v>
      </c>
      <c r="YV5" s="63" t="s">
        <v>2833</v>
      </c>
      <c r="YW5" s="63" t="s">
        <v>27</v>
      </c>
      <c r="YX5" s="63" t="s">
        <v>2834</v>
      </c>
      <c r="YY5" s="63" t="s">
        <v>2835</v>
      </c>
      <c r="YZ5" s="63" t="s">
        <v>2836</v>
      </c>
      <c r="ZA5" s="63" t="s">
        <v>2837</v>
      </c>
      <c r="ZB5" s="63" t="s">
        <v>2838</v>
      </c>
      <c r="ZC5" s="63" t="s">
        <v>2839</v>
      </c>
      <c r="ZD5" s="63" t="s">
        <v>2840</v>
      </c>
      <c r="ZE5" s="63" t="s">
        <v>2841</v>
      </c>
      <c r="ZF5" s="63" t="s">
        <v>2842</v>
      </c>
      <c r="ZG5" s="63" t="s">
        <v>2843</v>
      </c>
      <c r="ZH5" s="63" t="s">
        <v>2844</v>
      </c>
      <c r="ZI5" s="63" t="s">
        <v>2845</v>
      </c>
      <c r="ZJ5" s="63" t="s">
        <v>2846</v>
      </c>
      <c r="ZK5" s="63" t="s">
        <v>2847</v>
      </c>
      <c r="ZL5" s="63" t="s">
        <v>2848</v>
      </c>
      <c r="ZM5" s="63" t="s">
        <v>2849</v>
      </c>
      <c r="ZN5" s="63" t="s">
        <v>2850</v>
      </c>
      <c r="ZO5" s="63" t="s">
        <v>299</v>
      </c>
      <c r="ZP5" s="63" t="s">
        <v>300</v>
      </c>
      <c r="ZQ5" s="63" t="s">
        <v>301</v>
      </c>
      <c r="ZR5" s="63" t="s">
        <v>302</v>
      </c>
      <c r="ZS5" s="63" t="s">
        <v>303</v>
      </c>
      <c r="ZT5" s="63" t="s">
        <v>304</v>
      </c>
      <c r="ZU5" s="63" t="s">
        <v>305</v>
      </c>
      <c r="ZV5" s="63" t="s">
        <v>306</v>
      </c>
      <c r="ZW5" s="63" t="s">
        <v>307</v>
      </c>
      <c r="ZX5" s="63" t="s">
        <v>308</v>
      </c>
      <c r="ZY5" s="63" t="s">
        <v>309</v>
      </c>
      <c r="ZZ5" s="63" t="s">
        <v>310</v>
      </c>
      <c r="AAA5" s="63" t="s">
        <v>311</v>
      </c>
      <c r="AAB5" s="63" t="s">
        <v>28</v>
      </c>
      <c r="AAC5" s="63" t="s">
        <v>2851</v>
      </c>
      <c r="AAD5" s="63" t="s">
        <v>2852</v>
      </c>
      <c r="AAE5" s="63" t="s">
        <v>2853</v>
      </c>
      <c r="AAF5" s="63" t="s">
        <v>2854</v>
      </c>
      <c r="AAG5" s="63" t="s">
        <v>2855</v>
      </c>
      <c r="AAH5" s="63" t="s">
        <v>2856</v>
      </c>
      <c r="AAI5" s="63" t="s">
        <v>2857</v>
      </c>
      <c r="AAJ5" s="63" t="s">
        <v>2858</v>
      </c>
      <c r="AAK5" s="63" t="s">
        <v>2859</v>
      </c>
      <c r="AAL5" s="63" t="s">
        <v>2860</v>
      </c>
      <c r="AAM5" s="63" t="s">
        <v>2861</v>
      </c>
      <c r="AAN5" s="63" t="s">
        <v>2862</v>
      </c>
      <c r="AAO5" s="63" t="s">
        <v>2863</v>
      </c>
      <c r="AAP5" s="63" t="s">
        <v>2864</v>
      </c>
      <c r="AAQ5" s="63" t="s">
        <v>1607</v>
      </c>
      <c r="AAR5" s="63" t="s">
        <v>312</v>
      </c>
      <c r="AAS5" s="63" t="s">
        <v>313</v>
      </c>
      <c r="AAT5" s="63" t="s">
        <v>314</v>
      </c>
      <c r="AAU5" s="63" t="s">
        <v>315</v>
      </c>
      <c r="AAV5" s="63" t="s">
        <v>316</v>
      </c>
      <c r="AAW5" s="63" t="s">
        <v>317</v>
      </c>
      <c r="AAX5" s="63" t="s">
        <v>318</v>
      </c>
      <c r="AAY5" s="63" t="s">
        <v>319</v>
      </c>
      <c r="AAZ5" s="63" t="s">
        <v>320</v>
      </c>
      <c r="ABA5" s="63" t="s">
        <v>321</v>
      </c>
      <c r="ABB5" s="63" t="s">
        <v>322</v>
      </c>
      <c r="ABC5" s="63" t="s">
        <v>323</v>
      </c>
      <c r="ABD5" s="63" t="s">
        <v>324</v>
      </c>
      <c r="ABE5" s="63" t="s">
        <v>325</v>
      </c>
      <c r="ABF5" s="63" t="s">
        <v>326</v>
      </c>
      <c r="ABG5" s="63" t="s">
        <v>29</v>
      </c>
      <c r="ABH5" s="63" t="s">
        <v>2865</v>
      </c>
      <c r="ABI5" s="63" t="s">
        <v>2866</v>
      </c>
      <c r="ABJ5" s="63" t="s">
        <v>2867</v>
      </c>
      <c r="ABK5" s="63" t="s">
        <v>2868</v>
      </c>
      <c r="ABL5" s="63" t="s">
        <v>2869</v>
      </c>
      <c r="ABM5" s="63" t="s">
        <v>2870</v>
      </c>
      <c r="ABN5" s="63" t="s">
        <v>2871</v>
      </c>
      <c r="ABO5" s="63" t="s">
        <v>2872</v>
      </c>
      <c r="ABP5" s="63" t="s">
        <v>2873</v>
      </c>
      <c r="ABQ5" s="63" t="s">
        <v>2874</v>
      </c>
      <c r="ABR5" s="63" t="s">
        <v>2875</v>
      </c>
      <c r="ABS5" s="63" t="s">
        <v>2876</v>
      </c>
      <c r="ABT5" s="63" t="s">
        <v>2877</v>
      </c>
      <c r="ABU5" s="63" t="s">
        <v>2878</v>
      </c>
      <c r="ABV5" s="63" t="s">
        <v>2879</v>
      </c>
      <c r="ABW5" s="63" t="s">
        <v>2880</v>
      </c>
      <c r="ABX5" s="63" t="s">
        <v>2881</v>
      </c>
      <c r="ABY5" s="63" t="s">
        <v>2882</v>
      </c>
      <c r="ABZ5" s="63" t="s">
        <v>327</v>
      </c>
      <c r="ACA5" s="63" t="s">
        <v>328</v>
      </c>
      <c r="ACB5" s="63" t="s">
        <v>329</v>
      </c>
      <c r="ACC5" s="63" t="s">
        <v>330</v>
      </c>
      <c r="ACD5" s="63" t="s">
        <v>331</v>
      </c>
      <c r="ACE5" s="63" t="s">
        <v>332</v>
      </c>
      <c r="ACF5" s="63" t="s">
        <v>333</v>
      </c>
      <c r="ACG5" s="63" t="s">
        <v>334</v>
      </c>
      <c r="ACH5" s="63" t="s">
        <v>335</v>
      </c>
      <c r="ACI5" s="63" t="s">
        <v>336</v>
      </c>
      <c r="ACJ5" s="63" t="s">
        <v>337</v>
      </c>
      <c r="ACK5" s="63" t="s">
        <v>338</v>
      </c>
      <c r="ACL5" s="63" t="s">
        <v>30</v>
      </c>
      <c r="ACM5" s="63" t="s">
        <v>2883</v>
      </c>
      <c r="ACN5" s="63" t="s">
        <v>2884</v>
      </c>
      <c r="ACO5" s="63" t="s">
        <v>2885</v>
      </c>
      <c r="ACP5" s="63" t="s">
        <v>2886</v>
      </c>
      <c r="ACQ5" s="63" t="s">
        <v>2887</v>
      </c>
      <c r="ACR5" s="63" t="s">
        <v>2888</v>
      </c>
      <c r="ACS5" s="63" t="s">
        <v>2889</v>
      </c>
      <c r="ACT5" s="63" t="s">
        <v>2890</v>
      </c>
      <c r="ACU5" s="63" t="s">
        <v>2891</v>
      </c>
      <c r="ACV5" s="63" t="s">
        <v>2892</v>
      </c>
      <c r="ACW5" s="63" t="s">
        <v>2893</v>
      </c>
      <c r="ACX5" s="63" t="s">
        <v>2894</v>
      </c>
      <c r="ACY5" s="63" t="s">
        <v>2895</v>
      </c>
      <c r="ACZ5" s="63" t="s">
        <v>2896</v>
      </c>
      <c r="ADA5" s="63" t="s">
        <v>1608</v>
      </c>
      <c r="ADB5" s="63" t="s">
        <v>1609</v>
      </c>
      <c r="ADC5" s="63" t="s">
        <v>1610</v>
      </c>
      <c r="ADD5" s="63" t="s">
        <v>1611</v>
      </c>
      <c r="ADE5" s="63" t="s">
        <v>339</v>
      </c>
      <c r="ADF5" s="63" t="s">
        <v>340</v>
      </c>
      <c r="ADG5" s="63" t="s">
        <v>341</v>
      </c>
      <c r="ADH5" s="63" t="s">
        <v>342</v>
      </c>
      <c r="ADI5" s="63" t="s">
        <v>343</v>
      </c>
      <c r="ADJ5" s="63" t="s">
        <v>344</v>
      </c>
      <c r="ADK5" s="63" t="s">
        <v>345</v>
      </c>
      <c r="ADL5" s="63" t="s">
        <v>346</v>
      </c>
      <c r="ADM5" s="63" t="s">
        <v>347</v>
      </c>
      <c r="ADN5" s="63" t="s">
        <v>348</v>
      </c>
      <c r="ADO5" s="63" t="s">
        <v>349</v>
      </c>
      <c r="ADP5" s="63" t="s">
        <v>350</v>
      </c>
      <c r="ADQ5" s="63" t="s">
        <v>31</v>
      </c>
      <c r="ADR5" s="63" t="s">
        <v>2897</v>
      </c>
      <c r="ADS5" s="63" t="s">
        <v>2898</v>
      </c>
      <c r="ADT5" s="63" t="s">
        <v>2899</v>
      </c>
      <c r="ADU5" s="63" t="s">
        <v>2900</v>
      </c>
      <c r="ADV5" s="63" t="s">
        <v>2901</v>
      </c>
      <c r="ADW5" s="63" t="s">
        <v>2902</v>
      </c>
      <c r="ADX5" s="63" t="s">
        <v>2903</v>
      </c>
      <c r="ADY5" s="63" t="s">
        <v>2904</v>
      </c>
      <c r="ADZ5" s="63" t="s">
        <v>2905</v>
      </c>
      <c r="AEA5" s="63" t="s">
        <v>2906</v>
      </c>
      <c r="AEB5" s="63" t="s">
        <v>2907</v>
      </c>
      <c r="AEC5" s="63" t="s">
        <v>2908</v>
      </c>
      <c r="AED5" s="63" t="s">
        <v>2909</v>
      </c>
      <c r="AEE5" s="63" t="s">
        <v>2910</v>
      </c>
      <c r="AEF5" s="63" t="s">
        <v>2911</v>
      </c>
      <c r="AEG5" s="63" t="s">
        <v>2912</v>
      </c>
      <c r="AEH5" s="63" t="s">
        <v>2913</v>
      </c>
      <c r="AEI5" s="63" t="s">
        <v>2914</v>
      </c>
      <c r="AEJ5" s="63" t="s">
        <v>351</v>
      </c>
      <c r="AEK5" s="63" t="s">
        <v>352</v>
      </c>
      <c r="AEL5" s="63" t="s">
        <v>353</v>
      </c>
      <c r="AEM5" s="63" t="s">
        <v>354</v>
      </c>
      <c r="AEN5" s="63" t="s">
        <v>355</v>
      </c>
      <c r="AEO5" s="63" t="s">
        <v>356</v>
      </c>
      <c r="AEP5" s="63" t="s">
        <v>357</v>
      </c>
      <c r="AEQ5" s="63" t="s">
        <v>358</v>
      </c>
      <c r="AER5" s="63" t="s">
        <v>359</v>
      </c>
      <c r="AES5" s="63" t="s">
        <v>360</v>
      </c>
      <c r="AET5" s="63" t="s">
        <v>361</v>
      </c>
      <c r="AEU5" s="63" t="s">
        <v>362</v>
      </c>
      <c r="AEV5" s="63" t="s">
        <v>32</v>
      </c>
      <c r="AEW5" s="63" t="s">
        <v>2915</v>
      </c>
      <c r="AEX5" s="63" t="s">
        <v>2916</v>
      </c>
      <c r="AEY5" s="63" t="s">
        <v>2917</v>
      </c>
      <c r="AEZ5" s="63" t="s">
        <v>2918</v>
      </c>
      <c r="AFA5" s="63" t="s">
        <v>2919</v>
      </c>
      <c r="AFB5" s="63" t="s">
        <v>2920</v>
      </c>
      <c r="AFC5" s="63" t="s">
        <v>2921</v>
      </c>
      <c r="AFD5" s="63" t="s">
        <v>2922</v>
      </c>
      <c r="AFE5" s="63" t="s">
        <v>2923</v>
      </c>
      <c r="AFF5" s="63" t="s">
        <v>2924</v>
      </c>
      <c r="AFG5" s="63" t="s">
        <v>2925</v>
      </c>
      <c r="AFH5" s="63" t="s">
        <v>2926</v>
      </c>
      <c r="AFI5" s="63" t="s">
        <v>2927</v>
      </c>
      <c r="AFJ5" s="63" t="s">
        <v>2928</v>
      </c>
      <c r="AFK5" s="63" t="s">
        <v>363</v>
      </c>
      <c r="AFL5" s="63" t="s">
        <v>364</v>
      </c>
      <c r="AFM5" s="63" t="s">
        <v>365</v>
      </c>
      <c r="AFN5" s="63" t="s">
        <v>366</v>
      </c>
      <c r="AFO5" s="63" t="s">
        <v>367</v>
      </c>
      <c r="AFP5" s="63" t="s">
        <v>368</v>
      </c>
      <c r="AFQ5" s="63" t="s">
        <v>369</v>
      </c>
      <c r="AFR5" s="63" t="s">
        <v>370</v>
      </c>
      <c r="AFS5" s="63" t="s">
        <v>371</v>
      </c>
      <c r="AFT5" s="63" t="s">
        <v>372</v>
      </c>
      <c r="AFU5" s="63" t="s">
        <v>373</v>
      </c>
      <c r="AFV5" s="63" t="s">
        <v>374</v>
      </c>
      <c r="AFW5" s="63" t="s">
        <v>375</v>
      </c>
      <c r="AFX5" s="63" t="s">
        <v>376</v>
      </c>
      <c r="AFY5" s="63" t="s">
        <v>377</v>
      </c>
      <c r="AFZ5" s="63" t="s">
        <v>378</v>
      </c>
      <c r="AGA5" s="63" t="s">
        <v>33</v>
      </c>
      <c r="AGB5" s="63" t="s">
        <v>2929</v>
      </c>
      <c r="AGC5" s="63" t="s">
        <v>2930</v>
      </c>
      <c r="AGD5" s="63" t="s">
        <v>2931</v>
      </c>
      <c r="AGE5" s="63" t="s">
        <v>2932</v>
      </c>
      <c r="AGF5" s="63" t="s">
        <v>2933</v>
      </c>
      <c r="AGG5" s="63" t="s">
        <v>2934</v>
      </c>
      <c r="AGH5" s="63" t="s">
        <v>2935</v>
      </c>
      <c r="AGI5" s="63" t="s">
        <v>2936</v>
      </c>
      <c r="AGJ5" s="63" t="s">
        <v>2937</v>
      </c>
      <c r="AGK5" s="63" t="s">
        <v>2938</v>
      </c>
      <c r="AGL5" s="63" t="s">
        <v>2939</v>
      </c>
      <c r="AGM5" s="63" t="s">
        <v>2940</v>
      </c>
      <c r="AGN5" s="63" t="s">
        <v>2941</v>
      </c>
      <c r="AGO5" s="63" t="s">
        <v>2942</v>
      </c>
      <c r="AGP5" s="63" t="s">
        <v>2943</v>
      </c>
      <c r="AGQ5" s="63" t="s">
        <v>2944</v>
      </c>
      <c r="AGR5" s="63" t="s">
        <v>2945</v>
      </c>
      <c r="AGS5" s="63" t="s">
        <v>2946</v>
      </c>
      <c r="AGT5" s="63" t="s">
        <v>2947</v>
      </c>
      <c r="AGU5" s="63" t="s">
        <v>379</v>
      </c>
      <c r="AGV5" s="63" t="s">
        <v>380</v>
      </c>
      <c r="AGW5" s="63" t="s">
        <v>381</v>
      </c>
      <c r="AGX5" s="63" t="s">
        <v>382</v>
      </c>
      <c r="AGY5" s="63" t="s">
        <v>383</v>
      </c>
      <c r="AGZ5" s="63" t="s">
        <v>384</v>
      </c>
      <c r="AHA5" s="63" t="s">
        <v>385</v>
      </c>
      <c r="AHB5" s="63" t="s">
        <v>386</v>
      </c>
      <c r="AHC5" s="63" t="s">
        <v>387</v>
      </c>
      <c r="AHD5" s="63" t="s">
        <v>388</v>
      </c>
      <c r="AHE5" s="63" t="s">
        <v>389</v>
      </c>
      <c r="AHF5" s="63" t="s">
        <v>34</v>
      </c>
      <c r="AHG5" s="63" t="s">
        <v>2948</v>
      </c>
      <c r="AHH5" s="63" t="s">
        <v>2949</v>
      </c>
      <c r="AHI5" s="63" t="s">
        <v>2950</v>
      </c>
      <c r="AHJ5" s="63" t="s">
        <v>2951</v>
      </c>
      <c r="AHK5" s="63" t="s">
        <v>2952</v>
      </c>
      <c r="AHL5" s="63" t="s">
        <v>2953</v>
      </c>
      <c r="AHM5" s="63" t="s">
        <v>2954</v>
      </c>
      <c r="AHN5" s="63" t="s">
        <v>2955</v>
      </c>
      <c r="AHO5" s="63" t="s">
        <v>2956</v>
      </c>
      <c r="AHP5" s="63" t="s">
        <v>2957</v>
      </c>
      <c r="AHQ5" s="63" t="s">
        <v>2958</v>
      </c>
      <c r="AHR5" s="63" t="s">
        <v>2959</v>
      </c>
      <c r="AHS5" s="63" t="s">
        <v>2960</v>
      </c>
      <c r="AHT5" s="63" t="s">
        <v>1612</v>
      </c>
      <c r="AHU5" s="63" t="s">
        <v>390</v>
      </c>
      <c r="AHV5" s="63" t="s">
        <v>391</v>
      </c>
      <c r="AHW5" s="63" t="s">
        <v>392</v>
      </c>
      <c r="AHX5" s="63" t="s">
        <v>393</v>
      </c>
      <c r="AHY5" s="63" t="s">
        <v>394</v>
      </c>
      <c r="AHZ5" s="63" t="s">
        <v>395</v>
      </c>
      <c r="AIA5" s="63" t="s">
        <v>396</v>
      </c>
      <c r="AIB5" s="63" t="s">
        <v>397</v>
      </c>
      <c r="AIC5" s="63" t="s">
        <v>398</v>
      </c>
      <c r="AID5" s="63" t="s">
        <v>399</v>
      </c>
      <c r="AIE5" s="63" t="s">
        <v>400</v>
      </c>
      <c r="AIF5" s="63" t="s">
        <v>401</v>
      </c>
      <c r="AIG5" s="63" t="s">
        <v>402</v>
      </c>
      <c r="AIH5" s="63" t="s">
        <v>403</v>
      </c>
      <c r="AII5" s="63" t="s">
        <v>404</v>
      </c>
      <c r="AIJ5" s="63" t="s">
        <v>405</v>
      </c>
      <c r="AIK5" s="63" t="s">
        <v>35</v>
      </c>
      <c r="AIL5" s="63" t="s">
        <v>1613</v>
      </c>
      <c r="AIM5" s="63" t="s">
        <v>1614</v>
      </c>
      <c r="AIN5" s="63" t="s">
        <v>1615</v>
      </c>
      <c r="AIO5" s="63" t="s">
        <v>1616</v>
      </c>
      <c r="AIP5" s="63" t="s">
        <v>1617</v>
      </c>
      <c r="AIQ5" s="63" t="s">
        <v>1618</v>
      </c>
      <c r="AIR5" s="63" t="s">
        <v>1619</v>
      </c>
      <c r="AIS5" s="63" t="s">
        <v>1620</v>
      </c>
      <c r="AIT5" s="63" t="s">
        <v>1621</v>
      </c>
      <c r="AIU5" s="63" t="s">
        <v>1622</v>
      </c>
      <c r="AIV5" s="63" t="s">
        <v>1623</v>
      </c>
      <c r="AIW5" s="63" t="s">
        <v>1624</v>
      </c>
      <c r="AIX5" s="63" t="s">
        <v>1625</v>
      </c>
      <c r="AIY5" s="63" t="s">
        <v>406</v>
      </c>
      <c r="AIZ5" s="63" t="s">
        <v>407</v>
      </c>
      <c r="AJA5" s="63" t="s">
        <v>408</v>
      </c>
      <c r="AJB5" s="63" t="s">
        <v>409</v>
      </c>
      <c r="AJC5" s="63" t="s">
        <v>410</v>
      </c>
      <c r="AJD5" s="63" t="s">
        <v>411</v>
      </c>
      <c r="AJE5" s="63" t="s">
        <v>412</v>
      </c>
      <c r="AJF5" s="63" t="s">
        <v>413</v>
      </c>
      <c r="AJG5" s="63" t="s">
        <v>414</v>
      </c>
      <c r="AJH5" s="63" t="s">
        <v>415</v>
      </c>
      <c r="AJI5" s="63" t="s">
        <v>416</v>
      </c>
      <c r="AJJ5" s="63" t="s">
        <v>417</v>
      </c>
      <c r="AJK5" s="63" t="s">
        <v>418</v>
      </c>
      <c r="AJL5" s="63" t="s">
        <v>419</v>
      </c>
      <c r="AJM5" s="63" t="s">
        <v>420</v>
      </c>
      <c r="AJN5" s="63" t="s">
        <v>421</v>
      </c>
      <c r="AJO5" s="63" t="s">
        <v>422</v>
      </c>
      <c r="AJP5" s="63" t="s">
        <v>36</v>
      </c>
      <c r="AJQ5" s="63" t="s">
        <v>1626</v>
      </c>
      <c r="AJR5" s="63" t="s">
        <v>1627</v>
      </c>
      <c r="AJS5" s="63" t="s">
        <v>1628</v>
      </c>
      <c r="AJT5" s="63" t="s">
        <v>1629</v>
      </c>
      <c r="AJU5" s="63" t="s">
        <v>1630</v>
      </c>
      <c r="AJV5" s="63" t="s">
        <v>1631</v>
      </c>
      <c r="AJW5" s="63" t="s">
        <v>1632</v>
      </c>
      <c r="AJX5" s="63" t="s">
        <v>1633</v>
      </c>
      <c r="AJY5" s="63" t="s">
        <v>1634</v>
      </c>
      <c r="AJZ5" s="63" t="s">
        <v>1635</v>
      </c>
      <c r="AKA5" s="63" t="s">
        <v>1636</v>
      </c>
      <c r="AKB5" s="63" t="s">
        <v>1637</v>
      </c>
      <c r="AKC5" s="63" t="s">
        <v>1638</v>
      </c>
      <c r="AKD5" s="63" t="s">
        <v>1639</v>
      </c>
      <c r="AKE5" s="63" t="s">
        <v>1640</v>
      </c>
      <c r="AKF5" s="63" t="s">
        <v>423</v>
      </c>
      <c r="AKG5" s="63" t="s">
        <v>424</v>
      </c>
      <c r="AKH5" s="63" t="s">
        <v>425</v>
      </c>
      <c r="AKI5" s="63" t="s">
        <v>426</v>
      </c>
      <c r="AKJ5" s="63" t="s">
        <v>427</v>
      </c>
      <c r="AKK5" s="63" t="s">
        <v>428</v>
      </c>
      <c r="AKL5" s="63" t="s">
        <v>429</v>
      </c>
      <c r="AKM5" s="63" t="s">
        <v>430</v>
      </c>
      <c r="AKN5" s="63" t="s">
        <v>431</v>
      </c>
      <c r="AKO5" s="63" t="s">
        <v>432</v>
      </c>
      <c r="AKP5" s="63" t="s">
        <v>433</v>
      </c>
      <c r="AKQ5" s="63" t="s">
        <v>434</v>
      </c>
      <c r="AKR5" s="63" t="s">
        <v>435</v>
      </c>
      <c r="AKS5" s="63" t="s">
        <v>436</v>
      </c>
      <c r="AKT5" s="63" t="s">
        <v>437</v>
      </c>
      <c r="AKU5" s="63" t="s">
        <v>37</v>
      </c>
      <c r="AKV5" s="63" t="s">
        <v>1641</v>
      </c>
      <c r="AKW5" s="63" t="s">
        <v>1642</v>
      </c>
      <c r="AKX5" s="63" t="s">
        <v>1643</v>
      </c>
      <c r="AKY5" s="63" t="s">
        <v>1644</v>
      </c>
      <c r="AKZ5" s="63" t="s">
        <v>1645</v>
      </c>
      <c r="ALA5" s="63" t="s">
        <v>1646</v>
      </c>
      <c r="ALB5" s="63" t="s">
        <v>1647</v>
      </c>
      <c r="ALC5" s="63" t="s">
        <v>1648</v>
      </c>
      <c r="ALD5" s="63" t="s">
        <v>1649</v>
      </c>
      <c r="ALE5" s="63" t="s">
        <v>1650</v>
      </c>
      <c r="ALF5" s="63" t="s">
        <v>1651</v>
      </c>
      <c r="ALG5" s="63" t="s">
        <v>1652</v>
      </c>
      <c r="ALH5" s="63" t="s">
        <v>1653</v>
      </c>
      <c r="ALI5" s="63" t="s">
        <v>438</v>
      </c>
      <c r="ALJ5" s="63" t="s">
        <v>439</v>
      </c>
      <c r="ALK5" s="63" t="s">
        <v>440</v>
      </c>
      <c r="ALL5" s="63" t="s">
        <v>441</v>
      </c>
      <c r="ALM5" s="63" t="s">
        <v>442</v>
      </c>
      <c r="ALN5" s="63" t="s">
        <v>443</v>
      </c>
      <c r="ALO5" s="63" t="s">
        <v>444</v>
      </c>
      <c r="ALP5" s="63" t="s">
        <v>445</v>
      </c>
      <c r="ALQ5" s="63" t="s">
        <v>446</v>
      </c>
      <c r="ALR5" s="63" t="s">
        <v>447</v>
      </c>
      <c r="ALS5" s="63" t="s">
        <v>448</v>
      </c>
      <c r="ALT5" s="63" t="s">
        <v>449</v>
      </c>
      <c r="ALU5" s="63" t="s">
        <v>450</v>
      </c>
      <c r="ALV5" s="63" t="s">
        <v>451</v>
      </c>
      <c r="ALW5" s="63" t="s">
        <v>452</v>
      </c>
      <c r="ALX5" s="63" t="s">
        <v>453</v>
      </c>
      <c r="ALY5" s="63" t="s">
        <v>454</v>
      </c>
      <c r="ALZ5" s="63" t="s">
        <v>38</v>
      </c>
      <c r="AMA5" s="63" t="s">
        <v>1654</v>
      </c>
      <c r="AMB5" s="63" t="s">
        <v>1655</v>
      </c>
      <c r="AMC5" s="63" t="s">
        <v>1656</v>
      </c>
      <c r="AMD5" s="63" t="s">
        <v>1657</v>
      </c>
      <c r="AME5" s="63" t="s">
        <v>1658</v>
      </c>
      <c r="AMF5" s="63" t="s">
        <v>1659</v>
      </c>
      <c r="AMG5" s="63" t="s">
        <v>1660</v>
      </c>
      <c r="AMH5" s="63" t="s">
        <v>1661</v>
      </c>
      <c r="AMI5" s="63" t="s">
        <v>1662</v>
      </c>
      <c r="AMJ5" s="63" t="s">
        <v>1663</v>
      </c>
      <c r="AMK5" s="63" t="s">
        <v>1664</v>
      </c>
      <c r="AML5" s="63" t="s">
        <v>1665</v>
      </c>
      <c r="AMM5" s="63" t="s">
        <v>1666</v>
      </c>
      <c r="AMN5" s="63" t="s">
        <v>455</v>
      </c>
      <c r="AMO5" s="63" t="s">
        <v>456</v>
      </c>
      <c r="AMP5" s="63" t="s">
        <v>457</v>
      </c>
      <c r="AMQ5" s="63" t="s">
        <v>458</v>
      </c>
      <c r="AMR5" s="63" t="s">
        <v>459</v>
      </c>
      <c r="AMS5" s="63" t="s">
        <v>460</v>
      </c>
      <c r="AMT5" s="63" t="s">
        <v>461</v>
      </c>
      <c r="AMU5" s="63" t="s">
        <v>462</v>
      </c>
      <c r="AMV5" s="63" t="s">
        <v>463</v>
      </c>
      <c r="AMW5" s="63" t="s">
        <v>464</v>
      </c>
      <c r="AMX5" s="63" t="s">
        <v>465</v>
      </c>
      <c r="AMY5" s="63" t="s">
        <v>466</v>
      </c>
      <c r="AMZ5" s="63" t="s">
        <v>467</v>
      </c>
      <c r="ANA5" s="63" t="s">
        <v>468</v>
      </c>
      <c r="ANB5" s="63" t="s">
        <v>469</v>
      </c>
      <c r="ANC5" s="63" t="s">
        <v>470</v>
      </c>
      <c r="AND5" s="63" t="s">
        <v>471</v>
      </c>
      <c r="ANE5" s="63" t="s">
        <v>39</v>
      </c>
      <c r="ANF5" s="63" t="s">
        <v>1667</v>
      </c>
      <c r="ANG5" s="63" t="s">
        <v>1668</v>
      </c>
      <c r="ANH5" s="63" t="s">
        <v>1669</v>
      </c>
      <c r="ANI5" s="63" t="s">
        <v>1670</v>
      </c>
      <c r="ANJ5" s="63" t="s">
        <v>1671</v>
      </c>
      <c r="ANK5" s="63" t="s">
        <v>1672</v>
      </c>
      <c r="ANL5" s="63" t="s">
        <v>1673</v>
      </c>
      <c r="ANM5" s="63" t="s">
        <v>1674</v>
      </c>
      <c r="ANN5" s="63" t="s">
        <v>1675</v>
      </c>
      <c r="ANO5" s="63" t="s">
        <v>1676</v>
      </c>
      <c r="ANP5" s="63" t="s">
        <v>1677</v>
      </c>
      <c r="ANQ5" s="63" t="s">
        <v>1678</v>
      </c>
      <c r="ANR5" s="63" t="s">
        <v>472</v>
      </c>
      <c r="ANS5" s="63" t="s">
        <v>473</v>
      </c>
      <c r="ANT5" s="63" t="s">
        <v>474</v>
      </c>
      <c r="ANU5" s="63" t="s">
        <v>475</v>
      </c>
      <c r="ANV5" s="63" t="s">
        <v>476</v>
      </c>
      <c r="ANW5" s="63" t="s">
        <v>477</v>
      </c>
      <c r="ANX5" s="63" t="s">
        <v>478</v>
      </c>
      <c r="ANY5" s="63" t="s">
        <v>479</v>
      </c>
      <c r="ANZ5" s="63" t="s">
        <v>480</v>
      </c>
      <c r="AOA5" s="63" t="s">
        <v>481</v>
      </c>
      <c r="AOB5" s="63" t="s">
        <v>482</v>
      </c>
      <c r="AOC5" s="63" t="s">
        <v>483</v>
      </c>
      <c r="AOD5" s="63" t="s">
        <v>484</v>
      </c>
      <c r="AOE5" s="63" t="s">
        <v>485</v>
      </c>
      <c r="AOF5" s="63" t="s">
        <v>486</v>
      </c>
      <c r="AOG5" s="63" t="s">
        <v>487</v>
      </c>
      <c r="AOH5" s="63" t="s">
        <v>488</v>
      </c>
      <c r="AOI5" s="63" t="s">
        <v>489</v>
      </c>
      <c r="AOJ5" s="63" t="s">
        <v>40</v>
      </c>
      <c r="AOK5" s="63" t="s">
        <v>1679</v>
      </c>
      <c r="AOL5" s="63" t="s">
        <v>1680</v>
      </c>
      <c r="AOM5" s="63" t="s">
        <v>1681</v>
      </c>
      <c r="AON5" s="63" t="s">
        <v>1682</v>
      </c>
      <c r="AOO5" s="63" t="s">
        <v>1683</v>
      </c>
      <c r="AOP5" s="63" t="s">
        <v>1684</v>
      </c>
      <c r="AOQ5" s="63" t="s">
        <v>1685</v>
      </c>
      <c r="AOR5" s="63" t="s">
        <v>1686</v>
      </c>
      <c r="AOS5" s="63" t="s">
        <v>1687</v>
      </c>
      <c r="AOT5" s="63" t="s">
        <v>1688</v>
      </c>
      <c r="AOU5" s="63" t="s">
        <v>1689</v>
      </c>
      <c r="AOV5" s="63" t="s">
        <v>1690</v>
      </c>
      <c r="AOW5" s="63" t="s">
        <v>1691</v>
      </c>
      <c r="AOX5" s="63" t="s">
        <v>490</v>
      </c>
      <c r="AOY5" s="63" t="s">
        <v>491</v>
      </c>
      <c r="AOZ5" s="63" t="s">
        <v>492</v>
      </c>
      <c r="APA5" s="63" t="s">
        <v>493</v>
      </c>
      <c r="APB5" s="63" t="s">
        <v>494</v>
      </c>
      <c r="APC5" s="63" t="s">
        <v>495</v>
      </c>
      <c r="APD5" s="63" t="s">
        <v>496</v>
      </c>
      <c r="APE5" s="63" t="s">
        <v>497</v>
      </c>
      <c r="APF5" s="63" t="s">
        <v>498</v>
      </c>
      <c r="APG5" s="63" t="s">
        <v>499</v>
      </c>
      <c r="APH5" s="63" t="s">
        <v>500</v>
      </c>
      <c r="API5" s="63" t="s">
        <v>501</v>
      </c>
      <c r="APJ5" s="63" t="s">
        <v>502</v>
      </c>
      <c r="APK5" s="63" t="s">
        <v>503</v>
      </c>
      <c r="APL5" s="63" t="s">
        <v>504</v>
      </c>
      <c r="APM5" s="63" t="s">
        <v>505</v>
      </c>
      <c r="APN5" s="63" t="s">
        <v>506</v>
      </c>
      <c r="APO5" s="63" t="s">
        <v>41</v>
      </c>
      <c r="APP5" s="63" t="s">
        <v>1692</v>
      </c>
      <c r="APQ5" s="63" t="s">
        <v>1693</v>
      </c>
      <c r="APR5" s="63" t="s">
        <v>1694</v>
      </c>
      <c r="APS5" s="63" t="s">
        <v>1695</v>
      </c>
      <c r="APT5" s="63" t="s">
        <v>1696</v>
      </c>
      <c r="APU5" s="63" t="s">
        <v>1697</v>
      </c>
      <c r="APV5" s="63" t="s">
        <v>1698</v>
      </c>
      <c r="APW5" s="63" t="s">
        <v>1699</v>
      </c>
      <c r="APX5" s="63" t="s">
        <v>1700</v>
      </c>
      <c r="APY5" s="63" t="s">
        <v>1701</v>
      </c>
      <c r="APZ5" s="63" t="s">
        <v>1702</v>
      </c>
      <c r="AQA5" s="63" t="s">
        <v>1703</v>
      </c>
      <c r="AQB5" s="63" t="s">
        <v>1704</v>
      </c>
      <c r="AQC5" s="63" t="s">
        <v>1705</v>
      </c>
      <c r="AQD5" s="63" t="s">
        <v>507</v>
      </c>
      <c r="AQE5" s="63" t="s">
        <v>508</v>
      </c>
      <c r="AQF5" s="63" t="s">
        <v>509</v>
      </c>
      <c r="AQG5" s="63" t="s">
        <v>510</v>
      </c>
      <c r="AQH5" s="63" t="s">
        <v>511</v>
      </c>
      <c r="AQI5" s="63" t="s">
        <v>512</v>
      </c>
      <c r="AQJ5" s="63" t="s">
        <v>513</v>
      </c>
      <c r="AQK5" s="63" t="s">
        <v>514</v>
      </c>
      <c r="AQL5" s="63" t="s">
        <v>515</v>
      </c>
      <c r="AQM5" s="63" t="s">
        <v>516</v>
      </c>
      <c r="AQN5" s="63" t="s">
        <v>517</v>
      </c>
      <c r="AQO5" s="63" t="s">
        <v>518</v>
      </c>
      <c r="AQP5" s="63" t="s">
        <v>519</v>
      </c>
      <c r="AQQ5" s="63" t="s">
        <v>520</v>
      </c>
      <c r="AQR5" s="63" t="s">
        <v>521</v>
      </c>
      <c r="AQS5" s="63" t="s">
        <v>522</v>
      </c>
      <c r="AQT5" s="63" t="s">
        <v>42</v>
      </c>
      <c r="AQU5" s="63" t="s">
        <v>1706</v>
      </c>
      <c r="AQV5" s="63" t="s">
        <v>1707</v>
      </c>
      <c r="AQW5" s="63" t="s">
        <v>1708</v>
      </c>
      <c r="AQX5" s="63" t="s">
        <v>1709</v>
      </c>
      <c r="AQY5" s="63" t="s">
        <v>1710</v>
      </c>
      <c r="AQZ5" s="63" t="s">
        <v>1711</v>
      </c>
      <c r="ARA5" s="63" t="s">
        <v>1712</v>
      </c>
      <c r="ARB5" s="63" t="s">
        <v>1713</v>
      </c>
      <c r="ARC5" s="63" t="s">
        <v>1714</v>
      </c>
      <c r="ARD5" s="63" t="s">
        <v>1715</v>
      </c>
      <c r="ARE5" s="63" t="s">
        <v>1716</v>
      </c>
      <c r="ARF5" s="63" t="s">
        <v>1717</v>
      </c>
      <c r="ARG5" s="63" t="s">
        <v>1718</v>
      </c>
      <c r="ARH5" s="63" t="s">
        <v>1719</v>
      </c>
      <c r="ARI5" s="63" t="s">
        <v>1720</v>
      </c>
      <c r="ARJ5" s="63" t="s">
        <v>523</v>
      </c>
      <c r="ARK5" s="63" t="s">
        <v>524</v>
      </c>
      <c r="ARL5" s="63" t="s">
        <v>525</v>
      </c>
      <c r="ARM5" s="63" t="s">
        <v>526</v>
      </c>
      <c r="ARN5" s="63" t="s">
        <v>527</v>
      </c>
      <c r="ARO5" s="63" t="s">
        <v>528</v>
      </c>
      <c r="ARP5" s="63" t="s">
        <v>529</v>
      </c>
      <c r="ARQ5" s="63" t="s">
        <v>530</v>
      </c>
      <c r="ARR5" s="63" t="s">
        <v>531</v>
      </c>
      <c r="ARS5" s="63" t="s">
        <v>532</v>
      </c>
      <c r="ART5" s="63" t="s">
        <v>533</v>
      </c>
      <c r="ARU5" s="63" t="s">
        <v>534</v>
      </c>
      <c r="ARV5" s="63" t="s">
        <v>535</v>
      </c>
      <c r="ARW5" s="63" t="s">
        <v>536</v>
      </c>
      <c r="ARX5" s="63" t="s">
        <v>537</v>
      </c>
      <c r="ARY5" s="63" t="s">
        <v>43</v>
      </c>
      <c r="ARZ5" s="63" t="s">
        <v>1721</v>
      </c>
      <c r="ASA5" s="63" t="s">
        <v>1722</v>
      </c>
      <c r="ASB5" s="63" t="s">
        <v>1723</v>
      </c>
      <c r="ASC5" s="63" t="s">
        <v>1724</v>
      </c>
      <c r="ASD5" s="63" t="s">
        <v>1725</v>
      </c>
      <c r="ASE5" s="63" t="s">
        <v>1726</v>
      </c>
      <c r="ASF5" s="63" t="s">
        <v>1727</v>
      </c>
      <c r="ASG5" s="63" t="s">
        <v>1728</v>
      </c>
      <c r="ASH5" s="63" t="s">
        <v>1729</v>
      </c>
      <c r="ASI5" s="63" t="s">
        <v>1730</v>
      </c>
      <c r="ASJ5" s="63" t="s">
        <v>1731</v>
      </c>
      <c r="ASK5" s="63" t="s">
        <v>1732</v>
      </c>
      <c r="ASL5" s="63" t="s">
        <v>1733</v>
      </c>
      <c r="ASM5" s="63" t="s">
        <v>538</v>
      </c>
      <c r="ASN5" s="63" t="s">
        <v>539</v>
      </c>
      <c r="ASO5" s="63" t="s">
        <v>540</v>
      </c>
      <c r="ASP5" s="63" t="s">
        <v>541</v>
      </c>
      <c r="ASQ5" s="63" t="s">
        <v>542</v>
      </c>
      <c r="ASR5" s="63" t="s">
        <v>543</v>
      </c>
      <c r="ASS5" s="63" t="s">
        <v>544</v>
      </c>
      <c r="AST5" s="63" t="s">
        <v>545</v>
      </c>
      <c r="ASU5" s="63" t="s">
        <v>546</v>
      </c>
      <c r="ASV5" s="63" t="s">
        <v>547</v>
      </c>
      <c r="ASW5" s="63" t="s">
        <v>548</v>
      </c>
      <c r="ASX5" s="63" t="s">
        <v>549</v>
      </c>
      <c r="ASY5" s="63" t="s">
        <v>550</v>
      </c>
      <c r="ASZ5" s="63" t="s">
        <v>551</v>
      </c>
      <c r="ATA5" s="63" t="s">
        <v>552</v>
      </c>
      <c r="ATB5" s="63" t="s">
        <v>553</v>
      </c>
      <c r="ATC5" s="63" t="s">
        <v>554</v>
      </c>
      <c r="ATD5" s="63" t="s">
        <v>44</v>
      </c>
      <c r="ATE5" s="63" t="s">
        <v>1734</v>
      </c>
      <c r="ATF5" s="63" t="s">
        <v>1735</v>
      </c>
      <c r="ATG5" s="63" t="s">
        <v>1736</v>
      </c>
      <c r="ATH5" s="63" t="s">
        <v>1737</v>
      </c>
      <c r="ATI5" s="63" t="s">
        <v>1738</v>
      </c>
      <c r="ATJ5" s="63" t="s">
        <v>1739</v>
      </c>
      <c r="ATK5" s="63" t="s">
        <v>1740</v>
      </c>
      <c r="ATL5" s="63" t="s">
        <v>1741</v>
      </c>
      <c r="ATM5" s="63" t="s">
        <v>1742</v>
      </c>
      <c r="ATN5" s="63" t="s">
        <v>1743</v>
      </c>
      <c r="ATO5" s="63" t="s">
        <v>1744</v>
      </c>
      <c r="ATP5" s="63" t="s">
        <v>1745</v>
      </c>
      <c r="ATQ5" s="63" t="s">
        <v>1746</v>
      </c>
      <c r="ATR5" s="63" t="s">
        <v>1747</v>
      </c>
      <c r="ATS5" s="63" t="s">
        <v>1748</v>
      </c>
      <c r="ATT5" s="63" t="s">
        <v>1749</v>
      </c>
      <c r="ATU5" s="63" t="s">
        <v>555</v>
      </c>
      <c r="ATV5" s="63" t="s">
        <v>556</v>
      </c>
      <c r="ATW5" s="63" t="s">
        <v>557</v>
      </c>
      <c r="ATX5" s="63" t="s">
        <v>558</v>
      </c>
      <c r="ATY5" s="63" t="s">
        <v>559</v>
      </c>
      <c r="ATZ5" s="63" t="s">
        <v>560</v>
      </c>
      <c r="AUA5" s="63" t="s">
        <v>561</v>
      </c>
      <c r="AUB5" s="63" t="s">
        <v>562</v>
      </c>
      <c r="AUC5" s="63" t="s">
        <v>563</v>
      </c>
      <c r="AUD5" s="63" t="s">
        <v>564</v>
      </c>
      <c r="AUE5" s="63" t="s">
        <v>565</v>
      </c>
      <c r="AUF5" s="63" t="s">
        <v>566</v>
      </c>
      <c r="AUG5" s="63" t="s">
        <v>567</v>
      </c>
      <c r="AUH5" s="63" t="s">
        <v>568</v>
      </c>
      <c r="AUI5" s="63" t="s">
        <v>45</v>
      </c>
      <c r="AUJ5" s="63" t="s">
        <v>1750</v>
      </c>
      <c r="AUK5" s="63" t="s">
        <v>1751</v>
      </c>
      <c r="AUL5" s="63" t="s">
        <v>1752</v>
      </c>
      <c r="AUM5" s="63" t="s">
        <v>1753</v>
      </c>
      <c r="AUN5" s="63" t="s">
        <v>1754</v>
      </c>
      <c r="AUO5" s="63" t="s">
        <v>1755</v>
      </c>
      <c r="AUP5" s="63" t="s">
        <v>1756</v>
      </c>
      <c r="AUQ5" s="63" t="s">
        <v>1757</v>
      </c>
      <c r="AUR5" s="63" t="s">
        <v>1758</v>
      </c>
      <c r="AUS5" s="63" t="s">
        <v>1759</v>
      </c>
      <c r="AUT5" s="63" t="s">
        <v>1760</v>
      </c>
      <c r="AUU5" s="63" t="s">
        <v>1761</v>
      </c>
      <c r="AUV5" s="63" t="s">
        <v>1762</v>
      </c>
      <c r="AUW5" s="63" t="s">
        <v>1763</v>
      </c>
      <c r="AUX5" s="63" t="s">
        <v>569</v>
      </c>
      <c r="AUY5" s="63" t="s">
        <v>570</v>
      </c>
      <c r="AUZ5" s="63" t="s">
        <v>571</v>
      </c>
      <c r="AVA5" s="63" t="s">
        <v>572</v>
      </c>
      <c r="AVB5" s="63" t="s">
        <v>573</v>
      </c>
      <c r="AVC5" s="63" t="s">
        <v>574</v>
      </c>
      <c r="AVD5" s="63" t="s">
        <v>575</v>
      </c>
      <c r="AVE5" s="63" t="s">
        <v>576</v>
      </c>
      <c r="AVF5" s="63" t="s">
        <v>577</v>
      </c>
      <c r="AVG5" s="63" t="s">
        <v>578</v>
      </c>
      <c r="AVH5" s="63" t="s">
        <v>579</v>
      </c>
      <c r="AVI5" s="63" t="s">
        <v>580</v>
      </c>
      <c r="AVJ5" s="63" t="s">
        <v>581</v>
      </c>
      <c r="AVK5" s="63" t="s">
        <v>582</v>
      </c>
      <c r="AVL5" s="63" t="s">
        <v>583</v>
      </c>
      <c r="AVM5" s="63" t="s">
        <v>584</v>
      </c>
      <c r="AVN5" s="63" t="s">
        <v>46</v>
      </c>
      <c r="AVO5" s="63" t="s">
        <v>1764</v>
      </c>
      <c r="AVP5" s="63" t="s">
        <v>1765</v>
      </c>
      <c r="AVQ5" s="63" t="s">
        <v>1766</v>
      </c>
      <c r="AVR5" s="63" t="s">
        <v>1767</v>
      </c>
      <c r="AVS5" s="63" t="s">
        <v>1768</v>
      </c>
      <c r="AVT5" s="63" t="s">
        <v>1769</v>
      </c>
      <c r="AVU5" s="63" t="s">
        <v>1770</v>
      </c>
      <c r="AVV5" s="63" t="s">
        <v>1771</v>
      </c>
      <c r="AVW5" s="63" t="s">
        <v>1772</v>
      </c>
      <c r="AVX5" s="63" t="s">
        <v>1773</v>
      </c>
      <c r="AVY5" s="63" t="s">
        <v>1774</v>
      </c>
      <c r="AVZ5" s="63" t="s">
        <v>1775</v>
      </c>
      <c r="AWA5" s="63" t="s">
        <v>1776</v>
      </c>
      <c r="AWB5" s="63" t="s">
        <v>1777</v>
      </c>
      <c r="AWC5" s="63" t="s">
        <v>1778</v>
      </c>
      <c r="AWD5" s="63" t="s">
        <v>585</v>
      </c>
      <c r="AWE5" s="63" t="s">
        <v>586</v>
      </c>
      <c r="AWF5" s="63" t="s">
        <v>587</v>
      </c>
      <c r="AWG5" s="63" t="s">
        <v>588</v>
      </c>
      <c r="AWH5" s="63" t="s">
        <v>589</v>
      </c>
      <c r="AWI5" s="63" t="s">
        <v>590</v>
      </c>
      <c r="AWJ5" s="63" t="s">
        <v>591</v>
      </c>
      <c r="AWK5" s="63" t="s">
        <v>592</v>
      </c>
      <c r="AWL5" s="63" t="s">
        <v>593</v>
      </c>
      <c r="AWM5" s="63" t="s">
        <v>594</v>
      </c>
      <c r="AWN5" s="63" t="s">
        <v>595</v>
      </c>
      <c r="AWO5" s="63" t="s">
        <v>596</v>
      </c>
      <c r="AWP5" s="63" t="s">
        <v>597</v>
      </c>
      <c r="AWQ5" s="63" t="s">
        <v>598</v>
      </c>
      <c r="AWR5" s="63" t="s">
        <v>599</v>
      </c>
      <c r="AWS5" s="63" t="s">
        <v>47</v>
      </c>
      <c r="AWT5" s="63" t="s">
        <v>1779</v>
      </c>
      <c r="AWU5" s="63" t="s">
        <v>1780</v>
      </c>
      <c r="AWV5" s="63" t="s">
        <v>1781</v>
      </c>
      <c r="AWW5" s="63" t="s">
        <v>1782</v>
      </c>
      <c r="AWX5" s="63" t="s">
        <v>1783</v>
      </c>
      <c r="AWY5" s="63" t="s">
        <v>1784</v>
      </c>
      <c r="AWZ5" s="63" t="s">
        <v>1785</v>
      </c>
      <c r="AXA5" s="63" t="s">
        <v>1786</v>
      </c>
      <c r="AXB5" s="63" t="s">
        <v>1787</v>
      </c>
      <c r="AXC5" s="63" t="s">
        <v>1788</v>
      </c>
      <c r="AXD5" s="63" t="s">
        <v>1789</v>
      </c>
      <c r="AXE5" s="63" t="s">
        <v>1790</v>
      </c>
      <c r="AXF5" s="63" t="s">
        <v>600</v>
      </c>
      <c r="AXG5" s="63" t="s">
        <v>601</v>
      </c>
      <c r="AXH5" s="63" t="s">
        <v>602</v>
      </c>
      <c r="AXI5" s="63" t="s">
        <v>603</v>
      </c>
      <c r="AXJ5" s="63" t="s">
        <v>604</v>
      </c>
      <c r="AXK5" s="63" t="s">
        <v>605</v>
      </c>
      <c r="AXL5" s="63" t="s">
        <v>606</v>
      </c>
      <c r="AXM5" s="63" t="s">
        <v>607</v>
      </c>
      <c r="AXN5" s="63" t="s">
        <v>608</v>
      </c>
      <c r="AXO5" s="63" t="s">
        <v>609</v>
      </c>
      <c r="AXP5" s="63" t="s">
        <v>610</v>
      </c>
      <c r="AXQ5" s="63" t="s">
        <v>611</v>
      </c>
      <c r="AXR5" s="63" t="s">
        <v>612</v>
      </c>
      <c r="AXS5" s="63" t="s">
        <v>613</v>
      </c>
      <c r="AXT5" s="63" t="s">
        <v>614</v>
      </c>
      <c r="AXU5" s="63" t="s">
        <v>615</v>
      </c>
      <c r="AXV5" s="63" t="s">
        <v>616</v>
      </c>
      <c r="AXW5" s="63" t="s">
        <v>617</v>
      </c>
      <c r="AXX5" s="63" t="s">
        <v>48</v>
      </c>
      <c r="AXY5" s="63" t="s">
        <v>1791</v>
      </c>
      <c r="AXZ5" s="63" t="s">
        <v>1792</v>
      </c>
      <c r="AYA5" s="63" t="s">
        <v>1793</v>
      </c>
      <c r="AYB5" s="63" t="s">
        <v>1794</v>
      </c>
      <c r="AYC5" s="63" t="s">
        <v>1795</v>
      </c>
      <c r="AYD5" s="63" t="s">
        <v>1796</v>
      </c>
      <c r="AYE5" s="63" t="s">
        <v>1797</v>
      </c>
      <c r="AYF5" s="63" t="s">
        <v>1798</v>
      </c>
      <c r="AYG5" s="63" t="s">
        <v>1799</v>
      </c>
      <c r="AYH5" s="63" t="s">
        <v>1800</v>
      </c>
      <c r="AYI5" s="63" t="s">
        <v>1801</v>
      </c>
      <c r="AYJ5" s="63" t="s">
        <v>1802</v>
      </c>
      <c r="AYK5" s="63" t="s">
        <v>1803</v>
      </c>
      <c r="AYL5" s="63" t="s">
        <v>1804</v>
      </c>
      <c r="AYM5" s="63" t="s">
        <v>1805</v>
      </c>
      <c r="AYN5" s="63" t="s">
        <v>1806</v>
      </c>
      <c r="AYO5" s="63" t="s">
        <v>618</v>
      </c>
      <c r="AYP5" s="63" t="s">
        <v>619</v>
      </c>
      <c r="AYQ5" s="63" t="s">
        <v>620</v>
      </c>
      <c r="AYR5" s="63" t="s">
        <v>621</v>
      </c>
      <c r="AYS5" s="63" t="s">
        <v>622</v>
      </c>
      <c r="AYT5" s="63" t="s">
        <v>623</v>
      </c>
      <c r="AYU5" s="63" t="s">
        <v>624</v>
      </c>
      <c r="AYV5" s="63" t="s">
        <v>625</v>
      </c>
      <c r="AYW5" s="63" t="s">
        <v>626</v>
      </c>
      <c r="AYX5" s="63" t="s">
        <v>627</v>
      </c>
      <c r="AYY5" s="63" t="s">
        <v>628</v>
      </c>
      <c r="AYZ5" s="63" t="s">
        <v>629</v>
      </c>
      <c r="AZA5" s="63" t="s">
        <v>630</v>
      </c>
      <c r="AZB5" s="63" t="s">
        <v>631</v>
      </c>
      <c r="AZC5" s="63" t="s">
        <v>49</v>
      </c>
      <c r="AZD5" s="63" t="s">
        <v>1807</v>
      </c>
      <c r="AZE5" s="63" t="s">
        <v>1808</v>
      </c>
      <c r="AZF5" s="63" t="s">
        <v>1809</v>
      </c>
      <c r="AZG5" s="63" t="s">
        <v>1810</v>
      </c>
      <c r="AZH5" s="63" t="s">
        <v>1811</v>
      </c>
      <c r="AZI5" s="63" t="s">
        <v>1812</v>
      </c>
      <c r="AZJ5" s="63" t="s">
        <v>1813</v>
      </c>
      <c r="AZK5" s="63" t="s">
        <v>1814</v>
      </c>
      <c r="AZL5" s="63" t="s">
        <v>1815</v>
      </c>
      <c r="AZM5" s="63" t="s">
        <v>1816</v>
      </c>
      <c r="AZN5" s="63" t="s">
        <v>1817</v>
      </c>
      <c r="AZO5" s="63" t="s">
        <v>1818</v>
      </c>
      <c r="AZP5" s="63" t="s">
        <v>632</v>
      </c>
      <c r="AZQ5" s="63" t="s">
        <v>633</v>
      </c>
      <c r="AZR5" s="63" t="s">
        <v>634</v>
      </c>
      <c r="AZS5" s="63" t="s">
        <v>635</v>
      </c>
      <c r="AZT5" s="63" t="s">
        <v>636</v>
      </c>
      <c r="AZU5" s="63" t="s">
        <v>637</v>
      </c>
      <c r="AZV5" s="63" t="s">
        <v>638</v>
      </c>
      <c r="AZW5" s="63" t="s">
        <v>639</v>
      </c>
      <c r="AZX5" s="63" t="s">
        <v>640</v>
      </c>
      <c r="AZY5" s="63" t="s">
        <v>641</v>
      </c>
      <c r="AZZ5" s="63" t="s">
        <v>642</v>
      </c>
      <c r="BAA5" s="63" t="s">
        <v>643</v>
      </c>
      <c r="BAB5" s="63" t="s">
        <v>644</v>
      </c>
      <c r="BAC5" s="63" t="s">
        <v>645</v>
      </c>
      <c r="BAD5" s="63" t="s">
        <v>646</v>
      </c>
      <c r="BAE5" s="63" t="s">
        <v>647</v>
      </c>
      <c r="BAF5" s="63" t="s">
        <v>648</v>
      </c>
      <c r="BAG5" s="63" t="s">
        <v>649</v>
      </c>
      <c r="BAH5" s="63" t="s">
        <v>50</v>
      </c>
      <c r="BAI5" s="63" t="s">
        <v>1819</v>
      </c>
      <c r="BAJ5" s="63" t="s">
        <v>1820</v>
      </c>
      <c r="BAK5" s="63" t="s">
        <v>1821</v>
      </c>
      <c r="BAL5" s="63" t="s">
        <v>1822</v>
      </c>
      <c r="BAM5" s="63" t="s">
        <v>1823</v>
      </c>
      <c r="BAN5" s="63" t="s">
        <v>1824</v>
      </c>
      <c r="BAO5" s="63" t="s">
        <v>1825</v>
      </c>
      <c r="BAP5" s="63" t="s">
        <v>1826</v>
      </c>
      <c r="BAQ5" s="63" t="s">
        <v>1827</v>
      </c>
      <c r="BAR5" s="63" t="s">
        <v>1828</v>
      </c>
      <c r="BAS5" s="63" t="s">
        <v>1829</v>
      </c>
      <c r="BAT5" s="63" t="s">
        <v>1830</v>
      </c>
      <c r="BAU5" s="63" t="s">
        <v>1831</v>
      </c>
      <c r="BAV5" s="63" t="s">
        <v>1832</v>
      </c>
      <c r="BAW5" s="63" t="s">
        <v>650</v>
      </c>
      <c r="BAX5" s="63" t="s">
        <v>651</v>
      </c>
      <c r="BAY5" s="63" t="s">
        <v>652</v>
      </c>
      <c r="BAZ5" s="63" t="s">
        <v>653</v>
      </c>
      <c r="BBA5" s="63" t="s">
        <v>654</v>
      </c>
      <c r="BBB5" s="63" t="s">
        <v>655</v>
      </c>
      <c r="BBC5" s="63" t="s">
        <v>656</v>
      </c>
      <c r="BBD5" s="63" t="s">
        <v>657</v>
      </c>
      <c r="BBE5" s="63" t="s">
        <v>658</v>
      </c>
      <c r="BBF5" s="63" t="s">
        <v>659</v>
      </c>
      <c r="BBG5" s="63" t="s">
        <v>660</v>
      </c>
      <c r="BBH5" s="63" t="s">
        <v>661</v>
      </c>
      <c r="BBI5" s="63" t="s">
        <v>662</v>
      </c>
      <c r="BBJ5" s="63" t="s">
        <v>663</v>
      </c>
      <c r="BBK5" s="63" t="s">
        <v>664</v>
      </c>
      <c r="BBL5" s="63" t="s">
        <v>665</v>
      </c>
      <c r="BBM5" s="63" t="s">
        <v>51</v>
      </c>
      <c r="BBN5" s="63" t="s">
        <v>1833</v>
      </c>
      <c r="BBO5" s="63" t="s">
        <v>1834</v>
      </c>
      <c r="BBP5" s="63" t="s">
        <v>1835</v>
      </c>
      <c r="BBQ5" s="63" t="s">
        <v>1836</v>
      </c>
      <c r="BBR5" s="63" t="s">
        <v>1837</v>
      </c>
      <c r="BBS5" s="63" t="s">
        <v>1838</v>
      </c>
      <c r="BBT5" s="63" t="s">
        <v>1839</v>
      </c>
      <c r="BBU5" s="63" t="s">
        <v>1840</v>
      </c>
      <c r="BBV5" s="63" t="s">
        <v>1841</v>
      </c>
      <c r="BBW5" s="63" t="s">
        <v>1842</v>
      </c>
      <c r="BBX5" s="63" t="s">
        <v>1843</v>
      </c>
      <c r="BBY5" s="63" t="s">
        <v>1844</v>
      </c>
      <c r="BBZ5" s="63" t="s">
        <v>1845</v>
      </c>
      <c r="BCA5" s="63" t="s">
        <v>1846</v>
      </c>
      <c r="BCB5" s="63" t="s">
        <v>1847</v>
      </c>
      <c r="BCC5" s="63" t="s">
        <v>1848</v>
      </c>
      <c r="BCD5" s="63" t="s">
        <v>666</v>
      </c>
      <c r="BCE5" s="63" t="s">
        <v>667</v>
      </c>
      <c r="BCF5" s="63" t="s">
        <v>668</v>
      </c>
      <c r="BCG5" s="63" t="s">
        <v>669</v>
      </c>
      <c r="BCH5" s="63" t="s">
        <v>670</v>
      </c>
      <c r="BCI5" s="63" t="s">
        <v>671</v>
      </c>
      <c r="BCJ5" s="63" t="s">
        <v>672</v>
      </c>
      <c r="BCK5" s="63" t="s">
        <v>673</v>
      </c>
      <c r="BCL5" s="63" t="s">
        <v>674</v>
      </c>
      <c r="BCM5" s="63" t="s">
        <v>675</v>
      </c>
      <c r="BCN5" s="63" t="s">
        <v>676</v>
      </c>
      <c r="BCO5" s="63" t="s">
        <v>677</v>
      </c>
      <c r="BCP5" s="63" t="s">
        <v>678</v>
      </c>
      <c r="BCQ5" s="63" t="s">
        <v>679</v>
      </c>
      <c r="BCR5" s="63" t="s">
        <v>52</v>
      </c>
      <c r="BCS5" s="63" t="s">
        <v>1849</v>
      </c>
      <c r="BCT5" s="63" t="s">
        <v>1850</v>
      </c>
      <c r="BCU5" s="63" t="s">
        <v>1851</v>
      </c>
      <c r="BCV5" s="63" t="s">
        <v>1852</v>
      </c>
      <c r="BCW5" s="63" t="s">
        <v>1853</v>
      </c>
      <c r="BCX5" s="63" t="s">
        <v>1854</v>
      </c>
      <c r="BCY5" s="63" t="s">
        <v>1855</v>
      </c>
      <c r="BCZ5" s="63" t="s">
        <v>1856</v>
      </c>
      <c r="BDA5" s="63" t="s">
        <v>1857</v>
      </c>
      <c r="BDB5" s="63" t="s">
        <v>1858</v>
      </c>
      <c r="BDC5" s="63" t="s">
        <v>1859</v>
      </c>
      <c r="BDD5" s="63" t="s">
        <v>1860</v>
      </c>
      <c r="BDE5" s="63" t="s">
        <v>1861</v>
      </c>
      <c r="BDF5" s="63" t="s">
        <v>1862</v>
      </c>
      <c r="BDG5" s="63" t="s">
        <v>1863</v>
      </c>
      <c r="BDH5" s="63" t="s">
        <v>1864</v>
      </c>
      <c r="BDI5" s="63" t="s">
        <v>1865</v>
      </c>
      <c r="BDJ5" s="63" t="s">
        <v>1866</v>
      </c>
      <c r="BDK5" s="63" t="s">
        <v>1867</v>
      </c>
      <c r="BDL5" s="63" t="s">
        <v>680</v>
      </c>
      <c r="BDM5" s="63" t="s">
        <v>681</v>
      </c>
      <c r="BDN5" s="63" t="s">
        <v>682</v>
      </c>
      <c r="BDO5" s="63" t="s">
        <v>683</v>
      </c>
      <c r="BDP5" s="63" t="s">
        <v>684</v>
      </c>
      <c r="BDQ5" s="63" t="s">
        <v>685</v>
      </c>
      <c r="BDR5" s="63" t="s">
        <v>686</v>
      </c>
      <c r="BDS5" s="63" t="s">
        <v>687</v>
      </c>
      <c r="BDT5" s="63" t="s">
        <v>688</v>
      </c>
      <c r="BDU5" s="63" t="s">
        <v>689</v>
      </c>
      <c r="BDV5" s="63" t="s">
        <v>690</v>
      </c>
      <c r="BDW5" s="63" t="s">
        <v>53</v>
      </c>
      <c r="BDX5" s="63" t="s">
        <v>1868</v>
      </c>
      <c r="BDY5" s="63" t="s">
        <v>1869</v>
      </c>
      <c r="BDZ5" s="63" t="s">
        <v>1870</v>
      </c>
      <c r="BEA5" s="63" t="s">
        <v>1871</v>
      </c>
      <c r="BEB5" s="63" t="s">
        <v>1872</v>
      </c>
      <c r="BEC5" s="63" t="s">
        <v>1873</v>
      </c>
      <c r="BED5" s="63" t="s">
        <v>1874</v>
      </c>
      <c r="BEE5" s="63" t="s">
        <v>1875</v>
      </c>
      <c r="BEF5" s="63" t="s">
        <v>1876</v>
      </c>
      <c r="BEG5" s="63" t="s">
        <v>1877</v>
      </c>
      <c r="BEH5" s="63" t="s">
        <v>1878</v>
      </c>
      <c r="BEI5" s="63" t="s">
        <v>1879</v>
      </c>
      <c r="BEJ5" s="63" t="s">
        <v>1880</v>
      </c>
      <c r="BEK5" s="63" t="s">
        <v>1881</v>
      </c>
      <c r="BEL5" s="63" t="s">
        <v>1882</v>
      </c>
      <c r="BEM5" s="63" t="s">
        <v>1883</v>
      </c>
      <c r="BEN5" s="63" t="s">
        <v>1884</v>
      </c>
      <c r="BEO5" s="63" t="s">
        <v>1885</v>
      </c>
      <c r="BEP5" s="63" t="s">
        <v>1886</v>
      </c>
      <c r="BEQ5" s="63" t="s">
        <v>1887</v>
      </c>
      <c r="BER5" s="63" t="s">
        <v>691</v>
      </c>
      <c r="BES5" s="63" t="s">
        <v>692</v>
      </c>
      <c r="BET5" s="63" t="s">
        <v>693</v>
      </c>
      <c r="BEU5" s="63" t="s">
        <v>694</v>
      </c>
      <c r="BEV5" s="63" t="s">
        <v>695</v>
      </c>
      <c r="BEW5" s="63" t="s">
        <v>696</v>
      </c>
      <c r="BEX5" s="63" t="s">
        <v>697</v>
      </c>
      <c r="BEY5" s="63" t="s">
        <v>698</v>
      </c>
      <c r="BEZ5" s="63" t="s">
        <v>699</v>
      </c>
      <c r="BFA5" s="63" t="s">
        <v>700</v>
      </c>
      <c r="BFB5" s="63" t="s">
        <v>54</v>
      </c>
      <c r="BFC5" s="63" t="s">
        <v>1888</v>
      </c>
      <c r="BFD5" s="63" t="s">
        <v>1889</v>
      </c>
      <c r="BFE5" s="63" t="s">
        <v>1890</v>
      </c>
      <c r="BFF5" s="63" t="s">
        <v>1891</v>
      </c>
      <c r="BFG5" s="63" t="s">
        <v>1892</v>
      </c>
      <c r="BFH5" s="63" t="s">
        <v>1893</v>
      </c>
      <c r="BFI5" s="63" t="s">
        <v>1894</v>
      </c>
      <c r="BFJ5" s="63" t="s">
        <v>1895</v>
      </c>
      <c r="BFK5" s="63" t="s">
        <v>1896</v>
      </c>
      <c r="BFL5" s="63" t="s">
        <v>1897</v>
      </c>
      <c r="BFM5" s="63" t="s">
        <v>1898</v>
      </c>
      <c r="BFN5" s="63" t="s">
        <v>1899</v>
      </c>
      <c r="BFO5" s="63" t="s">
        <v>1900</v>
      </c>
      <c r="BFP5" s="63" t="s">
        <v>1901</v>
      </c>
      <c r="BFQ5" s="63" t="s">
        <v>1902</v>
      </c>
      <c r="BFR5" s="63" t="s">
        <v>1903</v>
      </c>
      <c r="BFS5" s="63" t="s">
        <v>1904</v>
      </c>
      <c r="BFT5" s="63" t="s">
        <v>1905</v>
      </c>
      <c r="BFU5" s="63" t="s">
        <v>1906</v>
      </c>
      <c r="BFV5" s="63" t="s">
        <v>1907</v>
      </c>
      <c r="BFW5" s="63" t="s">
        <v>1908</v>
      </c>
      <c r="BFX5" s="63" t="s">
        <v>1909</v>
      </c>
      <c r="BFY5" s="63" t="s">
        <v>1910</v>
      </c>
      <c r="BFZ5" s="63" t="s">
        <v>701</v>
      </c>
      <c r="BGA5" s="63" t="s">
        <v>702</v>
      </c>
      <c r="BGB5" s="63" t="s">
        <v>703</v>
      </c>
      <c r="BGC5" s="63" t="s">
        <v>704</v>
      </c>
      <c r="BGD5" s="63" t="s">
        <v>705</v>
      </c>
      <c r="BGE5" s="63" t="s">
        <v>706</v>
      </c>
      <c r="BGF5" s="63" t="s">
        <v>707</v>
      </c>
      <c r="BGG5" s="63" t="s">
        <v>55</v>
      </c>
      <c r="BGH5" s="63" t="s">
        <v>1911</v>
      </c>
      <c r="BGI5" s="63" t="s">
        <v>1912</v>
      </c>
      <c r="BGJ5" s="63" t="s">
        <v>1913</v>
      </c>
      <c r="BGK5" s="63" t="s">
        <v>1914</v>
      </c>
      <c r="BGL5" s="63" t="s">
        <v>1915</v>
      </c>
      <c r="BGM5" s="63" t="s">
        <v>1916</v>
      </c>
      <c r="BGN5" s="63" t="s">
        <v>1917</v>
      </c>
      <c r="BGO5" s="63" t="s">
        <v>1918</v>
      </c>
      <c r="BGP5" s="63" t="s">
        <v>1919</v>
      </c>
      <c r="BGQ5" s="63" t="s">
        <v>1920</v>
      </c>
      <c r="BGR5" s="63" t="s">
        <v>1921</v>
      </c>
      <c r="BGS5" s="63" t="s">
        <v>1922</v>
      </c>
      <c r="BGT5" s="63" t="s">
        <v>1923</v>
      </c>
      <c r="BGU5" s="63" t="s">
        <v>1924</v>
      </c>
      <c r="BGV5" s="63" t="s">
        <v>1925</v>
      </c>
      <c r="BGW5" s="63" t="s">
        <v>1926</v>
      </c>
      <c r="BGX5" s="63" t="s">
        <v>1927</v>
      </c>
      <c r="BGY5" s="63" t="s">
        <v>1928</v>
      </c>
      <c r="BGZ5" s="63" t="s">
        <v>708</v>
      </c>
      <c r="BHA5" s="63" t="s">
        <v>709</v>
      </c>
      <c r="BHB5" s="63" t="s">
        <v>710</v>
      </c>
      <c r="BHC5" s="63" t="s">
        <v>711</v>
      </c>
      <c r="BHD5" s="63" t="s">
        <v>712</v>
      </c>
      <c r="BHE5" s="63" t="s">
        <v>713</v>
      </c>
      <c r="BHF5" s="63" t="s">
        <v>714</v>
      </c>
      <c r="BHG5" s="63" t="s">
        <v>715</v>
      </c>
      <c r="BHH5" s="63" t="s">
        <v>716</v>
      </c>
      <c r="BHI5" s="63" t="s">
        <v>717</v>
      </c>
      <c r="BHJ5" s="63" t="s">
        <v>718</v>
      </c>
      <c r="BHK5" s="63" t="s">
        <v>719</v>
      </c>
      <c r="BHL5" s="63" t="s">
        <v>56</v>
      </c>
      <c r="BHM5" s="63" t="s">
        <v>1929</v>
      </c>
      <c r="BHN5" s="63" t="s">
        <v>1930</v>
      </c>
      <c r="BHO5" s="63" t="s">
        <v>1931</v>
      </c>
      <c r="BHP5" s="63" t="s">
        <v>1932</v>
      </c>
      <c r="BHQ5" s="63" t="s">
        <v>1933</v>
      </c>
      <c r="BHR5" s="63" t="s">
        <v>1934</v>
      </c>
      <c r="BHS5" s="63" t="s">
        <v>1935</v>
      </c>
      <c r="BHT5" s="63" t="s">
        <v>1936</v>
      </c>
      <c r="BHU5" s="63" t="s">
        <v>1937</v>
      </c>
      <c r="BHV5" s="63" t="s">
        <v>1938</v>
      </c>
      <c r="BHW5" s="63" t="s">
        <v>1939</v>
      </c>
      <c r="BHX5" s="63" t="s">
        <v>1940</v>
      </c>
      <c r="BHY5" s="63" t="s">
        <v>1941</v>
      </c>
      <c r="BHZ5" s="63" t="s">
        <v>1942</v>
      </c>
      <c r="BIA5" s="63" t="s">
        <v>1943</v>
      </c>
      <c r="BIB5" s="63" t="s">
        <v>1944</v>
      </c>
      <c r="BIC5" s="63" t="s">
        <v>1945</v>
      </c>
      <c r="BID5" s="63" t="s">
        <v>720</v>
      </c>
      <c r="BIE5" s="63" t="s">
        <v>721</v>
      </c>
      <c r="BIF5" s="63" t="s">
        <v>722</v>
      </c>
      <c r="BIG5" s="63" t="s">
        <v>723</v>
      </c>
      <c r="BIH5" s="63" t="s">
        <v>724</v>
      </c>
      <c r="BII5" s="63" t="s">
        <v>725</v>
      </c>
      <c r="BIJ5" s="63" t="s">
        <v>726</v>
      </c>
      <c r="BIK5" s="63" t="s">
        <v>727</v>
      </c>
      <c r="BIL5" s="63" t="s">
        <v>728</v>
      </c>
      <c r="BIM5" s="63" t="s">
        <v>729</v>
      </c>
      <c r="BIN5" s="63" t="s">
        <v>730</v>
      </c>
      <c r="BIO5" s="63" t="s">
        <v>731</v>
      </c>
      <c r="BIP5" s="63" t="s">
        <v>732</v>
      </c>
      <c r="BIQ5" s="63" t="s">
        <v>57</v>
      </c>
      <c r="BIR5" s="63" t="s">
        <v>1946</v>
      </c>
      <c r="BIS5" s="63" t="s">
        <v>1947</v>
      </c>
      <c r="BIT5" s="63" t="s">
        <v>1948</v>
      </c>
      <c r="BIU5" s="63" t="s">
        <v>1949</v>
      </c>
      <c r="BIV5" s="63" t="s">
        <v>1950</v>
      </c>
      <c r="BIW5" s="63" t="s">
        <v>1951</v>
      </c>
      <c r="BIX5" s="63" t="s">
        <v>1952</v>
      </c>
      <c r="BIY5" s="63" t="s">
        <v>1953</v>
      </c>
      <c r="BIZ5" s="63" t="s">
        <v>1954</v>
      </c>
      <c r="BJA5" s="63" t="s">
        <v>1955</v>
      </c>
      <c r="BJB5" s="63" t="s">
        <v>1956</v>
      </c>
      <c r="BJC5" s="63" t="s">
        <v>1957</v>
      </c>
      <c r="BJD5" s="63" t="s">
        <v>1958</v>
      </c>
      <c r="BJE5" s="63" t="s">
        <v>1959</v>
      </c>
      <c r="BJF5" s="63" t="s">
        <v>1960</v>
      </c>
      <c r="BJG5" s="63" t="s">
        <v>1961</v>
      </c>
      <c r="BJH5" s="63" t="s">
        <v>1962</v>
      </c>
      <c r="BJI5" s="63" t="s">
        <v>1963</v>
      </c>
      <c r="BJJ5" s="63" t="s">
        <v>1964</v>
      </c>
      <c r="BJK5" s="63" t="s">
        <v>1965</v>
      </c>
      <c r="BJL5" s="63" t="s">
        <v>1966</v>
      </c>
      <c r="BJM5" s="63" t="s">
        <v>1967</v>
      </c>
      <c r="BJN5" s="63" t="s">
        <v>1968</v>
      </c>
      <c r="BJO5" s="63" t="s">
        <v>1969</v>
      </c>
      <c r="BJP5" s="63" t="s">
        <v>1970</v>
      </c>
      <c r="BJQ5" s="63" t="s">
        <v>1971</v>
      </c>
      <c r="BJR5" s="63" t="s">
        <v>733</v>
      </c>
      <c r="BJS5" s="63" t="s">
        <v>734</v>
      </c>
      <c r="BJT5" s="63" t="s">
        <v>735</v>
      </c>
      <c r="BJU5" s="63" t="s">
        <v>736</v>
      </c>
      <c r="BJV5" s="63" t="s">
        <v>58</v>
      </c>
      <c r="BJW5" s="63" t="s">
        <v>1972</v>
      </c>
      <c r="BJX5" s="63" t="s">
        <v>1973</v>
      </c>
      <c r="BJY5" s="63" t="s">
        <v>1974</v>
      </c>
      <c r="BJZ5" s="63" t="s">
        <v>1975</v>
      </c>
      <c r="BKA5" s="63" t="s">
        <v>1976</v>
      </c>
      <c r="BKB5" s="63" t="s">
        <v>1977</v>
      </c>
      <c r="BKC5" s="63" t="s">
        <v>1978</v>
      </c>
      <c r="BKD5" s="63" t="s">
        <v>1979</v>
      </c>
      <c r="BKE5" s="63" t="s">
        <v>1980</v>
      </c>
      <c r="BKF5" s="63" t="s">
        <v>1981</v>
      </c>
      <c r="BKG5" s="63" t="s">
        <v>1982</v>
      </c>
      <c r="BKH5" s="63" t="s">
        <v>1983</v>
      </c>
      <c r="BKI5" s="63" t="s">
        <v>1984</v>
      </c>
      <c r="BKJ5" s="63" t="s">
        <v>1985</v>
      </c>
      <c r="BKK5" s="63" t="s">
        <v>1986</v>
      </c>
      <c r="BKL5" s="63" t="s">
        <v>1987</v>
      </c>
      <c r="BKM5" s="63" t="s">
        <v>1988</v>
      </c>
      <c r="BKN5" s="63" t="s">
        <v>1989</v>
      </c>
      <c r="BKO5" s="63" t="s">
        <v>1990</v>
      </c>
      <c r="BKP5" s="63" t="s">
        <v>1991</v>
      </c>
      <c r="BKQ5" s="63" t="s">
        <v>1992</v>
      </c>
      <c r="BKR5" s="63" t="s">
        <v>1993</v>
      </c>
      <c r="BKS5" s="63" t="s">
        <v>737</v>
      </c>
      <c r="BKT5" s="63" t="s">
        <v>738</v>
      </c>
      <c r="BKU5" s="63" t="s">
        <v>739</v>
      </c>
      <c r="BKV5" s="63" t="s">
        <v>740</v>
      </c>
      <c r="BKW5" s="63" t="s">
        <v>741</v>
      </c>
      <c r="BKX5" s="63" t="s">
        <v>742</v>
      </c>
      <c r="BKY5" s="63" t="s">
        <v>743</v>
      </c>
      <c r="BKZ5" s="63" t="s">
        <v>744</v>
      </c>
      <c r="BLA5" s="63" t="s">
        <v>59</v>
      </c>
      <c r="BLB5" s="63" t="s">
        <v>1994</v>
      </c>
      <c r="BLC5" s="63" t="s">
        <v>1995</v>
      </c>
      <c r="BLD5" s="63" t="s">
        <v>1996</v>
      </c>
      <c r="BLE5" s="63" t="s">
        <v>1997</v>
      </c>
      <c r="BLF5" s="63" t="s">
        <v>1998</v>
      </c>
      <c r="BLG5" s="63" t="s">
        <v>1999</v>
      </c>
      <c r="BLH5" s="63" t="s">
        <v>2000</v>
      </c>
      <c r="BLI5" s="63" t="s">
        <v>2001</v>
      </c>
      <c r="BLJ5" s="63" t="s">
        <v>2002</v>
      </c>
      <c r="BLK5" s="63" t="s">
        <v>2003</v>
      </c>
      <c r="BLL5" s="63" t="s">
        <v>2004</v>
      </c>
      <c r="BLM5" s="63" t="s">
        <v>2005</v>
      </c>
      <c r="BLN5" s="63" t="s">
        <v>2006</v>
      </c>
      <c r="BLO5" s="63" t="s">
        <v>2007</v>
      </c>
      <c r="BLP5" s="63" t="s">
        <v>2008</v>
      </c>
      <c r="BLQ5" s="63" t="s">
        <v>2009</v>
      </c>
      <c r="BLR5" s="63" t="s">
        <v>2010</v>
      </c>
      <c r="BLS5" s="63" t="s">
        <v>2011</v>
      </c>
      <c r="BLT5" s="63" t="s">
        <v>2012</v>
      </c>
      <c r="BLU5" s="63" t="s">
        <v>2013</v>
      </c>
      <c r="BLV5" s="63" t="s">
        <v>2014</v>
      </c>
      <c r="BLW5" s="63" t="s">
        <v>2015</v>
      </c>
      <c r="BLX5" s="63" t="s">
        <v>2016</v>
      </c>
      <c r="BLY5" s="63" t="s">
        <v>2017</v>
      </c>
      <c r="BLZ5" s="63" t="s">
        <v>2018</v>
      </c>
      <c r="BMA5" s="63" t="s">
        <v>745</v>
      </c>
      <c r="BMB5" s="63" t="s">
        <v>746</v>
      </c>
      <c r="BMC5" s="63" t="s">
        <v>747</v>
      </c>
      <c r="BMD5" s="63" t="s">
        <v>748</v>
      </c>
      <c r="BME5" s="63" t="s">
        <v>749</v>
      </c>
      <c r="BMF5" s="63" t="s">
        <v>60</v>
      </c>
      <c r="BMG5" s="63" t="s">
        <v>2019</v>
      </c>
      <c r="BMH5" s="63" t="s">
        <v>2020</v>
      </c>
      <c r="BMI5" s="63" t="s">
        <v>2021</v>
      </c>
      <c r="BMJ5" s="63" t="s">
        <v>2022</v>
      </c>
      <c r="BMK5" s="63" t="s">
        <v>2023</v>
      </c>
      <c r="BML5" s="63" t="s">
        <v>2024</v>
      </c>
      <c r="BMM5" s="63" t="s">
        <v>2025</v>
      </c>
      <c r="BMN5" s="63" t="s">
        <v>2026</v>
      </c>
      <c r="BMO5" s="63" t="s">
        <v>2027</v>
      </c>
      <c r="BMP5" s="63" t="s">
        <v>2028</v>
      </c>
      <c r="BMQ5" s="63" t="s">
        <v>2029</v>
      </c>
      <c r="BMR5" s="63" t="s">
        <v>2030</v>
      </c>
      <c r="BMS5" s="63" t="s">
        <v>2031</v>
      </c>
      <c r="BMT5" s="63" t="s">
        <v>2032</v>
      </c>
      <c r="BMU5" s="63" t="s">
        <v>2033</v>
      </c>
      <c r="BMV5" s="63" t="s">
        <v>2034</v>
      </c>
      <c r="BMW5" s="63" t="s">
        <v>2035</v>
      </c>
      <c r="BMX5" s="63" t="s">
        <v>2036</v>
      </c>
      <c r="BMY5" s="63" t="s">
        <v>750</v>
      </c>
      <c r="BMZ5" s="63" t="s">
        <v>751</v>
      </c>
      <c r="BNA5" s="63" t="s">
        <v>752</v>
      </c>
      <c r="BNB5" s="63" t="s">
        <v>753</v>
      </c>
      <c r="BNC5" s="63" t="s">
        <v>754</v>
      </c>
      <c r="BND5" s="63" t="s">
        <v>755</v>
      </c>
      <c r="BNE5" s="63" t="s">
        <v>756</v>
      </c>
      <c r="BNF5" s="63" t="s">
        <v>757</v>
      </c>
      <c r="BNG5" s="63" t="s">
        <v>758</v>
      </c>
      <c r="BNH5" s="63" t="s">
        <v>759</v>
      </c>
      <c r="BNI5" s="63" t="s">
        <v>760</v>
      </c>
      <c r="BNJ5" s="63" t="s">
        <v>761</v>
      </c>
      <c r="BNK5" s="63" t="s">
        <v>61</v>
      </c>
      <c r="BNL5" s="63" t="s">
        <v>2037</v>
      </c>
      <c r="BNM5" s="63" t="s">
        <v>2038</v>
      </c>
      <c r="BNN5" s="63" t="s">
        <v>2039</v>
      </c>
      <c r="BNO5" s="63" t="s">
        <v>2040</v>
      </c>
      <c r="BNP5" s="63" t="s">
        <v>2041</v>
      </c>
      <c r="BNQ5" s="63" t="s">
        <v>2042</v>
      </c>
      <c r="BNR5" s="63" t="s">
        <v>2043</v>
      </c>
      <c r="BNS5" s="63" t="s">
        <v>2044</v>
      </c>
      <c r="BNT5" s="63" t="s">
        <v>2045</v>
      </c>
      <c r="BNU5" s="63" t="s">
        <v>2046</v>
      </c>
      <c r="BNV5" s="63" t="s">
        <v>2047</v>
      </c>
      <c r="BNW5" s="63" t="s">
        <v>2048</v>
      </c>
      <c r="BNX5" s="63" t="s">
        <v>2049</v>
      </c>
      <c r="BNY5" s="63" t="s">
        <v>2050</v>
      </c>
      <c r="BNZ5" s="63" t="s">
        <v>762</v>
      </c>
      <c r="BOA5" s="63" t="s">
        <v>763</v>
      </c>
      <c r="BOB5" s="63" t="s">
        <v>764</v>
      </c>
      <c r="BOC5" s="63" t="s">
        <v>765</v>
      </c>
      <c r="BOD5" s="63" t="s">
        <v>766</v>
      </c>
      <c r="BOE5" s="63" t="s">
        <v>767</v>
      </c>
      <c r="BOF5" s="63" t="s">
        <v>768</v>
      </c>
      <c r="BOG5" s="63" t="s">
        <v>769</v>
      </c>
      <c r="BOH5" s="63" t="s">
        <v>770</v>
      </c>
      <c r="BOI5" s="63" t="s">
        <v>771</v>
      </c>
      <c r="BOJ5" s="63" t="s">
        <v>772</v>
      </c>
      <c r="BOK5" s="63" t="s">
        <v>773</v>
      </c>
      <c r="BOL5" s="63" t="s">
        <v>774</v>
      </c>
      <c r="BOM5" s="63" t="s">
        <v>775</v>
      </c>
      <c r="BON5" s="63" t="s">
        <v>776</v>
      </c>
      <c r="BOO5" s="63" t="s">
        <v>777</v>
      </c>
      <c r="BOP5" s="63" t="s">
        <v>62</v>
      </c>
      <c r="BOQ5" s="63" t="s">
        <v>2051</v>
      </c>
      <c r="BOR5" s="63" t="s">
        <v>2052</v>
      </c>
      <c r="BOS5" s="63" t="s">
        <v>2053</v>
      </c>
      <c r="BOT5" s="63" t="s">
        <v>2054</v>
      </c>
      <c r="BOU5" s="63" t="s">
        <v>2055</v>
      </c>
      <c r="BOV5" s="63" t="s">
        <v>2056</v>
      </c>
      <c r="BOW5" s="63" t="s">
        <v>2057</v>
      </c>
      <c r="BOX5" s="63" t="s">
        <v>2058</v>
      </c>
      <c r="BOY5" s="63" t="s">
        <v>2059</v>
      </c>
      <c r="BOZ5" s="63" t="s">
        <v>2060</v>
      </c>
      <c r="BPA5" s="63" t="s">
        <v>2061</v>
      </c>
      <c r="BPB5" s="63" t="s">
        <v>2062</v>
      </c>
      <c r="BPC5" s="63" t="s">
        <v>2063</v>
      </c>
      <c r="BPD5" s="63" t="s">
        <v>2064</v>
      </c>
      <c r="BPE5" s="63" t="s">
        <v>2065</v>
      </c>
      <c r="BPF5" s="63" t="s">
        <v>2066</v>
      </c>
      <c r="BPG5" s="63" t="s">
        <v>2067</v>
      </c>
      <c r="BPH5" s="63" t="s">
        <v>778</v>
      </c>
      <c r="BPI5" s="63" t="s">
        <v>779</v>
      </c>
      <c r="BPJ5" s="63" t="s">
        <v>780</v>
      </c>
      <c r="BPK5" s="63" t="s">
        <v>781</v>
      </c>
      <c r="BPL5" s="63" t="s">
        <v>782</v>
      </c>
      <c r="BPM5" s="63" t="s">
        <v>783</v>
      </c>
      <c r="BPN5" s="63" t="s">
        <v>784</v>
      </c>
      <c r="BPO5" s="63" t="s">
        <v>785</v>
      </c>
      <c r="BPP5" s="63" t="s">
        <v>786</v>
      </c>
      <c r="BPQ5" s="63" t="s">
        <v>787</v>
      </c>
      <c r="BPR5" s="63" t="s">
        <v>788</v>
      </c>
      <c r="BPS5" s="63" t="s">
        <v>789</v>
      </c>
      <c r="BPT5" s="63" t="s">
        <v>790</v>
      </c>
      <c r="BPU5" s="63" t="s">
        <v>63</v>
      </c>
      <c r="BPV5" s="63" t="s">
        <v>791</v>
      </c>
      <c r="BPW5" s="63" t="s">
        <v>792</v>
      </c>
      <c r="BPX5" s="63" t="s">
        <v>793</v>
      </c>
      <c r="BPY5" s="63" t="s">
        <v>794</v>
      </c>
      <c r="BPZ5" s="63" t="s">
        <v>795</v>
      </c>
      <c r="BQA5" s="63" t="s">
        <v>796</v>
      </c>
      <c r="BQB5" s="63" t="s">
        <v>797</v>
      </c>
      <c r="BQC5" s="63" t="s">
        <v>798</v>
      </c>
      <c r="BQD5" s="63" t="s">
        <v>799</v>
      </c>
      <c r="BQE5" s="63" t="s">
        <v>800</v>
      </c>
      <c r="BQF5" s="63" t="s">
        <v>801</v>
      </c>
      <c r="BQG5" s="63" t="s">
        <v>802</v>
      </c>
      <c r="BQH5" s="63" t="s">
        <v>803</v>
      </c>
      <c r="BQI5" s="63" t="s">
        <v>804</v>
      </c>
      <c r="BQJ5" s="63" t="s">
        <v>805</v>
      </c>
      <c r="BQK5" s="63" t="s">
        <v>806</v>
      </c>
      <c r="BQL5" s="63" t="s">
        <v>807</v>
      </c>
      <c r="BQM5" s="63" t="s">
        <v>808</v>
      </c>
      <c r="BQN5" s="63" t="s">
        <v>809</v>
      </c>
      <c r="BQO5" s="63" t="s">
        <v>810</v>
      </c>
      <c r="BQP5" s="63" t="s">
        <v>811</v>
      </c>
      <c r="BQQ5" s="63" t="s">
        <v>812</v>
      </c>
      <c r="BQR5" s="63" t="s">
        <v>813</v>
      </c>
      <c r="BQS5" s="63" t="s">
        <v>814</v>
      </c>
      <c r="BQT5" s="63" t="s">
        <v>815</v>
      </c>
      <c r="BQU5" s="63" t="s">
        <v>816</v>
      </c>
      <c r="BQV5" s="63" t="s">
        <v>817</v>
      </c>
      <c r="BQW5" s="63" t="s">
        <v>818</v>
      </c>
      <c r="BQX5" s="63" t="s">
        <v>819</v>
      </c>
      <c r="BQY5" s="63" t="s">
        <v>820</v>
      </c>
      <c r="BQZ5" s="63" t="s">
        <v>64</v>
      </c>
      <c r="BRA5" s="63" t="s">
        <v>821</v>
      </c>
      <c r="BRB5" s="63" t="s">
        <v>822</v>
      </c>
      <c r="BRC5" s="63" t="s">
        <v>823</v>
      </c>
      <c r="BRD5" s="63" t="s">
        <v>824</v>
      </c>
      <c r="BRE5" s="63" t="s">
        <v>825</v>
      </c>
      <c r="BRF5" s="63" t="s">
        <v>826</v>
      </c>
      <c r="BRG5" s="63" t="s">
        <v>827</v>
      </c>
      <c r="BRH5" s="63" t="s">
        <v>828</v>
      </c>
      <c r="BRI5" s="63" t="s">
        <v>829</v>
      </c>
      <c r="BRJ5" s="63" t="s">
        <v>830</v>
      </c>
      <c r="BRK5" s="63" t="s">
        <v>831</v>
      </c>
      <c r="BRL5" s="63" t="s">
        <v>832</v>
      </c>
      <c r="BRM5" s="63" t="s">
        <v>833</v>
      </c>
      <c r="BRN5" s="63" t="s">
        <v>834</v>
      </c>
      <c r="BRO5" s="63" t="s">
        <v>835</v>
      </c>
      <c r="BRP5" s="63" t="s">
        <v>836</v>
      </c>
      <c r="BRQ5" s="63" t="s">
        <v>837</v>
      </c>
      <c r="BRR5" s="63" t="s">
        <v>838</v>
      </c>
      <c r="BRS5" s="63" t="s">
        <v>839</v>
      </c>
      <c r="BRT5" s="63" t="s">
        <v>840</v>
      </c>
      <c r="BRU5" s="63" t="s">
        <v>841</v>
      </c>
      <c r="BRV5" s="63" t="s">
        <v>842</v>
      </c>
      <c r="BRW5" s="63" t="s">
        <v>843</v>
      </c>
      <c r="BRX5" s="63" t="s">
        <v>844</v>
      </c>
      <c r="BRY5" s="63" t="s">
        <v>845</v>
      </c>
      <c r="BRZ5" s="63" t="s">
        <v>846</v>
      </c>
      <c r="BSA5" s="63" t="s">
        <v>847</v>
      </c>
      <c r="BSB5" s="63" t="s">
        <v>848</v>
      </c>
      <c r="BSC5" s="63" t="s">
        <v>849</v>
      </c>
      <c r="BSD5" s="63" t="s">
        <v>850</v>
      </c>
      <c r="BSE5" s="63" t="s">
        <v>65</v>
      </c>
      <c r="BSF5" s="63" t="s">
        <v>2068</v>
      </c>
      <c r="BSG5" s="63" t="s">
        <v>2069</v>
      </c>
      <c r="BSH5" s="63" t="s">
        <v>2070</v>
      </c>
      <c r="BSI5" s="63" t="s">
        <v>2071</v>
      </c>
      <c r="BSJ5" s="63" t="s">
        <v>2072</v>
      </c>
      <c r="BSK5" s="63" t="s">
        <v>2073</v>
      </c>
      <c r="BSL5" s="63" t="s">
        <v>2074</v>
      </c>
      <c r="BSM5" s="63" t="s">
        <v>2075</v>
      </c>
      <c r="BSN5" s="63" t="s">
        <v>2076</v>
      </c>
      <c r="BSO5" s="63" t="s">
        <v>2077</v>
      </c>
      <c r="BSP5" s="63" t="s">
        <v>2078</v>
      </c>
      <c r="BSQ5" s="63" t="s">
        <v>2079</v>
      </c>
      <c r="BSR5" s="63" t="s">
        <v>2080</v>
      </c>
      <c r="BSS5" s="63" t="s">
        <v>2081</v>
      </c>
      <c r="BST5" s="63" t="s">
        <v>2082</v>
      </c>
      <c r="BSU5" s="63" t="s">
        <v>851</v>
      </c>
      <c r="BSV5" s="63" t="s">
        <v>852</v>
      </c>
      <c r="BSW5" s="63" t="s">
        <v>853</v>
      </c>
      <c r="BSX5" s="63" t="s">
        <v>854</v>
      </c>
      <c r="BSY5" s="63" t="s">
        <v>855</v>
      </c>
      <c r="BSZ5" s="63" t="s">
        <v>856</v>
      </c>
      <c r="BTA5" s="63" t="s">
        <v>857</v>
      </c>
      <c r="BTB5" s="63" t="s">
        <v>858</v>
      </c>
      <c r="BTC5" s="63" t="s">
        <v>859</v>
      </c>
      <c r="BTD5" s="63" t="s">
        <v>860</v>
      </c>
      <c r="BTE5" s="63" t="s">
        <v>861</v>
      </c>
      <c r="BTF5" s="63" t="s">
        <v>862</v>
      </c>
      <c r="BTG5" s="63" t="s">
        <v>863</v>
      </c>
      <c r="BTH5" s="63" t="s">
        <v>864</v>
      </c>
      <c r="BTI5" s="63" t="s">
        <v>865</v>
      </c>
      <c r="BTJ5" s="63" t="s">
        <v>66</v>
      </c>
      <c r="BTK5" s="63" t="s">
        <v>2083</v>
      </c>
      <c r="BTL5" s="63" t="s">
        <v>2084</v>
      </c>
      <c r="BTM5" s="63" t="s">
        <v>2085</v>
      </c>
      <c r="BTN5" s="63" t="s">
        <v>2086</v>
      </c>
      <c r="BTO5" s="63" t="s">
        <v>2087</v>
      </c>
      <c r="BTP5" s="63" t="s">
        <v>2088</v>
      </c>
      <c r="BTQ5" s="63" t="s">
        <v>2089</v>
      </c>
      <c r="BTR5" s="63" t="s">
        <v>2090</v>
      </c>
      <c r="BTS5" s="63" t="s">
        <v>2091</v>
      </c>
      <c r="BTT5" s="63" t="s">
        <v>2092</v>
      </c>
      <c r="BTU5" s="63" t="s">
        <v>2093</v>
      </c>
      <c r="BTV5" s="63" t="s">
        <v>2094</v>
      </c>
      <c r="BTW5" s="63" t="s">
        <v>2095</v>
      </c>
      <c r="BTX5" s="63" t="s">
        <v>2096</v>
      </c>
      <c r="BTY5" s="63" t="s">
        <v>2097</v>
      </c>
      <c r="BTZ5" s="63" t="s">
        <v>2098</v>
      </c>
      <c r="BUA5" s="63" t="s">
        <v>2099</v>
      </c>
      <c r="BUB5" s="63" t="s">
        <v>2100</v>
      </c>
      <c r="BUC5" s="63" t="s">
        <v>866</v>
      </c>
      <c r="BUD5" s="63" t="s">
        <v>867</v>
      </c>
      <c r="BUE5" s="63" t="s">
        <v>868</v>
      </c>
      <c r="BUF5" s="63" t="s">
        <v>869</v>
      </c>
      <c r="BUG5" s="63" t="s">
        <v>870</v>
      </c>
      <c r="BUH5" s="63" t="s">
        <v>871</v>
      </c>
      <c r="BUI5" s="63" t="s">
        <v>872</v>
      </c>
      <c r="BUJ5" s="63" t="s">
        <v>873</v>
      </c>
      <c r="BUK5" s="63" t="s">
        <v>874</v>
      </c>
      <c r="BUL5" s="63" t="s">
        <v>875</v>
      </c>
      <c r="BUM5" s="63" t="s">
        <v>876</v>
      </c>
      <c r="BUN5" s="63" t="s">
        <v>877</v>
      </c>
      <c r="BUO5" s="63" t="s">
        <v>67</v>
      </c>
      <c r="BUP5" s="63" t="s">
        <v>2101</v>
      </c>
      <c r="BUQ5" s="63" t="s">
        <v>2102</v>
      </c>
      <c r="BUR5" s="63" t="s">
        <v>2103</v>
      </c>
      <c r="BUS5" s="63" t="s">
        <v>2104</v>
      </c>
      <c r="BUT5" s="63" t="s">
        <v>2105</v>
      </c>
      <c r="BUU5" s="63" t="s">
        <v>2106</v>
      </c>
      <c r="BUV5" s="63" t="s">
        <v>2107</v>
      </c>
      <c r="BUW5" s="63" t="s">
        <v>2108</v>
      </c>
      <c r="BUX5" s="63" t="s">
        <v>2109</v>
      </c>
      <c r="BUY5" s="63" t="s">
        <v>2110</v>
      </c>
      <c r="BUZ5" s="63" t="s">
        <v>2111</v>
      </c>
      <c r="BVA5" s="63" t="s">
        <v>2112</v>
      </c>
      <c r="BVB5" s="63" t="s">
        <v>2113</v>
      </c>
      <c r="BVC5" s="63" t="s">
        <v>2114</v>
      </c>
      <c r="BVD5" s="63" t="s">
        <v>878</v>
      </c>
      <c r="BVE5" s="63" t="s">
        <v>879</v>
      </c>
      <c r="BVF5" s="63" t="s">
        <v>880</v>
      </c>
      <c r="BVG5" s="63" t="s">
        <v>881</v>
      </c>
      <c r="BVH5" s="63" t="s">
        <v>882</v>
      </c>
      <c r="BVI5" s="63" t="s">
        <v>883</v>
      </c>
      <c r="BVJ5" s="63" t="s">
        <v>884</v>
      </c>
      <c r="BVK5" s="63" t="s">
        <v>885</v>
      </c>
      <c r="BVL5" s="63" t="s">
        <v>886</v>
      </c>
      <c r="BVM5" s="63" t="s">
        <v>887</v>
      </c>
      <c r="BVN5" s="63" t="s">
        <v>888</v>
      </c>
      <c r="BVO5" s="63" t="s">
        <v>889</v>
      </c>
      <c r="BVP5" s="63" t="s">
        <v>890</v>
      </c>
      <c r="BVQ5" s="63" t="s">
        <v>891</v>
      </c>
      <c r="BVR5" s="63" t="s">
        <v>892</v>
      </c>
      <c r="BVS5" s="63" t="s">
        <v>893</v>
      </c>
      <c r="BVT5" s="63" t="s">
        <v>68</v>
      </c>
      <c r="BVU5" s="63" t="s">
        <v>2115</v>
      </c>
      <c r="BVV5" s="63" t="s">
        <v>2116</v>
      </c>
      <c r="BVW5" s="63" t="s">
        <v>2117</v>
      </c>
      <c r="BVX5" s="63" t="s">
        <v>2118</v>
      </c>
      <c r="BVY5" s="63" t="s">
        <v>2119</v>
      </c>
      <c r="BVZ5" s="63" t="s">
        <v>2120</v>
      </c>
      <c r="BWA5" s="63" t="s">
        <v>2121</v>
      </c>
      <c r="BWB5" s="63" t="s">
        <v>2122</v>
      </c>
      <c r="BWC5" s="63" t="s">
        <v>2123</v>
      </c>
      <c r="BWD5" s="63" t="s">
        <v>2124</v>
      </c>
      <c r="BWE5" s="63" t="s">
        <v>2125</v>
      </c>
      <c r="BWF5" s="63" t="s">
        <v>2126</v>
      </c>
      <c r="BWG5" s="63" t="s">
        <v>2127</v>
      </c>
      <c r="BWH5" s="63" t="s">
        <v>2128</v>
      </c>
      <c r="BWI5" s="63" t="s">
        <v>2129</v>
      </c>
      <c r="BWJ5" s="63" t="s">
        <v>2130</v>
      </c>
      <c r="BWK5" s="63" t="s">
        <v>894</v>
      </c>
      <c r="BWL5" s="63" t="s">
        <v>895</v>
      </c>
      <c r="BWM5" s="63" t="s">
        <v>896</v>
      </c>
      <c r="BWN5" s="63" t="s">
        <v>897</v>
      </c>
      <c r="BWO5" s="63" t="s">
        <v>898</v>
      </c>
      <c r="BWP5" s="63" t="s">
        <v>899</v>
      </c>
      <c r="BWQ5" s="63" t="s">
        <v>900</v>
      </c>
      <c r="BWR5" s="63" t="s">
        <v>901</v>
      </c>
      <c r="BWS5" s="63" t="s">
        <v>902</v>
      </c>
      <c r="BWT5" s="63" t="s">
        <v>903</v>
      </c>
      <c r="BWU5" s="63" t="s">
        <v>904</v>
      </c>
      <c r="BWV5" s="63" t="s">
        <v>905</v>
      </c>
      <c r="BWW5" s="63" t="s">
        <v>906</v>
      </c>
      <c r="BWX5" s="63" t="s">
        <v>907</v>
      </c>
      <c r="BWY5" s="63" t="s">
        <v>69</v>
      </c>
      <c r="BWZ5" s="63" t="s">
        <v>2131</v>
      </c>
      <c r="BXA5" s="63" t="s">
        <v>2132</v>
      </c>
      <c r="BXB5" s="63" t="s">
        <v>2133</v>
      </c>
      <c r="BXC5" s="63" t="s">
        <v>2134</v>
      </c>
      <c r="BXD5" s="63" t="s">
        <v>2135</v>
      </c>
      <c r="BXE5" s="63" t="s">
        <v>2136</v>
      </c>
      <c r="BXF5" s="63" t="s">
        <v>2137</v>
      </c>
      <c r="BXG5" s="63" t="s">
        <v>2138</v>
      </c>
      <c r="BXH5" s="63" t="s">
        <v>2139</v>
      </c>
      <c r="BXI5" s="63" t="s">
        <v>2140</v>
      </c>
      <c r="BXJ5" s="63" t="s">
        <v>2141</v>
      </c>
      <c r="BXK5" s="63" t="s">
        <v>2142</v>
      </c>
      <c r="BXL5" s="63" t="s">
        <v>908</v>
      </c>
      <c r="BXM5" s="63" t="s">
        <v>909</v>
      </c>
      <c r="BXN5" s="63" t="s">
        <v>910</v>
      </c>
      <c r="BXO5" s="63" t="s">
        <v>911</v>
      </c>
      <c r="BXP5" s="63" t="s">
        <v>912</v>
      </c>
      <c r="BXQ5" s="63" t="s">
        <v>913</v>
      </c>
      <c r="BXR5" s="63" t="s">
        <v>914</v>
      </c>
      <c r="BXS5" s="63" t="s">
        <v>915</v>
      </c>
      <c r="BXT5" s="63" t="s">
        <v>916</v>
      </c>
      <c r="BXU5" s="63" t="s">
        <v>917</v>
      </c>
      <c r="BXV5" s="63" t="s">
        <v>918</v>
      </c>
      <c r="BXW5" s="63" t="s">
        <v>919</v>
      </c>
      <c r="BXX5" s="63" t="s">
        <v>920</v>
      </c>
      <c r="BXY5" s="63" t="s">
        <v>921</v>
      </c>
      <c r="BXZ5" s="63" t="s">
        <v>922</v>
      </c>
      <c r="BYA5" s="63" t="s">
        <v>923</v>
      </c>
      <c r="BYB5" s="63" t="s">
        <v>924</v>
      </c>
      <c r="BYC5" s="63" t="s">
        <v>925</v>
      </c>
      <c r="BYD5" s="63" t="s">
        <v>70</v>
      </c>
      <c r="BYE5" s="63" t="s">
        <v>2143</v>
      </c>
      <c r="BYF5" s="63" t="s">
        <v>2144</v>
      </c>
      <c r="BYG5" s="63" t="s">
        <v>2145</v>
      </c>
      <c r="BYH5" s="63" t="s">
        <v>2146</v>
      </c>
      <c r="BYI5" s="63" t="s">
        <v>2147</v>
      </c>
      <c r="BYJ5" s="63" t="s">
        <v>2148</v>
      </c>
      <c r="BYK5" s="63" t="s">
        <v>2149</v>
      </c>
      <c r="BYL5" s="63" t="s">
        <v>2150</v>
      </c>
      <c r="BYM5" s="63" t="s">
        <v>2151</v>
      </c>
      <c r="BYN5" s="63" t="s">
        <v>2152</v>
      </c>
      <c r="BYO5" s="63" t="s">
        <v>2153</v>
      </c>
      <c r="BYP5" s="63" t="s">
        <v>2154</v>
      </c>
      <c r="BYQ5" s="63" t="s">
        <v>2155</v>
      </c>
      <c r="BYR5" s="63" t="s">
        <v>2156</v>
      </c>
      <c r="BYS5" s="63" t="s">
        <v>2157</v>
      </c>
      <c r="BYT5" s="63" t="s">
        <v>926</v>
      </c>
      <c r="BYU5" s="63" t="s">
        <v>927</v>
      </c>
      <c r="BYV5" s="63" t="s">
        <v>928</v>
      </c>
      <c r="BYW5" s="63" t="s">
        <v>929</v>
      </c>
      <c r="BYX5" s="63" t="s">
        <v>930</v>
      </c>
      <c r="BYY5" s="63" t="s">
        <v>931</v>
      </c>
      <c r="BYZ5" s="63" t="s">
        <v>932</v>
      </c>
      <c r="BZA5" s="63" t="s">
        <v>933</v>
      </c>
      <c r="BZB5" s="63" t="s">
        <v>934</v>
      </c>
      <c r="BZC5" s="63" t="s">
        <v>935</v>
      </c>
      <c r="BZD5" s="63" t="s">
        <v>936</v>
      </c>
      <c r="BZE5" s="63" t="s">
        <v>937</v>
      </c>
      <c r="BZF5" s="63" t="s">
        <v>938</v>
      </c>
      <c r="BZG5" s="63" t="s">
        <v>939</v>
      </c>
      <c r="BZH5" s="63" t="s">
        <v>940</v>
      </c>
      <c r="BZI5" s="63" t="s">
        <v>71</v>
      </c>
      <c r="BZJ5" s="63" t="s">
        <v>2158</v>
      </c>
      <c r="BZK5" s="63" t="s">
        <v>2159</v>
      </c>
      <c r="BZL5" s="63" t="s">
        <v>2160</v>
      </c>
      <c r="BZM5" s="63" t="s">
        <v>2161</v>
      </c>
      <c r="BZN5" s="63" t="s">
        <v>2162</v>
      </c>
      <c r="BZO5" s="63" t="s">
        <v>2163</v>
      </c>
      <c r="BZP5" s="63" t="s">
        <v>2164</v>
      </c>
      <c r="BZQ5" s="63" t="s">
        <v>2165</v>
      </c>
      <c r="BZR5" s="63" t="s">
        <v>2166</v>
      </c>
      <c r="BZS5" s="63" t="s">
        <v>2167</v>
      </c>
      <c r="BZT5" s="63" t="s">
        <v>2168</v>
      </c>
      <c r="BZU5" s="63" t="s">
        <v>941</v>
      </c>
      <c r="BZV5" s="63" t="s">
        <v>942</v>
      </c>
      <c r="BZW5" s="63" t="s">
        <v>943</v>
      </c>
      <c r="BZX5" s="63" t="s">
        <v>944</v>
      </c>
      <c r="BZY5" s="63" t="s">
        <v>945</v>
      </c>
      <c r="BZZ5" s="63" t="s">
        <v>946</v>
      </c>
      <c r="CAA5" s="63" t="s">
        <v>947</v>
      </c>
      <c r="CAB5" s="63" t="s">
        <v>948</v>
      </c>
      <c r="CAC5" s="63" t="s">
        <v>949</v>
      </c>
      <c r="CAD5" s="63" t="s">
        <v>950</v>
      </c>
      <c r="CAE5" s="63" t="s">
        <v>951</v>
      </c>
      <c r="CAF5" s="63" t="s">
        <v>952</v>
      </c>
      <c r="CAG5" s="63" t="s">
        <v>953</v>
      </c>
      <c r="CAH5" s="63" t="s">
        <v>954</v>
      </c>
      <c r="CAI5" s="63" t="s">
        <v>955</v>
      </c>
      <c r="CAJ5" s="63" t="s">
        <v>956</v>
      </c>
      <c r="CAK5" s="63" t="s">
        <v>957</v>
      </c>
      <c r="CAL5" s="63" t="s">
        <v>958</v>
      </c>
      <c r="CAM5" s="63" t="s">
        <v>959</v>
      </c>
      <c r="CAN5" s="63" t="s">
        <v>72</v>
      </c>
      <c r="CAO5" s="63" t="s">
        <v>2169</v>
      </c>
      <c r="CAP5" s="63" t="s">
        <v>2170</v>
      </c>
      <c r="CAQ5" s="63" t="s">
        <v>2171</v>
      </c>
      <c r="CAR5" s="63" t="s">
        <v>2172</v>
      </c>
      <c r="CAS5" s="63" t="s">
        <v>2173</v>
      </c>
      <c r="CAT5" s="63" t="s">
        <v>2174</v>
      </c>
      <c r="CAU5" s="63" t="s">
        <v>2175</v>
      </c>
      <c r="CAV5" s="63" t="s">
        <v>2176</v>
      </c>
      <c r="CAW5" s="63" t="s">
        <v>2177</v>
      </c>
      <c r="CAX5" s="63" t="s">
        <v>2178</v>
      </c>
      <c r="CAY5" s="63" t="s">
        <v>2179</v>
      </c>
      <c r="CAZ5" s="63" t="s">
        <v>2180</v>
      </c>
      <c r="CBA5" s="63" t="s">
        <v>2181</v>
      </c>
      <c r="CBB5" s="63" t="s">
        <v>2182</v>
      </c>
      <c r="CBC5" s="63" t="s">
        <v>2183</v>
      </c>
      <c r="CBD5" s="63" t="s">
        <v>2184</v>
      </c>
      <c r="CBE5" s="63" t="s">
        <v>960</v>
      </c>
      <c r="CBF5" s="63" t="s">
        <v>961</v>
      </c>
      <c r="CBG5" s="63" t="s">
        <v>962</v>
      </c>
      <c r="CBH5" s="63" t="s">
        <v>963</v>
      </c>
      <c r="CBI5" s="63" t="s">
        <v>964</v>
      </c>
      <c r="CBJ5" s="63" t="s">
        <v>965</v>
      </c>
      <c r="CBK5" s="63" t="s">
        <v>966</v>
      </c>
      <c r="CBL5" s="63" t="s">
        <v>967</v>
      </c>
      <c r="CBM5" s="63" t="s">
        <v>968</v>
      </c>
      <c r="CBN5" s="63" t="s">
        <v>969</v>
      </c>
      <c r="CBO5" s="63" t="s">
        <v>970</v>
      </c>
      <c r="CBP5" s="63" t="s">
        <v>971</v>
      </c>
      <c r="CBQ5" s="63" t="s">
        <v>972</v>
      </c>
      <c r="CBR5" s="63" t="s">
        <v>973</v>
      </c>
      <c r="CBS5" s="63" t="s">
        <v>73</v>
      </c>
      <c r="CBT5" s="63" t="s">
        <v>2185</v>
      </c>
      <c r="CBU5" s="63" t="s">
        <v>2186</v>
      </c>
      <c r="CBV5" s="63" t="s">
        <v>2187</v>
      </c>
      <c r="CBW5" s="63" t="s">
        <v>2188</v>
      </c>
      <c r="CBX5" s="63" t="s">
        <v>2189</v>
      </c>
      <c r="CBY5" s="63" t="s">
        <v>2190</v>
      </c>
      <c r="CBZ5" s="63" t="s">
        <v>2191</v>
      </c>
      <c r="CCA5" s="63" t="s">
        <v>2192</v>
      </c>
      <c r="CCB5" s="63" t="s">
        <v>2193</v>
      </c>
      <c r="CCC5" s="63" t="s">
        <v>2194</v>
      </c>
      <c r="CCD5" s="63" t="s">
        <v>2195</v>
      </c>
      <c r="CCE5" s="63" t="s">
        <v>2196</v>
      </c>
      <c r="CCF5" s="63" t="s">
        <v>2197</v>
      </c>
      <c r="CCG5" s="63" t="s">
        <v>2198</v>
      </c>
      <c r="CCH5" s="63" t="s">
        <v>974</v>
      </c>
      <c r="CCI5" s="63" t="s">
        <v>975</v>
      </c>
      <c r="CCJ5" s="63" t="s">
        <v>976</v>
      </c>
      <c r="CCK5" s="63" t="s">
        <v>977</v>
      </c>
      <c r="CCL5" s="63" t="s">
        <v>978</v>
      </c>
      <c r="CCM5" s="63" t="s">
        <v>979</v>
      </c>
      <c r="CCN5" s="63" t="s">
        <v>980</v>
      </c>
      <c r="CCO5" s="63" t="s">
        <v>981</v>
      </c>
      <c r="CCP5" s="63" t="s">
        <v>982</v>
      </c>
      <c r="CCQ5" s="63" t="s">
        <v>983</v>
      </c>
      <c r="CCR5" s="63" t="s">
        <v>984</v>
      </c>
      <c r="CCS5" s="63" t="s">
        <v>985</v>
      </c>
      <c r="CCT5" s="63" t="s">
        <v>986</v>
      </c>
      <c r="CCU5" s="63" t="s">
        <v>987</v>
      </c>
      <c r="CCV5" s="63" t="s">
        <v>988</v>
      </c>
      <c r="CCW5" s="63" t="s">
        <v>989</v>
      </c>
      <c r="CCX5" s="63" t="s">
        <v>74</v>
      </c>
      <c r="CCY5" s="63" t="s">
        <v>2199</v>
      </c>
      <c r="CCZ5" s="63" t="s">
        <v>2200</v>
      </c>
      <c r="CDA5" s="63" t="s">
        <v>2201</v>
      </c>
      <c r="CDB5" s="63" t="s">
        <v>2202</v>
      </c>
      <c r="CDC5" s="63" t="s">
        <v>2203</v>
      </c>
      <c r="CDD5" s="63" t="s">
        <v>2204</v>
      </c>
      <c r="CDE5" s="63" t="s">
        <v>2205</v>
      </c>
      <c r="CDF5" s="63" t="s">
        <v>2206</v>
      </c>
      <c r="CDG5" s="63" t="s">
        <v>2207</v>
      </c>
      <c r="CDH5" s="63" t="s">
        <v>2208</v>
      </c>
      <c r="CDI5" s="63" t="s">
        <v>2209</v>
      </c>
      <c r="CDJ5" s="63" t="s">
        <v>2210</v>
      </c>
      <c r="CDK5" s="63" t="s">
        <v>2211</v>
      </c>
      <c r="CDL5" s="63" t="s">
        <v>2212</v>
      </c>
      <c r="CDM5" s="63" t="s">
        <v>2213</v>
      </c>
      <c r="CDN5" s="63" t="s">
        <v>2214</v>
      </c>
      <c r="CDO5" s="63" t="s">
        <v>2215</v>
      </c>
      <c r="CDP5" s="63" t="s">
        <v>2216</v>
      </c>
      <c r="CDQ5" s="63" t="s">
        <v>990</v>
      </c>
      <c r="CDR5" s="63" t="s">
        <v>991</v>
      </c>
      <c r="CDS5" s="63" t="s">
        <v>992</v>
      </c>
      <c r="CDT5" s="63" t="s">
        <v>993</v>
      </c>
      <c r="CDU5" s="63" t="s">
        <v>994</v>
      </c>
      <c r="CDV5" s="63" t="s">
        <v>995</v>
      </c>
      <c r="CDW5" s="63" t="s">
        <v>996</v>
      </c>
      <c r="CDX5" s="63" t="s">
        <v>997</v>
      </c>
      <c r="CDY5" s="63" t="s">
        <v>998</v>
      </c>
      <c r="CDZ5" s="63" t="s">
        <v>999</v>
      </c>
      <c r="CEA5" s="63" t="s">
        <v>1000</v>
      </c>
      <c r="CEB5" s="63" t="s">
        <v>1001</v>
      </c>
      <c r="CEC5" s="63" t="s">
        <v>75</v>
      </c>
      <c r="CED5" s="63" t="s">
        <v>2217</v>
      </c>
      <c r="CEE5" s="63" t="s">
        <v>2218</v>
      </c>
      <c r="CEF5" s="63" t="s">
        <v>2219</v>
      </c>
      <c r="CEG5" s="63" t="s">
        <v>2220</v>
      </c>
      <c r="CEH5" s="63" t="s">
        <v>2221</v>
      </c>
      <c r="CEI5" s="63" t="s">
        <v>2222</v>
      </c>
      <c r="CEJ5" s="63" t="s">
        <v>2223</v>
      </c>
      <c r="CEK5" s="63" t="s">
        <v>2224</v>
      </c>
      <c r="CEL5" s="63" t="s">
        <v>2225</v>
      </c>
      <c r="CEM5" s="63" t="s">
        <v>2226</v>
      </c>
      <c r="CEN5" s="63" t="s">
        <v>2227</v>
      </c>
      <c r="CEO5" s="63" t="s">
        <v>2228</v>
      </c>
      <c r="CEP5" s="63" t="s">
        <v>2229</v>
      </c>
      <c r="CEQ5" s="63" t="s">
        <v>2230</v>
      </c>
      <c r="CER5" s="63" t="s">
        <v>2231</v>
      </c>
      <c r="CES5" s="63" t="s">
        <v>1002</v>
      </c>
      <c r="CET5" s="63" t="s">
        <v>1003</v>
      </c>
      <c r="CEU5" s="63" t="s">
        <v>1004</v>
      </c>
      <c r="CEV5" s="63" t="s">
        <v>1005</v>
      </c>
      <c r="CEW5" s="63" t="s">
        <v>1006</v>
      </c>
      <c r="CEX5" s="63" t="s">
        <v>1007</v>
      </c>
      <c r="CEY5" s="63" t="s">
        <v>1008</v>
      </c>
      <c r="CEZ5" s="63" t="s">
        <v>1009</v>
      </c>
      <c r="CFA5" s="63" t="s">
        <v>1010</v>
      </c>
      <c r="CFB5" s="63" t="s">
        <v>1011</v>
      </c>
      <c r="CFC5" s="63" t="s">
        <v>1012</v>
      </c>
      <c r="CFD5" s="63" t="s">
        <v>1013</v>
      </c>
      <c r="CFE5" s="63" t="s">
        <v>1014</v>
      </c>
      <c r="CFF5" s="63" t="s">
        <v>1015</v>
      </c>
      <c r="CFG5" s="63" t="s">
        <v>1016</v>
      </c>
      <c r="CFH5" s="63" t="s">
        <v>76</v>
      </c>
      <c r="CFI5" s="63" t="s">
        <v>2232</v>
      </c>
      <c r="CFJ5" s="63" t="s">
        <v>2233</v>
      </c>
      <c r="CFK5" s="63" t="s">
        <v>2234</v>
      </c>
      <c r="CFL5" s="63" t="s">
        <v>2235</v>
      </c>
      <c r="CFM5" s="63" t="s">
        <v>2236</v>
      </c>
      <c r="CFN5" s="63" t="s">
        <v>2237</v>
      </c>
      <c r="CFO5" s="63" t="s">
        <v>2238</v>
      </c>
      <c r="CFP5" s="63" t="s">
        <v>2239</v>
      </c>
      <c r="CFQ5" s="63" t="s">
        <v>2240</v>
      </c>
      <c r="CFR5" s="63" t="s">
        <v>2241</v>
      </c>
      <c r="CFS5" s="63" t="s">
        <v>2242</v>
      </c>
      <c r="CFT5" s="63" t="s">
        <v>2243</v>
      </c>
      <c r="CFU5" s="63" t="s">
        <v>1017</v>
      </c>
      <c r="CFV5" s="63" t="s">
        <v>1018</v>
      </c>
      <c r="CFW5" s="63" t="s">
        <v>1019</v>
      </c>
      <c r="CFX5" s="63" t="s">
        <v>1020</v>
      </c>
      <c r="CFY5" s="63" t="s">
        <v>1021</v>
      </c>
      <c r="CFZ5" s="63" t="s">
        <v>1022</v>
      </c>
      <c r="CGA5" s="63" t="s">
        <v>1023</v>
      </c>
      <c r="CGB5" s="63" t="s">
        <v>1024</v>
      </c>
      <c r="CGC5" s="63" t="s">
        <v>1025</v>
      </c>
      <c r="CGD5" s="63" t="s">
        <v>1026</v>
      </c>
      <c r="CGE5" s="63" t="s">
        <v>1027</v>
      </c>
      <c r="CGF5" s="63" t="s">
        <v>1028</v>
      </c>
      <c r="CGG5" s="63" t="s">
        <v>1029</v>
      </c>
      <c r="CGH5" s="63" t="s">
        <v>1030</v>
      </c>
      <c r="CGI5" s="63" t="s">
        <v>1031</v>
      </c>
      <c r="CGJ5" s="63" t="s">
        <v>1032</v>
      </c>
      <c r="CGK5" s="63" t="s">
        <v>1033</v>
      </c>
      <c r="CGL5" s="63" t="s">
        <v>1034</v>
      </c>
      <c r="CGM5" s="63" t="s">
        <v>77</v>
      </c>
      <c r="CGN5" s="63" t="s">
        <v>1035</v>
      </c>
      <c r="CGO5" s="63" t="s">
        <v>1036</v>
      </c>
      <c r="CGP5" s="63" t="s">
        <v>1037</v>
      </c>
      <c r="CGQ5" s="63" t="s">
        <v>1038</v>
      </c>
      <c r="CGR5" s="63" t="s">
        <v>1039</v>
      </c>
      <c r="CGS5" s="63" t="s">
        <v>1040</v>
      </c>
      <c r="CGT5" s="63" t="s">
        <v>1041</v>
      </c>
      <c r="CGU5" s="63" t="s">
        <v>1042</v>
      </c>
      <c r="CGV5" s="63" t="s">
        <v>1043</v>
      </c>
      <c r="CGW5" s="63" t="s">
        <v>1044</v>
      </c>
      <c r="CGX5" s="63" t="s">
        <v>1045</v>
      </c>
      <c r="CGY5" s="63" t="s">
        <v>1046</v>
      </c>
      <c r="CGZ5" s="63" t="s">
        <v>1047</v>
      </c>
      <c r="CHA5" s="63" t="s">
        <v>1048</v>
      </c>
      <c r="CHB5" s="63" t="s">
        <v>1049</v>
      </c>
      <c r="CHC5" s="63" t="s">
        <v>1050</v>
      </c>
      <c r="CHD5" s="63" t="s">
        <v>1051</v>
      </c>
      <c r="CHE5" s="63" t="s">
        <v>1052</v>
      </c>
      <c r="CHF5" s="63" t="s">
        <v>1053</v>
      </c>
      <c r="CHG5" s="63" t="s">
        <v>1054</v>
      </c>
      <c r="CHH5" s="63" t="s">
        <v>1055</v>
      </c>
      <c r="CHI5" s="63" t="s">
        <v>1056</v>
      </c>
      <c r="CHJ5" s="63" t="s">
        <v>1057</v>
      </c>
      <c r="CHK5" s="63" t="s">
        <v>1058</v>
      </c>
      <c r="CHL5" s="63" t="s">
        <v>1059</v>
      </c>
      <c r="CHM5" s="63" t="s">
        <v>1060</v>
      </c>
      <c r="CHN5" s="63" t="s">
        <v>1061</v>
      </c>
      <c r="CHO5" s="63" t="s">
        <v>1062</v>
      </c>
      <c r="CHP5" s="63" t="s">
        <v>1063</v>
      </c>
      <c r="CHQ5" s="63" t="s">
        <v>1064</v>
      </c>
      <c r="CHR5" s="63" t="s">
        <v>78</v>
      </c>
      <c r="CHS5" s="63" t="s">
        <v>1065</v>
      </c>
      <c r="CHT5" s="63" t="s">
        <v>1066</v>
      </c>
      <c r="CHU5" s="63" t="s">
        <v>1067</v>
      </c>
      <c r="CHV5" s="63" t="s">
        <v>1068</v>
      </c>
      <c r="CHW5" s="63" t="s">
        <v>1069</v>
      </c>
      <c r="CHX5" s="63" t="s">
        <v>1070</v>
      </c>
      <c r="CHY5" s="63" t="s">
        <v>1071</v>
      </c>
      <c r="CHZ5" s="63" t="s">
        <v>1072</v>
      </c>
      <c r="CIA5" s="63" t="s">
        <v>1073</v>
      </c>
      <c r="CIB5" s="63" t="s">
        <v>1074</v>
      </c>
      <c r="CIC5" s="63" t="s">
        <v>1075</v>
      </c>
      <c r="CID5" s="63" t="s">
        <v>1076</v>
      </c>
      <c r="CIE5" s="63" t="s">
        <v>1077</v>
      </c>
      <c r="CIF5" s="63" t="s">
        <v>1078</v>
      </c>
      <c r="CIG5" s="63" t="s">
        <v>1079</v>
      </c>
      <c r="CIH5" s="63" t="s">
        <v>1080</v>
      </c>
      <c r="CII5" s="63" t="s">
        <v>1081</v>
      </c>
      <c r="CIJ5" s="63" t="s">
        <v>1082</v>
      </c>
      <c r="CIK5" s="63" t="s">
        <v>1083</v>
      </c>
      <c r="CIL5" s="63" t="s">
        <v>1084</v>
      </c>
      <c r="CIM5" s="63" t="s">
        <v>1085</v>
      </c>
      <c r="CIN5" s="63" t="s">
        <v>1086</v>
      </c>
      <c r="CIO5" s="63" t="s">
        <v>1087</v>
      </c>
      <c r="CIP5" s="63" t="s">
        <v>1088</v>
      </c>
      <c r="CIQ5" s="63" t="s">
        <v>1089</v>
      </c>
      <c r="CIR5" s="63" t="s">
        <v>1090</v>
      </c>
      <c r="CIS5" s="63" t="s">
        <v>1091</v>
      </c>
      <c r="CIT5" s="63" t="s">
        <v>1092</v>
      </c>
      <c r="CIU5" s="63" t="s">
        <v>1093</v>
      </c>
      <c r="CIV5" s="63" t="s">
        <v>1094</v>
      </c>
      <c r="CIW5" s="63" t="s">
        <v>79</v>
      </c>
      <c r="CIX5" s="63" t="s">
        <v>1095</v>
      </c>
      <c r="CIY5" s="63" t="s">
        <v>1096</v>
      </c>
      <c r="CIZ5" s="63" t="s">
        <v>1097</v>
      </c>
      <c r="CJA5" s="63" t="s">
        <v>1098</v>
      </c>
      <c r="CJB5" s="63" t="s">
        <v>1099</v>
      </c>
      <c r="CJC5" s="63" t="s">
        <v>1100</v>
      </c>
      <c r="CJD5" s="63" t="s">
        <v>1101</v>
      </c>
      <c r="CJE5" s="63" t="s">
        <v>1102</v>
      </c>
      <c r="CJF5" s="63" t="s">
        <v>1103</v>
      </c>
      <c r="CJG5" s="63" t="s">
        <v>1104</v>
      </c>
      <c r="CJH5" s="63" t="s">
        <v>1105</v>
      </c>
      <c r="CJI5" s="63" t="s">
        <v>1106</v>
      </c>
      <c r="CJJ5" s="63" t="s">
        <v>1107</v>
      </c>
      <c r="CJK5" s="63" t="s">
        <v>1108</v>
      </c>
      <c r="CJL5" s="63" t="s">
        <v>1109</v>
      </c>
      <c r="CJM5" s="63" t="s">
        <v>1110</v>
      </c>
      <c r="CJN5" s="63" t="s">
        <v>1111</v>
      </c>
      <c r="CJO5" s="63" t="s">
        <v>1112</v>
      </c>
      <c r="CJP5" s="63" t="s">
        <v>1113</v>
      </c>
      <c r="CJQ5" s="63" t="s">
        <v>1114</v>
      </c>
      <c r="CJR5" s="63" t="s">
        <v>1115</v>
      </c>
      <c r="CJS5" s="63" t="s">
        <v>1116</v>
      </c>
      <c r="CJT5" s="63" t="s">
        <v>1117</v>
      </c>
      <c r="CJU5" s="63" t="s">
        <v>1118</v>
      </c>
      <c r="CJV5" s="63" t="s">
        <v>1119</v>
      </c>
      <c r="CJW5" s="63" t="s">
        <v>1120</v>
      </c>
      <c r="CJX5" s="63" t="s">
        <v>1121</v>
      </c>
      <c r="CJY5" s="63" t="s">
        <v>1122</v>
      </c>
      <c r="CJZ5" s="63" t="s">
        <v>1123</v>
      </c>
      <c r="CKA5" s="63" t="s">
        <v>1124</v>
      </c>
      <c r="CKB5" s="63" t="s">
        <v>80</v>
      </c>
      <c r="CKC5" s="63" t="s">
        <v>1125</v>
      </c>
      <c r="CKD5" s="63" t="s">
        <v>1126</v>
      </c>
      <c r="CKE5" s="63" t="s">
        <v>1127</v>
      </c>
      <c r="CKF5" s="63" t="s">
        <v>1128</v>
      </c>
      <c r="CKG5" s="63" t="s">
        <v>1129</v>
      </c>
      <c r="CKH5" s="63" t="s">
        <v>1130</v>
      </c>
      <c r="CKI5" s="63" t="s">
        <v>1131</v>
      </c>
      <c r="CKJ5" s="63" t="s">
        <v>1132</v>
      </c>
      <c r="CKK5" s="63" t="s">
        <v>1133</v>
      </c>
      <c r="CKL5" s="63" t="s">
        <v>1134</v>
      </c>
      <c r="CKM5" s="63" t="s">
        <v>1135</v>
      </c>
      <c r="CKN5" s="63" t="s">
        <v>1136</v>
      </c>
      <c r="CKO5" s="63" t="s">
        <v>1137</v>
      </c>
      <c r="CKP5" s="63" t="s">
        <v>1138</v>
      </c>
      <c r="CKQ5" s="63" t="s">
        <v>1139</v>
      </c>
      <c r="CKR5" s="63" t="s">
        <v>1140</v>
      </c>
      <c r="CKS5" s="63" t="s">
        <v>1141</v>
      </c>
      <c r="CKT5" s="63" t="s">
        <v>1142</v>
      </c>
      <c r="CKU5" s="63" t="s">
        <v>1143</v>
      </c>
      <c r="CKV5" s="63" t="s">
        <v>1144</v>
      </c>
      <c r="CKW5" s="63" t="s">
        <v>1145</v>
      </c>
      <c r="CKX5" s="63" t="s">
        <v>1146</v>
      </c>
      <c r="CKY5" s="63" t="s">
        <v>1147</v>
      </c>
      <c r="CKZ5" s="63" t="s">
        <v>1148</v>
      </c>
      <c r="CLA5" s="63" t="s">
        <v>1149</v>
      </c>
      <c r="CLB5" s="63" t="s">
        <v>1150</v>
      </c>
      <c r="CLC5" s="63" t="s">
        <v>1151</v>
      </c>
      <c r="CLD5" s="63" t="s">
        <v>1152</v>
      </c>
      <c r="CLE5" s="63" t="s">
        <v>1153</v>
      </c>
      <c r="CLF5" s="63" t="s">
        <v>1154</v>
      </c>
      <c r="CLG5" s="63" t="s">
        <v>81</v>
      </c>
      <c r="CLH5" s="63" t="s">
        <v>1155</v>
      </c>
      <c r="CLI5" s="63" t="s">
        <v>1156</v>
      </c>
      <c r="CLJ5" s="63" t="s">
        <v>1157</v>
      </c>
      <c r="CLK5" s="63" t="s">
        <v>1158</v>
      </c>
      <c r="CLL5" s="63" t="s">
        <v>1159</v>
      </c>
      <c r="CLM5" s="63" t="s">
        <v>1160</v>
      </c>
      <c r="CLN5" s="63" t="s">
        <v>1161</v>
      </c>
      <c r="CLO5" s="63" t="s">
        <v>1162</v>
      </c>
      <c r="CLP5" s="63" t="s">
        <v>1163</v>
      </c>
      <c r="CLQ5" s="63" t="s">
        <v>1164</v>
      </c>
      <c r="CLR5" s="63" t="s">
        <v>1165</v>
      </c>
      <c r="CLS5" s="63" t="s">
        <v>1166</v>
      </c>
      <c r="CLT5" s="63" t="s">
        <v>1167</v>
      </c>
      <c r="CLU5" s="63" t="s">
        <v>1168</v>
      </c>
      <c r="CLV5" s="63" t="s">
        <v>1169</v>
      </c>
      <c r="CLW5" s="63" t="s">
        <v>1170</v>
      </c>
      <c r="CLX5" s="63" t="s">
        <v>1171</v>
      </c>
      <c r="CLY5" s="63" t="s">
        <v>1172</v>
      </c>
      <c r="CLZ5" s="63" t="s">
        <v>1173</v>
      </c>
      <c r="CMA5" s="63" t="s">
        <v>1174</v>
      </c>
      <c r="CMB5" s="63" t="s">
        <v>1175</v>
      </c>
      <c r="CMC5" s="63" t="s">
        <v>1176</v>
      </c>
      <c r="CMD5" s="63" t="s">
        <v>1177</v>
      </c>
      <c r="CME5" s="63" t="s">
        <v>1178</v>
      </c>
      <c r="CMF5" s="63" t="s">
        <v>1179</v>
      </c>
      <c r="CMG5" s="63" t="s">
        <v>1180</v>
      </c>
      <c r="CMH5" s="63" t="s">
        <v>1181</v>
      </c>
      <c r="CMI5" s="63" t="s">
        <v>1182</v>
      </c>
      <c r="CMJ5" s="63" t="s">
        <v>1183</v>
      </c>
      <c r="CMK5" s="63" t="s">
        <v>1184</v>
      </c>
      <c r="CML5" s="63" t="s">
        <v>82</v>
      </c>
      <c r="CMM5" s="63" t="s">
        <v>1185</v>
      </c>
      <c r="CMN5" s="63" t="s">
        <v>1186</v>
      </c>
      <c r="CMO5" s="63" t="s">
        <v>1187</v>
      </c>
      <c r="CMP5" s="63" t="s">
        <v>1188</v>
      </c>
      <c r="CMQ5" s="63" t="s">
        <v>1189</v>
      </c>
      <c r="CMR5" s="63" t="s">
        <v>1190</v>
      </c>
      <c r="CMS5" s="63" t="s">
        <v>1191</v>
      </c>
      <c r="CMT5" s="63" t="s">
        <v>1192</v>
      </c>
      <c r="CMU5" s="63" t="s">
        <v>1193</v>
      </c>
      <c r="CMV5" s="63" t="s">
        <v>1194</v>
      </c>
      <c r="CMW5" s="63" t="s">
        <v>1195</v>
      </c>
      <c r="CMX5" s="63" t="s">
        <v>1196</v>
      </c>
      <c r="CMY5" s="63" t="s">
        <v>1197</v>
      </c>
      <c r="CMZ5" s="63" t="s">
        <v>1198</v>
      </c>
      <c r="CNA5" s="63" t="s">
        <v>1199</v>
      </c>
      <c r="CNB5" s="63" t="s">
        <v>1200</v>
      </c>
      <c r="CNC5" s="63" t="s">
        <v>1201</v>
      </c>
      <c r="CND5" s="63" t="s">
        <v>1202</v>
      </c>
      <c r="CNE5" s="63" t="s">
        <v>1203</v>
      </c>
      <c r="CNF5" s="63" t="s">
        <v>1204</v>
      </c>
      <c r="CNG5" s="63" t="s">
        <v>1205</v>
      </c>
      <c r="CNH5" s="63" t="s">
        <v>1206</v>
      </c>
      <c r="CNI5" s="63" t="s">
        <v>1207</v>
      </c>
      <c r="CNJ5" s="63" t="s">
        <v>1208</v>
      </c>
      <c r="CNK5" s="63" t="s">
        <v>1209</v>
      </c>
      <c r="CNL5" s="63" t="s">
        <v>1210</v>
      </c>
      <c r="CNM5" s="63" t="s">
        <v>1211</v>
      </c>
      <c r="CNN5" s="63" t="s">
        <v>1212</v>
      </c>
      <c r="CNO5" s="63" t="s">
        <v>1213</v>
      </c>
      <c r="CNP5" s="63" t="s">
        <v>1214</v>
      </c>
      <c r="CNQ5" s="63" t="s">
        <v>83</v>
      </c>
      <c r="CNR5" s="63" t="s">
        <v>1215</v>
      </c>
      <c r="CNS5" s="63" t="s">
        <v>1216</v>
      </c>
      <c r="CNT5" s="63" t="s">
        <v>1217</v>
      </c>
      <c r="CNU5" s="63" t="s">
        <v>1218</v>
      </c>
      <c r="CNV5" s="63" t="s">
        <v>1219</v>
      </c>
      <c r="CNW5" s="63" t="s">
        <v>1220</v>
      </c>
      <c r="CNX5" s="63" t="s">
        <v>1221</v>
      </c>
      <c r="CNY5" s="63" t="s">
        <v>1222</v>
      </c>
      <c r="CNZ5" s="63" t="s">
        <v>1223</v>
      </c>
      <c r="COA5" s="63" t="s">
        <v>1224</v>
      </c>
      <c r="COB5" s="63" t="s">
        <v>1225</v>
      </c>
      <c r="COC5" s="63" t="s">
        <v>1226</v>
      </c>
      <c r="COD5" s="63" t="s">
        <v>1227</v>
      </c>
      <c r="COE5" s="63" t="s">
        <v>1228</v>
      </c>
      <c r="COF5" s="63" t="s">
        <v>1229</v>
      </c>
      <c r="COG5" s="63" t="s">
        <v>1230</v>
      </c>
      <c r="COH5" s="63" t="s">
        <v>1231</v>
      </c>
      <c r="COI5" s="63" t="s">
        <v>1232</v>
      </c>
      <c r="COJ5" s="63" t="s">
        <v>1233</v>
      </c>
      <c r="COK5" s="63" t="s">
        <v>1234</v>
      </c>
      <c r="COL5" s="63" t="s">
        <v>1235</v>
      </c>
      <c r="COM5" s="63" t="s">
        <v>1236</v>
      </c>
      <c r="CON5" s="63" t="s">
        <v>1237</v>
      </c>
      <c r="COO5" s="63" t="s">
        <v>1238</v>
      </c>
      <c r="COP5" s="63" t="s">
        <v>1239</v>
      </c>
      <c r="COQ5" s="63" t="s">
        <v>1240</v>
      </c>
      <c r="COR5" s="63" t="s">
        <v>1241</v>
      </c>
      <c r="COS5" s="63" t="s">
        <v>1242</v>
      </c>
      <c r="COT5" s="63" t="s">
        <v>1243</v>
      </c>
      <c r="COU5" s="63" t="s">
        <v>1244</v>
      </c>
      <c r="COV5" s="63" t="s">
        <v>84</v>
      </c>
      <c r="COW5" s="63" t="s">
        <v>1245</v>
      </c>
      <c r="COX5" s="63" t="s">
        <v>1246</v>
      </c>
      <c r="COY5" s="63" t="s">
        <v>1247</v>
      </c>
      <c r="COZ5" s="63" t="s">
        <v>1248</v>
      </c>
      <c r="CPA5" s="63" t="s">
        <v>1249</v>
      </c>
      <c r="CPB5" s="63" t="s">
        <v>1250</v>
      </c>
      <c r="CPC5" s="63" t="s">
        <v>1251</v>
      </c>
      <c r="CPD5" s="63" t="s">
        <v>1252</v>
      </c>
      <c r="CPE5" s="63" t="s">
        <v>1253</v>
      </c>
      <c r="CPF5" s="63" t="s">
        <v>1254</v>
      </c>
      <c r="CPG5" s="63" t="s">
        <v>1255</v>
      </c>
      <c r="CPH5" s="63" t="s">
        <v>1256</v>
      </c>
      <c r="CPI5" s="63" t="s">
        <v>1257</v>
      </c>
      <c r="CPJ5" s="63" t="s">
        <v>1258</v>
      </c>
      <c r="CPK5" s="63" t="s">
        <v>1259</v>
      </c>
      <c r="CPL5" s="63" t="s">
        <v>1260</v>
      </c>
      <c r="CPM5" s="63" t="s">
        <v>1261</v>
      </c>
      <c r="CPN5" s="63" t="s">
        <v>1262</v>
      </c>
      <c r="CPO5" s="63" t="s">
        <v>1263</v>
      </c>
      <c r="CPP5" s="63" t="s">
        <v>1264</v>
      </c>
      <c r="CPQ5" s="63" t="s">
        <v>1265</v>
      </c>
      <c r="CPR5" s="63" t="s">
        <v>1266</v>
      </c>
      <c r="CPS5" s="63" t="s">
        <v>1267</v>
      </c>
      <c r="CPT5" s="63" t="s">
        <v>1268</v>
      </c>
      <c r="CPU5" s="63" t="s">
        <v>1269</v>
      </c>
      <c r="CPV5" s="63" t="s">
        <v>1270</v>
      </c>
      <c r="CPW5" s="63" t="s">
        <v>1271</v>
      </c>
      <c r="CPX5" s="63" t="s">
        <v>1272</v>
      </c>
      <c r="CPY5" s="63" t="s">
        <v>1273</v>
      </c>
      <c r="CPZ5" s="63" t="s">
        <v>1274</v>
      </c>
      <c r="CQA5" s="63" t="s">
        <v>85</v>
      </c>
      <c r="CQB5" s="63" t="s">
        <v>1275</v>
      </c>
      <c r="CQC5" s="63" t="s">
        <v>1276</v>
      </c>
      <c r="CQD5" s="63" t="s">
        <v>1277</v>
      </c>
      <c r="CQE5" s="63" t="s">
        <v>1278</v>
      </c>
      <c r="CQF5" s="63" t="s">
        <v>1279</v>
      </c>
      <c r="CQG5" s="63" t="s">
        <v>1280</v>
      </c>
      <c r="CQH5" s="63" t="s">
        <v>1281</v>
      </c>
      <c r="CQI5" s="63" t="s">
        <v>1282</v>
      </c>
      <c r="CQJ5" s="63" t="s">
        <v>1283</v>
      </c>
      <c r="CQK5" s="63" t="s">
        <v>1284</v>
      </c>
      <c r="CQL5" s="63" t="s">
        <v>1285</v>
      </c>
      <c r="CQM5" s="63" t="s">
        <v>1286</v>
      </c>
      <c r="CQN5" s="63" t="s">
        <v>1287</v>
      </c>
      <c r="CQO5" s="63" t="s">
        <v>1288</v>
      </c>
      <c r="CQP5" s="63" t="s">
        <v>1289</v>
      </c>
      <c r="CQQ5" s="63" t="s">
        <v>1290</v>
      </c>
      <c r="CQR5" s="63" t="s">
        <v>1291</v>
      </c>
      <c r="CQS5" s="63" t="s">
        <v>1292</v>
      </c>
      <c r="CQT5" s="63" t="s">
        <v>1293</v>
      </c>
      <c r="CQU5" s="63" t="s">
        <v>1294</v>
      </c>
      <c r="CQV5" s="63" t="s">
        <v>1295</v>
      </c>
      <c r="CQW5" s="63" t="s">
        <v>1296</v>
      </c>
      <c r="CQX5" s="63" t="s">
        <v>1297</v>
      </c>
      <c r="CQY5" s="63" t="s">
        <v>1298</v>
      </c>
      <c r="CQZ5" s="63" t="s">
        <v>1299</v>
      </c>
      <c r="CRA5" s="63" t="s">
        <v>1300</v>
      </c>
      <c r="CRB5" s="63" t="s">
        <v>1301</v>
      </c>
      <c r="CRC5" s="63" t="s">
        <v>1302</v>
      </c>
      <c r="CRD5" s="63" t="s">
        <v>1303</v>
      </c>
      <c r="CRE5" s="63" t="s">
        <v>1304</v>
      </c>
      <c r="CRF5" s="63" t="s">
        <v>86</v>
      </c>
      <c r="CRG5" s="63" t="s">
        <v>1305</v>
      </c>
      <c r="CRH5" s="63" t="s">
        <v>1306</v>
      </c>
      <c r="CRI5" s="63" t="s">
        <v>1307</v>
      </c>
      <c r="CRJ5" s="63" t="s">
        <v>1308</v>
      </c>
      <c r="CRK5" s="63" t="s">
        <v>1309</v>
      </c>
      <c r="CRL5" s="63" t="s">
        <v>1310</v>
      </c>
      <c r="CRM5" s="63" t="s">
        <v>1311</v>
      </c>
      <c r="CRN5" s="63" t="s">
        <v>1312</v>
      </c>
      <c r="CRO5" s="63" t="s">
        <v>1313</v>
      </c>
      <c r="CRP5" s="63" t="s">
        <v>1314</v>
      </c>
      <c r="CRQ5" s="63" t="s">
        <v>1315</v>
      </c>
      <c r="CRR5" s="63" t="s">
        <v>1316</v>
      </c>
      <c r="CRS5" s="63" t="s">
        <v>1317</v>
      </c>
      <c r="CRT5" s="63" t="s">
        <v>1318</v>
      </c>
      <c r="CRU5" s="63" t="s">
        <v>1319</v>
      </c>
      <c r="CRV5" s="63" t="s">
        <v>1320</v>
      </c>
      <c r="CRW5" s="63" t="s">
        <v>1321</v>
      </c>
      <c r="CRX5" s="63" t="s">
        <v>1322</v>
      </c>
      <c r="CRY5" s="63" t="s">
        <v>1323</v>
      </c>
      <c r="CRZ5" s="63" t="s">
        <v>1324</v>
      </c>
      <c r="CSA5" s="63" t="s">
        <v>1325</v>
      </c>
      <c r="CSB5" s="63" t="s">
        <v>1326</v>
      </c>
      <c r="CSC5" s="63" t="s">
        <v>1327</v>
      </c>
      <c r="CSD5" s="63" t="s">
        <v>1328</v>
      </c>
      <c r="CSE5" s="63" t="s">
        <v>1329</v>
      </c>
      <c r="CSF5" s="63" t="s">
        <v>1330</v>
      </c>
      <c r="CSG5" s="63" t="s">
        <v>1331</v>
      </c>
      <c r="CSH5" s="63" t="s">
        <v>1332</v>
      </c>
      <c r="CSI5" s="63" t="s">
        <v>1333</v>
      </c>
      <c r="CSJ5" s="63" t="s">
        <v>1334</v>
      </c>
      <c r="CSK5" s="66" t="s">
        <v>1335</v>
      </c>
      <c r="CSL5" s="11" t="s">
        <v>1336</v>
      </c>
      <c r="CSM5" s="11" t="s">
        <v>1337</v>
      </c>
      <c r="CSN5" s="11" t="s">
        <v>1338</v>
      </c>
      <c r="CSO5" s="11" t="s">
        <v>1339</v>
      </c>
      <c r="CSP5" s="11" t="s">
        <v>1340</v>
      </c>
      <c r="CSQ5" s="67" t="s">
        <v>1341</v>
      </c>
      <c r="CSR5" s="11" t="s">
        <v>1342</v>
      </c>
      <c r="CSS5" s="11" t="s">
        <v>1343</v>
      </c>
      <c r="CST5" s="11" t="s">
        <v>1344</v>
      </c>
      <c r="CSU5" s="11" t="s">
        <v>1345</v>
      </c>
      <c r="CSV5" s="11" t="s">
        <v>1346</v>
      </c>
      <c r="CSW5" s="11" t="s">
        <v>1347</v>
      </c>
      <c r="CSX5" s="11" t="s">
        <v>1348</v>
      </c>
      <c r="CSY5" s="11" t="s">
        <v>1349</v>
      </c>
      <c r="CSZ5" s="11" t="s">
        <v>1350</v>
      </c>
      <c r="CTA5" s="11" t="s">
        <v>1351</v>
      </c>
      <c r="CTB5" s="11" t="s">
        <v>1352</v>
      </c>
      <c r="CTC5" s="11" t="s">
        <v>1353</v>
      </c>
      <c r="CTD5" s="11" t="s">
        <v>1354</v>
      </c>
      <c r="CTE5" s="11" t="s">
        <v>1355</v>
      </c>
      <c r="CTF5" s="11" t="s">
        <v>1356</v>
      </c>
      <c r="CTG5" s="11" t="s">
        <v>1357</v>
      </c>
      <c r="CTH5" s="11" t="s">
        <v>1358</v>
      </c>
      <c r="CTI5" s="11" t="s">
        <v>1359</v>
      </c>
      <c r="CTJ5" s="11" t="s">
        <v>1360</v>
      </c>
      <c r="CTK5" s="11" t="s">
        <v>1361</v>
      </c>
      <c r="CTL5" s="11" t="s">
        <v>1362</v>
      </c>
      <c r="CTM5" s="11" t="s">
        <v>1363</v>
      </c>
      <c r="CTN5" s="11" t="s">
        <v>1364</v>
      </c>
      <c r="CTO5" s="11" t="s">
        <v>1365</v>
      </c>
      <c r="CTP5" s="11" t="s">
        <v>1366</v>
      </c>
      <c r="CTQ5" s="11" t="s">
        <v>1367</v>
      </c>
      <c r="CTR5" s="11" t="s">
        <v>1368</v>
      </c>
      <c r="CTS5" s="11" t="s">
        <v>1369</v>
      </c>
      <c r="CTT5" s="11" t="s">
        <v>1370</v>
      </c>
      <c r="CTU5" s="11" t="s">
        <v>1371</v>
      </c>
      <c r="CTV5" s="11" t="s">
        <v>1372</v>
      </c>
      <c r="CTW5" s="11" t="s">
        <v>1373</v>
      </c>
      <c r="CTX5" s="11" t="s">
        <v>1374</v>
      </c>
      <c r="CTY5" s="11" t="s">
        <v>1375</v>
      </c>
      <c r="CTZ5" s="68" t="s">
        <v>2296</v>
      </c>
      <c r="CUA5" s="11" t="s">
        <v>2257</v>
      </c>
      <c r="CUB5" s="63" t="s">
        <v>2258</v>
      </c>
      <c r="CUC5" s="63" t="s">
        <v>2259</v>
      </c>
      <c r="CUD5" s="63" t="s">
        <v>2260</v>
      </c>
      <c r="CUE5" s="63" t="s">
        <v>2261</v>
      </c>
      <c r="CUF5" s="69" t="s">
        <v>2262</v>
      </c>
      <c r="CUG5" s="63" t="s">
        <v>2263</v>
      </c>
      <c r="CUH5" s="63" t="s">
        <v>2264</v>
      </c>
      <c r="CUI5" s="63" t="s">
        <v>2265</v>
      </c>
      <c r="CUJ5" s="63" t="s">
        <v>2266</v>
      </c>
      <c r="CUK5" s="63" t="s">
        <v>2267</v>
      </c>
      <c r="CUL5" s="63" t="s">
        <v>2268</v>
      </c>
      <c r="CUM5" s="63" t="s">
        <v>2269</v>
      </c>
      <c r="CUN5" s="63" t="s">
        <v>2270</v>
      </c>
      <c r="CUO5" s="63" t="s">
        <v>2271</v>
      </c>
      <c r="CUP5" s="63" t="s">
        <v>2272</v>
      </c>
      <c r="CUQ5" s="63" t="s">
        <v>2273</v>
      </c>
      <c r="CUR5" s="63" t="s">
        <v>2274</v>
      </c>
      <c r="CUS5" s="63" t="s">
        <v>2275</v>
      </c>
      <c r="CUT5" s="63" t="s">
        <v>2276</v>
      </c>
      <c r="CUU5" s="63" t="s">
        <v>2277</v>
      </c>
      <c r="CUV5" s="63" t="s">
        <v>2278</v>
      </c>
      <c r="CUW5" s="63" t="s">
        <v>2279</v>
      </c>
      <c r="CUX5" s="63" t="s">
        <v>2280</v>
      </c>
      <c r="CUY5" s="63" t="s">
        <v>2281</v>
      </c>
      <c r="CUZ5" s="63" t="s">
        <v>2282</v>
      </c>
      <c r="CVA5" s="63" t="s">
        <v>2283</v>
      </c>
      <c r="CVB5" s="63" t="s">
        <v>2284</v>
      </c>
      <c r="CVC5" s="63" t="s">
        <v>2285</v>
      </c>
      <c r="CVD5" s="63" t="s">
        <v>2286</v>
      </c>
      <c r="CVE5" s="63" t="s">
        <v>2287</v>
      </c>
      <c r="CVF5" s="63" t="s">
        <v>2288</v>
      </c>
      <c r="CVG5" s="63" t="s">
        <v>2289</v>
      </c>
      <c r="CVH5" s="63" t="s">
        <v>2290</v>
      </c>
      <c r="CVI5" s="63" t="s">
        <v>2291</v>
      </c>
      <c r="CVJ5" s="63" t="s">
        <v>2292</v>
      </c>
      <c r="CVK5" s="63" t="s">
        <v>2293</v>
      </c>
      <c r="CVL5" s="63" t="s">
        <v>2294</v>
      </c>
      <c r="CVM5" s="63" t="s">
        <v>2297</v>
      </c>
      <c r="CVN5" s="63" t="s">
        <v>2295</v>
      </c>
      <c r="CVO5" s="71" t="s">
        <v>2340</v>
      </c>
      <c r="CVP5" s="71" t="s">
        <v>2298</v>
      </c>
    </row>
    <row r="6" spans="1:2616" s="16" customFormat="1" ht="13.8" x14ac:dyDescent="0.25">
      <c r="A6" s="2" t="s">
        <v>2255</v>
      </c>
      <c r="B6" s="2" t="s">
        <v>2433</v>
      </c>
      <c r="C6" s="57" t="s">
        <v>2300</v>
      </c>
      <c r="D6" s="35">
        <v>5</v>
      </c>
      <c r="E6" s="16">
        <v>57</v>
      </c>
      <c r="G6" s="16" t="s">
        <v>1393</v>
      </c>
      <c r="H6" s="53" t="str">
        <f t="shared" ref="H6:H37" ca="1" si="99">IF(ISNA(MATCH(1,$CSL6:$CTY6,0)),"",(J6+1)/($B$1-MATCH(1,$CSL6:$CTY6,0)+2))</f>
        <v/>
      </c>
      <c r="I6" s="35" t="str">
        <f t="shared" ref="I6:I37" ca="1" si="100">IF(ISNA(MATCH(0,$CSL6:$CTY6,-1)),"",$B$1-MATCH(0,$CSL6:$CTY6,-1))</f>
        <v/>
      </c>
      <c r="J6" s="35">
        <f t="shared" ref="J6:J37" ca="1" si="101">SUM(CSL6:CTY6)</f>
        <v>0</v>
      </c>
      <c r="K6" s="49" t="str">
        <f t="shared" ref="K6:K37" ca="1" si="102">IF($J6&gt;0,SUM($CUA6:$CVN6)/$J6,"")</f>
        <v/>
      </c>
      <c r="L6" s="16">
        <v>205</v>
      </c>
      <c r="M6" s="12"/>
      <c r="N6" s="12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CSK6" s="54" t="str">
        <f t="shared" ref="CSK6:CSK37" si="103">"X"</f>
        <v>X</v>
      </c>
      <c r="CSL6" s="35" t="str">
        <f t="shared" ref="CSL6:CSU15" ca="1" si="104">IF(SUM(OFFSET($BA6:$DJ6,0,62*(CSL$1-1),,62))&gt;0,1,"")</f>
        <v/>
      </c>
      <c r="CSM6" s="35" t="str">
        <f t="shared" ca="1" si="104"/>
        <v/>
      </c>
      <c r="CSN6" s="35" t="str">
        <f t="shared" ca="1" si="104"/>
        <v/>
      </c>
      <c r="CSO6" s="35" t="str">
        <f t="shared" ca="1" si="104"/>
        <v/>
      </c>
      <c r="CSP6" s="35" t="str">
        <f t="shared" ca="1" si="104"/>
        <v/>
      </c>
      <c r="CSQ6" s="35" t="str">
        <f t="shared" ca="1" si="104"/>
        <v/>
      </c>
      <c r="CSR6" s="35" t="str">
        <f t="shared" ca="1" si="104"/>
        <v/>
      </c>
      <c r="CSS6" s="35" t="str">
        <f t="shared" ca="1" si="104"/>
        <v/>
      </c>
      <c r="CST6" s="35" t="str">
        <f t="shared" ca="1" si="104"/>
        <v/>
      </c>
      <c r="CSU6" s="35" t="str">
        <f t="shared" ca="1" si="104"/>
        <v/>
      </c>
      <c r="CSV6" s="35" t="str">
        <f t="shared" ref="CSV6:CTE15" ca="1" si="105">IF(SUM(OFFSET($BA6:$DJ6,0,62*(CSV$1-1),,62))&gt;0,1,"")</f>
        <v/>
      </c>
      <c r="CSW6" s="35" t="str">
        <f t="shared" ca="1" si="105"/>
        <v/>
      </c>
      <c r="CSX6" s="35" t="str">
        <f t="shared" ca="1" si="105"/>
        <v/>
      </c>
      <c r="CSY6" s="35" t="str">
        <f t="shared" ca="1" si="105"/>
        <v/>
      </c>
      <c r="CSZ6" s="35" t="str">
        <f t="shared" ca="1" si="105"/>
        <v/>
      </c>
      <c r="CTA6" s="35" t="str">
        <f t="shared" ca="1" si="105"/>
        <v/>
      </c>
      <c r="CTB6" s="35" t="str">
        <f t="shared" ca="1" si="105"/>
        <v/>
      </c>
      <c r="CTC6" s="35" t="str">
        <f t="shared" ca="1" si="105"/>
        <v/>
      </c>
      <c r="CTD6" s="35" t="str">
        <f t="shared" ca="1" si="105"/>
        <v/>
      </c>
      <c r="CTE6" s="35" t="str">
        <f t="shared" ca="1" si="105"/>
        <v/>
      </c>
      <c r="CTF6" s="35" t="str">
        <f t="shared" ref="CTF6:CTO15" ca="1" si="106">IF(SUM(OFFSET($BA6:$DJ6,0,62*(CTF$1-1),,62))&gt;0,1,"")</f>
        <v/>
      </c>
      <c r="CTG6" s="35" t="str">
        <f t="shared" ca="1" si="106"/>
        <v/>
      </c>
      <c r="CTH6" s="35" t="str">
        <f t="shared" ca="1" si="106"/>
        <v/>
      </c>
      <c r="CTI6" s="35" t="str">
        <f t="shared" ca="1" si="106"/>
        <v/>
      </c>
      <c r="CTJ6" s="35" t="str">
        <f t="shared" ca="1" si="106"/>
        <v/>
      </c>
      <c r="CTK6" s="35" t="str">
        <f t="shared" ca="1" si="106"/>
        <v/>
      </c>
      <c r="CTL6" s="35" t="str">
        <f t="shared" ca="1" si="106"/>
        <v/>
      </c>
      <c r="CTM6" s="35" t="str">
        <f t="shared" ca="1" si="106"/>
        <v/>
      </c>
      <c r="CTN6" s="35" t="str">
        <f t="shared" ca="1" si="106"/>
        <v/>
      </c>
      <c r="CTO6" s="35" t="str">
        <f t="shared" ca="1" si="106"/>
        <v/>
      </c>
      <c r="CTP6" s="35" t="str">
        <f t="shared" ref="CTP6:CTY15" ca="1" si="107">IF(SUM(OFFSET($BA6:$DJ6,0,62*(CTP$1-1),,62))&gt;0,1,"")</f>
        <v/>
      </c>
      <c r="CTQ6" s="35" t="str">
        <f t="shared" ca="1" si="107"/>
        <v/>
      </c>
      <c r="CTR6" s="35" t="str">
        <f t="shared" ca="1" si="107"/>
        <v/>
      </c>
      <c r="CTS6" s="35" t="str">
        <f t="shared" ca="1" si="107"/>
        <v/>
      </c>
      <c r="CTT6" s="35" t="str">
        <f t="shared" ca="1" si="107"/>
        <v/>
      </c>
      <c r="CTU6" s="35" t="str">
        <f t="shared" ca="1" si="107"/>
        <v/>
      </c>
      <c r="CTV6" s="35" t="str">
        <f t="shared" ca="1" si="107"/>
        <v/>
      </c>
      <c r="CTW6" s="35" t="str">
        <f t="shared" ca="1" si="107"/>
        <v/>
      </c>
      <c r="CTX6" s="35" t="str">
        <f t="shared" ca="1" si="107"/>
        <v/>
      </c>
      <c r="CTY6" s="35" t="str">
        <f t="shared" ca="1" si="107"/>
        <v/>
      </c>
      <c r="CTZ6" s="55" t="str">
        <f t="shared" ref="CTZ6:CTZ37" si="108">"X"</f>
        <v>X</v>
      </c>
      <c r="CUA6" s="16" t="str">
        <f t="shared" ref="CUA6:CUA37" ca="1" si="109">IF(AND(ISNUMBER(CSL6),CSL6&gt;0),SUM(OFFSET($BA6:$DJ6,0,62*(CUA$1-1),,62))-1,"")</f>
        <v/>
      </c>
      <c r="CUB6" s="16" t="str">
        <f t="shared" ref="CUB6:CUB37" ca="1" si="110">IF(AND(ISNUMBER(CSM6),CSM6&gt;0),SUM(OFFSET($BA6:$DJ6,0,62*(CUB$1-1),,62))-1,"")</f>
        <v/>
      </c>
      <c r="CUC6" s="16" t="str">
        <f t="shared" ref="CUC6:CUC37" ca="1" si="111">IF(AND(ISNUMBER(CSN6),CSN6&gt;0),SUM(OFFSET($BA6:$DJ6,0,62*(CUC$1-1),,62))-1,"")</f>
        <v/>
      </c>
      <c r="CUD6" s="16" t="str">
        <f t="shared" ref="CUD6:CUD37" ca="1" si="112">IF(AND(ISNUMBER(CSO6),CSO6&gt;0),SUM(OFFSET($BA6:$DJ6,0,62*(CUD$1-1),,62))-1,"")</f>
        <v/>
      </c>
      <c r="CUE6" s="16" t="str">
        <f t="shared" ref="CUE6:CUE37" ca="1" si="113">IF(AND(ISNUMBER(CSP6),CSP6&gt;0),SUM(OFFSET($BA6:$DJ6,0,62*(CUE$1-1),,62))-1,"")</f>
        <v/>
      </c>
      <c r="CUF6" s="16" t="str">
        <f t="shared" ref="CUF6:CUF37" ca="1" si="114">IF(AND(ISNUMBER(CSQ6),CSQ6&gt;0),SUM(OFFSET($BA6:$DJ6,0,62*(CUF$1-1),,62))-1,"")</f>
        <v/>
      </c>
      <c r="CUG6" s="16" t="str">
        <f t="shared" ref="CUG6:CUG37" ca="1" si="115">IF(AND(ISNUMBER(CSR6),CSR6&gt;0),SUM(OFFSET($BA6:$DJ6,0,62*(CUG$1-1),,62))-1,"")</f>
        <v/>
      </c>
      <c r="CUH6" s="16" t="str">
        <f t="shared" ref="CUH6:CUH37" ca="1" si="116">IF(AND(ISNUMBER(CSS6),CSS6&gt;0),SUM(OFFSET($BA6:$DJ6,0,62*(CUH$1-1),,62))-1,"")</f>
        <v/>
      </c>
      <c r="CUI6" s="16" t="str">
        <f t="shared" ref="CUI6:CUI37" ca="1" si="117">IF(AND(ISNUMBER(CST6),CST6&gt;0),SUM(OFFSET($BA6:$DJ6,0,62*(CUI$1-1),,62))-1,"")</f>
        <v/>
      </c>
      <c r="CUJ6" s="16" t="str">
        <f t="shared" ref="CUJ6:CUJ37" ca="1" si="118">IF(AND(ISNUMBER(CSU6),CSU6&gt;0),SUM(OFFSET($BA6:$DJ6,0,62*(CUJ$1-1),,62))-1,"")</f>
        <v/>
      </c>
      <c r="CUK6" s="16" t="str">
        <f t="shared" ref="CUK6:CUK37" ca="1" si="119">IF(AND(ISNUMBER(CSV6),CSV6&gt;0),SUM(OFFSET($BA6:$DJ6,0,62*(CUK$1-1),,62))-1,"")</f>
        <v/>
      </c>
      <c r="CUL6" s="16" t="str">
        <f t="shared" ref="CUL6:CUL37" ca="1" si="120">IF(AND(ISNUMBER(CSW6),CSW6&gt;0),SUM(OFFSET($BA6:$DJ6,0,62*(CUL$1-1),,62))-1,"")</f>
        <v/>
      </c>
      <c r="CUM6" s="16" t="str">
        <f t="shared" ref="CUM6:CUM37" ca="1" si="121">IF(AND(ISNUMBER(CSX6),CSX6&gt;0),SUM(OFFSET($BA6:$DJ6,0,62*(CUM$1-1),,62))-1,"")</f>
        <v/>
      </c>
      <c r="CUN6" s="16" t="str">
        <f t="shared" ref="CUN6:CUN37" ca="1" si="122">IF(AND(ISNUMBER(CSY6),CSY6&gt;0),SUM(OFFSET($BA6:$DJ6,0,62*(CUN$1-1),,62))-1,"")</f>
        <v/>
      </c>
      <c r="CUO6" s="16" t="str">
        <f t="shared" ref="CUO6:CUO37" ca="1" si="123">IF(AND(ISNUMBER(CSZ6),CSZ6&gt;0),SUM(OFFSET($BA6:$DJ6,0,62*(CUO$1-1),,62))-1,"")</f>
        <v/>
      </c>
      <c r="CUP6" s="16" t="str">
        <f t="shared" ref="CUP6:CUP37" ca="1" si="124">IF(AND(ISNUMBER(CTA6),CTA6&gt;0),SUM(OFFSET($BA6:$DJ6,0,62*(CUP$1-1),,62))-1,"")</f>
        <v/>
      </c>
      <c r="CUQ6" s="16" t="str">
        <f t="shared" ref="CUQ6:CUQ37" ca="1" si="125">IF(AND(ISNUMBER(CTB6),CTB6&gt;0),SUM(OFFSET($BA6:$DJ6,0,62*(CUQ$1-1),,62))-1,"")</f>
        <v/>
      </c>
      <c r="CUR6" s="16" t="str">
        <f t="shared" ref="CUR6:CUR37" ca="1" si="126">IF(AND(ISNUMBER(CTC6),CTC6&gt;0),SUM(OFFSET($BA6:$DJ6,0,62*(CUR$1-1),,62))-1,"")</f>
        <v/>
      </c>
      <c r="CUS6" s="16" t="str">
        <f t="shared" ref="CUS6:CUS37" ca="1" si="127">IF(AND(ISNUMBER(CTD6),CTD6&gt;0),SUM(OFFSET($BA6:$DJ6,0,62*(CUS$1-1),,62))-1,"")</f>
        <v/>
      </c>
      <c r="CUT6" s="16" t="str">
        <f t="shared" ref="CUT6:CUT37" ca="1" si="128">IF(AND(ISNUMBER(CTE6),CTE6&gt;0),SUM(OFFSET($BA6:$DJ6,0,62*(CUT$1-1),,62))-1,"")</f>
        <v/>
      </c>
      <c r="CUU6" s="16" t="str">
        <f t="shared" ref="CUU6:CUU37" ca="1" si="129">IF(AND(ISNUMBER(CTF6),CTF6&gt;0),SUM(OFFSET($BA6:$DJ6,0,62*(CUU$1-1),,62))-1,"")</f>
        <v/>
      </c>
      <c r="CUV6" s="16" t="str">
        <f t="shared" ref="CUV6:CUV37" ca="1" si="130">IF(AND(ISNUMBER(CTG6),CTG6&gt;0),SUM(OFFSET($BA6:$DJ6,0,62*(CUV$1-1),,62))-1,"")</f>
        <v/>
      </c>
      <c r="CUW6" s="16" t="str">
        <f t="shared" ref="CUW6:CUW37" ca="1" si="131">IF(AND(ISNUMBER(CTH6),CTH6&gt;0),SUM(OFFSET($BA6:$DJ6,0,62*(CUW$1-1),,62))-1,"")</f>
        <v/>
      </c>
      <c r="CUX6" s="16" t="str">
        <f t="shared" ref="CUX6:CUX37" ca="1" si="132">IF(AND(ISNUMBER(CTI6),CTI6&gt;0),SUM(OFFSET($BA6:$DJ6,0,62*(CUX$1-1),,62))-1,"")</f>
        <v/>
      </c>
      <c r="CUY6" s="16" t="str">
        <f t="shared" ref="CUY6:CUY37" ca="1" si="133">IF(AND(ISNUMBER(CTJ6),CTJ6&gt;0),SUM(OFFSET($BA6:$DJ6,0,62*(CUY$1-1),,62))-1,"")</f>
        <v/>
      </c>
      <c r="CUZ6" s="16" t="str">
        <f t="shared" ref="CUZ6:CUZ37" ca="1" si="134">IF(AND(ISNUMBER(CTK6),CTK6&gt;0),SUM(OFFSET($BA6:$DJ6,0,62*(CUZ$1-1),,62))-1,"")</f>
        <v/>
      </c>
      <c r="CVA6" s="16" t="str">
        <f t="shared" ref="CVA6:CVA37" ca="1" si="135">IF(AND(ISNUMBER(CTL6),CTL6&gt;0),SUM(OFFSET($BA6:$DJ6,0,62*(CVA$1-1),,62))-1,"")</f>
        <v/>
      </c>
      <c r="CVB6" s="16" t="str">
        <f t="shared" ref="CVB6:CVB37" ca="1" si="136">IF(AND(ISNUMBER(CTM6),CTM6&gt;0),SUM(OFFSET($BA6:$DJ6,0,62*(CVB$1-1),,62))-1,"")</f>
        <v/>
      </c>
      <c r="CVC6" s="16" t="str">
        <f t="shared" ref="CVC6:CVC37" ca="1" si="137">IF(AND(ISNUMBER(CTN6),CTN6&gt;0),SUM(OFFSET($BA6:$DJ6,0,62*(CVC$1-1),,62))-1,"")</f>
        <v/>
      </c>
      <c r="CVD6" s="16" t="str">
        <f t="shared" ref="CVD6:CVD37" ca="1" si="138">IF(AND(ISNUMBER(CTO6),CTO6&gt;0),SUM(OFFSET($BA6:$DJ6,0,62*(CVD$1-1),,62))-1,"")</f>
        <v/>
      </c>
      <c r="CVE6" s="16" t="str">
        <f t="shared" ref="CVE6:CVE37" ca="1" si="139">IF(AND(ISNUMBER(CTP6),CTP6&gt;0),SUM(OFFSET($BA6:$DJ6,0,62*(CVE$1-1),,62))-1,"")</f>
        <v/>
      </c>
      <c r="CVF6" s="16" t="str">
        <f t="shared" ref="CVF6:CVF37" ca="1" si="140">IF(AND(ISNUMBER(CTQ6),CTQ6&gt;0),SUM(OFFSET($BA6:$DJ6,0,62*(CVF$1-1),,62))-1,"")</f>
        <v/>
      </c>
      <c r="CVG6" s="16" t="str">
        <f t="shared" ref="CVG6:CVG37" ca="1" si="141">IF(AND(ISNUMBER(CTR6),CTR6&gt;0),SUM(OFFSET($BA6:$DJ6,0,62*(CVG$1-1),,62))-1,"")</f>
        <v/>
      </c>
      <c r="CVH6" s="16" t="str">
        <f t="shared" ref="CVH6:CVH37" ca="1" si="142">IF(AND(ISNUMBER(CTS6),CTS6&gt;0),SUM(OFFSET($BA6:$DJ6,0,62*(CVH$1-1),,62))-1,"")</f>
        <v/>
      </c>
      <c r="CVI6" s="16" t="str">
        <f t="shared" ref="CVI6:CVI37" ca="1" si="143">IF(AND(ISNUMBER(CTT6),CTT6&gt;0),SUM(OFFSET($BA6:$DJ6,0,62*(CVI$1-1),,62))-1,"")</f>
        <v/>
      </c>
      <c r="CVJ6" s="16" t="str">
        <f t="shared" ref="CVJ6:CVJ37" ca="1" si="144">IF(AND(ISNUMBER(CTU6),CTU6&gt;0),SUM(OFFSET($BA6:$DJ6,0,62*(CVJ$1-1),,62))-1,"")</f>
        <v/>
      </c>
      <c r="CVK6" s="16" t="str">
        <f t="shared" ref="CVK6:CVK37" ca="1" si="145">IF(AND(ISNUMBER(CTV6),CTV6&gt;0),SUM(OFFSET($BA6:$DJ6,0,62*(CVK$1-1),,62))-1,"")</f>
        <v/>
      </c>
      <c r="CVL6" s="16" t="str">
        <f t="shared" ref="CVL6:CVL37" ca="1" si="146">IF(AND(ISNUMBER(CTW6),CTW6&gt;0),SUM(OFFSET($BA6:$DJ6,0,62*(CVL$1-1),,62))-1,"")</f>
        <v/>
      </c>
      <c r="CVM6" s="16" t="str">
        <f t="shared" ref="CVM6:CVM37" ca="1" si="147">IF(AND(ISNUMBER(CTX6),CTX6&gt;0),SUM(OFFSET($BA6:$DJ6,0,62*(CVM$1-1),,62))-1,"")</f>
        <v/>
      </c>
      <c r="CVN6" s="16" t="str">
        <f t="shared" ref="CVN6:CVN37" ca="1" si="148">IF(AND(ISNUMBER(CTY6),CTY6&gt;0),SUM(OFFSET($BA6:$DJ6,0,62*(CVN$1-1),,62))-1,"")</f>
        <v/>
      </c>
      <c r="CVO6" s="16" t="str">
        <f t="shared" ref="CVO6:CVO37" si="149">SUBSTITUTE(SUBSTITUTE(LOWER(A6&amp;B6),"ё","е")," ","")</f>
        <v>ивановартем</v>
      </c>
      <c r="CVP6" s="16" t="str">
        <f>IFERROR(VLOOKUP(CVO6,'Внешние данные'!A:Z,4,FALSE),"")</f>
        <v/>
      </c>
    </row>
    <row r="7" spans="1:2616" s="16" customFormat="1" ht="13.8" x14ac:dyDescent="0.25">
      <c r="A7" s="2" t="s">
        <v>2344</v>
      </c>
      <c r="B7" s="2" t="s">
        <v>2451</v>
      </c>
      <c r="C7" s="57" t="s">
        <v>2301</v>
      </c>
      <c r="D7" s="35">
        <v>6</v>
      </c>
      <c r="E7" s="58">
        <v>179</v>
      </c>
      <c r="G7" s="16" t="s">
        <v>1393</v>
      </c>
      <c r="H7" s="53">
        <f t="shared" ca="1" si="99"/>
        <v>0.91666666666666663</v>
      </c>
      <c r="I7" s="35">
        <f ca="1">IF(ISNA(MATCH(0,$CSL7:$CTY7,-1)),"",$B$1-MATCH(0,$CSL7:$CTY7,-1))</f>
        <v>0</v>
      </c>
      <c r="J7" s="35">
        <f t="shared" ca="1" si="101"/>
        <v>10</v>
      </c>
      <c r="K7" s="49">
        <f t="shared" ca="1" si="102"/>
        <v>9.6</v>
      </c>
      <c r="L7" s="16">
        <v>305</v>
      </c>
      <c r="M7" s="12"/>
      <c r="N7" s="12"/>
      <c r="O7" s="4"/>
      <c r="P7" s="4"/>
      <c r="Q7" s="4">
        <v>202</v>
      </c>
      <c r="R7" s="4">
        <v>202</v>
      </c>
      <c r="S7" s="4">
        <v>202</v>
      </c>
      <c r="T7" s="4">
        <v>202</v>
      </c>
      <c r="U7" s="4"/>
      <c r="V7" s="4">
        <v>202</v>
      </c>
      <c r="W7" s="4">
        <v>202</v>
      </c>
      <c r="X7" s="4">
        <v>202</v>
      </c>
      <c r="Y7" s="4">
        <v>202</v>
      </c>
      <c r="Z7" s="4">
        <v>202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IE7" s="16">
        <v>1</v>
      </c>
      <c r="IF7" s="16">
        <v>1</v>
      </c>
      <c r="IG7" s="16">
        <v>1</v>
      </c>
      <c r="IH7" s="16">
        <v>1</v>
      </c>
      <c r="II7" s="16">
        <v>1</v>
      </c>
      <c r="IJ7" s="16">
        <v>1</v>
      </c>
      <c r="IK7" s="16">
        <v>1</v>
      </c>
      <c r="IL7" s="16">
        <v>1</v>
      </c>
      <c r="IP7" s="16">
        <v>1</v>
      </c>
      <c r="KO7" s="16">
        <v>1</v>
      </c>
      <c r="KP7" s="16">
        <v>1</v>
      </c>
      <c r="KQ7" s="16">
        <v>1</v>
      </c>
      <c r="KR7" s="16">
        <v>1</v>
      </c>
      <c r="KS7" s="16">
        <v>1</v>
      </c>
      <c r="KT7" s="16">
        <v>1</v>
      </c>
      <c r="KU7" s="16">
        <v>1</v>
      </c>
      <c r="KV7" s="16">
        <v>1</v>
      </c>
      <c r="KW7" s="16">
        <v>1</v>
      </c>
      <c r="LA7" s="16">
        <v>1</v>
      </c>
      <c r="MY7" s="16">
        <v>1</v>
      </c>
      <c r="MZ7" s="16">
        <v>1</v>
      </c>
      <c r="NA7" s="16">
        <v>1</v>
      </c>
      <c r="NB7" s="16">
        <v>1</v>
      </c>
      <c r="NC7" s="16">
        <v>1</v>
      </c>
      <c r="ND7" s="16">
        <v>1</v>
      </c>
      <c r="NE7" s="16">
        <v>1</v>
      </c>
      <c r="NF7" s="16">
        <v>1</v>
      </c>
      <c r="NG7" s="16">
        <v>1</v>
      </c>
      <c r="NH7" s="16">
        <v>1</v>
      </c>
      <c r="PI7" s="16">
        <v>1</v>
      </c>
      <c r="PJ7" s="16">
        <v>1</v>
      </c>
      <c r="PK7" s="16">
        <v>1</v>
      </c>
      <c r="PL7" s="16">
        <v>1</v>
      </c>
      <c r="PM7" s="16">
        <v>1</v>
      </c>
      <c r="PN7" s="16">
        <v>1</v>
      </c>
      <c r="PP7" s="16">
        <v>1</v>
      </c>
      <c r="PS7" s="16">
        <v>1</v>
      </c>
      <c r="PT7" s="16">
        <v>1</v>
      </c>
      <c r="PU7" s="16">
        <v>1</v>
      </c>
      <c r="RS7" s="16">
        <v>1</v>
      </c>
      <c r="RT7" s="16">
        <v>1</v>
      </c>
      <c r="RU7" s="16">
        <v>1</v>
      </c>
      <c r="RV7" s="16">
        <v>1</v>
      </c>
      <c r="RX7" s="16">
        <v>1</v>
      </c>
      <c r="RY7" s="16">
        <v>1</v>
      </c>
      <c r="RZ7" s="16">
        <v>1</v>
      </c>
      <c r="SB7" s="16">
        <v>1</v>
      </c>
      <c r="SF7" s="16">
        <v>1</v>
      </c>
      <c r="WM7" s="16">
        <v>1</v>
      </c>
      <c r="WN7" s="16">
        <v>1</v>
      </c>
      <c r="WO7" s="16">
        <v>1</v>
      </c>
      <c r="WP7" s="16">
        <v>1</v>
      </c>
      <c r="WQ7" s="16">
        <v>1</v>
      </c>
      <c r="WS7" s="16">
        <v>1</v>
      </c>
      <c r="WU7" s="16">
        <v>1</v>
      </c>
      <c r="WW7" s="16">
        <v>1</v>
      </c>
      <c r="WZ7" s="16">
        <v>1</v>
      </c>
      <c r="YW7" s="16">
        <v>1</v>
      </c>
      <c r="YX7" s="16">
        <v>1</v>
      </c>
      <c r="YY7" s="16">
        <v>1</v>
      </c>
      <c r="YZ7" s="16">
        <v>1</v>
      </c>
      <c r="ZB7" s="16">
        <v>1</v>
      </c>
      <c r="ZD7" s="16">
        <v>1</v>
      </c>
      <c r="ZE7" s="16">
        <v>1</v>
      </c>
      <c r="ZF7" s="16">
        <v>1</v>
      </c>
      <c r="ZI7" s="16">
        <v>1</v>
      </c>
      <c r="ZM7" s="16">
        <v>1</v>
      </c>
      <c r="ABG7" s="16">
        <v>1</v>
      </c>
      <c r="ABI7" s="16">
        <v>1</v>
      </c>
      <c r="ABJ7" s="16">
        <v>1</v>
      </c>
      <c r="ABK7" s="16">
        <v>1</v>
      </c>
      <c r="ABM7" s="16">
        <v>1</v>
      </c>
      <c r="ABQ7" s="16">
        <v>1</v>
      </c>
      <c r="ABS7" s="16">
        <v>1</v>
      </c>
      <c r="ABT7" s="16">
        <v>1</v>
      </c>
      <c r="ABU7" s="16">
        <v>1</v>
      </c>
      <c r="ABY7" s="16">
        <v>1</v>
      </c>
      <c r="ADQ7" s="16">
        <v>1</v>
      </c>
      <c r="ADR7" s="16">
        <v>1</v>
      </c>
      <c r="ADS7" s="16">
        <v>1</v>
      </c>
      <c r="ADT7" s="16">
        <v>1</v>
      </c>
      <c r="ADU7" s="16">
        <v>1</v>
      </c>
      <c r="ADV7" s="16">
        <v>1</v>
      </c>
      <c r="ADW7" s="16">
        <v>1</v>
      </c>
      <c r="ADX7" s="16">
        <v>1</v>
      </c>
      <c r="ADY7" s="16">
        <v>1</v>
      </c>
      <c r="ADZ7" s="16">
        <v>1</v>
      </c>
      <c r="AEA7" s="16">
        <v>1</v>
      </c>
      <c r="AEB7" s="16">
        <v>1</v>
      </c>
      <c r="AEC7" s="16">
        <v>1</v>
      </c>
      <c r="AED7" s="16">
        <v>1</v>
      </c>
      <c r="AGA7" s="16">
        <v>1</v>
      </c>
      <c r="AGB7" s="16">
        <v>1</v>
      </c>
      <c r="AGC7" s="16">
        <v>1</v>
      </c>
      <c r="AGF7" s="16">
        <v>1</v>
      </c>
      <c r="AGG7" s="16">
        <v>1</v>
      </c>
      <c r="AGH7" s="16">
        <v>1</v>
      </c>
      <c r="AGI7" s="16">
        <v>1</v>
      </c>
      <c r="AGJ7" s="16">
        <v>1</v>
      </c>
      <c r="AGK7" s="16">
        <v>1</v>
      </c>
      <c r="AGL7" s="16">
        <v>1</v>
      </c>
      <c r="AGM7" s="16">
        <v>1</v>
      </c>
      <c r="AGN7" s="16">
        <v>1</v>
      </c>
      <c r="AGO7" s="16">
        <v>1</v>
      </c>
      <c r="AGP7" s="16">
        <v>1</v>
      </c>
      <c r="AGT7" s="16">
        <v>1</v>
      </c>
      <c r="CSK7" s="54" t="str">
        <f t="shared" si="103"/>
        <v>X</v>
      </c>
      <c r="CSL7" s="35" t="str">
        <f t="shared" ca="1" si="104"/>
        <v/>
      </c>
      <c r="CSM7" s="35" t="str">
        <f t="shared" ca="1" si="104"/>
        <v/>
      </c>
      <c r="CSN7" s="35" t="str">
        <f t="shared" ca="1" si="104"/>
        <v/>
      </c>
      <c r="CSO7" s="35">
        <f t="shared" ca="1" si="104"/>
        <v>1</v>
      </c>
      <c r="CSP7" s="35">
        <f t="shared" ca="1" si="104"/>
        <v>1</v>
      </c>
      <c r="CSQ7" s="35">
        <f t="shared" ca="1" si="104"/>
        <v>1</v>
      </c>
      <c r="CSR7" s="35">
        <f t="shared" ca="1" si="104"/>
        <v>1</v>
      </c>
      <c r="CSS7" s="35">
        <f t="shared" ca="1" si="104"/>
        <v>1</v>
      </c>
      <c r="CST7" s="35" t="str">
        <f t="shared" ca="1" si="104"/>
        <v/>
      </c>
      <c r="CSU7" s="35">
        <f t="shared" ca="1" si="104"/>
        <v>1</v>
      </c>
      <c r="CSV7" s="35">
        <f t="shared" ca="1" si="105"/>
        <v>1</v>
      </c>
      <c r="CSW7" s="35">
        <f t="shared" ca="1" si="105"/>
        <v>1</v>
      </c>
      <c r="CSX7" s="35">
        <f t="shared" ca="1" si="105"/>
        <v>1</v>
      </c>
      <c r="CSY7" s="35">
        <f t="shared" ca="1" si="105"/>
        <v>1</v>
      </c>
      <c r="CSZ7" s="35" t="str">
        <f t="shared" ca="1" si="105"/>
        <v/>
      </c>
      <c r="CTA7" s="35" t="str">
        <f t="shared" ca="1" si="105"/>
        <v/>
      </c>
      <c r="CTB7" s="35" t="str">
        <f t="shared" ca="1" si="105"/>
        <v/>
      </c>
      <c r="CTC7" s="35" t="str">
        <f t="shared" ca="1" si="105"/>
        <v/>
      </c>
      <c r="CTD7" s="35" t="str">
        <f t="shared" ca="1" si="105"/>
        <v/>
      </c>
      <c r="CTE7" s="35" t="str">
        <f t="shared" ca="1" si="105"/>
        <v/>
      </c>
      <c r="CTF7" s="35" t="str">
        <f t="shared" ca="1" si="106"/>
        <v/>
      </c>
      <c r="CTG7" s="35" t="str">
        <f t="shared" ca="1" si="106"/>
        <v/>
      </c>
      <c r="CTH7" s="35" t="str">
        <f t="shared" ca="1" si="106"/>
        <v/>
      </c>
      <c r="CTI7" s="35" t="str">
        <f t="shared" ca="1" si="106"/>
        <v/>
      </c>
      <c r="CTJ7" s="35" t="str">
        <f t="shared" ca="1" si="106"/>
        <v/>
      </c>
      <c r="CTK7" s="35" t="str">
        <f t="shared" ca="1" si="106"/>
        <v/>
      </c>
      <c r="CTL7" s="35" t="str">
        <f t="shared" ca="1" si="106"/>
        <v/>
      </c>
      <c r="CTM7" s="35" t="str">
        <f t="shared" ca="1" si="106"/>
        <v/>
      </c>
      <c r="CTN7" s="35" t="str">
        <f t="shared" ca="1" si="106"/>
        <v/>
      </c>
      <c r="CTO7" s="35" t="str">
        <f t="shared" ca="1" si="106"/>
        <v/>
      </c>
      <c r="CTP7" s="35" t="str">
        <f t="shared" ca="1" si="107"/>
        <v/>
      </c>
      <c r="CTQ7" s="35" t="str">
        <f t="shared" ca="1" si="107"/>
        <v/>
      </c>
      <c r="CTR7" s="35" t="str">
        <f t="shared" ca="1" si="107"/>
        <v/>
      </c>
      <c r="CTS7" s="35" t="str">
        <f t="shared" ca="1" si="107"/>
        <v/>
      </c>
      <c r="CTT7" s="35" t="str">
        <f t="shared" ca="1" si="107"/>
        <v/>
      </c>
      <c r="CTU7" s="35" t="str">
        <f t="shared" ca="1" si="107"/>
        <v/>
      </c>
      <c r="CTV7" s="35" t="str">
        <f t="shared" ca="1" si="107"/>
        <v/>
      </c>
      <c r="CTW7" s="35" t="str">
        <f t="shared" ca="1" si="107"/>
        <v/>
      </c>
      <c r="CTX7" s="35" t="str">
        <f t="shared" ca="1" si="107"/>
        <v/>
      </c>
      <c r="CTY7" s="35" t="str">
        <f t="shared" ca="1" si="107"/>
        <v/>
      </c>
      <c r="CTZ7" s="56" t="str">
        <f t="shared" si="108"/>
        <v>X</v>
      </c>
      <c r="CUA7" s="16" t="str">
        <f t="shared" ca="1" si="109"/>
        <v/>
      </c>
      <c r="CUB7" s="16" t="str">
        <f t="shared" ca="1" si="110"/>
        <v/>
      </c>
      <c r="CUC7" s="16" t="str">
        <f t="shared" ca="1" si="111"/>
        <v/>
      </c>
      <c r="CUD7" s="16">
        <f t="shared" ca="1" si="112"/>
        <v>8</v>
      </c>
      <c r="CUE7" s="16">
        <f t="shared" ca="1" si="113"/>
        <v>9</v>
      </c>
      <c r="CUF7" s="16">
        <f t="shared" ca="1" si="114"/>
        <v>9</v>
      </c>
      <c r="CUG7" s="16">
        <f t="shared" ca="1" si="115"/>
        <v>9</v>
      </c>
      <c r="CUH7" s="16">
        <f t="shared" ca="1" si="116"/>
        <v>8</v>
      </c>
      <c r="CUI7" s="16" t="str">
        <f t="shared" ca="1" si="117"/>
        <v/>
      </c>
      <c r="CUJ7" s="16">
        <f t="shared" ca="1" si="118"/>
        <v>8</v>
      </c>
      <c r="CUK7" s="16">
        <f t="shared" ca="1" si="119"/>
        <v>9</v>
      </c>
      <c r="CUL7" s="16">
        <f t="shared" ca="1" si="120"/>
        <v>9</v>
      </c>
      <c r="CUM7" s="16">
        <f t="shared" ca="1" si="121"/>
        <v>13</v>
      </c>
      <c r="CUN7" s="16">
        <f t="shared" ca="1" si="122"/>
        <v>14</v>
      </c>
      <c r="CUO7" s="16" t="str">
        <f t="shared" ca="1" si="123"/>
        <v/>
      </c>
      <c r="CUP7" s="16" t="str">
        <f t="shared" ca="1" si="124"/>
        <v/>
      </c>
      <c r="CUQ7" s="16" t="str">
        <f t="shared" ca="1" si="125"/>
        <v/>
      </c>
      <c r="CUR7" s="16" t="str">
        <f t="shared" ca="1" si="126"/>
        <v/>
      </c>
      <c r="CUS7" s="16" t="str">
        <f t="shared" ca="1" si="127"/>
        <v/>
      </c>
      <c r="CUT7" s="16" t="str">
        <f t="shared" ca="1" si="128"/>
        <v/>
      </c>
      <c r="CUU7" s="16" t="str">
        <f t="shared" ca="1" si="129"/>
        <v/>
      </c>
      <c r="CUV7" s="16" t="str">
        <f t="shared" ca="1" si="130"/>
        <v/>
      </c>
      <c r="CUW7" s="16" t="str">
        <f t="shared" ca="1" si="131"/>
        <v/>
      </c>
      <c r="CUX7" s="16" t="str">
        <f t="shared" ca="1" si="132"/>
        <v/>
      </c>
      <c r="CUY7" s="16" t="str">
        <f t="shared" ca="1" si="133"/>
        <v/>
      </c>
      <c r="CUZ7" s="16" t="str">
        <f t="shared" ca="1" si="134"/>
        <v/>
      </c>
      <c r="CVA7" s="16" t="str">
        <f t="shared" ca="1" si="135"/>
        <v/>
      </c>
      <c r="CVB7" s="16" t="str">
        <f t="shared" ca="1" si="136"/>
        <v/>
      </c>
      <c r="CVC7" s="16" t="str">
        <f t="shared" ca="1" si="137"/>
        <v/>
      </c>
      <c r="CVD7" s="16" t="str">
        <f t="shared" ca="1" si="138"/>
        <v/>
      </c>
      <c r="CVE7" s="16" t="str">
        <f t="shared" ca="1" si="139"/>
        <v/>
      </c>
      <c r="CVF7" s="16" t="str">
        <f t="shared" ca="1" si="140"/>
        <v/>
      </c>
      <c r="CVG7" s="16" t="str">
        <f t="shared" ca="1" si="141"/>
        <v/>
      </c>
      <c r="CVH7" s="16" t="str">
        <f t="shared" ca="1" si="142"/>
        <v/>
      </c>
      <c r="CVI7" s="16" t="str">
        <f t="shared" ca="1" si="143"/>
        <v/>
      </c>
      <c r="CVJ7" s="16" t="str">
        <f t="shared" ca="1" si="144"/>
        <v/>
      </c>
      <c r="CVK7" s="16" t="str">
        <f t="shared" ca="1" si="145"/>
        <v/>
      </c>
      <c r="CVL7" s="16" t="str">
        <f t="shared" ca="1" si="146"/>
        <v/>
      </c>
      <c r="CVM7" s="16" t="str">
        <f t="shared" ca="1" si="147"/>
        <v/>
      </c>
      <c r="CVN7" s="16" t="str">
        <f t="shared" ca="1" si="148"/>
        <v/>
      </c>
      <c r="CVO7" s="58" t="str">
        <f t="shared" si="149"/>
        <v>смирновденис</v>
      </c>
      <c r="CVP7" s="16" t="str">
        <f>IFERROR(VLOOKUP(CVO7,'Внешние данные'!A:Z,4,FALSE),"")</f>
        <v/>
      </c>
    </row>
    <row r="8" spans="1:2616" s="16" customFormat="1" ht="13.8" x14ac:dyDescent="0.25">
      <c r="A8" s="2" t="s">
        <v>2345</v>
      </c>
      <c r="B8" s="2" t="s">
        <v>2464</v>
      </c>
      <c r="C8" s="57" t="s">
        <v>2302</v>
      </c>
      <c r="D8" s="35">
        <v>5</v>
      </c>
      <c r="E8" s="58" t="s">
        <v>2303</v>
      </c>
      <c r="G8" s="16" t="s">
        <v>1392</v>
      </c>
      <c r="H8" s="53" t="str">
        <f t="shared" ca="1" si="99"/>
        <v/>
      </c>
      <c r="I8" s="35" t="str">
        <f t="shared" ca="1" si="100"/>
        <v/>
      </c>
      <c r="J8" s="35">
        <f t="shared" ca="1" si="101"/>
        <v>0</v>
      </c>
      <c r="K8" s="49" t="str">
        <f t="shared" ca="1" si="102"/>
        <v/>
      </c>
      <c r="L8" s="16">
        <v>308</v>
      </c>
      <c r="M8" s="12"/>
      <c r="N8" s="12"/>
      <c r="O8" s="4"/>
      <c r="P8" s="4"/>
      <c r="Q8" s="4"/>
      <c r="R8" s="4"/>
      <c r="S8" s="4"/>
      <c r="T8" s="4"/>
      <c r="U8" s="4"/>
      <c r="V8" s="4">
        <v>415</v>
      </c>
      <c r="W8" s="4">
        <v>415</v>
      </c>
      <c r="X8" s="4">
        <v>415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WM8" s="16" t="s">
        <v>2961</v>
      </c>
      <c r="YW8" s="16" t="s">
        <v>2961</v>
      </c>
      <c r="ABG8" s="16" t="s">
        <v>2961</v>
      </c>
      <c r="AGA8" s="16" t="s">
        <v>2961</v>
      </c>
      <c r="CSK8" s="54" t="str">
        <f t="shared" si="103"/>
        <v>X</v>
      </c>
      <c r="CSL8" s="35" t="str">
        <f t="shared" ca="1" si="104"/>
        <v/>
      </c>
      <c r="CSM8" s="35" t="str">
        <f t="shared" ca="1" si="104"/>
        <v/>
      </c>
      <c r="CSN8" s="35" t="str">
        <f t="shared" ca="1" si="104"/>
        <v/>
      </c>
      <c r="CSO8" s="35" t="str">
        <f t="shared" ca="1" si="104"/>
        <v/>
      </c>
      <c r="CSP8" s="35" t="str">
        <f t="shared" ca="1" si="104"/>
        <v/>
      </c>
      <c r="CSQ8" s="35" t="str">
        <f t="shared" ca="1" si="104"/>
        <v/>
      </c>
      <c r="CSR8" s="35" t="str">
        <f t="shared" ca="1" si="104"/>
        <v/>
      </c>
      <c r="CSS8" s="35" t="str">
        <f t="shared" ca="1" si="104"/>
        <v/>
      </c>
      <c r="CST8" s="35" t="str">
        <f t="shared" ca="1" si="104"/>
        <v/>
      </c>
      <c r="CSU8" s="35" t="str">
        <f t="shared" ca="1" si="104"/>
        <v/>
      </c>
      <c r="CSV8" s="35" t="str">
        <f t="shared" ca="1" si="105"/>
        <v/>
      </c>
      <c r="CSW8" s="35" t="str">
        <f t="shared" ca="1" si="105"/>
        <v/>
      </c>
      <c r="CSX8" s="35" t="str">
        <f t="shared" ca="1" si="105"/>
        <v/>
      </c>
      <c r="CSY8" s="35" t="str">
        <f t="shared" ca="1" si="105"/>
        <v/>
      </c>
      <c r="CSZ8" s="35" t="str">
        <f t="shared" ca="1" si="105"/>
        <v/>
      </c>
      <c r="CTA8" s="35" t="str">
        <f t="shared" ca="1" si="105"/>
        <v/>
      </c>
      <c r="CTB8" s="35" t="str">
        <f t="shared" ca="1" si="105"/>
        <v/>
      </c>
      <c r="CTC8" s="35" t="str">
        <f t="shared" ca="1" si="105"/>
        <v/>
      </c>
      <c r="CTD8" s="35" t="str">
        <f t="shared" ca="1" si="105"/>
        <v/>
      </c>
      <c r="CTE8" s="35" t="str">
        <f t="shared" ca="1" si="105"/>
        <v/>
      </c>
      <c r="CTF8" s="35" t="str">
        <f t="shared" ca="1" si="106"/>
        <v/>
      </c>
      <c r="CTG8" s="35" t="str">
        <f t="shared" ca="1" si="106"/>
        <v/>
      </c>
      <c r="CTH8" s="35" t="str">
        <f t="shared" ca="1" si="106"/>
        <v/>
      </c>
      <c r="CTI8" s="35" t="str">
        <f t="shared" ca="1" si="106"/>
        <v/>
      </c>
      <c r="CTJ8" s="35" t="str">
        <f t="shared" ca="1" si="106"/>
        <v/>
      </c>
      <c r="CTK8" s="35" t="str">
        <f t="shared" ca="1" si="106"/>
        <v/>
      </c>
      <c r="CTL8" s="35" t="str">
        <f t="shared" ca="1" si="106"/>
        <v/>
      </c>
      <c r="CTM8" s="35" t="str">
        <f t="shared" ca="1" si="106"/>
        <v/>
      </c>
      <c r="CTN8" s="35" t="str">
        <f t="shared" ca="1" si="106"/>
        <v/>
      </c>
      <c r="CTO8" s="35" t="str">
        <f t="shared" ca="1" si="106"/>
        <v/>
      </c>
      <c r="CTP8" s="35" t="str">
        <f t="shared" ca="1" si="107"/>
        <v/>
      </c>
      <c r="CTQ8" s="35" t="str">
        <f t="shared" ca="1" si="107"/>
        <v/>
      </c>
      <c r="CTR8" s="35" t="str">
        <f t="shared" ca="1" si="107"/>
        <v/>
      </c>
      <c r="CTS8" s="35" t="str">
        <f t="shared" ca="1" si="107"/>
        <v/>
      </c>
      <c r="CTT8" s="35" t="str">
        <f t="shared" ca="1" si="107"/>
        <v/>
      </c>
      <c r="CTU8" s="35" t="str">
        <f t="shared" ca="1" si="107"/>
        <v/>
      </c>
      <c r="CTV8" s="35" t="str">
        <f t="shared" ca="1" si="107"/>
        <v/>
      </c>
      <c r="CTW8" s="35" t="str">
        <f t="shared" ca="1" si="107"/>
        <v/>
      </c>
      <c r="CTX8" s="35" t="str">
        <f t="shared" ca="1" si="107"/>
        <v/>
      </c>
      <c r="CTY8" s="35" t="str">
        <f t="shared" ca="1" si="107"/>
        <v/>
      </c>
      <c r="CTZ8" s="56" t="str">
        <f t="shared" si="108"/>
        <v>X</v>
      </c>
      <c r="CUA8" s="16" t="str">
        <f t="shared" ca="1" si="109"/>
        <v/>
      </c>
      <c r="CUB8" s="16" t="str">
        <f t="shared" ca="1" si="110"/>
        <v/>
      </c>
      <c r="CUC8" s="16" t="str">
        <f t="shared" ca="1" si="111"/>
        <v/>
      </c>
      <c r="CUD8" s="16" t="str">
        <f t="shared" ca="1" si="112"/>
        <v/>
      </c>
      <c r="CUE8" s="16" t="str">
        <f t="shared" ca="1" si="113"/>
        <v/>
      </c>
      <c r="CUF8" s="16" t="str">
        <f t="shared" ca="1" si="114"/>
        <v/>
      </c>
      <c r="CUG8" s="16" t="str">
        <f t="shared" ca="1" si="115"/>
        <v/>
      </c>
      <c r="CUH8" s="16" t="str">
        <f t="shared" ca="1" si="116"/>
        <v/>
      </c>
      <c r="CUI8" s="16" t="str">
        <f t="shared" ca="1" si="117"/>
        <v/>
      </c>
      <c r="CUJ8" s="16" t="str">
        <f t="shared" ca="1" si="118"/>
        <v/>
      </c>
      <c r="CUK8" s="16" t="str">
        <f t="shared" ca="1" si="119"/>
        <v/>
      </c>
      <c r="CUL8" s="16" t="str">
        <f t="shared" ca="1" si="120"/>
        <v/>
      </c>
      <c r="CUM8" s="16" t="str">
        <f t="shared" ca="1" si="121"/>
        <v/>
      </c>
      <c r="CUN8" s="16" t="str">
        <f t="shared" ca="1" si="122"/>
        <v/>
      </c>
      <c r="CUO8" s="16" t="str">
        <f t="shared" ca="1" si="123"/>
        <v/>
      </c>
      <c r="CUP8" s="16" t="str">
        <f t="shared" ca="1" si="124"/>
        <v/>
      </c>
      <c r="CUQ8" s="16" t="str">
        <f t="shared" ca="1" si="125"/>
        <v/>
      </c>
      <c r="CUR8" s="16" t="str">
        <f t="shared" ca="1" si="126"/>
        <v/>
      </c>
      <c r="CUS8" s="16" t="str">
        <f t="shared" ca="1" si="127"/>
        <v/>
      </c>
      <c r="CUT8" s="16" t="str">
        <f t="shared" ca="1" si="128"/>
        <v/>
      </c>
      <c r="CUU8" s="16" t="str">
        <f t="shared" ca="1" si="129"/>
        <v/>
      </c>
      <c r="CUV8" s="16" t="str">
        <f t="shared" ca="1" si="130"/>
        <v/>
      </c>
      <c r="CUW8" s="16" t="str">
        <f t="shared" ca="1" si="131"/>
        <v/>
      </c>
      <c r="CUX8" s="16" t="str">
        <f t="shared" ca="1" si="132"/>
        <v/>
      </c>
      <c r="CUY8" s="16" t="str">
        <f t="shared" ca="1" si="133"/>
        <v/>
      </c>
      <c r="CUZ8" s="16" t="str">
        <f t="shared" ca="1" si="134"/>
        <v/>
      </c>
      <c r="CVA8" s="16" t="str">
        <f t="shared" ca="1" si="135"/>
        <v/>
      </c>
      <c r="CVB8" s="16" t="str">
        <f t="shared" ca="1" si="136"/>
        <v/>
      </c>
      <c r="CVC8" s="16" t="str">
        <f t="shared" ca="1" si="137"/>
        <v/>
      </c>
      <c r="CVD8" s="16" t="str">
        <f t="shared" ca="1" si="138"/>
        <v/>
      </c>
      <c r="CVE8" s="16" t="str">
        <f t="shared" ca="1" si="139"/>
        <v/>
      </c>
      <c r="CVF8" s="16" t="str">
        <f t="shared" ca="1" si="140"/>
        <v/>
      </c>
      <c r="CVG8" s="16" t="str">
        <f t="shared" ca="1" si="141"/>
        <v/>
      </c>
      <c r="CVH8" s="16" t="str">
        <f t="shared" ca="1" si="142"/>
        <v/>
      </c>
      <c r="CVI8" s="16" t="str">
        <f t="shared" ca="1" si="143"/>
        <v/>
      </c>
      <c r="CVJ8" s="16" t="str">
        <f t="shared" ca="1" si="144"/>
        <v/>
      </c>
      <c r="CVK8" s="16" t="str">
        <f t="shared" ca="1" si="145"/>
        <v/>
      </c>
      <c r="CVL8" s="16" t="str">
        <f t="shared" ca="1" si="146"/>
        <v/>
      </c>
      <c r="CVM8" s="16" t="str">
        <f t="shared" ca="1" si="147"/>
        <v/>
      </c>
      <c r="CVN8" s="16" t="str">
        <f t="shared" ca="1" si="148"/>
        <v/>
      </c>
      <c r="CVO8" s="58" t="str">
        <f t="shared" si="149"/>
        <v>кузнецовлев</v>
      </c>
      <c r="CVP8" s="16" t="str">
        <f>IFERROR(VLOOKUP(CVO8,'Внешние данные'!A:Z,4,FALSE),"")</f>
        <v/>
      </c>
    </row>
    <row r="9" spans="1:2616" s="16" customFormat="1" ht="13.8" x14ac:dyDescent="0.25">
      <c r="A9" s="2" t="s">
        <v>2346</v>
      </c>
      <c r="B9" s="2" t="s">
        <v>2434</v>
      </c>
      <c r="C9" s="57" t="s">
        <v>2389</v>
      </c>
      <c r="D9" s="35">
        <v>6</v>
      </c>
      <c r="E9" s="58">
        <v>57</v>
      </c>
      <c r="G9" s="16" t="s">
        <v>1393</v>
      </c>
      <c r="H9" s="53">
        <f t="shared" ca="1" si="99"/>
        <v>0.16666666666666666</v>
      </c>
      <c r="I9" s="35">
        <f t="shared" ca="1" si="100"/>
        <v>10</v>
      </c>
      <c r="J9" s="35">
        <f t="shared" ca="1" si="101"/>
        <v>1</v>
      </c>
      <c r="K9" s="49">
        <f t="shared" ca="1" si="102"/>
        <v>6</v>
      </c>
      <c r="L9" s="16">
        <v>205</v>
      </c>
      <c r="M9" s="12"/>
      <c r="N9" s="12"/>
      <c r="O9" s="4"/>
      <c r="P9" s="4">
        <v>445</v>
      </c>
      <c r="Q9" s="4">
        <v>445</v>
      </c>
      <c r="R9" s="4">
        <v>207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IE9" s="16">
        <v>1</v>
      </c>
      <c r="IF9" s="16">
        <v>1</v>
      </c>
      <c r="IG9" s="16">
        <v>1</v>
      </c>
      <c r="IH9" s="16">
        <v>1</v>
      </c>
      <c r="II9" s="16">
        <v>1</v>
      </c>
      <c r="IJ9" s="16">
        <v>1</v>
      </c>
      <c r="IN9" s="16">
        <v>1</v>
      </c>
      <c r="PI9" s="16" t="s">
        <v>2961</v>
      </c>
      <c r="RS9" s="16" t="s">
        <v>2961</v>
      </c>
      <c r="WM9" s="16" t="s">
        <v>2961</v>
      </c>
      <c r="YW9" s="16" t="s">
        <v>2961</v>
      </c>
      <c r="AGA9" s="16" t="s">
        <v>2961</v>
      </c>
      <c r="CSK9" s="54" t="str">
        <f t="shared" si="103"/>
        <v>X</v>
      </c>
      <c r="CSL9" s="35" t="str">
        <f t="shared" ca="1" si="104"/>
        <v/>
      </c>
      <c r="CSM9" s="35" t="str">
        <f t="shared" ca="1" si="104"/>
        <v/>
      </c>
      <c r="CSN9" s="35" t="str">
        <f t="shared" ca="1" si="104"/>
        <v/>
      </c>
      <c r="CSO9" s="35">
        <f t="shared" ca="1" si="104"/>
        <v>1</v>
      </c>
      <c r="CSP9" s="35" t="str">
        <f t="shared" ca="1" si="104"/>
        <v/>
      </c>
      <c r="CSQ9" s="72" t="str">
        <f t="shared" ca="1" si="104"/>
        <v/>
      </c>
      <c r="CSR9" s="35" t="str">
        <f t="shared" ca="1" si="104"/>
        <v/>
      </c>
      <c r="CSS9" s="35" t="str">
        <f t="shared" ca="1" si="104"/>
        <v/>
      </c>
      <c r="CST9" s="35" t="str">
        <f t="shared" ca="1" si="104"/>
        <v/>
      </c>
      <c r="CSU9" s="35" t="str">
        <f t="shared" ca="1" si="104"/>
        <v/>
      </c>
      <c r="CSV9" s="35" t="str">
        <f t="shared" ca="1" si="105"/>
        <v/>
      </c>
      <c r="CSW9" s="35" t="str">
        <f t="shared" ca="1" si="105"/>
        <v/>
      </c>
      <c r="CSX9" s="35" t="str">
        <f t="shared" ca="1" si="105"/>
        <v/>
      </c>
      <c r="CSY9" s="35" t="str">
        <f t="shared" ca="1" si="105"/>
        <v/>
      </c>
      <c r="CSZ9" s="35" t="str">
        <f t="shared" ca="1" si="105"/>
        <v/>
      </c>
      <c r="CTA9" s="35" t="str">
        <f t="shared" ca="1" si="105"/>
        <v/>
      </c>
      <c r="CTB9" s="35" t="str">
        <f t="shared" ca="1" si="105"/>
        <v/>
      </c>
      <c r="CTC9" s="35" t="str">
        <f t="shared" ca="1" si="105"/>
        <v/>
      </c>
      <c r="CTD9" s="35" t="str">
        <f t="shared" ca="1" si="105"/>
        <v/>
      </c>
      <c r="CTE9" s="35" t="str">
        <f t="shared" ca="1" si="105"/>
        <v/>
      </c>
      <c r="CTF9" s="35" t="str">
        <f t="shared" ca="1" si="106"/>
        <v/>
      </c>
      <c r="CTG9" s="35" t="str">
        <f t="shared" ca="1" si="106"/>
        <v/>
      </c>
      <c r="CTH9" s="35" t="str">
        <f t="shared" ca="1" si="106"/>
        <v/>
      </c>
      <c r="CTI9" s="35" t="str">
        <f t="shared" ca="1" si="106"/>
        <v/>
      </c>
      <c r="CTJ9" s="35" t="str">
        <f t="shared" ca="1" si="106"/>
        <v/>
      </c>
      <c r="CTK9" s="35" t="str">
        <f t="shared" ca="1" si="106"/>
        <v/>
      </c>
      <c r="CTL9" s="35" t="str">
        <f t="shared" ca="1" si="106"/>
        <v/>
      </c>
      <c r="CTM9" s="35" t="str">
        <f t="shared" ca="1" si="106"/>
        <v/>
      </c>
      <c r="CTN9" s="35" t="str">
        <f t="shared" ca="1" si="106"/>
        <v/>
      </c>
      <c r="CTO9" s="35" t="str">
        <f t="shared" ca="1" si="106"/>
        <v/>
      </c>
      <c r="CTP9" s="35" t="str">
        <f t="shared" ca="1" si="107"/>
        <v/>
      </c>
      <c r="CTQ9" s="35" t="str">
        <f t="shared" ca="1" si="107"/>
        <v/>
      </c>
      <c r="CTR9" s="35" t="str">
        <f t="shared" ca="1" si="107"/>
        <v/>
      </c>
      <c r="CTS9" s="35" t="str">
        <f t="shared" ca="1" si="107"/>
        <v/>
      </c>
      <c r="CTT9" s="35" t="str">
        <f t="shared" ca="1" si="107"/>
        <v/>
      </c>
      <c r="CTU9" s="35" t="str">
        <f t="shared" ca="1" si="107"/>
        <v/>
      </c>
      <c r="CTV9" s="35" t="str">
        <f t="shared" ca="1" si="107"/>
        <v/>
      </c>
      <c r="CTW9" s="35" t="str">
        <f t="shared" ca="1" si="107"/>
        <v/>
      </c>
      <c r="CTX9" s="35" t="str">
        <f t="shared" ca="1" si="107"/>
        <v/>
      </c>
      <c r="CTY9" s="35" t="str">
        <f t="shared" ca="1" si="107"/>
        <v/>
      </c>
      <c r="CTZ9" s="56" t="str">
        <f t="shared" si="108"/>
        <v>X</v>
      </c>
      <c r="CUA9" s="58" t="str">
        <f t="shared" ca="1" si="109"/>
        <v/>
      </c>
      <c r="CUB9" s="16" t="str">
        <f t="shared" ca="1" si="110"/>
        <v/>
      </c>
      <c r="CUC9" s="16" t="str">
        <f t="shared" ca="1" si="111"/>
        <v/>
      </c>
      <c r="CUD9" s="16">
        <f t="shared" ca="1" si="112"/>
        <v>6</v>
      </c>
      <c r="CUE9" s="16" t="str">
        <f t="shared" ca="1" si="113"/>
        <v/>
      </c>
      <c r="CUF9" s="16" t="str">
        <f t="shared" ca="1" si="114"/>
        <v/>
      </c>
      <c r="CUG9" s="16" t="str">
        <f t="shared" ca="1" si="115"/>
        <v/>
      </c>
      <c r="CUH9" s="16" t="str">
        <f t="shared" ca="1" si="116"/>
        <v/>
      </c>
      <c r="CUI9" s="16" t="str">
        <f t="shared" ca="1" si="117"/>
        <v/>
      </c>
      <c r="CUJ9" s="16" t="str">
        <f t="shared" ca="1" si="118"/>
        <v/>
      </c>
      <c r="CUK9" s="16" t="str">
        <f t="shared" ca="1" si="119"/>
        <v/>
      </c>
      <c r="CUL9" s="16" t="str">
        <f t="shared" ca="1" si="120"/>
        <v/>
      </c>
      <c r="CUM9" s="16" t="str">
        <f t="shared" ca="1" si="121"/>
        <v/>
      </c>
      <c r="CUN9" s="16" t="str">
        <f t="shared" ca="1" si="122"/>
        <v/>
      </c>
      <c r="CUO9" s="16" t="str">
        <f t="shared" ca="1" si="123"/>
        <v/>
      </c>
      <c r="CUP9" s="16" t="str">
        <f t="shared" ca="1" si="124"/>
        <v/>
      </c>
      <c r="CUQ9" s="16" t="str">
        <f t="shared" ca="1" si="125"/>
        <v/>
      </c>
      <c r="CUR9" s="16" t="str">
        <f t="shared" ca="1" si="126"/>
        <v/>
      </c>
      <c r="CUS9" s="16" t="str">
        <f t="shared" ca="1" si="127"/>
        <v/>
      </c>
      <c r="CUT9" s="16" t="str">
        <f t="shared" ca="1" si="128"/>
        <v/>
      </c>
      <c r="CUU9" s="16" t="str">
        <f t="shared" ca="1" si="129"/>
        <v/>
      </c>
      <c r="CUV9" s="16" t="str">
        <f t="shared" ca="1" si="130"/>
        <v/>
      </c>
      <c r="CUW9" s="16" t="str">
        <f t="shared" ca="1" si="131"/>
        <v/>
      </c>
      <c r="CUX9" s="16" t="str">
        <f t="shared" ca="1" si="132"/>
        <v/>
      </c>
      <c r="CUY9" s="16" t="str">
        <f t="shared" ca="1" si="133"/>
        <v/>
      </c>
      <c r="CUZ9" s="16" t="str">
        <f t="shared" ca="1" si="134"/>
        <v/>
      </c>
      <c r="CVA9" s="16" t="str">
        <f t="shared" ca="1" si="135"/>
        <v/>
      </c>
      <c r="CVB9" s="16" t="str">
        <f t="shared" ca="1" si="136"/>
        <v/>
      </c>
      <c r="CVC9" s="16" t="str">
        <f t="shared" ca="1" si="137"/>
        <v/>
      </c>
      <c r="CVD9" s="16" t="str">
        <f t="shared" ca="1" si="138"/>
        <v/>
      </c>
      <c r="CVE9" s="16" t="str">
        <f t="shared" ca="1" si="139"/>
        <v/>
      </c>
      <c r="CVF9" s="16" t="str">
        <f t="shared" ca="1" si="140"/>
        <v/>
      </c>
      <c r="CVG9" s="16" t="str">
        <f t="shared" ca="1" si="141"/>
        <v/>
      </c>
      <c r="CVH9" s="16" t="str">
        <f t="shared" ca="1" si="142"/>
        <v/>
      </c>
      <c r="CVI9" s="16" t="str">
        <f t="shared" ca="1" si="143"/>
        <v/>
      </c>
      <c r="CVJ9" s="16" t="str">
        <f t="shared" ca="1" si="144"/>
        <v/>
      </c>
      <c r="CVK9" s="16" t="str">
        <f t="shared" ca="1" si="145"/>
        <v/>
      </c>
      <c r="CVL9" s="16" t="str">
        <f t="shared" ca="1" si="146"/>
        <v/>
      </c>
      <c r="CVM9" s="16" t="str">
        <f t="shared" ca="1" si="147"/>
        <v/>
      </c>
      <c r="CVN9" s="16" t="str">
        <f t="shared" ca="1" si="148"/>
        <v/>
      </c>
      <c r="CVO9" s="58" t="str">
        <f t="shared" si="149"/>
        <v>поповалександр</v>
      </c>
      <c r="CVP9" s="58" t="str">
        <f>IFERROR(VLOOKUP(CVO9,'Внешние данные'!A:Z,4,FALSE),"")</f>
        <v/>
      </c>
    </row>
    <row r="10" spans="1:2616" s="16" customFormat="1" ht="13.8" x14ac:dyDescent="0.25">
      <c r="A10" s="2" t="s">
        <v>2347</v>
      </c>
      <c r="B10" s="2" t="s">
        <v>2452</v>
      </c>
      <c r="C10" s="57" t="s">
        <v>2390</v>
      </c>
      <c r="D10" s="35">
        <v>5</v>
      </c>
      <c r="E10" s="58">
        <v>179</v>
      </c>
      <c r="G10" s="16" t="s">
        <v>1393</v>
      </c>
      <c r="H10" s="53" t="str">
        <f t="shared" ca="1" si="99"/>
        <v/>
      </c>
      <c r="I10" s="35" t="str">
        <f t="shared" ca="1" si="100"/>
        <v/>
      </c>
      <c r="J10" s="35">
        <f t="shared" ca="1" si="101"/>
        <v>0</v>
      </c>
      <c r="K10" s="49" t="str">
        <f t="shared" ca="1" si="102"/>
        <v/>
      </c>
      <c r="L10" s="16">
        <v>305</v>
      </c>
      <c r="M10" s="12"/>
      <c r="N10" s="12"/>
      <c r="O10" s="4"/>
      <c r="P10" s="4"/>
      <c r="Q10" s="4"/>
      <c r="R10" s="4">
        <v>445</v>
      </c>
      <c r="S10" s="4"/>
      <c r="T10" s="4">
        <v>445</v>
      </c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PI10" s="16" t="s">
        <v>2961</v>
      </c>
      <c r="RS10" s="16" t="s">
        <v>2961</v>
      </c>
      <c r="WM10" s="16" t="s">
        <v>2961</v>
      </c>
      <c r="YW10" s="16" t="s">
        <v>2961</v>
      </c>
      <c r="AGA10" s="16" t="s">
        <v>2961</v>
      </c>
      <c r="CSK10" s="54" t="str">
        <f t="shared" si="103"/>
        <v>X</v>
      </c>
      <c r="CSL10" s="35" t="str">
        <f t="shared" ca="1" si="104"/>
        <v/>
      </c>
      <c r="CSM10" s="35" t="str">
        <f t="shared" ca="1" si="104"/>
        <v/>
      </c>
      <c r="CSN10" s="35" t="str">
        <f t="shared" ca="1" si="104"/>
        <v/>
      </c>
      <c r="CSO10" s="35" t="str">
        <f t="shared" ca="1" si="104"/>
        <v/>
      </c>
      <c r="CSP10" s="35" t="str">
        <f t="shared" ca="1" si="104"/>
        <v/>
      </c>
      <c r="CSQ10" s="72" t="str">
        <f t="shared" ca="1" si="104"/>
        <v/>
      </c>
      <c r="CSR10" s="35" t="str">
        <f t="shared" ca="1" si="104"/>
        <v/>
      </c>
      <c r="CSS10" s="35" t="str">
        <f t="shared" ca="1" si="104"/>
        <v/>
      </c>
      <c r="CST10" s="35" t="str">
        <f t="shared" ca="1" si="104"/>
        <v/>
      </c>
      <c r="CSU10" s="35" t="str">
        <f t="shared" ca="1" si="104"/>
        <v/>
      </c>
      <c r="CSV10" s="35" t="str">
        <f t="shared" ca="1" si="105"/>
        <v/>
      </c>
      <c r="CSW10" s="35" t="str">
        <f t="shared" ca="1" si="105"/>
        <v/>
      </c>
      <c r="CSX10" s="35" t="str">
        <f t="shared" ca="1" si="105"/>
        <v/>
      </c>
      <c r="CSY10" s="35" t="str">
        <f t="shared" ca="1" si="105"/>
        <v/>
      </c>
      <c r="CSZ10" s="35" t="str">
        <f t="shared" ca="1" si="105"/>
        <v/>
      </c>
      <c r="CTA10" s="35" t="str">
        <f t="shared" ca="1" si="105"/>
        <v/>
      </c>
      <c r="CTB10" s="35" t="str">
        <f t="shared" ca="1" si="105"/>
        <v/>
      </c>
      <c r="CTC10" s="35" t="str">
        <f t="shared" ca="1" si="105"/>
        <v/>
      </c>
      <c r="CTD10" s="35" t="str">
        <f t="shared" ca="1" si="105"/>
        <v/>
      </c>
      <c r="CTE10" s="35" t="str">
        <f t="shared" ca="1" si="105"/>
        <v/>
      </c>
      <c r="CTF10" s="35" t="str">
        <f t="shared" ca="1" si="106"/>
        <v/>
      </c>
      <c r="CTG10" s="35" t="str">
        <f t="shared" ca="1" si="106"/>
        <v/>
      </c>
      <c r="CTH10" s="35" t="str">
        <f t="shared" ca="1" si="106"/>
        <v/>
      </c>
      <c r="CTI10" s="35" t="str">
        <f t="shared" ca="1" si="106"/>
        <v/>
      </c>
      <c r="CTJ10" s="35" t="str">
        <f t="shared" ca="1" si="106"/>
        <v/>
      </c>
      <c r="CTK10" s="35" t="str">
        <f t="shared" ca="1" si="106"/>
        <v/>
      </c>
      <c r="CTL10" s="35" t="str">
        <f t="shared" ca="1" si="106"/>
        <v/>
      </c>
      <c r="CTM10" s="35" t="str">
        <f t="shared" ca="1" si="106"/>
        <v/>
      </c>
      <c r="CTN10" s="35" t="str">
        <f t="shared" ca="1" si="106"/>
        <v/>
      </c>
      <c r="CTO10" s="35" t="str">
        <f t="shared" ca="1" si="106"/>
        <v/>
      </c>
      <c r="CTP10" s="35" t="str">
        <f t="shared" ca="1" si="107"/>
        <v/>
      </c>
      <c r="CTQ10" s="35" t="str">
        <f t="shared" ca="1" si="107"/>
        <v/>
      </c>
      <c r="CTR10" s="35" t="str">
        <f t="shared" ca="1" si="107"/>
        <v/>
      </c>
      <c r="CTS10" s="35" t="str">
        <f t="shared" ca="1" si="107"/>
        <v/>
      </c>
      <c r="CTT10" s="35" t="str">
        <f t="shared" ca="1" si="107"/>
        <v/>
      </c>
      <c r="CTU10" s="35" t="str">
        <f t="shared" ca="1" si="107"/>
        <v/>
      </c>
      <c r="CTV10" s="35" t="str">
        <f t="shared" ca="1" si="107"/>
        <v/>
      </c>
      <c r="CTW10" s="35" t="str">
        <f t="shared" ca="1" si="107"/>
        <v/>
      </c>
      <c r="CTX10" s="35" t="str">
        <f t="shared" ca="1" si="107"/>
        <v/>
      </c>
      <c r="CTY10" s="35" t="str">
        <f t="shared" ca="1" si="107"/>
        <v/>
      </c>
      <c r="CTZ10" s="56" t="str">
        <f t="shared" si="108"/>
        <v>X</v>
      </c>
      <c r="CUA10" s="58" t="str">
        <f t="shared" ca="1" si="109"/>
        <v/>
      </c>
      <c r="CUB10" s="16" t="str">
        <f t="shared" ca="1" si="110"/>
        <v/>
      </c>
      <c r="CUC10" s="16" t="str">
        <f t="shared" ca="1" si="111"/>
        <v/>
      </c>
      <c r="CUD10" s="16" t="str">
        <f t="shared" ca="1" si="112"/>
        <v/>
      </c>
      <c r="CUE10" s="16" t="str">
        <f t="shared" ca="1" si="113"/>
        <v/>
      </c>
      <c r="CUF10" s="16" t="str">
        <f t="shared" ca="1" si="114"/>
        <v/>
      </c>
      <c r="CUG10" s="16" t="str">
        <f t="shared" ca="1" si="115"/>
        <v/>
      </c>
      <c r="CUH10" s="16" t="str">
        <f t="shared" ca="1" si="116"/>
        <v/>
      </c>
      <c r="CUI10" s="16" t="str">
        <f t="shared" ca="1" si="117"/>
        <v/>
      </c>
      <c r="CUJ10" s="16" t="str">
        <f t="shared" ca="1" si="118"/>
        <v/>
      </c>
      <c r="CUK10" s="16" t="str">
        <f t="shared" ca="1" si="119"/>
        <v/>
      </c>
      <c r="CUL10" s="16" t="str">
        <f t="shared" ca="1" si="120"/>
        <v/>
      </c>
      <c r="CUM10" s="16" t="str">
        <f t="shared" ca="1" si="121"/>
        <v/>
      </c>
      <c r="CUN10" s="16" t="str">
        <f t="shared" ca="1" si="122"/>
        <v/>
      </c>
      <c r="CUO10" s="16" t="str">
        <f t="shared" ca="1" si="123"/>
        <v/>
      </c>
      <c r="CUP10" s="16" t="str">
        <f t="shared" ca="1" si="124"/>
        <v/>
      </c>
      <c r="CUQ10" s="16" t="str">
        <f t="shared" ca="1" si="125"/>
        <v/>
      </c>
      <c r="CUR10" s="16" t="str">
        <f t="shared" ca="1" si="126"/>
        <v/>
      </c>
      <c r="CUS10" s="16" t="str">
        <f t="shared" ca="1" si="127"/>
        <v/>
      </c>
      <c r="CUT10" s="16" t="str">
        <f t="shared" ca="1" si="128"/>
        <v/>
      </c>
      <c r="CUU10" s="16" t="str">
        <f t="shared" ca="1" si="129"/>
        <v/>
      </c>
      <c r="CUV10" s="16" t="str">
        <f t="shared" ca="1" si="130"/>
        <v/>
      </c>
      <c r="CUW10" s="16" t="str">
        <f t="shared" ca="1" si="131"/>
        <v/>
      </c>
      <c r="CUX10" s="16" t="str">
        <f t="shared" ca="1" si="132"/>
        <v/>
      </c>
      <c r="CUY10" s="16" t="str">
        <f t="shared" ca="1" si="133"/>
        <v/>
      </c>
      <c r="CUZ10" s="16" t="str">
        <f t="shared" ca="1" si="134"/>
        <v/>
      </c>
      <c r="CVA10" s="16" t="str">
        <f t="shared" ca="1" si="135"/>
        <v/>
      </c>
      <c r="CVB10" s="16" t="str">
        <f t="shared" ca="1" si="136"/>
        <v/>
      </c>
      <c r="CVC10" s="16" t="str">
        <f t="shared" ca="1" si="137"/>
        <v/>
      </c>
      <c r="CVD10" s="16" t="str">
        <f t="shared" ca="1" si="138"/>
        <v/>
      </c>
      <c r="CVE10" s="16" t="str">
        <f t="shared" ca="1" si="139"/>
        <v/>
      </c>
      <c r="CVF10" s="16" t="str">
        <f t="shared" ca="1" si="140"/>
        <v/>
      </c>
      <c r="CVG10" s="16" t="str">
        <f t="shared" ca="1" si="141"/>
        <v/>
      </c>
      <c r="CVH10" s="16" t="str">
        <f t="shared" ca="1" si="142"/>
        <v/>
      </c>
      <c r="CVI10" s="16" t="str">
        <f t="shared" ca="1" si="143"/>
        <v/>
      </c>
      <c r="CVJ10" s="16" t="str">
        <f t="shared" ca="1" si="144"/>
        <v/>
      </c>
      <c r="CVK10" s="16" t="str">
        <f t="shared" ca="1" si="145"/>
        <v/>
      </c>
      <c r="CVL10" s="16" t="str">
        <f t="shared" ca="1" si="146"/>
        <v/>
      </c>
      <c r="CVM10" s="16" t="str">
        <f t="shared" ca="1" si="147"/>
        <v/>
      </c>
      <c r="CVN10" s="16" t="str">
        <f t="shared" ca="1" si="148"/>
        <v/>
      </c>
      <c r="CVO10" s="58" t="str">
        <f t="shared" si="149"/>
        <v>васильеввладимир</v>
      </c>
      <c r="CVP10" s="58" t="str">
        <f>IFERROR(VLOOKUP(CVO10,'Внешние данные'!A:Z,4,FALSE),"")</f>
        <v/>
      </c>
    </row>
    <row r="11" spans="1:2616" s="16" customFormat="1" ht="13.8" x14ac:dyDescent="0.25">
      <c r="A11" s="2" t="s">
        <v>2299</v>
      </c>
      <c r="B11" s="2" t="s">
        <v>2465</v>
      </c>
      <c r="C11" s="57" t="s">
        <v>2391</v>
      </c>
      <c r="D11" s="35">
        <v>6</v>
      </c>
      <c r="E11" s="58" t="s">
        <v>2303</v>
      </c>
      <c r="G11" s="16" t="s">
        <v>1392</v>
      </c>
      <c r="H11" s="53">
        <f t="shared" ca="1" si="99"/>
        <v>0.77777777777777779</v>
      </c>
      <c r="I11" s="35">
        <f t="shared" ca="1" si="100"/>
        <v>0</v>
      </c>
      <c r="J11" s="35">
        <f t="shared" ca="1" si="101"/>
        <v>6</v>
      </c>
      <c r="K11" s="49">
        <f t="shared" ca="1" si="102"/>
        <v>4.166666666666667</v>
      </c>
      <c r="L11" s="16">
        <v>308</v>
      </c>
      <c r="M11" s="12"/>
      <c r="N11" s="12"/>
      <c r="O11" s="4"/>
      <c r="P11" s="4"/>
      <c r="Q11" s="4"/>
      <c r="R11" s="4"/>
      <c r="S11" s="4">
        <v>415</v>
      </c>
      <c r="T11" s="4">
        <v>415</v>
      </c>
      <c r="U11" s="4"/>
      <c r="V11" s="4">
        <v>202</v>
      </c>
      <c r="W11" s="4">
        <v>202</v>
      </c>
      <c r="X11" s="4">
        <v>202</v>
      </c>
      <c r="Y11" s="4">
        <v>202</v>
      </c>
      <c r="Z11" s="4">
        <v>202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PI11" s="16">
        <v>1</v>
      </c>
      <c r="PK11" s="16">
        <v>1</v>
      </c>
      <c r="PM11" s="16">
        <v>1</v>
      </c>
      <c r="PN11" s="16">
        <v>1</v>
      </c>
      <c r="PT11" s="16">
        <v>1</v>
      </c>
      <c r="PU11" s="16">
        <v>1</v>
      </c>
      <c r="RS11" s="16">
        <v>1</v>
      </c>
      <c r="RU11" s="16">
        <v>1</v>
      </c>
      <c r="RV11" s="16">
        <v>1</v>
      </c>
      <c r="RX11" s="16">
        <v>1</v>
      </c>
      <c r="RY11" s="16">
        <v>1</v>
      </c>
      <c r="RZ11" s="16">
        <v>1</v>
      </c>
      <c r="SB11" s="16">
        <v>1</v>
      </c>
      <c r="SC11" s="16">
        <v>1</v>
      </c>
      <c r="WM11" s="16" t="s">
        <v>2961</v>
      </c>
      <c r="YW11" s="16">
        <v>1</v>
      </c>
      <c r="YZ11" s="16">
        <v>1</v>
      </c>
      <c r="ZA11" s="16">
        <v>1</v>
      </c>
      <c r="ZB11" s="16">
        <v>1</v>
      </c>
      <c r="ZD11" s="16">
        <v>1</v>
      </c>
      <c r="ABG11" s="16">
        <v>1</v>
      </c>
      <c r="ABM11" s="16">
        <v>1</v>
      </c>
      <c r="ADQ11" s="16">
        <v>1</v>
      </c>
      <c r="ADT11" s="16">
        <v>1</v>
      </c>
      <c r="ADU11" s="16">
        <v>1</v>
      </c>
      <c r="ADW11" s="16">
        <v>1</v>
      </c>
      <c r="AEA11" s="16">
        <v>1</v>
      </c>
      <c r="AEB11" s="16">
        <v>1</v>
      </c>
      <c r="AGA11" s="16">
        <v>1</v>
      </c>
      <c r="AGB11" s="16">
        <v>1</v>
      </c>
      <c r="AGJ11" s="16">
        <v>1</v>
      </c>
      <c r="AGK11" s="16">
        <v>1</v>
      </c>
      <c r="CSK11" s="54" t="str">
        <f t="shared" si="103"/>
        <v>X</v>
      </c>
      <c r="CSL11" s="35" t="str">
        <f t="shared" ca="1" si="104"/>
        <v/>
      </c>
      <c r="CSM11" s="35" t="str">
        <f t="shared" ca="1" si="104"/>
        <v/>
      </c>
      <c r="CSN11" s="35" t="str">
        <f t="shared" ca="1" si="104"/>
        <v/>
      </c>
      <c r="CSO11" s="35" t="str">
        <f t="shared" ca="1" si="104"/>
        <v/>
      </c>
      <c r="CSP11" s="35" t="str">
        <f t="shared" ca="1" si="104"/>
        <v/>
      </c>
      <c r="CSQ11" s="72" t="str">
        <f t="shared" ca="1" si="104"/>
        <v/>
      </c>
      <c r="CSR11" s="35">
        <f t="shared" ca="1" si="104"/>
        <v>1</v>
      </c>
      <c r="CSS11" s="35">
        <f t="shared" ca="1" si="104"/>
        <v>1</v>
      </c>
      <c r="CST11" s="35" t="str">
        <f t="shared" ca="1" si="104"/>
        <v/>
      </c>
      <c r="CSU11" s="35" t="str">
        <f t="shared" ca="1" si="104"/>
        <v/>
      </c>
      <c r="CSV11" s="35">
        <f t="shared" ca="1" si="105"/>
        <v>1</v>
      </c>
      <c r="CSW11" s="35">
        <f t="shared" ca="1" si="105"/>
        <v>1</v>
      </c>
      <c r="CSX11" s="35">
        <f t="shared" ca="1" si="105"/>
        <v>1</v>
      </c>
      <c r="CSY11" s="35">
        <f t="shared" ca="1" si="105"/>
        <v>1</v>
      </c>
      <c r="CSZ11" s="35" t="str">
        <f t="shared" ca="1" si="105"/>
        <v/>
      </c>
      <c r="CTA11" s="35" t="str">
        <f t="shared" ca="1" si="105"/>
        <v/>
      </c>
      <c r="CTB11" s="35" t="str">
        <f t="shared" ca="1" si="105"/>
        <v/>
      </c>
      <c r="CTC11" s="35" t="str">
        <f t="shared" ca="1" si="105"/>
        <v/>
      </c>
      <c r="CTD11" s="35" t="str">
        <f t="shared" ca="1" si="105"/>
        <v/>
      </c>
      <c r="CTE11" s="35" t="str">
        <f t="shared" ca="1" si="105"/>
        <v/>
      </c>
      <c r="CTF11" s="35" t="str">
        <f t="shared" ca="1" si="106"/>
        <v/>
      </c>
      <c r="CTG11" s="35" t="str">
        <f t="shared" ca="1" si="106"/>
        <v/>
      </c>
      <c r="CTH11" s="35" t="str">
        <f t="shared" ca="1" si="106"/>
        <v/>
      </c>
      <c r="CTI11" s="35" t="str">
        <f t="shared" ca="1" si="106"/>
        <v/>
      </c>
      <c r="CTJ11" s="35" t="str">
        <f t="shared" ca="1" si="106"/>
        <v/>
      </c>
      <c r="CTK11" s="35" t="str">
        <f t="shared" ca="1" si="106"/>
        <v/>
      </c>
      <c r="CTL11" s="35" t="str">
        <f t="shared" ca="1" si="106"/>
        <v/>
      </c>
      <c r="CTM11" s="35" t="str">
        <f t="shared" ca="1" si="106"/>
        <v/>
      </c>
      <c r="CTN11" s="35" t="str">
        <f t="shared" ca="1" si="106"/>
        <v/>
      </c>
      <c r="CTO11" s="35" t="str">
        <f t="shared" ca="1" si="106"/>
        <v/>
      </c>
      <c r="CTP11" s="35" t="str">
        <f t="shared" ca="1" si="107"/>
        <v/>
      </c>
      <c r="CTQ11" s="35" t="str">
        <f t="shared" ca="1" si="107"/>
        <v/>
      </c>
      <c r="CTR11" s="35" t="str">
        <f t="shared" ca="1" si="107"/>
        <v/>
      </c>
      <c r="CTS11" s="35" t="str">
        <f t="shared" ca="1" si="107"/>
        <v/>
      </c>
      <c r="CTT11" s="35" t="str">
        <f t="shared" ca="1" si="107"/>
        <v/>
      </c>
      <c r="CTU11" s="35" t="str">
        <f t="shared" ca="1" si="107"/>
        <v/>
      </c>
      <c r="CTV11" s="35" t="str">
        <f t="shared" ca="1" si="107"/>
        <v/>
      </c>
      <c r="CTW11" s="35" t="str">
        <f t="shared" ca="1" si="107"/>
        <v/>
      </c>
      <c r="CTX11" s="35" t="str">
        <f t="shared" ca="1" si="107"/>
        <v/>
      </c>
      <c r="CTY11" s="35" t="str">
        <f t="shared" ca="1" si="107"/>
        <v/>
      </c>
      <c r="CTZ11" s="56" t="str">
        <f t="shared" si="108"/>
        <v>X</v>
      </c>
      <c r="CUA11" s="58" t="str">
        <f t="shared" ca="1" si="109"/>
        <v/>
      </c>
      <c r="CUB11" s="16" t="str">
        <f t="shared" ca="1" si="110"/>
        <v/>
      </c>
      <c r="CUC11" s="16" t="str">
        <f t="shared" ca="1" si="111"/>
        <v/>
      </c>
      <c r="CUD11" s="16" t="str">
        <f t="shared" ca="1" si="112"/>
        <v/>
      </c>
      <c r="CUE11" s="16" t="str">
        <f t="shared" ca="1" si="113"/>
        <v/>
      </c>
      <c r="CUF11" s="16" t="str">
        <f t="shared" ca="1" si="114"/>
        <v/>
      </c>
      <c r="CUG11" s="16">
        <f t="shared" ca="1" si="115"/>
        <v>5</v>
      </c>
      <c r="CUH11" s="16">
        <f t="shared" ca="1" si="116"/>
        <v>7</v>
      </c>
      <c r="CUI11" s="16" t="str">
        <f t="shared" ca="1" si="117"/>
        <v/>
      </c>
      <c r="CUJ11" s="16" t="str">
        <f t="shared" ca="1" si="118"/>
        <v/>
      </c>
      <c r="CUK11" s="16">
        <f t="shared" ca="1" si="119"/>
        <v>4</v>
      </c>
      <c r="CUL11" s="16">
        <f t="shared" ca="1" si="120"/>
        <v>1</v>
      </c>
      <c r="CUM11" s="16">
        <f t="shared" ca="1" si="121"/>
        <v>5</v>
      </c>
      <c r="CUN11" s="16">
        <f t="shared" ca="1" si="122"/>
        <v>3</v>
      </c>
      <c r="CUO11" s="16" t="str">
        <f t="shared" ca="1" si="123"/>
        <v/>
      </c>
      <c r="CUP11" s="16" t="str">
        <f t="shared" ca="1" si="124"/>
        <v/>
      </c>
      <c r="CUQ11" s="16" t="str">
        <f t="shared" ca="1" si="125"/>
        <v/>
      </c>
      <c r="CUR11" s="16" t="str">
        <f t="shared" ca="1" si="126"/>
        <v/>
      </c>
      <c r="CUS11" s="16" t="str">
        <f t="shared" ca="1" si="127"/>
        <v/>
      </c>
      <c r="CUT11" s="16" t="str">
        <f t="shared" ca="1" si="128"/>
        <v/>
      </c>
      <c r="CUU11" s="16" t="str">
        <f t="shared" ca="1" si="129"/>
        <v/>
      </c>
      <c r="CUV11" s="16" t="str">
        <f t="shared" ca="1" si="130"/>
        <v/>
      </c>
      <c r="CUW11" s="16" t="str">
        <f t="shared" ca="1" si="131"/>
        <v/>
      </c>
      <c r="CUX11" s="16" t="str">
        <f t="shared" ca="1" si="132"/>
        <v/>
      </c>
      <c r="CUY11" s="16" t="str">
        <f t="shared" ca="1" si="133"/>
        <v/>
      </c>
      <c r="CUZ11" s="16" t="str">
        <f t="shared" ca="1" si="134"/>
        <v/>
      </c>
      <c r="CVA11" s="16" t="str">
        <f t="shared" ca="1" si="135"/>
        <v/>
      </c>
      <c r="CVB11" s="16" t="str">
        <f t="shared" ca="1" si="136"/>
        <v/>
      </c>
      <c r="CVC11" s="16" t="str">
        <f t="shared" ca="1" si="137"/>
        <v/>
      </c>
      <c r="CVD11" s="16" t="str">
        <f t="shared" ca="1" si="138"/>
        <v/>
      </c>
      <c r="CVE11" s="16" t="str">
        <f t="shared" ca="1" si="139"/>
        <v/>
      </c>
      <c r="CVF11" s="16" t="str">
        <f t="shared" ca="1" si="140"/>
        <v/>
      </c>
      <c r="CVG11" s="16" t="str">
        <f t="shared" ca="1" si="141"/>
        <v/>
      </c>
      <c r="CVH11" s="16" t="str">
        <f t="shared" ca="1" si="142"/>
        <v/>
      </c>
      <c r="CVI11" s="16" t="str">
        <f t="shared" ca="1" si="143"/>
        <v/>
      </c>
      <c r="CVJ11" s="16" t="str">
        <f t="shared" ca="1" si="144"/>
        <v/>
      </c>
      <c r="CVK11" s="16" t="str">
        <f t="shared" ca="1" si="145"/>
        <v/>
      </c>
      <c r="CVL11" s="16" t="str">
        <f t="shared" ca="1" si="146"/>
        <v/>
      </c>
      <c r="CVM11" s="16" t="str">
        <f t="shared" ca="1" si="147"/>
        <v/>
      </c>
      <c r="CVN11" s="16" t="str">
        <f t="shared" ca="1" si="148"/>
        <v/>
      </c>
      <c r="CVO11" s="58" t="str">
        <f t="shared" si="149"/>
        <v>петровантон</v>
      </c>
      <c r="CVP11" s="58" t="str">
        <f>IFERROR(VLOOKUP(CVO11,'Внешние данные'!A:Z,4,FALSE),"")</f>
        <v/>
      </c>
    </row>
    <row r="12" spans="1:2616" s="16" customFormat="1" ht="13.8" x14ac:dyDescent="0.25">
      <c r="A12" s="2" t="s">
        <v>2348</v>
      </c>
      <c r="B12" s="2" t="s">
        <v>2435</v>
      </c>
      <c r="C12" s="57" t="s">
        <v>2392</v>
      </c>
      <c r="D12" s="35">
        <v>5</v>
      </c>
      <c r="E12" s="58">
        <v>57</v>
      </c>
      <c r="G12" s="16" t="s">
        <v>1393</v>
      </c>
      <c r="H12" s="53" t="str">
        <f t="shared" ca="1" si="99"/>
        <v/>
      </c>
      <c r="I12" s="35" t="str">
        <f t="shared" ca="1" si="100"/>
        <v/>
      </c>
      <c r="J12" s="35">
        <f t="shared" ca="1" si="101"/>
        <v>0</v>
      </c>
      <c r="K12" s="49" t="str">
        <f t="shared" ca="1" si="102"/>
        <v/>
      </c>
      <c r="L12" s="16">
        <v>205</v>
      </c>
      <c r="M12" s="12"/>
      <c r="N12" s="12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CSK12" s="54" t="str">
        <f t="shared" si="103"/>
        <v>X</v>
      </c>
      <c r="CSL12" s="35" t="str">
        <f t="shared" ca="1" si="104"/>
        <v/>
      </c>
      <c r="CSM12" s="35" t="str">
        <f t="shared" ca="1" si="104"/>
        <v/>
      </c>
      <c r="CSN12" s="35" t="str">
        <f t="shared" ca="1" si="104"/>
        <v/>
      </c>
      <c r="CSO12" s="35" t="str">
        <f t="shared" ca="1" si="104"/>
        <v/>
      </c>
      <c r="CSP12" s="35" t="str">
        <f t="shared" ca="1" si="104"/>
        <v/>
      </c>
      <c r="CSQ12" s="72" t="str">
        <f t="shared" ca="1" si="104"/>
        <v/>
      </c>
      <c r="CSR12" s="35" t="str">
        <f t="shared" ca="1" si="104"/>
        <v/>
      </c>
      <c r="CSS12" s="35" t="str">
        <f t="shared" ca="1" si="104"/>
        <v/>
      </c>
      <c r="CST12" s="35" t="str">
        <f t="shared" ca="1" si="104"/>
        <v/>
      </c>
      <c r="CSU12" s="35" t="str">
        <f t="shared" ca="1" si="104"/>
        <v/>
      </c>
      <c r="CSV12" s="35" t="str">
        <f t="shared" ca="1" si="105"/>
        <v/>
      </c>
      <c r="CSW12" s="35" t="str">
        <f t="shared" ca="1" si="105"/>
        <v/>
      </c>
      <c r="CSX12" s="35" t="str">
        <f t="shared" ca="1" si="105"/>
        <v/>
      </c>
      <c r="CSY12" s="35" t="str">
        <f t="shared" ca="1" si="105"/>
        <v/>
      </c>
      <c r="CSZ12" s="35" t="str">
        <f t="shared" ca="1" si="105"/>
        <v/>
      </c>
      <c r="CTA12" s="35" t="str">
        <f t="shared" ca="1" si="105"/>
        <v/>
      </c>
      <c r="CTB12" s="35" t="str">
        <f t="shared" ca="1" si="105"/>
        <v/>
      </c>
      <c r="CTC12" s="35" t="str">
        <f t="shared" ca="1" si="105"/>
        <v/>
      </c>
      <c r="CTD12" s="35" t="str">
        <f t="shared" ca="1" si="105"/>
        <v/>
      </c>
      <c r="CTE12" s="35" t="str">
        <f t="shared" ca="1" si="105"/>
        <v/>
      </c>
      <c r="CTF12" s="35" t="str">
        <f t="shared" ca="1" si="106"/>
        <v/>
      </c>
      <c r="CTG12" s="35" t="str">
        <f t="shared" ca="1" si="106"/>
        <v/>
      </c>
      <c r="CTH12" s="35" t="str">
        <f t="shared" ca="1" si="106"/>
        <v/>
      </c>
      <c r="CTI12" s="35" t="str">
        <f t="shared" ca="1" si="106"/>
        <v/>
      </c>
      <c r="CTJ12" s="35" t="str">
        <f t="shared" ca="1" si="106"/>
        <v/>
      </c>
      <c r="CTK12" s="35" t="str">
        <f t="shared" ca="1" si="106"/>
        <v/>
      </c>
      <c r="CTL12" s="35" t="str">
        <f t="shared" ca="1" si="106"/>
        <v/>
      </c>
      <c r="CTM12" s="35" t="str">
        <f t="shared" ca="1" si="106"/>
        <v/>
      </c>
      <c r="CTN12" s="35" t="str">
        <f t="shared" ca="1" si="106"/>
        <v/>
      </c>
      <c r="CTO12" s="35" t="str">
        <f t="shared" ca="1" si="106"/>
        <v/>
      </c>
      <c r="CTP12" s="35" t="str">
        <f t="shared" ca="1" si="107"/>
        <v/>
      </c>
      <c r="CTQ12" s="35" t="str">
        <f t="shared" ca="1" si="107"/>
        <v/>
      </c>
      <c r="CTR12" s="35" t="str">
        <f t="shared" ca="1" si="107"/>
        <v/>
      </c>
      <c r="CTS12" s="35" t="str">
        <f t="shared" ca="1" si="107"/>
        <v/>
      </c>
      <c r="CTT12" s="35" t="str">
        <f t="shared" ca="1" si="107"/>
        <v/>
      </c>
      <c r="CTU12" s="35" t="str">
        <f t="shared" ca="1" si="107"/>
        <v/>
      </c>
      <c r="CTV12" s="35" t="str">
        <f t="shared" ca="1" si="107"/>
        <v/>
      </c>
      <c r="CTW12" s="35" t="str">
        <f t="shared" ca="1" si="107"/>
        <v/>
      </c>
      <c r="CTX12" s="35" t="str">
        <f t="shared" ca="1" si="107"/>
        <v/>
      </c>
      <c r="CTY12" s="35" t="str">
        <f t="shared" ca="1" si="107"/>
        <v/>
      </c>
      <c r="CTZ12" s="56" t="str">
        <f t="shared" si="108"/>
        <v>X</v>
      </c>
      <c r="CUA12" s="58" t="str">
        <f t="shared" ca="1" si="109"/>
        <v/>
      </c>
      <c r="CUB12" s="16" t="str">
        <f t="shared" ca="1" si="110"/>
        <v/>
      </c>
      <c r="CUC12" s="16" t="str">
        <f t="shared" ca="1" si="111"/>
        <v/>
      </c>
      <c r="CUD12" s="16" t="str">
        <f t="shared" ca="1" si="112"/>
        <v/>
      </c>
      <c r="CUE12" s="16" t="str">
        <f t="shared" ca="1" si="113"/>
        <v/>
      </c>
      <c r="CUF12" s="16" t="str">
        <f t="shared" ca="1" si="114"/>
        <v/>
      </c>
      <c r="CUG12" s="16" t="str">
        <f t="shared" ca="1" si="115"/>
        <v/>
      </c>
      <c r="CUH12" s="16" t="str">
        <f t="shared" ca="1" si="116"/>
        <v/>
      </c>
      <c r="CUI12" s="16" t="str">
        <f t="shared" ca="1" si="117"/>
        <v/>
      </c>
      <c r="CUJ12" s="16" t="str">
        <f t="shared" ca="1" si="118"/>
        <v/>
      </c>
      <c r="CUK12" s="16" t="str">
        <f t="shared" ca="1" si="119"/>
        <v/>
      </c>
      <c r="CUL12" s="16" t="str">
        <f t="shared" ca="1" si="120"/>
        <v/>
      </c>
      <c r="CUM12" s="16" t="str">
        <f t="shared" ca="1" si="121"/>
        <v/>
      </c>
      <c r="CUN12" s="16" t="str">
        <f t="shared" ca="1" si="122"/>
        <v/>
      </c>
      <c r="CUO12" s="16" t="str">
        <f t="shared" ca="1" si="123"/>
        <v/>
      </c>
      <c r="CUP12" s="16" t="str">
        <f t="shared" ca="1" si="124"/>
        <v/>
      </c>
      <c r="CUQ12" s="16" t="str">
        <f t="shared" ca="1" si="125"/>
        <v/>
      </c>
      <c r="CUR12" s="16" t="str">
        <f t="shared" ca="1" si="126"/>
        <v/>
      </c>
      <c r="CUS12" s="16" t="str">
        <f t="shared" ca="1" si="127"/>
        <v/>
      </c>
      <c r="CUT12" s="16" t="str">
        <f t="shared" ca="1" si="128"/>
        <v/>
      </c>
      <c r="CUU12" s="16" t="str">
        <f t="shared" ca="1" si="129"/>
        <v/>
      </c>
      <c r="CUV12" s="16" t="str">
        <f t="shared" ca="1" si="130"/>
        <v/>
      </c>
      <c r="CUW12" s="16" t="str">
        <f t="shared" ca="1" si="131"/>
        <v/>
      </c>
      <c r="CUX12" s="16" t="str">
        <f t="shared" ca="1" si="132"/>
        <v/>
      </c>
      <c r="CUY12" s="16" t="str">
        <f t="shared" ca="1" si="133"/>
        <v/>
      </c>
      <c r="CUZ12" s="16" t="str">
        <f t="shared" ca="1" si="134"/>
        <v/>
      </c>
      <c r="CVA12" s="16" t="str">
        <f t="shared" ca="1" si="135"/>
        <v/>
      </c>
      <c r="CVB12" s="16" t="str">
        <f t="shared" ca="1" si="136"/>
        <v/>
      </c>
      <c r="CVC12" s="16" t="str">
        <f t="shared" ca="1" si="137"/>
        <v/>
      </c>
      <c r="CVD12" s="16" t="str">
        <f t="shared" ca="1" si="138"/>
        <v/>
      </c>
      <c r="CVE12" s="16" t="str">
        <f t="shared" ca="1" si="139"/>
        <v/>
      </c>
      <c r="CVF12" s="16" t="str">
        <f t="shared" ca="1" si="140"/>
        <v/>
      </c>
      <c r="CVG12" s="16" t="str">
        <f t="shared" ca="1" si="141"/>
        <v/>
      </c>
      <c r="CVH12" s="16" t="str">
        <f t="shared" ca="1" si="142"/>
        <v/>
      </c>
      <c r="CVI12" s="16" t="str">
        <f t="shared" ca="1" si="143"/>
        <v/>
      </c>
      <c r="CVJ12" s="16" t="str">
        <f t="shared" ca="1" si="144"/>
        <v/>
      </c>
      <c r="CVK12" s="16" t="str">
        <f t="shared" ca="1" si="145"/>
        <v/>
      </c>
      <c r="CVL12" s="16" t="str">
        <f t="shared" ca="1" si="146"/>
        <v/>
      </c>
      <c r="CVM12" s="16" t="str">
        <f t="shared" ca="1" si="147"/>
        <v/>
      </c>
      <c r="CVN12" s="16" t="str">
        <f t="shared" ca="1" si="148"/>
        <v/>
      </c>
      <c r="CVO12" s="58" t="str">
        <f t="shared" si="149"/>
        <v>соколовмаксим</v>
      </c>
      <c r="CVP12" s="58" t="str">
        <f>IFERROR(VLOOKUP(CVO12,'Внешние данные'!A:Z,4,FALSE),"")</f>
        <v/>
      </c>
    </row>
    <row r="13" spans="1:2616" s="16" customFormat="1" ht="13.8" x14ac:dyDescent="0.25">
      <c r="A13" s="2" t="s">
        <v>2349</v>
      </c>
      <c r="B13" s="2" t="s">
        <v>2477</v>
      </c>
      <c r="C13" s="57" t="s">
        <v>2393</v>
      </c>
      <c r="D13" s="35">
        <v>6</v>
      </c>
      <c r="E13" s="58">
        <v>179</v>
      </c>
      <c r="G13" s="16" t="s">
        <v>1393</v>
      </c>
      <c r="H13" s="53" t="str">
        <f t="shared" ca="1" si="99"/>
        <v/>
      </c>
      <c r="I13" s="35" t="str">
        <f t="shared" ca="1" si="100"/>
        <v/>
      </c>
      <c r="J13" s="35">
        <f t="shared" ca="1" si="101"/>
        <v>0</v>
      </c>
      <c r="K13" s="49" t="str">
        <f t="shared" ca="1" si="102"/>
        <v/>
      </c>
      <c r="L13" s="16">
        <v>305</v>
      </c>
      <c r="M13" s="12"/>
      <c r="N13" s="12"/>
      <c r="O13" s="4"/>
      <c r="P13" s="4">
        <v>415</v>
      </c>
      <c r="Q13" s="4">
        <v>415</v>
      </c>
      <c r="R13" s="4">
        <v>415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PI13" s="16" t="s">
        <v>2961</v>
      </c>
      <c r="RS13" s="16" t="s">
        <v>2961</v>
      </c>
      <c r="WM13" s="16" t="s">
        <v>2961</v>
      </c>
      <c r="YW13" s="16" t="s">
        <v>2961</v>
      </c>
      <c r="AGA13" s="16" t="s">
        <v>2961</v>
      </c>
      <c r="CSK13" s="54" t="str">
        <f t="shared" si="103"/>
        <v>X</v>
      </c>
      <c r="CSL13" s="35" t="str">
        <f t="shared" ca="1" si="104"/>
        <v/>
      </c>
      <c r="CSM13" s="35" t="str">
        <f t="shared" ca="1" si="104"/>
        <v/>
      </c>
      <c r="CSN13" s="35" t="str">
        <f t="shared" ca="1" si="104"/>
        <v/>
      </c>
      <c r="CSO13" s="35" t="str">
        <f t="shared" ca="1" si="104"/>
        <v/>
      </c>
      <c r="CSP13" s="35" t="str">
        <f t="shared" ca="1" si="104"/>
        <v/>
      </c>
      <c r="CSQ13" s="72" t="str">
        <f t="shared" ca="1" si="104"/>
        <v/>
      </c>
      <c r="CSR13" s="35" t="str">
        <f t="shared" ca="1" si="104"/>
        <v/>
      </c>
      <c r="CSS13" s="35" t="str">
        <f t="shared" ca="1" si="104"/>
        <v/>
      </c>
      <c r="CST13" s="35" t="str">
        <f t="shared" ca="1" si="104"/>
        <v/>
      </c>
      <c r="CSU13" s="35" t="str">
        <f t="shared" ca="1" si="104"/>
        <v/>
      </c>
      <c r="CSV13" s="35" t="str">
        <f t="shared" ca="1" si="105"/>
        <v/>
      </c>
      <c r="CSW13" s="35" t="str">
        <f t="shared" ca="1" si="105"/>
        <v/>
      </c>
      <c r="CSX13" s="35" t="str">
        <f t="shared" ca="1" si="105"/>
        <v/>
      </c>
      <c r="CSY13" s="35" t="str">
        <f t="shared" ca="1" si="105"/>
        <v/>
      </c>
      <c r="CSZ13" s="35" t="str">
        <f t="shared" ca="1" si="105"/>
        <v/>
      </c>
      <c r="CTA13" s="35" t="str">
        <f t="shared" ca="1" si="105"/>
        <v/>
      </c>
      <c r="CTB13" s="35" t="str">
        <f t="shared" ca="1" si="105"/>
        <v/>
      </c>
      <c r="CTC13" s="35" t="str">
        <f t="shared" ca="1" si="105"/>
        <v/>
      </c>
      <c r="CTD13" s="35" t="str">
        <f t="shared" ca="1" si="105"/>
        <v/>
      </c>
      <c r="CTE13" s="35" t="str">
        <f t="shared" ca="1" si="105"/>
        <v/>
      </c>
      <c r="CTF13" s="35" t="str">
        <f t="shared" ca="1" si="106"/>
        <v/>
      </c>
      <c r="CTG13" s="35" t="str">
        <f t="shared" ca="1" si="106"/>
        <v/>
      </c>
      <c r="CTH13" s="35" t="str">
        <f t="shared" ca="1" si="106"/>
        <v/>
      </c>
      <c r="CTI13" s="35" t="str">
        <f t="shared" ca="1" si="106"/>
        <v/>
      </c>
      <c r="CTJ13" s="35" t="str">
        <f t="shared" ca="1" si="106"/>
        <v/>
      </c>
      <c r="CTK13" s="35" t="str">
        <f t="shared" ca="1" si="106"/>
        <v/>
      </c>
      <c r="CTL13" s="35" t="str">
        <f t="shared" ca="1" si="106"/>
        <v/>
      </c>
      <c r="CTM13" s="35" t="str">
        <f t="shared" ca="1" si="106"/>
        <v/>
      </c>
      <c r="CTN13" s="35" t="str">
        <f t="shared" ca="1" si="106"/>
        <v/>
      </c>
      <c r="CTO13" s="35" t="str">
        <f t="shared" ca="1" si="106"/>
        <v/>
      </c>
      <c r="CTP13" s="35" t="str">
        <f t="shared" ca="1" si="107"/>
        <v/>
      </c>
      <c r="CTQ13" s="35" t="str">
        <f t="shared" ca="1" si="107"/>
        <v/>
      </c>
      <c r="CTR13" s="35" t="str">
        <f t="shared" ca="1" si="107"/>
        <v/>
      </c>
      <c r="CTS13" s="35" t="str">
        <f t="shared" ca="1" si="107"/>
        <v/>
      </c>
      <c r="CTT13" s="35" t="str">
        <f t="shared" ca="1" si="107"/>
        <v/>
      </c>
      <c r="CTU13" s="35" t="str">
        <f t="shared" ca="1" si="107"/>
        <v/>
      </c>
      <c r="CTV13" s="35" t="str">
        <f t="shared" ca="1" si="107"/>
        <v/>
      </c>
      <c r="CTW13" s="35" t="str">
        <f t="shared" ca="1" si="107"/>
        <v/>
      </c>
      <c r="CTX13" s="35" t="str">
        <f t="shared" ca="1" si="107"/>
        <v/>
      </c>
      <c r="CTY13" s="35" t="str">
        <f t="shared" ca="1" si="107"/>
        <v/>
      </c>
      <c r="CTZ13" s="56" t="str">
        <f t="shared" si="108"/>
        <v>X</v>
      </c>
      <c r="CUA13" s="58" t="str">
        <f t="shared" ca="1" si="109"/>
        <v/>
      </c>
      <c r="CUB13" s="16" t="str">
        <f t="shared" ca="1" si="110"/>
        <v/>
      </c>
      <c r="CUC13" s="16" t="str">
        <f t="shared" ca="1" si="111"/>
        <v/>
      </c>
      <c r="CUD13" s="16" t="str">
        <f t="shared" ca="1" si="112"/>
        <v/>
      </c>
      <c r="CUE13" s="16" t="str">
        <f t="shared" ca="1" si="113"/>
        <v/>
      </c>
      <c r="CUF13" s="16" t="str">
        <f t="shared" ca="1" si="114"/>
        <v/>
      </c>
      <c r="CUG13" s="16" t="str">
        <f t="shared" ca="1" si="115"/>
        <v/>
      </c>
      <c r="CUH13" s="16" t="str">
        <f t="shared" ca="1" si="116"/>
        <v/>
      </c>
      <c r="CUI13" s="16" t="str">
        <f t="shared" ca="1" si="117"/>
        <v/>
      </c>
      <c r="CUJ13" s="16" t="str">
        <f t="shared" ca="1" si="118"/>
        <v/>
      </c>
      <c r="CUK13" s="16" t="str">
        <f t="shared" ca="1" si="119"/>
        <v/>
      </c>
      <c r="CUL13" s="16" t="str">
        <f t="shared" ca="1" si="120"/>
        <v/>
      </c>
      <c r="CUM13" s="16" t="str">
        <f t="shared" ca="1" si="121"/>
        <v/>
      </c>
      <c r="CUN13" s="16" t="str">
        <f t="shared" ca="1" si="122"/>
        <v/>
      </c>
      <c r="CUO13" s="16" t="str">
        <f t="shared" ca="1" si="123"/>
        <v/>
      </c>
      <c r="CUP13" s="16" t="str">
        <f t="shared" ca="1" si="124"/>
        <v/>
      </c>
      <c r="CUQ13" s="16" t="str">
        <f t="shared" ca="1" si="125"/>
        <v/>
      </c>
      <c r="CUR13" s="16" t="str">
        <f t="shared" ca="1" si="126"/>
        <v/>
      </c>
      <c r="CUS13" s="16" t="str">
        <f t="shared" ca="1" si="127"/>
        <v/>
      </c>
      <c r="CUT13" s="16" t="str">
        <f t="shared" ca="1" si="128"/>
        <v/>
      </c>
      <c r="CUU13" s="16" t="str">
        <f t="shared" ca="1" si="129"/>
        <v/>
      </c>
      <c r="CUV13" s="16" t="str">
        <f t="shared" ca="1" si="130"/>
        <v/>
      </c>
      <c r="CUW13" s="16" t="str">
        <f t="shared" ca="1" si="131"/>
        <v/>
      </c>
      <c r="CUX13" s="16" t="str">
        <f t="shared" ca="1" si="132"/>
        <v/>
      </c>
      <c r="CUY13" s="16" t="str">
        <f t="shared" ca="1" si="133"/>
        <v/>
      </c>
      <c r="CUZ13" s="16" t="str">
        <f t="shared" ca="1" si="134"/>
        <v/>
      </c>
      <c r="CVA13" s="16" t="str">
        <f t="shared" ca="1" si="135"/>
        <v/>
      </c>
      <c r="CVB13" s="16" t="str">
        <f t="shared" ca="1" si="136"/>
        <v/>
      </c>
      <c r="CVC13" s="16" t="str">
        <f t="shared" ca="1" si="137"/>
        <v/>
      </c>
      <c r="CVD13" s="16" t="str">
        <f t="shared" ca="1" si="138"/>
        <v/>
      </c>
      <c r="CVE13" s="16" t="str">
        <f t="shared" ca="1" si="139"/>
        <v/>
      </c>
      <c r="CVF13" s="16" t="str">
        <f t="shared" ca="1" si="140"/>
        <v/>
      </c>
      <c r="CVG13" s="16" t="str">
        <f t="shared" ca="1" si="141"/>
        <v/>
      </c>
      <c r="CVH13" s="16" t="str">
        <f t="shared" ca="1" si="142"/>
        <v/>
      </c>
      <c r="CVI13" s="16" t="str">
        <f t="shared" ca="1" si="143"/>
        <v/>
      </c>
      <c r="CVJ13" s="16" t="str">
        <f t="shared" ca="1" si="144"/>
        <v/>
      </c>
      <c r="CVK13" s="16" t="str">
        <f t="shared" ca="1" si="145"/>
        <v/>
      </c>
      <c r="CVL13" s="16" t="str">
        <f t="shared" ca="1" si="146"/>
        <v/>
      </c>
      <c r="CVM13" s="16" t="str">
        <f t="shared" ca="1" si="147"/>
        <v/>
      </c>
      <c r="CVN13" s="16" t="str">
        <f t="shared" ca="1" si="148"/>
        <v/>
      </c>
      <c r="CVO13" s="58" t="str">
        <f t="shared" si="149"/>
        <v>михайловпавелс.</v>
      </c>
      <c r="CVP13" s="58" t="str">
        <f>IFERROR(VLOOKUP(CVO13,'Внешние данные'!A:Z,4,FALSE),"")</f>
        <v/>
      </c>
    </row>
    <row r="14" spans="1:2616" s="16" customFormat="1" ht="13.8" x14ac:dyDescent="0.25">
      <c r="A14" s="2" t="s">
        <v>2349</v>
      </c>
      <c r="B14" s="2" t="s">
        <v>2478</v>
      </c>
      <c r="C14" s="57" t="s">
        <v>2394</v>
      </c>
      <c r="D14" s="35">
        <v>5</v>
      </c>
      <c r="E14" s="58" t="s">
        <v>2303</v>
      </c>
      <c r="G14" s="16" t="s">
        <v>1392</v>
      </c>
      <c r="H14" s="53" t="str">
        <f t="shared" ca="1" si="99"/>
        <v/>
      </c>
      <c r="I14" s="35" t="str">
        <f t="shared" ca="1" si="100"/>
        <v/>
      </c>
      <c r="J14" s="35">
        <f t="shared" ca="1" si="101"/>
        <v>0</v>
      </c>
      <c r="K14" s="49" t="str">
        <f t="shared" ca="1" si="102"/>
        <v/>
      </c>
      <c r="L14" s="16">
        <v>308</v>
      </c>
      <c r="M14" s="12"/>
      <c r="N14" s="12"/>
      <c r="O14" s="4"/>
      <c r="P14" s="4">
        <v>425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PI14" s="16" t="s">
        <v>2961</v>
      </c>
      <c r="RS14" s="16" t="s">
        <v>2961</v>
      </c>
      <c r="WM14" s="16" t="s">
        <v>2961</v>
      </c>
      <c r="YW14" s="16" t="s">
        <v>2961</v>
      </c>
      <c r="AGA14" s="16" t="s">
        <v>2961</v>
      </c>
      <c r="CSK14" s="54" t="str">
        <f t="shared" si="103"/>
        <v>X</v>
      </c>
      <c r="CSL14" s="35" t="str">
        <f t="shared" ca="1" si="104"/>
        <v/>
      </c>
      <c r="CSM14" s="35" t="str">
        <f t="shared" ca="1" si="104"/>
        <v/>
      </c>
      <c r="CSN14" s="35" t="str">
        <f t="shared" ca="1" si="104"/>
        <v/>
      </c>
      <c r="CSO14" s="35" t="str">
        <f t="shared" ca="1" si="104"/>
        <v/>
      </c>
      <c r="CSP14" s="35" t="str">
        <f t="shared" ca="1" si="104"/>
        <v/>
      </c>
      <c r="CSQ14" s="72" t="str">
        <f t="shared" ca="1" si="104"/>
        <v/>
      </c>
      <c r="CSR14" s="35" t="str">
        <f t="shared" ca="1" si="104"/>
        <v/>
      </c>
      <c r="CSS14" s="35" t="str">
        <f t="shared" ca="1" si="104"/>
        <v/>
      </c>
      <c r="CST14" s="35" t="str">
        <f t="shared" ca="1" si="104"/>
        <v/>
      </c>
      <c r="CSU14" s="35" t="str">
        <f t="shared" ca="1" si="104"/>
        <v/>
      </c>
      <c r="CSV14" s="35" t="str">
        <f t="shared" ca="1" si="105"/>
        <v/>
      </c>
      <c r="CSW14" s="35" t="str">
        <f t="shared" ca="1" si="105"/>
        <v/>
      </c>
      <c r="CSX14" s="35" t="str">
        <f t="shared" ca="1" si="105"/>
        <v/>
      </c>
      <c r="CSY14" s="35" t="str">
        <f t="shared" ca="1" si="105"/>
        <v/>
      </c>
      <c r="CSZ14" s="35" t="str">
        <f t="shared" ca="1" si="105"/>
        <v/>
      </c>
      <c r="CTA14" s="35" t="str">
        <f t="shared" ca="1" si="105"/>
        <v/>
      </c>
      <c r="CTB14" s="35" t="str">
        <f t="shared" ca="1" si="105"/>
        <v/>
      </c>
      <c r="CTC14" s="35" t="str">
        <f t="shared" ca="1" si="105"/>
        <v/>
      </c>
      <c r="CTD14" s="35" t="str">
        <f t="shared" ca="1" si="105"/>
        <v/>
      </c>
      <c r="CTE14" s="35" t="str">
        <f t="shared" ca="1" si="105"/>
        <v/>
      </c>
      <c r="CTF14" s="35" t="str">
        <f t="shared" ca="1" si="106"/>
        <v/>
      </c>
      <c r="CTG14" s="35" t="str">
        <f t="shared" ca="1" si="106"/>
        <v/>
      </c>
      <c r="CTH14" s="35" t="str">
        <f t="shared" ca="1" si="106"/>
        <v/>
      </c>
      <c r="CTI14" s="35" t="str">
        <f t="shared" ca="1" si="106"/>
        <v/>
      </c>
      <c r="CTJ14" s="35" t="str">
        <f t="shared" ca="1" si="106"/>
        <v/>
      </c>
      <c r="CTK14" s="35" t="str">
        <f t="shared" ca="1" si="106"/>
        <v/>
      </c>
      <c r="CTL14" s="35" t="str">
        <f t="shared" ca="1" si="106"/>
        <v/>
      </c>
      <c r="CTM14" s="35" t="str">
        <f t="shared" ca="1" si="106"/>
        <v/>
      </c>
      <c r="CTN14" s="35" t="str">
        <f t="shared" ca="1" si="106"/>
        <v/>
      </c>
      <c r="CTO14" s="35" t="str">
        <f t="shared" ca="1" si="106"/>
        <v/>
      </c>
      <c r="CTP14" s="35" t="str">
        <f t="shared" ca="1" si="107"/>
        <v/>
      </c>
      <c r="CTQ14" s="35" t="str">
        <f t="shared" ca="1" si="107"/>
        <v/>
      </c>
      <c r="CTR14" s="35" t="str">
        <f t="shared" ca="1" si="107"/>
        <v/>
      </c>
      <c r="CTS14" s="35" t="str">
        <f t="shared" ca="1" si="107"/>
        <v/>
      </c>
      <c r="CTT14" s="35" t="str">
        <f t="shared" ca="1" si="107"/>
        <v/>
      </c>
      <c r="CTU14" s="35" t="str">
        <f t="shared" ca="1" si="107"/>
        <v/>
      </c>
      <c r="CTV14" s="35" t="str">
        <f t="shared" ca="1" si="107"/>
        <v/>
      </c>
      <c r="CTW14" s="35" t="str">
        <f t="shared" ca="1" si="107"/>
        <v/>
      </c>
      <c r="CTX14" s="35" t="str">
        <f t="shared" ca="1" si="107"/>
        <v/>
      </c>
      <c r="CTY14" s="35" t="str">
        <f t="shared" ca="1" si="107"/>
        <v/>
      </c>
      <c r="CTZ14" s="56" t="str">
        <f t="shared" si="108"/>
        <v>X</v>
      </c>
      <c r="CUA14" s="58" t="str">
        <f t="shared" ca="1" si="109"/>
        <v/>
      </c>
      <c r="CUB14" s="16" t="str">
        <f t="shared" ca="1" si="110"/>
        <v/>
      </c>
      <c r="CUC14" s="16" t="str">
        <f t="shared" ca="1" si="111"/>
        <v/>
      </c>
      <c r="CUD14" s="16" t="str">
        <f t="shared" ca="1" si="112"/>
        <v/>
      </c>
      <c r="CUE14" s="16" t="str">
        <f t="shared" ca="1" si="113"/>
        <v/>
      </c>
      <c r="CUF14" s="16" t="str">
        <f t="shared" ca="1" si="114"/>
        <v/>
      </c>
      <c r="CUG14" s="16" t="str">
        <f t="shared" ca="1" si="115"/>
        <v/>
      </c>
      <c r="CUH14" s="16" t="str">
        <f t="shared" ca="1" si="116"/>
        <v/>
      </c>
      <c r="CUI14" s="16" t="str">
        <f t="shared" ca="1" si="117"/>
        <v/>
      </c>
      <c r="CUJ14" s="16" t="str">
        <f t="shared" ca="1" si="118"/>
        <v/>
      </c>
      <c r="CUK14" s="16" t="str">
        <f t="shared" ca="1" si="119"/>
        <v/>
      </c>
      <c r="CUL14" s="16" t="str">
        <f t="shared" ca="1" si="120"/>
        <v/>
      </c>
      <c r="CUM14" s="16" t="str">
        <f t="shared" ca="1" si="121"/>
        <v/>
      </c>
      <c r="CUN14" s="16" t="str">
        <f t="shared" ca="1" si="122"/>
        <v/>
      </c>
      <c r="CUO14" s="16" t="str">
        <f t="shared" ca="1" si="123"/>
        <v/>
      </c>
      <c r="CUP14" s="16" t="str">
        <f t="shared" ca="1" si="124"/>
        <v/>
      </c>
      <c r="CUQ14" s="16" t="str">
        <f t="shared" ca="1" si="125"/>
        <v/>
      </c>
      <c r="CUR14" s="16" t="str">
        <f t="shared" ca="1" si="126"/>
        <v/>
      </c>
      <c r="CUS14" s="16" t="str">
        <f t="shared" ca="1" si="127"/>
        <v/>
      </c>
      <c r="CUT14" s="16" t="str">
        <f t="shared" ca="1" si="128"/>
        <v/>
      </c>
      <c r="CUU14" s="16" t="str">
        <f t="shared" ca="1" si="129"/>
        <v/>
      </c>
      <c r="CUV14" s="16" t="str">
        <f t="shared" ca="1" si="130"/>
        <v/>
      </c>
      <c r="CUW14" s="16" t="str">
        <f t="shared" ca="1" si="131"/>
        <v/>
      </c>
      <c r="CUX14" s="16" t="str">
        <f t="shared" ca="1" si="132"/>
        <v/>
      </c>
      <c r="CUY14" s="16" t="str">
        <f t="shared" ca="1" si="133"/>
        <v/>
      </c>
      <c r="CUZ14" s="16" t="str">
        <f t="shared" ca="1" si="134"/>
        <v/>
      </c>
      <c r="CVA14" s="16" t="str">
        <f t="shared" ca="1" si="135"/>
        <v/>
      </c>
      <c r="CVB14" s="16" t="str">
        <f t="shared" ca="1" si="136"/>
        <v/>
      </c>
      <c r="CVC14" s="16" t="str">
        <f t="shared" ca="1" si="137"/>
        <v/>
      </c>
      <c r="CVD14" s="16" t="str">
        <f t="shared" ca="1" si="138"/>
        <v/>
      </c>
      <c r="CVE14" s="16" t="str">
        <f t="shared" ca="1" si="139"/>
        <v/>
      </c>
      <c r="CVF14" s="16" t="str">
        <f t="shared" ca="1" si="140"/>
        <v/>
      </c>
      <c r="CVG14" s="16" t="str">
        <f t="shared" ca="1" si="141"/>
        <v/>
      </c>
      <c r="CVH14" s="16" t="str">
        <f t="shared" ca="1" si="142"/>
        <v/>
      </c>
      <c r="CVI14" s="16" t="str">
        <f t="shared" ca="1" si="143"/>
        <v/>
      </c>
      <c r="CVJ14" s="16" t="str">
        <f t="shared" ca="1" si="144"/>
        <v/>
      </c>
      <c r="CVK14" s="16" t="str">
        <f t="shared" ca="1" si="145"/>
        <v/>
      </c>
      <c r="CVL14" s="16" t="str">
        <f t="shared" ca="1" si="146"/>
        <v/>
      </c>
      <c r="CVM14" s="16" t="str">
        <f t="shared" ca="1" si="147"/>
        <v/>
      </c>
      <c r="CVN14" s="16" t="str">
        <f t="shared" ca="1" si="148"/>
        <v/>
      </c>
      <c r="CVO14" s="58" t="str">
        <f t="shared" si="149"/>
        <v>михайловпавела.</v>
      </c>
      <c r="CVP14" s="58" t="str">
        <f>IFERROR(VLOOKUP(CVO14,'Внешние данные'!A:Z,4,FALSE),"")</f>
        <v/>
      </c>
    </row>
    <row r="15" spans="1:2616" s="16" customFormat="1" ht="13.8" x14ac:dyDescent="0.25">
      <c r="A15" s="2" t="s">
        <v>2350</v>
      </c>
      <c r="B15" s="2" t="s">
        <v>2436</v>
      </c>
      <c r="C15" s="57" t="s">
        <v>2395</v>
      </c>
      <c r="D15" s="35">
        <v>6</v>
      </c>
      <c r="E15" s="58">
        <v>444</v>
      </c>
      <c r="G15" s="16" t="s">
        <v>1393</v>
      </c>
      <c r="H15" s="53">
        <f t="shared" ca="1" si="99"/>
        <v>0.8666666666666667</v>
      </c>
      <c r="I15" s="35">
        <f t="shared" ca="1" si="100"/>
        <v>0</v>
      </c>
      <c r="J15" s="35">
        <f t="shared" ca="1" si="101"/>
        <v>12</v>
      </c>
      <c r="K15" s="49">
        <f t="shared" ca="1" si="102"/>
        <v>4</v>
      </c>
      <c r="L15" s="16">
        <v>205</v>
      </c>
      <c r="M15" s="12">
        <v>307</v>
      </c>
      <c r="N15" s="12">
        <v>201</v>
      </c>
      <c r="O15" s="4">
        <v>201</v>
      </c>
      <c r="P15" s="4">
        <v>201</v>
      </c>
      <c r="Q15" s="4">
        <v>201</v>
      </c>
      <c r="R15" s="4">
        <v>201</v>
      </c>
      <c r="S15" s="4">
        <v>201</v>
      </c>
      <c r="T15" s="4">
        <v>201</v>
      </c>
      <c r="U15" s="4"/>
      <c r="V15" s="4">
        <v>201</v>
      </c>
      <c r="W15" s="4">
        <v>201</v>
      </c>
      <c r="X15" s="4">
        <v>201</v>
      </c>
      <c r="Y15" s="4">
        <v>201</v>
      </c>
      <c r="Z15" s="4">
        <v>201</v>
      </c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16">
        <v>1</v>
      </c>
      <c r="BB15" s="16">
        <v>1</v>
      </c>
      <c r="BH15" s="16">
        <v>1</v>
      </c>
      <c r="BM15" s="16">
        <v>1</v>
      </c>
      <c r="BN15" s="16">
        <v>1</v>
      </c>
      <c r="BP15" s="16">
        <v>1</v>
      </c>
      <c r="BS15" s="16">
        <v>1</v>
      </c>
      <c r="DK15" s="16">
        <v>1</v>
      </c>
      <c r="DL15" s="16">
        <v>1</v>
      </c>
      <c r="DN15" s="16">
        <v>1</v>
      </c>
      <c r="DO15" s="16">
        <v>1</v>
      </c>
      <c r="DP15" s="16">
        <v>1</v>
      </c>
      <c r="DR15" s="16">
        <v>1</v>
      </c>
      <c r="DS15" s="16">
        <v>1</v>
      </c>
      <c r="FU15" s="16">
        <v>1</v>
      </c>
      <c r="FW15" s="16">
        <v>1</v>
      </c>
      <c r="FX15" s="16">
        <v>1</v>
      </c>
      <c r="FY15" s="16">
        <v>1</v>
      </c>
      <c r="FZ15" s="16">
        <v>1</v>
      </c>
      <c r="GA15" s="16">
        <v>1</v>
      </c>
      <c r="GB15" s="16">
        <v>1</v>
      </c>
      <c r="GC15" s="16">
        <v>1</v>
      </c>
      <c r="IE15" s="16">
        <v>1</v>
      </c>
      <c r="IK15" s="16">
        <v>1</v>
      </c>
      <c r="KO15" s="16">
        <v>1</v>
      </c>
      <c r="KP15" s="16">
        <v>1</v>
      </c>
      <c r="KT15" s="16">
        <v>1</v>
      </c>
      <c r="KW15" s="16">
        <v>1</v>
      </c>
      <c r="MY15" s="16">
        <v>1</v>
      </c>
      <c r="NC15" s="16">
        <v>1</v>
      </c>
      <c r="NG15" s="16">
        <v>1</v>
      </c>
      <c r="PI15" s="16">
        <v>1</v>
      </c>
      <c r="PL15" s="16">
        <v>1</v>
      </c>
      <c r="PM15" s="16">
        <v>1</v>
      </c>
      <c r="PN15" s="16">
        <v>1</v>
      </c>
      <c r="PO15" s="16">
        <v>1</v>
      </c>
      <c r="RS15" s="16">
        <v>1</v>
      </c>
      <c r="RU15" s="16">
        <v>1</v>
      </c>
      <c r="RV15" s="16">
        <v>1</v>
      </c>
      <c r="RX15" s="16">
        <v>1</v>
      </c>
      <c r="RY15" s="16">
        <v>1</v>
      </c>
      <c r="SA15" s="16">
        <v>1</v>
      </c>
      <c r="WM15" s="16">
        <v>1</v>
      </c>
      <c r="WN15" s="16">
        <v>1</v>
      </c>
      <c r="WP15" s="16">
        <v>1</v>
      </c>
      <c r="WQ15" s="16">
        <v>1</v>
      </c>
      <c r="WR15" s="16">
        <v>1</v>
      </c>
      <c r="WS15" s="16">
        <v>1</v>
      </c>
      <c r="WT15" s="16">
        <v>1</v>
      </c>
      <c r="WU15" s="16">
        <v>1</v>
      </c>
      <c r="WW15" s="16">
        <v>1</v>
      </c>
      <c r="YW15" s="16">
        <v>1</v>
      </c>
      <c r="YZ15" s="16">
        <v>1</v>
      </c>
      <c r="ZB15" s="16">
        <v>1</v>
      </c>
      <c r="ABG15" s="16">
        <v>1</v>
      </c>
      <c r="ABK15" s="16">
        <v>1</v>
      </c>
      <c r="ABM15" s="16">
        <v>1</v>
      </c>
      <c r="ADQ15" s="16" t="s">
        <v>2961</v>
      </c>
      <c r="AGA15" s="16">
        <v>1</v>
      </c>
      <c r="AGB15" s="16">
        <v>1</v>
      </c>
      <c r="AGK15" s="16">
        <v>1</v>
      </c>
      <c r="CSK15" s="54" t="str">
        <f t="shared" si="103"/>
        <v>X</v>
      </c>
      <c r="CSL15" s="35">
        <f t="shared" ca="1" si="104"/>
        <v>1</v>
      </c>
      <c r="CSM15" s="35">
        <f t="shared" ca="1" si="104"/>
        <v>1</v>
      </c>
      <c r="CSN15" s="35">
        <f t="shared" ca="1" si="104"/>
        <v>1</v>
      </c>
      <c r="CSO15" s="35">
        <f t="shared" ca="1" si="104"/>
        <v>1</v>
      </c>
      <c r="CSP15" s="35">
        <f t="shared" ca="1" si="104"/>
        <v>1</v>
      </c>
      <c r="CSQ15" s="72">
        <f t="shared" ca="1" si="104"/>
        <v>1</v>
      </c>
      <c r="CSR15" s="35">
        <f t="shared" ca="1" si="104"/>
        <v>1</v>
      </c>
      <c r="CSS15" s="35">
        <f t="shared" ca="1" si="104"/>
        <v>1</v>
      </c>
      <c r="CST15" s="35" t="str">
        <f t="shared" ca="1" si="104"/>
        <v/>
      </c>
      <c r="CSU15" s="35">
        <f t="shared" ca="1" si="104"/>
        <v>1</v>
      </c>
      <c r="CSV15" s="35">
        <f t="shared" ca="1" si="105"/>
        <v>1</v>
      </c>
      <c r="CSW15" s="35">
        <f t="shared" ca="1" si="105"/>
        <v>1</v>
      </c>
      <c r="CSX15" s="35" t="str">
        <f t="shared" ca="1" si="105"/>
        <v/>
      </c>
      <c r="CSY15" s="35">
        <f t="shared" ca="1" si="105"/>
        <v>1</v>
      </c>
      <c r="CSZ15" s="35" t="str">
        <f t="shared" ca="1" si="105"/>
        <v/>
      </c>
      <c r="CTA15" s="35" t="str">
        <f t="shared" ca="1" si="105"/>
        <v/>
      </c>
      <c r="CTB15" s="35" t="str">
        <f t="shared" ca="1" si="105"/>
        <v/>
      </c>
      <c r="CTC15" s="35" t="str">
        <f t="shared" ca="1" si="105"/>
        <v/>
      </c>
      <c r="CTD15" s="35" t="str">
        <f t="shared" ca="1" si="105"/>
        <v/>
      </c>
      <c r="CTE15" s="35" t="str">
        <f t="shared" ca="1" si="105"/>
        <v/>
      </c>
      <c r="CTF15" s="35" t="str">
        <f t="shared" ca="1" si="106"/>
        <v/>
      </c>
      <c r="CTG15" s="35" t="str">
        <f t="shared" ca="1" si="106"/>
        <v/>
      </c>
      <c r="CTH15" s="35" t="str">
        <f t="shared" ca="1" si="106"/>
        <v/>
      </c>
      <c r="CTI15" s="35" t="str">
        <f t="shared" ca="1" si="106"/>
        <v/>
      </c>
      <c r="CTJ15" s="35" t="str">
        <f t="shared" ca="1" si="106"/>
        <v/>
      </c>
      <c r="CTK15" s="35" t="str">
        <f t="shared" ca="1" si="106"/>
        <v/>
      </c>
      <c r="CTL15" s="35" t="str">
        <f t="shared" ca="1" si="106"/>
        <v/>
      </c>
      <c r="CTM15" s="35" t="str">
        <f t="shared" ca="1" si="106"/>
        <v/>
      </c>
      <c r="CTN15" s="35" t="str">
        <f t="shared" ca="1" si="106"/>
        <v/>
      </c>
      <c r="CTO15" s="35" t="str">
        <f t="shared" ca="1" si="106"/>
        <v/>
      </c>
      <c r="CTP15" s="35" t="str">
        <f t="shared" ca="1" si="107"/>
        <v/>
      </c>
      <c r="CTQ15" s="35" t="str">
        <f t="shared" ca="1" si="107"/>
        <v/>
      </c>
      <c r="CTR15" s="35" t="str">
        <f t="shared" ca="1" si="107"/>
        <v/>
      </c>
      <c r="CTS15" s="35" t="str">
        <f t="shared" ca="1" si="107"/>
        <v/>
      </c>
      <c r="CTT15" s="35" t="str">
        <f t="shared" ca="1" si="107"/>
        <v/>
      </c>
      <c r="CTU15" s="35" t="str">
        <f t="shared" ca="1" si="107"/>
        <v/>
      </c>
      <c r="CTV15" s="35" t="str">
        <f t="shared" ca="1" si="107"/>
        <v/>
      </c>
      <c r="CTW15" s="35" t="str">
        <f t="shared" ca="1" si="107"/>
        <v/>
      </c>
      <c r="CTX15" s="35" t="str">
        <f t="shared" ca="1" si="107"/>
        <v/>
      </c>
      <c r="CTY15" s="35" t="str">
        <f t="shared" ca="1" si="107"/>
        <v/>
      </c>
      <c r="CTZ15" s="56" t="str">
        <f t="shared" si="108"/>
        <v>X</v>
      </c>
      <c r="CUA15" s="58">
        <f t="shared" ca="1" si="109"/>
        <v>6</v>
      </c>
      <c r="CUB15" s="16">
        <f t="shared" ca="1" si="110"/>
        <v>6</v>
      </c>
      <c r="CUC15" s="16">
        <f t="shared" ca="1" si="111"/>
        <v>7</v>
      </c>
      <c r="CUD15" s="16">
        <f t="shared" ca="1" si="112"/>
        <v>1</v>
      </c>
      <c r="CUE15" s="16">
        <f t="shared" ca="1" si="113"/>
        <v>3</v>
      </c>
      <c r="CUF15" s="16">
        <f t="shared" ca="1" si="114"/>
        <v>2</v>
      </c>
      <c r="CUG15" s="16">
        <f t="shared" ca="1" si="115"/>
        <v>4</v>
      </c>
      <c r="CUH15" s="16">
        <f t="shared" ca="1" si="116"/>
        <v>5</v>
      </c>
      <c r="CUI15" s="16" t="str">
        <f t="shared" ca="1" si="117"/>
        <v/>
      </c>
      <c r="CUJ15" s="16">
        <f t="shared" ca="1" si="118"/>
        <v>8</v>
      </c>
      <c r="CUK15" s="16">
        <f t="shared" ca="1" si="119"/>
        <v>2</v>
      </c>
      <c r="CUL15" s="16">
        <f t="shared" ca="1" si="120"/>
        <v>2</v>
      </c>
      <c r="CUM15" s="16" t="str">
        <f t="shared" ca="1" si="121"/>
        <v/>
      </c>
      <c r="CUN15" s="16">
        <f t="shared" ca="1" si="122"/>
        <v>2</v>
      </c>
      <c r="CUO15" s="16" t="str">
        <f t="shared" ca="1" si="123"/>
        <v/>
      </c>
      <c r="CUP15" s="16" t="str">
        <f t="shared" ca="1" si="124"/>
        <v/>
      </c>
      <c r="CUQ15" s="16" t="str">
        <f t="shared" ca="1" si="125"/>
        <v/>
      </c>
      <c r="CUR15" s="16" t="str">
        <f t="shared" ca="1" si="126"/>
        <v/>
      </c>
      <c r="CUS15" s="16" t="str">
        <f t="shared" ca="1" si="127"/>
        <v/>
      </c>
      <c r="CUT15" s="16" t="str">
        <f t="shared" ca="1" si="128"/>
        <v/>
      </c>
      <c r="CUU15" s="16" t="str">
        <f t="shared" ca="1" si="129"/>
        <v/>
      </c>
      <c r="CUV15" s="16" t="str">
        <f t="shared" ca="1" si="130"/>
        <v/>
      </c>
      <c r="CUW15" s="16" t="str">
        <f t="shared" ca="1" si="131"/>
        <v/>
      </c>
      <c r="CUX15" s="16" t="str">
        <f t="shared" ca="1" si="132"/>
        <v/>
      </c>
      <c r="CUY15" s="16" t="str">
        <f t="shared" ca="1" si="133"/>
        <v/>
      </c>
      <c r="CUZ15" s="16" t="str">
        <f t="shared" ca="1" si="134"/>
        <v/>
      </c>
      <c r="CVA15" s="16" t="str">
        <f t="shared" ca="1" si="135"/>
        <v/>
      </c>
      <c r="CVB15" s="16" t="str">
        <f t="shared" ca="1" si="136"/>
        <v/>
      </c>
      <c r="CVC15" s="16" t="str">
        <f t="shared" ca="1" si="137"/>
        <v/>
      </c>
      <c r="CVD15" s="16" t="str">
        <f t="shared" ca="1" si="138"/>
        <v/>
      </c>
      <c r="CVE15" s="16" t="str">
        <f t="shared" ca="1" si="139"/>
        <v/>
      </c>
      <c r="CVF15" s="16" t="str">
        <f t="shared" ca="1" si="140"/>
        <v/>
      </c>
      <c r="CVG15" s="16" t="str">
        <f t="shared" ca="1" si="141"/>
        <v/>
      </c>
      <c r="CVH15" s="16" t="str">
        <f t="shared" ca="1" si="142"/>
        <v/>
      </c>
      <c r="CVI15" s="16" t="str">
        <f t="shared" ca="1" si="143"/>
        <v/>
      </c>
      <c r="CVJ15" s="16" t="str">
        <f t="shared" ca="1" si="144"/>
        <v/>
      </c>
      <c r="CVK15" s="16" t="str">
        <f t="shared" ca="1" si="145"/>
        <v/>
      </c>
      <c r="CVL15" s="16" t="str">
        <f t="shared" ca="1" si="146"/>
        <v/>
      </c>
      <c r="CVM15" s="16" t="str">
        <f t="shared" ca="1" si="147"/>
        <v/>
      </c>
      <c r="CVN15" s="16" t="str">
        <f t="shared" ca="1" si="148"/>
        <v/>
      </c>
      <c r="CVO15" s="58" t="str">
        <f t="shared" si="149"/>
        <v>федоровданиил</v>
      </c>
      <c r="CVP15" s="58" t="str">
        <f>IFERROR(VLOOKUP(CVO15,'Внешние данные'!A:Z,4,FALSE),"")</f>
        <v/>
      </c>
    </row>
    <row r="16" spans="1:2616" s="16" customFormat="1" ht="13.8" x14ac:dyDescent="0.25">
      <c r="A16" s="2" t="s">
        <v>2351</v>
      </c>
      <c r="B16" s="2" t="s">
        <v>2437</v>
      </c>
      <c r="C16" s="57" t="s">
        <v>2396</v>
      </c>
      <c r="D16" s="35">
        <v>5</v>
      </c>
      <c r="E16" s="58">
        <v>57</v>
      </c>
      <c r="G16" s="16" t="s">
        <v>1393</v>
      </c>
      <c r="H16" s="53">
        <f t="shared" ca="1" si="99"/>
        <v>0.36363636363636365</v>
      </c>
      <c r="I16" s="35">
        <f t="shared" ca="1" si="100"/>
        <v>6</v>
      </c>
      <c r="J16" s="35">
        <f t="shared" ca="1" si="101"/>
        <v>3</v>
      </c>
      <c r="K16" s="49">
        <f t="shared" ca="1" si="102"/>
        <v>0.66666666666666663</v>
      </c>
      <c r="L16" s="16">
        <v>205</v>
      </c>
      <c r="M16" s="12"/>
      <c r="N16" s="12"/>
      <c r="O16" s="4"/>
      <c r="P16" s="4">
        <v>415</v>
      </c>
      <c r="Q16" s="4">
        <v>415</v>
      </c>
      <c r="R16" s="4">
        <v>415</v>
      </c>
      <c r="S16" s="4">
        <v>415</v>
      </c>
      <c r="T16" s="4">
        <v>415</v>
      </c>
      <c r="U16" s="4"/>
      <c r="V16" s="4">
        <v>415</v>
      </c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KO16" s="16">
        <v>1</v>
      </c>
      <c r="MY16" s="16">
        <v>1</v>
      </c>
      <c r="PI16" s="16" t="s">
        <v>2961</v>
      </c>
      <c r="RS16" s="16">
        <v>1</v>
      </c>
      <c r="RX16" s="16">
        <v>1</v>
      </c>
      <c r="SA16" s="16">
        <v>1</v>
      </c>
      <c r="WM16" s="16" t="s">
        <v>2961</v>
      </c>
      <c r="YW16" s="16" t="s">
        <v>2961</v>
      </c>
      <c r="AGA16" s="16" t="s">
        <v>2961</v>
      </c>
      <c r="CSK16" s="54" t="str">
        <f t="shared" si="103"/>
        <v>X</v>
      </c>
      <c r="CSL16" s="35" t="str">
        <f t="shared" ref="CSL16:CSU25" ca="1" si="150">IF(SUM(OFFSET($BA16:$DJ16,0,62*(CSL$1-1),,62))&gt;0,1,"")</f>
        <v/>
      </c>
      <c r="CSM16" s="35" t="str">
        <f t="shared" ca="1" si="150"/>
        <v/>
      </c>
      <c r="CSN16" s="35" t="str">
        <f t="shared" ca="1" si="150"/>
        <v/>
      </c>
      <c r="CSO16" s="35" t="str">
        <f t="shared" ca="1" si="150"/>
        <v/>
      </c>
      <c r="CSP16" s="35">
        <f t="shared" ca="1" si="150"/>
        <v>1</v>
      </c>
      <c r="CSQ16" s="72">
        <f t="shared" ca="1" si="150"/>
        <v>1</v>
      </c>
      <c r="CSR16" s="35" t="str">
        <f t="shared" ca="1" si="150"/>
        <v/>
      </c>
      <c r="CSS16" s="35">
        <f t="shared" ca="1" si="150"/>
        <v>1</v>
      </c>
      <c r="CST16" s="35" t="str">
        <f t="shared" ca="1" si="150"/>
        <v/>
      </c>
      <c r="CSU16" s="35" t="str">
        <f t="shared" ca="1" si="150"/>
        <v/>
      </c>
      <c r="CSV16" s="35" t="str">
        <f t="shared" ref="CSV16:CTE25" ca="1" si="151">IF(SUM(OFFSET($BA16:$DJ16,0,62*(CSV$1-1),,62))&gt;0,1,"")</f>
        <v/>
      </c>
      <c r="CSW16" s="35" t="str">
        <f t="shared" ca="1" si="151"/>
        <v/>
      </c>
      <c r="CSX16" s="35" t="str">
        <f t="shared" ca="1" si="151"/>
        <v/>
      </c>
      <c r="CSY16" s="35" t="str">
        <f t="shared" ca="1" si="151"/>
        <v/>
      </c>
      <c r="CSZ16" s="35" t="str">
        <f t="shared" ca="1" si="151"/>
        <v/>
      </c>
      <c r="CTA16" s="35" t="str">
        <f t="shared" ca="1" si="151"/>
        <v/>
      </c>
      <c r="CTB16" s="35" t="str">
        <f t="shared" ca="1" si="151"/>
        <v/>
      </c>
      <c r="CTC16" s="35" t="str">
        <f t="shared" ca="1" si="151"/>
        <v/>
      </c>
      <c r="CTD16" s="35" t="str">
        <f t="shared" ca="1" si="151"/>
        <v/>
      </c>
      <c r="CTE16" s="35" t="str">
        <f t="shared" ca="1" si="151"/>
        <v/>
      </c>
      <c r="CTF16" s="35" t="str">
        <f t="shared" ref="CTF16:CTO25" ca="1" si="152">IF(SUM(OFFSET($BA16:$DJ16,0,62*(CTF$1-1),,62))&gt;0,1,"")</f>
        <v/>
      </c>
      <c r="CTG16" s="35" t="str">
        <f t="shared" ca="1" si="152"/>
        <v/>
      </c>
      <c r="CTH16" s="35" t="str">
        <f t="shared" ca="1" si="152"/>
        <v/>
      </c>
      <c r="CTI16" s="35" t="str">
        <f t="shared" ca="1" si="152"/>
        <v/>
      </c>
      <c r="CTJ16" s="35" t="str">
        <f t="shared" ca="1" si="152"/>
        <v/>
      </c>
      <c r="CTK16" s="35" t="str">
        <f t="shared" ca="1" si="152"/>
        <v/>
      </c>
      <c r="CTL16" s="35" t="str">
        <f t="shared" ca="1" si="152"/>
        <v/>
      </c>
      <c r="CTM16" s="35" t="str">
        <f t="shared" ca="1" si="152"/>
        <v/>
      </c>
      <c r="CTN16" s="35" t="str">
        <f t="shared" ca="1" si="152"/>
        <v/>
      </c>
      <c r="CTO16" s="35" t="str">
        <f t="shared" ca="1" si="152"/>
        <v/>
      </c>
      <c r="CTP16" s="35" t="str">
        <f t="shared" ref="CTP16:CTY25" ca="1" si="153">IF(SUM(OFFSET($BA16:$DJ16,0,62*(CTP$1-1),,62))&gt;0,1,"")</f>
        <v/>
      </c>
      <c r="CTQ16" s="35" t="str">
        <f t="shared" ca="1" si="153"/>
        <v/>
      </c>
      <c r="CTR16" s="35" t="str">
        <f t="shared" ca="1" si="153"/>
        <v/>
      </c>
      <c r="CTS16" s="35" t="str">
        <f t="shared" ca="1" si="153"/>
        <v/>
      </c>
      <c r="CTT16" s="35" t="str">
        <f t="shared" ca="1" si="153"/>
        <v/>
      </c>
      <c r="CTU16" s="35" t="str">
        <f t="shared" ca="1" si="153"/>
        <v/>
      </c>
      <c r="CTV16" s="35" t="str">
        <f t="shared" ca="1" si="153"/>
        <v/>
      </c>
      <c r="CTW16" s="35" t="str">
        <f t="shared" ca="1" si="153"/>
        <v/>
      </c>
      <c r="CTX16" s="35" t="str">
        <f t="shared" ca="1" si="153"/>
        <v/>
      </c>
      <c r="CTY16" s="35" t="str">
        <f t="shared" ca="1" si="153"/>
        <v/>
      </c>
      <c r="CTZ16" s="56" t="str">
        <f t="shared" si="108"/>
        <v>X</v>
      </c>
      <c r="CUA16" s="58" t="str">
        <f t="shared" ca="1" si="109"/>
        <v/>
      </c>
      <c r="CUB16" s="16" t="str">
        <f t="shared" ca="1" si="110"/>
        <v/>
      </c>
      <c r="CUC16" s="16" t="str">
        <f t="shared" ca="1" si="111"/>
        <v/>
      </c>
      <c r="CUD16" s="16" t="str">
        <f t="shared" ca="1" si="112"/>
        <v/>
      </c>
      <c r="CUE16" s="16">
        <f t="shared" ca="1" si="113"/>
        <v>0</v>
      </c>
      <c r="CUF16" s="16">
        <f t="shared" ca="1" si="114"/>
        <v>0</v>
      </c>
      <c r="CUG16" s="16" t="str">
        <f t="shared" ca="1" si="115"/>
        <v/>
      </c>
      <c r="CUH16" s="16">
        <f t="shared" ca="1" si="116"/>
        <v>2</v>
      </c>
      <c r="CUI16" s="16" t="str">
        <f t="shared" ca="1" si="117"/>
        <v/>
      </c>
      <c r="CUJ16" s="16" t="str">
        <f t="shared" ca="1" si="118"/>
        <v/>
      </c>
      <c r="CUK16" s="16" t="str">
        <f t="shared" ca="1" si="119"/>
        <v/>
      </c>
      <c r="CUL16" s="16" t="str">
        <f t="shared" ca="1" si="120"/>
        <v/>
      </c>
      <c r="CUM16" s="16" t="str">
        <f t="shared" ca="1" si="121"/>
        <v/>
      </c>
      <c r="CUN16" s="16" t="str">
        <f t="shared" ca="1" si="122"/>
        <v/>
      </c>
      <c r="CUO16" s="16" t="str">
        <f t="shared" ca="1" si="123"/>
        <v/>
      </c>
      <c r="CUP16" s="16" t="str">
        <f t="shared" ca="1" si="124"/>
        <v/>
      </c>
      <c r="CUQ16" s="16" t="str">
        <f t="shared" ca="1" si="125"/>
        <v/>
      </c>
      <c r="CUR16" s="16" t="str">
        <f t="shared" ca="1" si="126"/>
        <v/>
      </c>
      <c r="CUS16" s="16" t="str">
        <f t="shared" ca="1" si="127"/>
        <v/>
      </c>
      <c r="CUT16" s="16" t="str">
        <f t="shared" ca="1" si="128"/>
        <v/>
      </c>
      <c r="CUU16" s="16" t="str">
        <f t="shared" ca="1" si="129"/>
        <v/>
      </c>
      <c r="CUV16" s="16" t="str">
        <f t="shared" ca="1" si="130"/>
        <v/>
      </c>
      <c r="CUW16" s="16" t="str">
        <f t="shared" ca="1" si="131"/>
        <v/>
      </c>
      <c r="CUX16" s="16" t="str">
        <f t="shared" ca="1" si="132"/>
        <v/>
      </c>
      <c r="CUY16" s="16" t="str">
        <f t="shared" ca="1" si="133"/>
        <v/>
      </c>
      <c r="CUZ16" s="16" t="str">
        <f t="shared" ca="1" si="134"/>
        <v/>
      </c>
      <c r="CVA16" s="16" t="str">
        <f t="shared" ca="1" si="135"/>
        <v/>
      </c>
      <c r="CVB16" s="16" t="str">
        <f t="shared" ca="1" si="136"/>
        <v/>
      </c>
      <c r="CVC16" s="16" t="str">
        <f t="shared" ca="1" si="137"/>
        <v/>
      </c>
      <c r="CVD16" s="16" t="str">
        <f t="shared" ca="1" si="138"/>
        <v/>
      </c>
      <c r="CVE16" s="16" t="str">
        <f t="shared" ca="1" si="139"/>
        <v/>
      </c>
      <c r="CVF16" s="16" t="str">
        <f t="shared" ca="1" si="140"/>
        <v/>
      </c>
      <c r="CVG16" s="16" t="str">
        <f t="shared" ca="1" si="141"/>
        <v/>
      </c>
      <c r="CVH16" s="16" t="str">
        <f t="shared" ca="1" si="142"/>
        <v/>
      </c>
      <c r="CVI16" s="16" t="str">
        <f t="shared" ca="1" si="143"/>
        <v/>
      </c>
      <c r="CVJ16" s="16" t="str">
        <f t="shared" ca="1" si="144"/>
        <v/>
      </c>
      <c r="CVK16" s="16" t="str">
        <f t="shared" ca="1" si="145"/>
        <v/>
      </c>
      <c r="CVL16" s="16" t="str">
        <f t="shared" ca="1" si="146"/>
        <v/>
      </c>
      <c r="CVM16" s="16" t="str">
        <f t="shared" ca="1" si="147"/>
        <v/>
      </c>
      <c r="CVN16" s="16" t="str">
        <f t="shared" ca="1" si="148"/>
        <v/>
      </c>
      <c r="CVO16" s="58" t="str">
        <f t="shared" si="149"/>
        <v>морозовдмитрий</v>
      </c>
      <c r="CVP16" s="58" t="str">
        <f>IFERROR(VLOOKUP(CVO16,'Внешние данные'!A:Z,4,FALSE),"")</f>
        <v/>
      </c>
    </row>
    <row r="17" spans="1:894 2533:2616" s="16" customFormat="1" ht="13.8" x14ac:dyDescent="0.25">
      <c r="A17" s="2" t="s">
        <v>2352</v>
      </c>
      <c r="B17" s="2" t="s">
        <v>2453</v>
      </c>
      <c r="C17" s="57" t="s">
        <v>2397</v>
      </c>
      <c r="D17" s="35">
        <v>6</v>
      </c>
      <c r="E17" s="58">
        <v>179</v>
      </c>
      <c r="G17" s="16" t="s">
        <v>1393</v>
      </c>
      <c r="H17" s="53" t="str">
        <f t="shared" ca="1" si="99"/>
        <v/>
      </c>
      <c r="I17" s="35" t="str">
        <f t="shared" ca="1" si="100"/>
        <v/>
      </c>
      <c r="J17" s="35">
        <f t="shared" ca="1" si="101"/>
        <v>0</v>
      </c>
      <c r="K17" s="49" t="str">
        <f t="shared" ca="1" si="102"/>
        <v/>
      </c>
      <c r="L17" s="16">
        <v>305</v>
      </c>
      <c r="M17" s="12">
        <v>209</v>
      </c>
      <c r="N17" s="12">
        <v>405</v>
      </c>
      <c r="O17" s="4">
        <v>435</v>
      </c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PI17" s="16" t="s">
        <v>2961</v>
      </c>
      <c r="RS17" s="16" t="s">
        <v>2961</v>
      </c>
      <c r="WM17" s="16" t="s">
        <v>2961</v>
      </c>
      <c r="YW17" s="16" t="s">
        <v>2961</v>
      </c>
      <c r="ABG17" s="16" t="s">
        <v>2961</v>
      </c>
      <c r="AGA17" s="16" t="s">
        <v>2961</v>
      </c>
      <c r="CSK17" s="54" t="str">
        <f t="shared" si="103"/>
        <v>X</v>
      </c>
      <c r="CSL17" s="35" t="str">
        <f t="shared" ca="1" si="150"/>
        <v/>
      </c>
      <c r="CSM17" s="35" t="str">
        <f t="shared" ca="1" si="150"/>
        <v/>
      </c>
      <c r="CSN17" s="35" t="str">
        <f t="shared" ca="1" si="150"/>
        <v/>
      </c>
      <c r="CSO17" s="35" t="str">
        <f t="shared" ca="1" si="150"/>
        <v/>
      </c>
      <c r="CSP17" s="35" t="str">
        <f t="shared" ca="1" si="150"/>
        <v/>
      </c>
      <c r="CSQ17" s="72" t="str">
        <f t="shared" ca="1" si="150"/>
        <v/>
      </c>
      <c r="CSR17" s="35" t="str">
        <f t="shared" ca="1" si="150"/>
        <v/>
      </c>
      <c r="CSS17" s="35" t="str">
        <f t="shared" ca="1" si="150"/>
        <v/>
      </c>
      <c r="CST17" s="35" t="str">
        <f t="shared" ca="1" si="150"/>
        <v/>
      </c>
      <c r="CSU17" s="35" t="str">
        <f t="shared" ca="1" si="150"/>
        <v/>
      </c>
      <c r="CSV17" s="35" t="str">
        <f t="shared" ca="1" si="151"/>
        <v/>
      </c>
      <c r="CSW17" s="35" t="str">
        <f t="shared" ca="1" si="151"/>
        <v/>
      </c>
      <c r="CSX17" s="35" t="str">
        <f t="shared" ca="1" si="151"/>
        <v/>
      </c>
      <c r="CSY17" s="35" t="str">
        <f t="shared" ca="1" si="151"/>
        <v/>
      </c>
      <c r="CSZ17" s="35" t="str">
        <f t="shared" ca="1" si="151"/>
        <v/>
      </c>
      <c r="CTA17" s="35" t="str">
        <f t="shared" ca="1" si="151"/>
        <v/>
      </c>
      <c r="CTB17" s="35" t="str">
        <f t="shared" ca="1" si="151"/>
        <v/>
      </c>
      <c r="CTC17" s="35" t="str">
        <f t="shared" ca="1" si="151"/>
        <v/>
      </c>
      <c r="CTD17" s="35" t="str">
        <f t="shared" ca="1" si="151"/>
        <v/>
      </c>
      <c r="CTE17" s="35" t="str">
        <f t="shared" ca="1" si="151"/>
        <v/>
      </c>
      <c r="CTF17" s="35" t="str">
        <f t="shared" ca="1" si="152"/>
        <v/>
      </c>
      <c r="CTG17" s="35" t="str">
        <f t="shared" ca="1" si="152"/>
        <v/>
      </c>
      <c r="CTH17" s="35" t="str">
        <f t="shared" ca="1" si="152"/>
        <v/>
      </c>
      <c r="CTI17" s="35" t="str">
        <f t="shared" ca="1" si="152"/>
        <v/>
      </c>
      <c r="CTJ17" s="35" t="str">
        <f t="shared" ca="1" si="152"/>
        <v/>
      </c>
      <c r="CTK17" s="35" t="str">
        <f t="shared" ca="1" si="152"/>
        <v/>
      </c>
      <c r="CTL17" s="35" t="str">
        <f t="shared" ca="1" si="152"/>
        <v/>
      </c>
      <c r="CTM17" s="35" t="str">
        <f t="shared" ca="1" si="152"/>
        <v/>
      </c>
      <c r="CTN17" s="35" t="str">
        <f t="shared" ca="1" si="152"/>
        <v/>
      </c>
      <c r="CTO17" s="35" t="str">
        <f t="shared" ca="1" si="152"/>
        <v/>
      </c>
      <c r="CTP17" s="35" t="str">
        <f t="shared" ca="1" si="153"/>
        <v/>
      </c>
      <c r="CTQ17" s="35" t="str">
        <f t="shared" ca="1" si="153"/>
        <v/>
      </c>
      <c r="CTR17" s="35" t="str">
        <f t="shared" ca="1" si="153"/>
        <v/>
      </c>
      <c r="CTS17" s="35" t="str">
        <f t="shared" ca="1" si="153"/>
        <v/>
      </c>
      <c r="CTT17" s="35" t="str">
        <f t="shared" ca="1" si="153"/>
        <v/>
      </c>
      <c r="CTU17" s="35" t="str">
        <f t="shared" ca="1" si="153"/>
        <v/>
      </c>
      <c r="CTV17" s="35" t="str">
        <f t="shared" ca="1" si="153"/>
        <v/>
      </c>
      <c r="CTW17" s="35" t="str">
        <f t="shared" ca="1" si="153"/>
        <v/>
      </c>
      <c r="CTX17" s="35" t="str">
        <f t="shared" ca="1" si="153"/>
        <v/>
      </c>
      <c r="CTY17" s="35" t="str">
        <f t="shared" ca="1" si="153"/>
        <v/>
      </c>
      <c r="CTZ17" s="56" t="str">
        <f t="shared" si="108"/>
        <v>X</v>
      </c>
      <c r="CUA17" s="58" t="str">
        <f t="shared" ca="1" si="109"/>
        <v/>
      </c>
      <c r="CUB17" s="16" t="str">
        <f t="shared" ca="1" si="110"/>
        <v/>
      </c>
      <c r="CUC17" s="16" t="str">
        <f t="shared" ca="1" si="111"/>
        <v/>
      </c>
      <c r="CUD17" s="16" t="str">
        <f t="shared" ca="1" si="112"/>
        <v/>
      </c>
      <c r="CUE17" s="16" t="str">
        <f t="shared" ca="1" si="113"/>
        <v/>
      </c>
      <c r="CUF17" s="16" t="str">
        <f t="shared" ca="1" si="114"/>
        <v/>
      </c>
      <c r="CUG17" s="16" t="str">
        <f t="shared" ca="1" si="115"/>
        <v/>
      </c>
      <c r="CUH17" s="16" t="str">
        <f t="shared" ca="1" si="116"/>
        <v/>
      </c>
      <c r="CUI17" s="16" t="str">
        <f t="shared" ca="1" si="117"/>
        <v/>
      </c>
      <c r="CUJ17" s="16" t="str">
        <f t="shared" ca="1" si="118"/>
        <v/>
      </c>
      <c r="CUK17" s="16" t="str">
        <f t="shared" ca="1" si="119"/>
        <v/>
      </c>
      <c r="CUL17" s="16" t="str">
        <f t="shared" ca="1" si="120"/>
        <v/>
      </c>
      <c r="CUM17" s="16" t="str">
        <f t="shared" ca="1" si="121"/>
        <v/>
      </c>
      <c r="CUN17" s="16" t="str">
        <f t="shared" ca="1" si="122"/>
        <v/>
      </c>
      <c r="CUO17" s="16" t="str">
        <f t="shared" ca="1" si="123"/>
        <v/>
      </c>
      <c r="CUP17" s="16" t="str">
        <f t="shared" ca="1" si="124"/>
        <v/>
      </c>
      <c r="CUQ17" s="16" t="str">
        <f t="shared" ca="1" si="125"/>
        <v/>
      </c>
      <c r="CUR17" s="16" t="str">
        <f t="shared" ca="1" si="126"/>
        <v/>
      </c>
      <c r="CUS17" s="16" t="str">
        <f t="shared" ca="1" si="127"/>
        <v/>
      </c>
      <c r="CUT17" s="16" t="str">
        <f t="shared" ca="1" si="128"/>
        <v/>
      </c>
      <c r="CUU17" s="16" t="str">
        <f t="shared" ca="1" si="129"/>
        <v/>
      </c>
      <c r="CUV17" s="16" t="str">
        <f t="shared" ca="1" si="130"/>
        <v/>
      </c>
      <c r="CUW17" s="16" t="str">
        <f t="shared" ca="1" si="131"/>
        <v/>
      </c>
      <c r="CUX17" s="16" t="str">
        <f t="shared" ca="1" si="132"/>
        <v/>
      </c>
      <c r="CUY17" s="16" t="str">
        <f t="shared" ca="1" si="133"/>
        <v/>
      </c>
      <c r="CUZ17" s="16" t="str">
        <f t="shared" ca="1" si="134"/>
        <v/>
      </c>
      <c r="CVA17" s="16" t="str">
        <f t="shared" ca="1" si="135"/>
        <v/>
      </c>
      <c r="CVB17" s="16" t="str">
        <f t="shared" ca="1" si="136"/>
        <v/>
      </c>
      <c r="CVC17" s="16" t="str">
        <f t="shared" ca="1" si="137"/>
        <v/>
      </c>
      <c r="CVD17" s="16" t="str">
        <f t="shared" ca="1" si="138"/>
        <v/>
      </c>
      <c r="CVE17" s="16" t="str">
        <f t="shared" ca="1" si="139"/>
        <v/>
      </c>
      <c r="CVF17" s="16" t="str">
        <f t="shared" ca="1" si="140"/>
        <v/>
      </c>
      <c r="CVG17" s="16" t="str">
        <f t="shared" ca="1" si="141"/>
        <v/>
      </c>
      <c r="CVH17" s="16" t="str">
        <f t="shared" ca="1" si="142"/>
        <v/>
      </c>
      <c r="CVI17" s="16" t="str">
        <f t="shared" ca="1" si="143"/>
        <v/>
      </c>
      <c r="CVJ17" s="16" t="str">
        <f t="shared" ca="1" si="144"/>
        <v/>
      </c>
      <c r="CVK17" s="16" t="str">
        <f t="shared" ca="1" si="145"/>
        <v/>
      </c>
      <c r="CVL17" s="16" t="str">
        <f t="shared" ca="1" si="146"/>
        <v/>
      </c>
      <c r="CVM17" s="16" t="str">
        <f t="shared" ca="1" si="147"/>
        <v/>
      </c>
      <c r="CVN17" s="16" t="str">
        <f t="shared" ca="1" si="148"/>
        <v/>
      </c>
      <c r="CVO17" s="58" t="str">
        <f t="shared" si="149"/>
        <v>волковглеб</v>
      </c>
      <c r="CVP17" s="58" t="str">
        <f>IFERROR(VLOOKUP(CVO17,'Внешние данные'!A:Z,4,FALSE),"")</f>
        <v/>
      </c>
    </row>
    <row r="18" spans="1:894 2533:2616" s="16" customFormat="1" ht="13.8" x14ac:dyDescent="0.25">
      <c r="A18" s="2" t="s">
        <v>2353</v>
      </c>
      <c r="B18" s="2" t="s">
        <v>2479</v>
      </c>
      <c r="C18" s="57" t="s">
        <v>2398</v>
      </c>
      <c r="D18" s="35">
        <v>5</v>
      </c>
      <c r="E18" s="58" t="s">
        <v>2303</v>
      </c>
      <c r="G18" s="16" t="s">
        <v>1392</v>
      </c>
      <c r="H18" s="53">
        <f t="shared" ca="1" si="99"/>
        <v>0.73333333333333328</v>
      </c>
      <c r="I18" s="35">
        <f t="shared" ca="1" si="100"/>
        <v>1</v>
      </c>
      <c r="J18" s="35">
        <f t="shared" ca="1" si="101"/>
        <v>10</v>
      </c>
      <c r="K18" s="49">
        <f t="shared" ca="1" si="102"/>
        <v>4.9000000000000004</v>
      </c>
      <c r="L18" s="16">
        <v>308</v>
      </c>
      <c r="M18" s="12">
        <v>201</v>
      </c>
      <c r="N18" s="12">
        <v>201</v>
      </c>
      <c r="O18" s="4">
        <v>201</v>
      </c>
      <c r="P18" s="4">
        <v>201</v>
      </c>
      <c r="Q18" s="4">
        <v>201</v>
      </c>
      <c r="R18" s="4">
        <v>201</v>
      </c>
      <c r="S18" s="4">
        <v>201</v>
      </c>
      <c r="T18" s="4">
        <v>201</v>
      </c>
      <c r="U18" s="4"/>
      <c r="V18" s="4">
        <v>201</v>
      </c>
      <c r="W18" s="4">
        <v>201</v>
      </c>
      <c r="X18" s="4">
        <v>201</v>
      </c>
      <c r="Y18" s="4">
        <v>201</v>
      </c>
      <c r="Z18" s="4">
        <v>201</v>
      </c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16">
        <v>1</v>
      </c>
      <c r="BB18" s="16">
        <v>1</v>
      </c>
      <c r="BC18" s="16">
        <v>1</v>
      </c>
      <c r="BF18" s="16">
        <v>1</v>
      </c>
      <c r="BG18" s="16">
        <v>1</v>
      </c>
      <c r="BH18" s="16">
        <v>1</v>
      </c>
      <c r="DK18" s="16">
        <v>1</v>
      </c>
      <c r="DL18" s="16">
        <v>1</v>
      </c>
      <c r="DM18" s="16">
        <v>1</v>
      </c>
      <c r="DN18" s="16">
        <v>1</v>
      </c>
      <c r="DO18" s="16">
        <v>1</v>
      </c>
      <c r="DP18" s="16">
        <v>1</v>
      </c>
      <c r="DR18" s="16">
        <v>1</v>
      </c>
      <c r="DS18" s="16">
        <v>1</v>
      </c>
      <c r="DT18" s="16">
        <v>1</v>
      </c>
      <c r="DW18" s="16">
        <v>1</v>
      </c>
      <c r="FU18" s="16">
        <v>1</v>
      </c>
      <c r="FV18" s="16">
        <v>1</v>
      </c>
      <c r="FW18" s="16">
        <v>1</v>
      </c>
      <c r="FX18" s="16">
        <v>1</v>
      </c>
      <c r="GC18" s="16">
        <v>1</v>
      </c>
      <c r="GD18" s="16">
        <v>1</v>
      </c>
      <c r="GE18" s="16">
        <v>1</v>
      </c>
      <c r="GF18" s="16">
        <v>1</v>
      </c>
      <c r="IE18" s="16">
        <v>1</v>
      </c>
      <c r="IN18" s="16">
        <v>1</v>
      </c>
      <c r="IQ18" s="16">
        <v>1</v>
      </c>
      <c r="KO18" s="16">
        <v>1</v>
      </c>
      <c r="KR18" s="16">
        <v>1</v>
      </c>
      <c r="KS18" s="16">
        <v>1</v>
      </c>
      <c r="KT18" s="16">
        <v>1</v>
      </c>
      <c r="KV18" s="16">
        <v>1</v>
      </c>
      <c r="PI18" s="16">
        <v>1</v>
      </c>
      <c r="PJ18" s="16">
        <v>1</v>
      </c>
      <c r="PK18" s="16">
        <v>1</v>
      </c>
      <c r="PL18" s="16">
        <v>1</v>
      </c>
      <c r="PM18" s="16">
        <v>1</v>
      </c>
      <c r="PN18" s="16">
        <v>1</v>
      </c>
      <c r="PW18" s="16">
        <v>1</v>
      </c>
      <c r="RS18" s="16">
        <v>1</v>
      </c>
      <c r="RU18" s="16">
        <v>1</v>
      </c>
      <c r="RX18" s="16">
        <v>1</v>
      </c>
      <c r="RY18" s="16">
        <v>1</v>
      </c>
      <c r="RZ18" s="16">
        <v>1</v>
      </c>
      <c r="WM18" s="16">
        <v>1</v>
      </c>
      <c r="WQ18" s="16">
        <v>1</v>
      </c>
      <c r="WU18" s="16">
        <v>1</v>
      </c>
      <c r="WW18" s="16">
        <v>1</v>
      </c>
      <c r="YW18" s="16" t="s">
        <v>2961</v>
      </c>
      <c r="ABG18" s="16">
        <v>1</v>
      </c>
      <c r="ABI18" s="16">
        <v>1</v>
      </c>
      <c r="ABJ18" s="16">
        <v>1</v>
      </c>
      <c r="ABM18" s="16">
        <v>1</v>
      </c>
      <c r="ABS18" s="16">
        <v>1</v>
      </c>
      <c r="ADQ18" s="16">
        <v>1</v>
      </c>
      <c r="ADR18" s="16">
        <v>1</v>
      </c>
      <c r="ADT18" s="16">
        <v>1</v>
      </c>
      <c r="ADU18" s="16">
        <v>1</v>
      </c>
      <c r="ADX18" s="16">
        <v>1</v>
      </c>
      <c r="ADY18" s="16">
        <v>1</v>
      </c>
      <c r="AGA18" s="16" t="s">
        <v>2961</v>
      </c>
      <c r="CSK18" s="54" t="str">
        <f t="shared" si="103"/>
        <v>X</v>
      </c>
      <c r="CSL18" s="35">
        <f t="shared" ca="1" si="150"/>
        <v>1</v>
      </c>
      <c r="CSM18" s="35">
        <f t="shared" ca="1" si="150"/>
        <v>1</v>
      </c>
      <c r="CSN18" s="35">
        <f t="shared" ca="1" si="150"/>
        <v>1</v>
      </c>
      <c r="CSO18" s="35">
        <f t="shared" ca="1" si="150"/>
        <v>1</v>
      </c>
      <c r="CSP18" s="35">
        <f t="shared" ca="1" si="150"/>
        <v>1</v>
      </c>
      <c r="CSQ18" s="72" t="str">
        <f t="shared" ca="1" si="150"/>
        <v/>
      </c>
      <c r="CSR18" s="35">
        <f t="shared" ca="1" si="150"/>
        <v>1</v>
      </c>
      <c r="CSS18" s="35">
        <f t="shared" ca="1" si="150"/>
        <v>1</v>
      </c>
      <c r="CST18" s="35" t="str">
        <f t="shared" ca="1" si="150"/>
        <v/>
      </c>
      <c r="CSU18" s="35">
        <f t="shared" ca="1" si="150"/>
        <v>1</v>
      </c>
      <c r="CSV18" s="35" t="str">
        <f t="shared" ca="1" si="151"/>
        <v/>
      </c>
      <c r="CSW18" s="35">
        <f t="shared" ca="1" si="151"/>
        <v>1</v>
      </c>
      <c r="CSX18" s="35">
        <f t="shared" ca="1" si="151"/>
        <v>1</v>
      </c>
      <c r="CSY18" s="35" t="str">
        <f t="shared" ca="1" si="151"/>
        <v/>
      </c>
      <c r="CSZ18" s="35" t="str">
        <f t="shared" ca="1" si="151"/>
        <v/>
      </c>
      <c r="CTA18" s="35" t="str">
        <f t="shared" ca="1" si="151"/>
        <v/>
      </c>
      <c r="CTB18" s="35" t="str">
        <f t="shared" ca="1" si="151"/>
        <v/>
      </c>
      <c r="CTC18" s="35" t="str">
        <f t="shared" ca="1" si="151"/>
        <v/>
      </c>
      <c r="CTD18" s="35" t="str">
        <f t="shared" ca="1" si="151"/>
        <v/>
      </c>
      <c r="CTE18" s="35" t="str">
        <f t="shared" ca="1" si="151"/>
        <v/>
      </c>
      <c r="CTF18" s="35" t="str">
        <f t="shared" ca="1" si="152"/>
        <v/>
      </c>
      <c r="CTG18" s="35" t="str">
        <f t="shared" ca="1" si="152"/>
        <v/>
      </c>
      <c r="CTH18" s="35" t="str">
        <f t="shared" ca="1" si="152"/>
        <v/>
      </c>
      <c r="CTI18" s="35" t="str">
        <f t="shared" ca="1" si="152"/>
        <v/>
      </c>
      <c r="CTJ18" s="35" t="str">
        <f t="shared" ca="1" si="152"/>
        <v/>
      </c>
      <c r="CTK18" s="35" t="str">
        <f t="shared" ca="1" si="152"/>
        <v/>
      </c>
      <c r="CTL18" s="35" t="str">
        <f t="shared" ca="1" si="152"/>
        <v/>
      </c>
      <c r="CTM18" s="35" t="str">
        <f t="shared" ca="1" si="152"/>
        <v/>
      </c>
      <c r="CTN18" s="35" t="str">
        <f t="shared" ca="1" si="152"/>
        <v/>
      </c>
      <c r="CTO18" s="35" t="str">
        <f t="shared" ca="1" si="152"/>
        <v/>
      </c>
      <c r="CTP18" s="35" t="str">
        <f t="shared" ca="1" si="153"/>
        <v/>
      </c>
      <c r="CTQ18" s="35" t="str">
        <f t="shared" ca="1" si="153"/>
        <v/>
      </c>
      <c r="CTR18" s="35" t="str">
        <f t="shared" ca="1" si="153"/>
        <v/>
      </c>
      <c r="CTS18" s="35" t="str">
        <f t="shared" ca="1" si="153"/>
        <v/>
      </c>
      <c r="CTT18" s="35" t="str">
        <f t="shared" ca="1" si="153"/>
        <v/>
      </c>
      <c r="CTU18" s="35" t="str">
        <f t="shared" ca="1" si="153"/>
        <v/>
      </c>
      <c r="CTV18" s="35" t="str">
        <f t="shared" ca="1" si="153"/>
        <v/>
      </c>
      <c r="CTW18" s="35" t="str">
        <f t="shared" ca="1" si="153"/>
        <v/>
      </c>
      <c r="CTX18" s="35" t="str">
        <f t="shared" ca="1" si="153"/>
        <v/>
      </c>
      <c r="CTY18" s="35" t="str">
        <f t="shared" ca="1" si="153"/>
        <v/>
      </c>
      <c r="CTZ18" s="56" t="str">
        <f t="shared" si="108"/>
        <v>X</v>
      </c>
      <c r="CUA18" s="58">
        <f t="shared" ca="1" si="109"/>
        <v>5</v>
      </c>
      <c r="CUB18" s="16">
        <f t="shared" ca="1" si="110"/>
        <v>9</v>
      </c>
      <c r="CUC18" s="16">
        <f t="shared" ca="1" si="111"/>
        <v>7</v>
      </c>
      <c r="CUD18" s="16">
        <f t="shared" ca="1" si="112"/>
        <v>2</v>
      </c>
      <c r="CUE18" s="16">
        <f t="shared" ca="1" si="113"/>
        <v>4</v>
      </c>
      <c r="CUF18" s="16" t="str">
        <f t="shared" ca="1" si="114"/>
        <v/>
      </c>
      <c r="CUG18" s="16">
        <f t="shared" ca="1" si="115"/>
        <v>6</v>
      </c>
      <c r="CUH18" s="16">
        <f t="shared" ca="1" si="116"/>
        <v>4</v>
      </c>
      <c r="CUI18" s="16" t="str">
        <f t="shared" ca="1" si="117"/>
        <v/>
      </c>
      <c r="CUJ18" s="16">
        <f t="shared" ca="1" si="118"/>
        <v>3</v>
      </c>
      <c r="CUK18" s="16" t="str">
        <f t="shared" ca="1" si="119"/>
        <v/>
      </c>
      <c r="CUL18" s="16">
        <f t="shared" ca="1" si="120"/>
        <v>4</v>
      </c>
      <c r="CUM18" s="16">
        <f t="shared" ca="1" si="121"/>
        <v>5</v>
      </c>
      <c r="CUN18" s="16" t="str">
        <f t="shared" ca="1" si="122"/>
        <v/>
      </c>
      <c r="CUO18" s="16" t="str">
        <f t="shared" ca="1" si="123"/>
        <v/>
      </c>
      <c r="CUP18" s="16" t="str">
        <f t="shared" ca="1" si="124"/>
        <v/>
      </c>
      <c r="CUQ18" s="16" t="str">
        <f t="shared" ca="1" si="125"/>
        <v/>
      </c>
      <c r="CUR18" s="16" t="str">
        <f t="shared" ca="1" si="126"/>
        <v/>
      </c>
      <c r="CUS18" s="16" t="str">
        <f t="shared" ca="1" si="127"/>
        <v/>
      </c>
      <c r="CUT18" s="16" t="str">
        <f t="shared" ca="1" si="128"/>
        <v/>
      </c>
      <c r="CUU18" s="16" t="str">
        <f t="shared" ca="1" si="129"/>
        <v/>
      </c>
      <c r="CUV18" s="16" t="str">
        <f t="shared" ca="1" si="130"/>
        <v/>
      </c>
      <c r="CUW18" s="16" t="str">
        <f t="shared" ca="1" si="131"/>
        <v/>
      </c>
      <c r="CUX18" s="16" t="str">
        <f t="shared" ca="1" si="132"/>
        <v/>
      </c>
      <c r="CUY18" s="16" t="str">
        <f t="shared" ca="1" si="133"/>
        <v/>
      </c>
      <c r="CUZ18" s="16" t="str">
        <f t="shared" ca="1" si="134"/>
        <v/>
      </c>
      <c r="CVA18" s="16" t="str">
        <f t="shared" ca="1" si="135"/>
        <v/>
      </c>
      <c r="CVB18" s="16" t="str">
        <f t="shared" ca="1" si="136"/>
        <v/>
      </c>
      <c r="CVC18" s="16" t="str">
        <f t="shared" ca="1" si="137"/>
        <v/>
      </c>
      <c r="CVD18" s="16" t="str">
        <f t="shared" ca="1" si="138"/>
        <v/>
      </c>
      <c r="CVE18" s="16" t="str">
        <f t="shared" ca="1" si="139"/>
        <v/>
      </c>
      <c r="CVF18" s="16" t="str">
        <f t="shared" ca="1" si="140"/>
        <v/>
      </c>
      <c r="CVG18" s="16" t="str">
        <f t="shared" ca="1" si="141"/>
        <v/>
      </c>
      <c r="CVH18" s="16" t="str">
        <f t="shared" ca="1" si="142"/>
        <v/>
      </c>
      <c r="CVI18" s="16" t="str">
        <f t="shared" ca="1" si="143"/>
        <v/>
      </c>
      <c r="CVJ18" s="16" t="str">
        <f t="shared" ca="1" si="144"/>
        <v/>
      </c>
      <c r="CVK18" s="16" t="str">
        <f t="shared" ca="1" si="145"/>
        <v/>
      </c>
      <c r="CVL18" s="16" t="str">
        <f t="shared" ca="1" si="146"/>
        <v/>
      </c>
      <c r="CVM18" s="16" t="str">
        <f t="shared" ca="1" si="147"/>
        <v/>
      </c>
      <c r="CVN18" s="16" t="str">
        <f t="shared" ca="1" si="148"/>
        <v/>
      </c>
      <c r="CVO18" s="58" t="str">
        <f t="shared" si="149"/>
        <v>алексеевигорь5кл.</v>
      </c>
      <c r="CVP18" s="58" t="str">
        <f>IFERROR(VLOOKUP(CVO18,'Внешние данные'!A:Z,4,FALSE),"")</f>
        <v/>
      </c>
    </row>
    <row r="19" spans="1:894 2533:2616" s="16" customFormat="1" ht="13.8" x14ac:dyDescent="0.25">
      <c r="A19" s="2" t="s">
        <v>2353</v>
      </c>
      <c r="B19" s="2" t="s">
        <v>2480</v>
      </c>
      <c r="C19" s="57" t="s">
        <v>2399</v>
      </c>
      <c r="D19" s="35">
        <v>6</v>
      </c>
      <c r="E19" s="58">
        <v>57</v>
      </c>
      <c r="G19" s="16" t="s">
        <v>1393</v>
      </c>
      <c r="H19" s="53">
        <f t="shared" ca="1" si="99"/>
        <v>0.66666666666666663</v>
      </c>
      <c r="I19" s="35">
        <f t="shared" ca="1" si="100"/>
        <v>0</v>
      </c>
      <c r="J19" s="35">
        <f t="shared" ca="1" si="101"/>
        <v>9</v>
      </c>
      <c r="K19" s="49">
        <f t="shared" ca="1" si="102"/>
        <v>6.666666666666667</v>
      </c>
      <c r="L19" s="16">
        <v>205</v>
      </c>
      <c r="M19" s="12">
        <v>202</v>
      </c>
      <c r="N19" s="12">
        <v>202</v>
      </c>
      <c r="O19" s="4">
        <v>202</v>
      </c>
      <c r="P19" s="4">
        <v>202</v>
      </c>
      <c r="Q19" s="4">
        <v>202</v>
      </c>
      <c r="R19" s="4">
        <v>202</v>
      </c>
      <c r="S19" s="4">
        <v>202</v>
      </c>
      <c r="T19" s="4">
        <v>202</v>
      </c>
      <c r="U19" s="4"/>
      <c r="V19" s="4">
        <v>202</v>
      </c>
      <c r="W19" s="4">
        <v>202</v>
      </c>
      <c r="X19" s="4">
        <v>202</v>
      </c>
      <c r="Y19" s="4">
        <v>202</v>
      </c>
      <c r="Z19" s="4">
        <v>202</v>
      </c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16">
        <v>1</v>
      </c>
      <c r="BB19" s="16">
        <v>1</v>
      </c>
      <c r="BC19" s="16">
        <v>1</v>
      </c>
      <c r="BF19" s="16">
        <v>1</v>
      </c>
      <c r="BG19" s="16">
        <v>1</v>
      </c>
      <c r="BM19" s="16">
        <v>1</v>
      </c>
      <c r="BN19" s="16">
        <v>1</v>
      </c>
      <c r="BP19" s="16">
        <v>1</v>
      </c>
      <c r="BR19" s="16">
        <v>1</v>
      </c>
      <c r="DK19" s="16">
        <v>1</v>
      </c>
      <c r="DL19" s="16">
        <v>1</v>
      </c>
      <c r="DN19" s="16">
        <v>1</v>
      </c>
      <c r="DO19" s="16">
        <v>1</v>
      </c>
      <c r="DP19" s="16">
        <v>1</v>
      </c>
      <c r="DQ19" s="16">
        <v>1</v>
      </c>
      <c r="DR19" s="16">
        <v>1</v>
      </c>
      <c r="DT19" s="16">
        <v>1</v>
      </c>
      <c r="DU19" s="16">
        <v>1</v>
      </c>
      <c r="FU19" s="16">
        <v>1</v>
      </c>
      <c r="FV19" s="16">
        <v>1</v>
      </c>
      <c r="GC19" s="16">
        <v>1</v>
      </c>
      <c r="GD19" s="16">
        <v>1</v>
      </c>
      <c r="GG19" s="16">
        <v>1</v>
      </c>
      <c r="IE19" s="16">
        <v>1</v>
      </c>
      <c r="IL19" s="16">
        <v>1</v>
      </c>
      <c r="IN19" s="16">
        <v>1</v>
      </c>
      <c r="IP19" s="16">
        <v>1</v>
      </c>
      <c r="IQ19" s="16">
        <v>1</v>
      </c>
      <c r="IR19" s="16">
        <v>1</v>
      </c>
      <c r="IT19" s="16">
        <v>1</v>
      </c>
      <c r="IU19" s="16">
        <v>1</v>
      </c>
      <c r="IV19" s="16">
        <v>1</v>
      </c>
      <c r="MY19" s="16">
        <v>1</v>
      </c>
      <c r="MZ19" s="16">
        <v>1</v>
      </c>
      <c r="NA19" s="16">
        <v>1</v>
      </c>
      <c r="NB19" s="16">
        <v>1</v>
      </c>
      <c r="NC19" s="16">
        <v>1</v>
      </c>
      <c r="PI19" s="16" t="s">
        <v>2961</v>
      </c>
      <c r="PJ19" s="16" t="s">
        <v>2962</v>
      </c>
      <c r="PM19" s="16" t="s">
        <v>2962</v>
      </c>
      <c r="PQ19" s="16" t="s">
        <v>2962</v>
      </c>
      <c r="PR19" s="16" t="s">
        <v>2962</v>
      </c>
      <c r="RS19" s="16">
        <v>1</v>
      </c>
      <c r="RT19" s="16">
        <v>1</v>
      </c>
      <c r="RU19" s="16">
        <v>1</v>
      </c>
      <c r="RV19" s="16">
        <v>1</v>
      </c>
      <c r="SB19" s="16">
        <v>1</v>
      </c>
      <c r="SD19" s="16">
        <v>1</v>
      </c>
      <c r="WM19" s="16" t="s">
        <v>2961</v>
      </c>
      <c r="YW19" s="16" t="s">
        <v>2961</v>
      </c>
      <c r="ABG19" s="16">
        <v>1</v>
      </c>
      <c r="ABI19" s="16">
        <v>1</v>
      </c>
      <c r="ABK19" s="16">
        <v>1</v>
      </c>
      <c r="ABM19" s="16">
        <v>1</v>
      </c>
      <c r="ABS19" s="16">
        <v>1</v>
      </c>
      <c r="ABU19" s="16">
        <v>1</v>
      </c>
      <c r="ADQ19" s="16">
        <v>1</v>
      </c>
      <c r="ADR19" s="16">
        <v>1</v>
      </c>
      <c r="ADT19" s="16">
        <v>1</v>
      </c>
      <c r="ADU19" s="16">
        <v>1</v>
      </c>
      <c r="ADV19" s="16">
        <v>1</v>
      </c>
      <c r="ADW19" s="16">
        <v>1</v>
      </c>
      <c r="ADX19" s="16">
        <v>1</v>
      </c>
      <c r="ADY19" s="16">
        <v>1</v>
      </c>
      <c r="AEA19" s="16">
        <v>1</v>
      </c>
      <c r="AEB19" s="16">
        <v>1</v>
      </c>
      <c r="AEC19" s="16">
        <v>1</v>
      </c>
      <c r="AGA19" s="16">
        <v>1</v>
      </c>
      <c r="AGB19" s="16">
        <v>1</v>
      </c>
      <c r="AGC19" s="16">
        <v>1</v>
      </c>
      <c r="AGE19" s="16">
        <v>1</v>
      </c>
      <c r="AGJ19" s="16">
        <v>1</v>
      </c>
      <c r="AGK19" s="16">
        <v>1</v>
      </c>
      <c r="AGL19" s="16">
        <v>1</v>
      </c>
      <c r="AGM19" s="16">
        <v>1</v>
      </c>
      <c r="AGT19" s="16">
        <v>1</v>
      </c>
      <c r="CSK19" s="54" t="str">
        <f t="shared" si="103"/>
        <v>X</v>
      </c>
      <c r="CSL19" s="35">
        <f t="shared" ca="1" si="150"/>
        <v>1</v>
      </c>
      <c r="CSM19" s="35">
        <f t="shared" ca="1" si="150"/>
        <v>1</v>
      </c>
      <c r="CSN19" s="35">
        <f t="shared" ca="1" si="150"/>
        <v>1</v>
      </c>
      <c r="CSO19" s="35">
        <f t="shared" ca="1" si="150"/>
        <v>1</v>
      </c>
      <c r="CSP19" s="35" t="str">
        <f t="shared" ca="1" si="150"/>
        <v/>
      </c>
      <c r="CSQ19" s="72">
        <f t="shared" ca="1" si="150"/>
        <v>1</v>
      </c>
      <c r="CSR19" s="35" t="str">
        <f t="shared" ca="1" si="150"/>
        <v/>
      </c>
      <c r="CSS19" s="35">
        <f t="shared" ca="1" si="150"/>
        <v>1</v>
      </c>
      <c r="CST19" s="35" t="str">
        <f t="shared" ca="1" si="150"/>
        <v/>
      </c>
      <c r="CSU19" s="35" t="str">
        <f t="shared" ca="1" si="150"/>
        <v/>
      </c>
      <c r="CSV19" s="35" t="str">
        <f t="shared" ca="1" si="151"/>
        <v/>
      </c>
      <c r="CSW19" s="35">
        <f t="shared" ca="1" si="151"/>
        <v>1</v>
      </c>
      <c r="CSX19" s="35">
        <f t="shared" ca="1" si="151"/>
        <v>1</v>
      </c>
      <c r="CSY19" s="35">
        <f t="shared" ca="1" si="151"/>
        <v>1</v>
      </c>
      <c r="CSZ19" s="35" t="str">
        <f t="shared" ca="1" si="151"/>
        <v/>
      </c>
      <c r="CTA19" s="35" t="str">
        <f t="shared" ca="1" si="151"/>
        <v/>
      </c>
      <c r="CTB19" s="35" t="str">
        <f t="shared" ca="1" si="151"/>
        <v/>
      </c>
      <c r="CTC19" s="35" t="str">
        <f t="shared" ca="1" si="151"/>
        <v/>
      </c>
      <c r="CTD19" s="35" t="str">
        <f t="shared" ca="1" si="151"/>
        <v/>
      </c>
      <c r="CTE19" s="35" t="str">
        <f t="shared" ca="1" si="151"/>
        <v/>
      </c>
      <c r="CTF19" s="35" t="str">
        <f t="shared" ca="1" si="152"/>
        <v/>
      </c>
      <c r="CTG19" s="35" t="str">
        <f t="shared" ca="1" si="152"/>
        <v/>
      </c>
      <c r="CTH19" s="35" t="str">
        <f t="shared" ca="1" si="152"/>
        <v/>
      </c>
      <c r="CTI19" s="35" t="str">
        <f t="shared" ca="1" si="152"/>
        <v/>
      </c>
      <c r="CTJ19" s="35" t="str">
        <f t="shared" ca="1" si="152"/>
        <v/>
      </c>
      <c r="CTK19" s="35" t="str">
        <f t="shared" ca="1" si="152"/>
        <v/>
      </c>
      <c r="CTL19" s="35" t="str">
        <f t="shared" ca="1" si="152"/>
        <v/>
      </c>
      <c r="CTM19" s="35" t="str">
        <f t="shared" ca="1" si="152"/>
        <v/>
      </c>
      <c r="CTN19" s="35" t="str">
        <f t="shared" ca="1" si="152"/>
        <v/>
      </c>
      <c r="CTO19" s="35" t="str">
        <f t="shared" ca="1" si="152"/>
        <v/>
      </c>
      <c r="CTP19" s="35" t="str">
        <f t="shared" ca="1" si="153"/>
        <v/>
      </c>
      <c r="CTQ19" s="35" t="str">
        <f t="shared" ca="1" si="153"/>
        <v/>
      </c>
      <c r="CTR19" s="35" t="str">
        <f t="shared" ca="1" si="153"/>
        <v/>
      </c>
      <c r="CTS19" s="35" t="str">
        <f t="shared" ca="1" si="153"/>
        <v/>
      </c>
      <c r="CTT19" s="35" t="str">
        <f t="shared" ca="1" si="153"/>
        <v/>
      </c>
      <c r="CTU19" s="35" t="str">
        <f t="shared" ca="1" si="153"/>
        <v/>
      </c>
      <c r="CTV19" s="35" t="str">
        <f t="shared" ca="1" si="153"/>
        <v/>
      </c>
      <c r="CTW19" s="35" t="str">
        <f t="shared" ca="1" si="153"/>
        <v/>
      </c>
      <c r="CTX19" s="35" t="str">
        <f t="shared" ca="1" si="153"/>
        <v/>
      </c>
      <c r="CTY19" s="35" t="str">
        <f t="shared" ca="1" si="153"/>
        <v/>
      </c>
      <c r="CTZ19" s="56" t="str">
        <f t="shared" si="108"/>
        <v>X</v>
      </c>
      <c r="CUA19" s="58">
        <f t="shared" ca="1" si="109"/>
        <v>8</v>
      </c>
      <c r="CUB19" s="16">
        <f t="shared" ca="1" si="110"/>
        <v>8</v>
      </c>
      <c r="CUC19" s="16">
        <f t="shared" ca="1" si="111"/>
        <v>4</v>
      </c>
      <c r="CUD19" s="16">
        <f t="shared" ca="1" si="112"/>
        <v>8</v>
      </c>
      <c r="CUE19" s="16" t="str">
        <f t="shared" ca="1" si="113"/>
        <v/>
      </c>
      <c r="CUF19" s="16">
        <f t="shared" ca="1" si="114"/>
        <v>4</v>
      </c>
      <c r="CUG19" s="16" t="str">
        <f t="shared" ca="1" si="115"/>
        <v/>
      </c>
      <c r="CUH19" s="16">
        <f t="shared" ca="1" si="116"/>
        <v>5</v>
      </c>
      <c r="CUI19" s="16" t="str">
        <f t="shared" ca="1" si="117"/>
        <v/>
      </c>
      <c r="CUJ19" s="16" t="str">
        <f t="shared" ca="1" si="118"/>
        <v/>
      </c>
      <c r="CUK19" s="16" t="str">
        <f t="shared" ca="1" si="119"/>
        <v/>
      </c>
      <c r="CUL19" s="16">
        <f t="shared" ca="1" si="120"/>
        <v>5</v>
      </c>
      <c r="CUM19" s="16">
        <f t="shared" ca="1" si="121"/>
        <v>10</v>
      </c>
      <c r="CUN19" s="16">
        <f t="shared" ca="1" si="122"/>
        <v>8</v>
      </c>
      <c r="CUO19" s="16" t="str">
        <f t="shared" ca="1" si="123"/>
        <v/>
      </c>
      <c r="CUP19" s="16" t="str">
        <f t="shared" ca="1" si="124"/>
        <v/>
      </c>
      <c r="CUQ19" s="16" t="str">
        <f t="shared" ca="1" si="125"/>
        <v/>
      </c>
      <c r="CUR19" s="16" t="str">
        <f t="shared" ca="1" si="126"/>
        <v/>
      </c>
      <c r="CUS19" s="16" t="str">
        <f t="shared" ca="1" si="127"/>
        <v/>
      </c>
      <c r="CUT19" s="16" t="str">
        <f t="shared" ca="1" si="128"/>
        <v/>
      </c>
      <c r="CUU19" s="16" t="str">
        <f t="shared" ca="1" si="129"/>
        <v/>
      </c>
      <c r="CUV19" s="16" t="str">
        <f t="shared" ca="1" si="130"/>
        <v/>
      </c>
      <c r="CUW19" s="16" t="str">
        <f t="shared" ca="1" si="131"/>
        <v/>
      </c>
      <c r="CUX19" s="16" t="str">
        <f t="shared" ca="1" si="132"/>
        <v/>
      </c>
      <c r="CUY19" s="16" t="str">
        <f t="shared" ca="1" si="133"/>
        <v/>
      </c>
      <c r="CUZ19" s="16" t="str">
        <f t="shared" ca="1" si="134"/>
        <v/>
      </c>
      <c r="CVA19" s="16" t="str">
        <f t="shared" ca="1" si="135"/>
        <v/>
      </c>
      <c r="CVB19" s="16" t="str">
        <f t="shared" ca="1" si="136"/>
        <v/>
      </c>
      <c r="CVC19" s="16" t="str">
        <f t="shared" ca="1" si="137"/>
        <v/>
      </c>
      <c r="CVD19" s="16" t="str">
        <f t="shared" ca="1" si="138"/>
        <v/>
      </c>
      <c r="CVE19" s="16" t="str">
        <f t="shared" ca="1" si="139"/>
        <v/>
      </c>
      <c r="CVF19" s="16" t="str">
        <f t="shared" ca="1" si="140"/>
        <v/>
      </c>
      <c r="CVG19" s="16" t="str">
        <f t="shared" ca="1" si="141"/>
        <v/>
      </c>
      <c r="CVH19" s="16" t="str">
        <f t="shared" ca="1" si="142"/>
        <v/>
      </c>
      <c r="CVI19" s="16" t="str">
        <f t="shared" ca="1" si="143"/>
        <v/>
      </c>
      <c r="CVJ19" s="16" t="str">
        <f t="shared" ca="1" si="144"/>
        <v/>
      </c>
      <c r="CVK19" s="16" t="str">
        <f t="shared" ca="1" si="145"/>
        <v/>
      </c>
      <c r="CVL19" s="16" t="str">
        <f t="shared" ca="1" si="146"/>
        <v/>
      </c>
      <c r="CVM19" s="16" t="str">
        <f t="shared" ca="1" si="147"/>
        <v/>
      </c>
      <c r="CVN19" s="16" t="str">
        <f t="shared" ca="1" si="148"/>
        <v/>
      </c>
      <c r="CVO19" s="58" t="str">
        <f t="shared" si="149"/>
        <v>алексеевигорь6кл.</v>
      </c>
      <c r="CVP19" s="58" t="str">
        <f>IFERROR(VLOOKUP(CVO19,'Внешние данные'!A:Z,4,FALSE),"")</f>
        <v/>
      </c>
    </row>
    <row r="20" spans="1:894 2533:2616" s="16" customFormat="1" ht="13.8" x14ac:dyDescent="0.25">
      <c r="A20" s="2" t="s">
        <v>2354</v>
      </c>
      <c r="B20" s="2" t="s">
        <v>2454</v>
      </c>
      <c r="C20" s="57" t="s">
        <v>2400</v>
      </c>
      <c r="D20" s="35">
        <v>5</v>
      </c>
      <c r="E20" s="58">
        <v>179</v>
      </c>
      <c r="G20" s="16" t="s">
        <v>1393</v>
      </c>
      <c r="H20" s="53">
        <f t="shared" ca="1" si="99"/>
        <v>0.875</v>
      </c>
      <c r="I20" s="35">
        <f t="shared" ca="1" si="100"/>
        <v>0</v>
      </c>
      <c r="J20" s="35">
        <f t="shared" ca="1" si="101"/>
        <v>6</v>
      </c>
      <c r="K20" s="49">
        <f t="shared" ca="1" si="102"/>
        <v>8.8333333333333339</v>
      </c>
      <c r="L20" s="16">
        <v>305</v>
      </c>
      <c r="M20" s="12"/>
      <c r="N20" s="12"/>
      <c r="O20" s="4"/>
      <c r="P20" s="4"/>
      <c r="Q20" s="4"/>
      <c r="R20" s="4"/>
      <c r="S20" s="4">
        <v>425</v>
      </c>
      <c r="T20" s="4">
        <v>425</v>
      </c>
      <c r="U20" s="4"/>
      <c r="V20" s="4">
        <v>301</v>
      </c>
      <c r="W20" s="4">
        <v>301</v>
      </c>
      <c r="X20" s="4">
        <v>301</v>
      </c>
      <c r="Y20" s="4">
        <v>301</v>
      </c>
      <c r="Z20" s="4">
        <v>301</v>
      </c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PI20" s="16" t="s">
        <v>2961</v>
      </c>
      <c r="RS20" s="16">
        <v>1</v>
      </c>
      <c r="RT20" s="16">
        <v>1</v>
      </c>
      <c r="RU20" s="16">
        <v>1</v>
      </c>
      <c r="RV20" s="16">
        <v>1</v>
      </c>
      <c r="RW20" s="16">
        <v>1</v>
      </c>
      <c r="RX20" s="16">
        <v>1</v>
      </c>
      <c r="RY20" s="16">
        <v>1</v>
      </c>
      <c r="RZ20" s="16">
        <v>1</v>
      </c>
      <c r="SB20" s="16">
        <v>1</v>
      </c>
      <c r="WM20" s="16">
        <v>1</v>
      </c>
      <c r="WO20" s="16">
        <v>1</v>
      </c>
      <c r="WU20" s="16">
        <v>1</v>
      </c>
      <c r="WV20" s="16">
        <v>1</v>
      </c>
      <c r="WW20" s="16">
        <v>1</v>
      </c>
      <c r="WX20" s="16">
        <v>1</v>
      </c>
      <c r="XC20" s="16">
        <v>1</v>
      </c>
      <c r="YW20" s="16">
        <v>1</v>
      </c>
      <c r="YX20" s="16">
        <v>1</v>
      </c>
      <c r="YY20" s="16">
        <v>1</v>
      </c>
      <c r="YZ20" s="16">
        <v>1</v>
      </c>
      <c r="ZB20" s="16">
        <v>1</v>
      </c>
      <c r="ZC20" s="16">
        <v>1</v>
      </c>
      <c r="ZD20" s="16">
        <v>1</v>
      </c>
      <c r="ZE20" s="16">
        <v>1</v>
      </c>
      <c r="ZI20" s="16">
        <v>1</v>
      </c>
      <c r="ZM20" s="16" t="s">
        <v>2962</v>
      </c>
      <c r="ABG20" s="16">
        <v>1</v>
      </c>
      <c r="ABH20" s="16">
        <v>1</v>
      </c>
      <c r="ABI20" s="16">
        <v>1</v>
      </c>
      <c r="ABJ20" s="16">
        <v>1</v>
      </c>
      <c r="ABK20" s="16">
        <v>1</v>
      </c>
      <c r="ABL20" s="16">
        <v>1</v>
      </c>
      <c r="ABM20" s="16">
        <v>1</v>
      </c>
      <c r="ABN20" s="16">
        <v>1</v>
      </c>
      <c r="ABO20" s="16">
        <v>1</v>
      </c>
      <c r="ABP20" s="16">
        <v>1</v>
      </c>
      <c r="ABQ20" s="16">
        <v>1</v>
      </c>
      <c r="ABX20" s="16" t="s">
        <v>2962</v>
      </c>
      <c r="ABY20" s="16" t="s">
        <v>2962</v>
      </c>
      <c r="ADQ20" s="16">
        <v>1</v>
      </c>
      <c r="ADR20" s="16">
        <v>1</v>
      </c>
      <c r="ADS20" s="16">
        <v>1</v>
      </c>
      <c r="ADT20" s="16">
        <v>1</v>
      </c>
      <c r="ADU20" s="16">
        <v>1</v>
      </c>
      <c r="ADV20" s="16">
        <v>1</v>
      </c>
      <c r="ADW20" s="16">
        <v>1</v>
      </c>
      <c r="ADX20" s="16">
        <v>1</v>
      </c>
      <c r="ADY20" s="16">
        <v>1</v>
      </c>
      <c r="ADZ20" s="16">
        <v>1</v>
      </c>
      <c r="AEA20" s="16">
        <v>1</v>
      </c>
      <c r="AEB20" s="16">
        <v>1</v>
      </c>
      <c r="AEC20" s="16">
        <v>1</v>
      </c>
      <c r="AEG20" s="16" t="s">
        <v>2962</v>
      </c>
      <c r="AEH20" s="16" t="s">
        <v>2962</v>
      </c>
      <c r="AEI20" s="16" t="s">
        <v>2962</v>
      </c>
      <c r="AGA20" s="16">
        <v>1</v>
      </c>
      <c r="AGB20" s="16">
        <v>1</v>
      </c>
      <c r="AGC20" s="16">
        <v>1</v>
      </c>
      <c r="AGF20" s="16">
        <v>1</v>
      </c>
      <c r="AGG20" s="16">
        <v>1</v>
      </c>
      <c r="AGH20" s="16">
        <v>1</v>
      </c>
      <c r="AGI20" s="16">
        <v>1</v>
      </c>
      <c r="AGJ20" s="16" t="s">
        <v>2962</v>
      </c>
      <c r="AGK20" s="16">
        <v>1</v>
      </c>
      <c r="AGM20" s="16">
        <v>1</v>
      </c>
      <c r="AGN20" s="16">
        <v>1</v>
      </c>
      <c r="AGS20" s="16" t="s">
        <v>2962</v>
      </c>
      <c r="AGT20" s="16" t="s">
        <v>2962</v>
      </c>
      <c r="CSK20" s="54" t="str">
        <f t="shared" si="103"/>
        <v>X</v>
      </c>
      <c r="CSL20" s="35" t="str">
        <f t="shared" ca="1" si="150"/>
        <v/>
      </c>
      <c r="CSM20" s="35" t="str">
        <f t="shared" ca="1" si="150"/>
        <v/>
      </c>
      <c r="CSN20" s="35" t="str">
        <f t="shared" ca="1" si="150"/>
        <v/>
      </c>
      <c r="CSO20" s="35" t="str">
        <f t="shared" ca="1" si="150"/>
        <v/>
      </c>
      <c r="CSP20" s="35" t="str">
        <f t="shared" ca="1" si="150"/>
        <v/>
      </c>
      <c r="CSQ20" s="72" t="str">
        <f t="shared" ca="1" si="150"/>
        <v/>
      </c>
      <c r="CSR20" s="35" t="str">
        <f t="shared" ca="1" si="150"/>
        <v/>
      </c>
      <c r="CSS20" s="35">
        <f t="shared" ca="1" si="150"/>
        <v>1</v>
      </c>
      <c r="CST20" s="35" t="str">
        <f t="shared" ca="1" si="150"/>
        <v/>
      </c>
      <c r="CSU20" s="35">
        <f t="shared" ca="1" si="150"/>
        <v>1</v>
      </c>
      <c r="CSV20" s="35">
        <f t="shared" ca="1" si="151"/>
        <v>1</v>
      </c>
      <c r="CSW20" s="35">
        <f t="shared" ca="1" si="151"/>
        <v>1</v>
      </c>
      <c r="CSX20" s="35">
        <f t="shared" ca="1" si="151"/>
        <v>1</v>
      </c>
      <c r="CSY20" s="35">
        <f t="shared" ca="1" si="151"/>
        <v>1</v>
      </c>
      <c r="CSZ20" s="35" t="str">
        <f t="shared" ca="1" si="151"/>
        <v/>
      </c>
      <c r="CTA20" s="35" t="str">
        <f t="shared" ca="1" si="151"/>
        <v/>
      </c>
      <c r="CTB20" s="35" t="str">
        <f t="shared" ca="1" si="151"/>
        <v/>
      </c>
      <c r="CTC20" s="35" t="str">
        <f t="shared" ca="1" si="151"/>
        <v/>
      </c>
      <c r="CTD20" s="35" t="str">
        <f t="shared" ca="1" si="151"/>
        <v/>
      </c>
      <c r="CTE20" s="35" t="str">
        <f t="shared" ca="1" si="151"/>
        <v/>
      </c>
      <c r="CTF20" s="35" t="str">
        <f t="shared" ca="1" si="152"/>
        <v/>
      </c>
      <c r="CTG20" s="35" t="str">
        <f t="shared" ca="1" si="152"/>
        <v/>
      </c>
      <c r="CTH20" s="35" t="str">
        <f t="shared" ca="1" si="152"/>
        <v/>
      </c>
      <c r="CTI20" s="35" t="str">
        <f t="shared" ca="1" si="152"/>
        <v/>
      </c>
      <c r="CTJ20" s="35" t="str">
        <f t="shared" ca="1" si="152"/>
        <v/>
      </c>
      <c r="CTK20" s="35" t="str">
        <f t="shared" ca="1" si="152"/>
        <v/>
      </c>
      <c r="CTL20" s="35" t="str">
        <f t="shared" ca="1" si="152"/>
        <v/>
      </c>
      <c r="CTM20" s="35" t="str">
        <f t="shared" ca="1" si="152"/>
        <v/>
      </c>
      <c r="CTN20" s="35" t="str">
        <f t="shared" ca="1" si="152"/>
        <v/>
      </c>
      <c r="CTO20" s="35" t="str">
        <f t="shared" ca="1" si="152"/>
        <v/>
      </c>
      <c r="CTP20" s="35" t="str">
        <f t="shared" ca="1" si="153"/>
        <v/>
      </c>
      <c r="CTQ20" s="35" t="str">
        <f t="shared" ca="1" si="153"/>
        <v/>
      </c>
      <c r="CTR20" s="35" t="str">
        <f t="shared" ca="1" si="153"/>
        <v/>
      </c>
      <c r="CTS20" s="35" t="str">
        <f t="shared" ca="1" si="153"/>
        <v/>
      </c>
      <c r="CTT20" s="35" t="str">
        <f t="shared" ca="1" si="153"/>
        <v/>
      </c>
      <c r="CTU20" s="35" t="str">
        <f t="shared" ca="1" si="153"/>
        <v/>
      </c>
      <c r="CTV20" s="35" t="str">
        <f t="shared" ca="1" si="153"/>
        <v/>
      </c>
      <c r="CTW20" s="35" t="str">
        <f t="shared" ca="1" si="153"/>
        <v/>
      </c>
      <c r="CTX20" s="35" t="str">
        <f t="shared" ca="1" si="153"/>
        <v/>
      </c>
      <c r="CTY20" s="35" t="str">
        <f t="shared" ca="1" si="153"/>
        <v/>
      </c>
      <c r="CTZ20" s="56" t="str">
        <f t="shared" si="108"/>
        <v>X</v>
      </c>
      <c r="CUA20" s="58" t="str">
        <f t="shared" ca="1" si="109"/>
        <v/>
      </c>
      <c r="CUB20" s="16" t="str">
        <f t="shared" ca="1" si="110"/>
        <v/>
      </c>
      <c r="CUC20" s="16" t="str">
        <f t="shared" ca="1" si="111"/>
        <v/>
      </c>
      <c r="CUD20" s="16" t="str">
        <f t="shared" ca="1" si="112"/>
        <v/>
      </c>
      <c r="CUE20" s="16" t="str">
        <f t="shared" ca="1" si="113"/>
        <v/>
      </c>
      <c r="CUF20" s="16" t="str">
        <f t="shared" ca="1" si="114"/>
        <v/>
      </c>
      <c r="CUG20" s="16" t="str">
        <f t="shared" ca="1" si="115"/>
        <v/>
      </c>
      <c r="CUH20" s="16">
        <f t="shared" ca="1" si="116"/>
        <v>8</v>
      </c>
      <c r="CUI20" s="16" t="str">
        <f t="shared" ca="1" si="117"/>
        <v/>
      </c>
      <c r="CUJ20" s="16">
        <f t="shared" ca="1" si="118"/>
        <v>6</v>
      </c>
      <c r="CUK20" s="16">
        <f t="shared" ca="1" si="119"/>
        <v>8</v>
      </c>
      <c r="CUL20" s="16">
        <f t="shared" ca="1" si="120"/>
        <v>10</v>
      </c>
      <c r="CUM20" s="16">
        <f t="shared" ca="1" si="121"/>
        <v>12</v>
      </c>
      <c r="CUN20" s="16">
        <f t="shared" ca="1" si="122"/>
        <v>9</v>
      </c>
      <c r="CUO20" s="16" t="str">
        <f t="shared" ca="1" si="123"/>
        <v/>
      </c>
      <c r="CUP20" s="16" t="str">
        <f t="shared" ca="1" si="124"/>
        <v/>
      </c>
      <c r="CUQ20" s="16" t="str">
        <f t="shared" ca="1" si="125"/>
        <v/>
      </c>
      <c r="CUR20" s="16" t="str">
        <f t="shared" ca="1" si="126"/>
        <v/>
      </c>
      <c r="CUS20" s="16" t="str">
        <f t="shared" ca="1" si="127"/>
        <v/>
      </c>
      <c r="CUT20" s="16" t="str">
        <f t="shared" ca="1" si="128"/>
        <v/>
      </c>
      <c r="CUU20" s="16" t="str">
        <f t="shared" ca="1" si="129"/>
        <v/>
      </c>
      <c r="CUV20" s="16" t="str">
        <f t="shared" ca="1" si="130"/>
        <v/>
      </c>
      <c r="CUW20" s="16" t="str">
        <f t="shared" ca="1" si="131"/>
        <v/>
      </c>
      <c r="CUX20" s="16" t="str">
        <f t="shared" ca="1" si="132"/>
        <v/>
      </c>
      <c r="CUY20" s="16" t="str">
        <f t="shared" ca="1" si="133"/>
        <v/>
      </c>
      <c r="CUZ20" s="16" t="str">
        <f t="shared" ca="1" si="134"/>
        <v/>
      </c>
      <c r="CVA20" s="16" t="str">
        <f t="shared" ca="1" si="135"/>
        <v/>
      </c>
      <c r="CVB20" s="16" t="str">
        <f t="shared" ca="1" si="136"/>
        <v/>
      </c>
      <c r="CVC20" s="16" t="str">
        <f t="shared" ca="1" si="137"/>
        <v/>
      </c>
      <c r="CVD20" s="16" t="str">
        <f t="shared" ca="1" si="138"/>
        <v/>
      </c>
      <c r="CVE20" s="16" t="str">
        <f t="shared" ca="1" si="139"/>
        <v/>
      </c>
      <c r="CVF20" s="16" t="str">
        <f t="shared" ca="1" si="140"/>
        <v/>
      </c>
      <c r="CVG20" s="16" t="str">
        <f t="shared" ca="1" si="141"/>
        <v/>
      </c>
      <c r="CVH20" s="16" t="str">
        <f t="shared" ca="1" si="142"/>
        <v/>
      </c>
      <c r="CVI20" s="16" t="str">
        <f t="shared" ca="1" si="143"/>
        <v/>
      </c>
      <c r="CVJ20" s="16" t="str">
        <f t="shared" ca="1" si="144"/>
        <v/>
      </c>
      <c r="CVK20" s="16" t="str">
        <f t="shared" ca="1" si="145"/>
        <v/>
      </c>
      <c r="CVL20" s="16" t="str">
        <f t="shared" ca="1" si="146"/>
        <v/>
      </c>
      <c r="CVM20" s="16" t="str">
        <f t="shared" ca="1" si="147"/>
        <v/>
      </c>
      <c r="CVN20" s="16" t="str">
        <f t="shared" ca="1" si="148"/>
        <v/>
      </c>
      <c r="CVO20" s="58" t="str">
        <f t="shared" si="149"/>
        <v>семеновконстантин</v>
      </c>
      <c r="CVP20" s="58" t="str">
        <f>IFERROR(VLOOKUP(CVO20,'Внешние данные'!A:Z,4,FALSE),"")</f>
        <v/>
      </c>
    </row>
    <row r="21" spans="1:894 2533:2616" s="16" customFormat="1" ht="13.8" x14ac:dyDescent="0.25">
      <c r="A21" s="2" t="s">
        <v>2355</v>
      </c>
      <c r="B21" s="2" t="s">
        <v>2466</v>
      </c>
      <c r="C21" s="57" t="s">
        <v>2401</v>
      </c>
      <c r="D21" s="35">
        <v>6</v>
      </c>
      <c r="E21" s="58" t="s">
        <v>2303</v>
      </c>
      <c r="G21" s="16" t="s">
        <v>1392</v>
      </c>
      <c r="H21" s="53">
        <f t="shared" ca="1" si="99"/>
        <v>0.8</v>
      </c>
      <c r="I21" s="35">
        <f t="shared" ca="1" si="100"/>
        <v>0</v>
      </c>
      <c r="J21" s="35">
        <f t="shared" ca="1" si="101"/>
        <v>11</v>
      </c>
      <c r="K21" s="49">
        <f t="shared" ca="1" si="102"/>
        <v>3.5454545454545454</v>
      </c>
      <c r="L21" s="16">
        <v>308</v>
      </c>
      <c r="M21" s="12">
        <v>202</v>
      </c>
      <c r="N21" s="12">
        <v>308</v>
      </c>
      <c r="O21" s="4">
        <v>308</v>
      </c>
      <c r="P21" s="4">
        <v>308</v>
      </c>
      <c r="Q21" s="4">
        <v>308</v>
      </c>
      <c r="R21" s="4">
        <v>308</v>
      </c>
      <c r="S21" s="4">
        <v>308</v>
      </c>
      <c r="T21" s="4">
        <v>308</v>
      </c>
      <c r="U21" s="4"/>
      <c r="V21" s="4">
        <v>308</v>
      </c>
      <c r="W21" s="4">
        <v>308</v>
      </c>
      <c r="X21" s="4">
        <v>308</v>
      </c>
      <c r="Y21" s="4">
        <v>308</v>
      </c>
      <c r="Z21" s="4">
        <v>308</v>
      </c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16">
        <v>1</v>
      </c>
      <c r="BB21" s="16">
        <v>1</v>
      </c>
      <c r="BC21" s="16">
        <v>1</v>
      </c>
      <c r="BF21" s="16">
        <v>1</v>
      </c>
      <c r="BG21" s="16">
        <v>1</v>
      </c>
      <c r="BH21" s="16">
        <v>1</v>
      </c>
      <c r="BM21" s="16">
        <v>1</v>
      </c>
      <c r="BN21" s="16">
        <v>1</v>
      </c>
      <c r="BO21" s="16">
        <v>1</v>
      </c>
      <c r="BP21" s="16">
        <v>1</v>
      </c>
      <c r="BQ21" s="16">
        <v>1</v>
      </c>
      <c r="BR21" s="16">
        <v>1</v>
      </c>
      <c r="BS21" s="16">
        <v>1</v>
      </c>
      <c r="EP21" s="16">
        <v>1</v>
      </c>
      <c r="ES21" s="16">
        <v>1</v>
      </c>
      <c r="EU21" s="16">
        <v>1</v>
      </c>
      <c r="EV21" s="16">
        <v>1</v>
      </c>
      <c r="EW21" s="16" t="s">
        <v>2962</v>
      </c>
      <c r="GZ21" s="16">
        <v>1</v>
      </c>
      <c r="HA21" s="16">
        <v>1</v>
      </c>
      <c r="HG21" s="16">
        <v>1</v>
      </c>
      <c r="JJ21" s="16">
        <v>1</v>
      </c>
      <c r="JK21" s="16">
        <v>1</v>
      </c>
      <c r="JO21" s="16">
        <v>1</v>
      </c>
      <c r="JR21" s="16">
        <v>1</v>
      </c>
      <c r="LT21" s="16">
        <v>1</v>
      </c>
      <c r="LV21" s="16">
        <v>1</v>
      </c>
      <c r="LY21" s="16">
        <v>1</v>
      </c>
      <c r="OD21" s="16">
        <v>1</v>
      </c>
      <c r="OE21" s="16">
        <v>1</v>
      </c>
      <c r="OJ21" s="16">
        <v>1</v>
      </c>
      <c r="QN21" s="16">
        <v>1</v>
      </c>
      <c r="QQ21" s="16">
        <v>1</v>
      </c>
      <c r="QT21" s="16">
        <v>1</v>
      </c>
      <c r="XR21" s="16">
        <v>1</v>
      </c>
      <c r="XT21" s="16">
        <v>1</v>
      </c>
      <c r="XW21" s="16">
        <v>1</v>
      </c>
      <c r="YA21" s="16">
        <v>1</v>
      </c>
      <c r="YC21" s="16">
        <v>1</v>
      </c>
      <c r="AAB21" s="16">
        <v>1</v>
      </c>
      <c r="AAD21" s="16">
        <v>1</v>
      </c>
      <c r="AAE21" s="16">
        <v>1</v>
      </c>
      <c r="AAI21" s="16">
        <v>1</v>
      </c>
      <c r="AAJ21" s="16">
        <v>1</v>
      </c>
      <c r="AAK21" s="16">
        <v>1</v>
      </c>
      <c r="ACL21" s="16" t="s">
        <v>2961</v>
      </c>
      <c r="AEV21" s="16">
        <v>1</v>
      </c>
      <c r="AEW21" s="16">
        <v>1</v>
      </c>
      <c r="AEX21" s="16">
        <v>1</v>
      </c>
      <c r="AEY21" s="16">
        <v>1</v>
      </c>
      <c r="AHF21" s="16">
        <v>1</v>
      </c>
      <c r="AHJ21" s="16">
        <v>1</v>
      </c>
      <c r="CSK21" s="54" t="str">
        <f t="shared" si="103"/>
        <v>X</v>
      </c>
      <c r="CSL21" s="35">
        <f t="shared" ca="1" si="150"/>
        <v>1</v>
      </c>
      <c r="CSM21" s="35">
        <f t="shared" ca="1" si="150"/>
        <v>1</v>
      </c>
      <c r="CSN21" s="35">
        <f t="shared" ca="1" si="150"/>
        <v>1</v>
      </c>
      <c r="CSO21" s="35">
        <f t="shared" ca="1" si="150"/>
        <v>1</v>
      </c>
      <c r="CSP21" s="35">
        <f t="shared" ca="1" si="150"/>
        <v>1</v>
      </c>
      <c r="CSQ21" s="72">
        <f t="shared" ca="1" si="150"/>
        <v>1</v>
      </c>
      <c r="CSR21" s="35">
        <f t="shared" ca="1" si="150"/>
        <v>1</v>
      </c>
      <c r="CSS21" s="35" t="str">
        <f t="shared" ca="1" si="150"/>
        <v/>
      </c>
      <c r="CST21" s="35" t="str">
        <f t="shared" ca="1" si="150"/>
        <v/>
      </c>
      <c r="CSU21" s="35">
        <f t="shared" ca="1" si="150"/>
        <v>1</v>
      </c>
      <c r="CSV21" s="35">
        <f t="shared" ca="1" si="151"/>
        <v>1</v>
      </c>
      <c r="CSW21" s="35" t="str">
        <f t="shared" ca="1" si="151"/>
        <v/>
      </c>
      <c r="CSX21" s="35">
        <f t="shared" ca="1" si="151"/>
        <v>1</v>
      </c>
      <c r="CSY21" s="35">
        <f t="shared" ca="1" si="151"/>
        <v>1</v>
      </c>
      <c r="CSZ21" s="35" t="str">
        <f t="shared" ca="1" si="151"/>
        <v/>
      </c>
      <c r="CTA21" s="35" t="str">
        <f t="shared" ca="1" si="151"/>
        <v/>
      </c>
      <c r="CTB21" s="35" t="str">
        <f t="shared" ca="1" si="151"/>
        <v/>
      </c>
      <c r="CTC21" s="35" t="str">
        <f t="shared" ca="1" si="151"/>
        <v/>
      </c>
      <c r="CTD21" s="35" t="str">
        <f t="shared" ca="1" si="151"/>
        <v/>
      </c>
      <c r="CTE21" s="35" t="str">
        <f t="shared" ca="1" si="151"/>
        <v/>
      </c>
      <c r="CTF21" s="35" t="str">
        <f t="shared" ca="1" si="152"/>
        <v/>
      </c>
      <c r="CTG21" s="35" t="str">
        <f t="shared" ca="1" si="152"/>
        <v/>
      </c>
      <c r="CTH21" s="35" t="str">
        <f t="shared" ca="1" si="152"/>
        <v/>
      </c>
      <c r="CTI21" s="35" t="str">
        <f t="shared" ca="1" si="152"/>
        <v/>
      </c>
      <c r="CTJ21" s="35" t="str">
        <f t="shared" ca="1" si="152"/>
        <v/>
      </c>
      <c r="CTK21" s="35" t="str">
        <f t="shared" ca="1" si="152"/>
        <v/>
      </c>
      <c r="CTL21" s="35" t="str">
        <f t="shared" ca="1" si="152"/>
        <v/>
      </c>
      <c r="CTM21" s="35" t="str">
        <f t="shared" ca="1" si="152"/>
        <v/>
      </c>
      <c r="CTN21" s="35" t="str">
        <f t="shared" ca="1" si="152"/>
        <v/>
      </c>
      <c r="CTO21" s="35" t="str">
        <f t="shared" ca="1" si="152"/>
        <v/>
      </c>
      <c r="CTP21" s="35" t="str">
        <f t="shared" ca="1" si="153"/>
        <v/>
      </c>
      <c r="CTQ21" s="35" t="str">
        <f t="shared" ca="1" si="153"/>
        <v/>
      </c>
      <c r="CTR21" s="35" t="str">
        <f t="shared" ca="1" si="153"/>
        <v/>
      </c>
      <c r="CTS21" s="35" t="str">
        <f t="shared" ca="1" si="153"/>
        <v/>
      </c>
      <c r="CTT21" s="35" t="str">
        <f t="shared" ca="1" si="153"/>
        <v/>
      </c>
      <c r="CTU21" s="35" t="str">
        <f t="shared" ca="1" si="153"/>
        <v/>
      </c>
      <c r="CTV21" s="35" t="str">
        <f t="shared" ca="1" si="153"/>
        <v/>
      </c>
      <c r="CTW21" s="35" t="str">
        <f t="shared" ca="1" si="153"/>
        <v/>
      </c>
      <c r="CTX21" s="35" t="str">
        <f t="shared" ca="1" si="153"/>
        <v/>
      </c>
      <c r="CTY21" s="35" t="str">
        <f t="shared" ca="1" si="153"/>
        <v/>
      </c>
      <c r="CTZ21" s="56" t="str">
        <f t="shared" si="108"/>
        <v>X</v>
      </c>
      <c r="CUA21" s="58">
        <f t="shared" ca="1" si="109"/>
        <v>12</v>
      </c>
      <c r="CUB21" s="16">
        <f t="shared" ca="1" si="110"/>
        <v>3</v>
      </c>
      <c r="CUC21" s="16">
        <f t="shared" ca="1" si="111"/>
        <v>2</v>
      </c>
      <c r="CUD21" s="16">
        <f t="shared" ca="1" si="112"/>
        <v>3</v>
      </c>
      <c r="CUE21" s="16">
        <f t="shared" ca="1" si="113"/>
        <v>2</v>
      </c>
      <c r="CUF21" s="16">
        <f t="shared" ca="1" si="114"/>
        <v>2</v>
      </c>
      <c r="CUG21" s="16">
        <f t="shared" ca="1" si="115"/>
        <v>2</v>
      </c>
      <c r="CUH21" s="16" t="str">
        <f t="shared" ca="1" si="116"/>
        <v/>
      </c>
      <c r="CUI21" s="16" t="str">
        <f t="shared" ca="1" si="117"/>
        <v/>
      </c>
      <c r="CUJ21" s="16">
        <f t="shared" ca="1" si="118"/>
        <v>4</v>
      </c>
      <c r="CUK21" s="16">
        <f t="shared" ca="1" si="119"/>
        <v>5</v>
      </c>
      <c r="CUL21" s="16" t="str">
        <f t="shared" ca="1" si="120"/>
        <v/>
      </c>
      <c r="CUM21" s="16">
        <f t="shared" ca="1" si="121"/>
        <v>3</v>
      </c>
      <c r="CUN21" s="16">
        <f t="shared" ca="1" si="122"/>
        <v>1</v>
      </c>
      <c r="CUO21" s="16" t="str">
        <f t="shared" ca="1" si="123"/>
        <v/>
      </c>
      <c r="CUP21" s="16" t="str">
        <f t="shared" ca="1" si="124"/>
        <v/>
      </c>
      <c r="CUQ21" s="16" t="str">
        <f t="shared" ca="1" si="125"/>
        <v/>
      </c>
      <c r="CUR21" s="16" t="str">
        <f t="shared" ca="1" si="126"/>
        <v/>
      </c>
      <c r="CUS21" s="16" t="str">
        <f t="shared" ca="1" si="127"/>
        <v/>
      </c>
      <c r="CUT21" s="16" t="str">
        <f t="shared" ca="1" si="128"/>
        <v/>
      </c>
      <c r="CUU21" s="16" t="str">
        <f t="shared" ca="1" si="129"/>
        <v/>
      </c>
      <c r="CUV21" s="16" t="str">
        <f t="shared" ca="1" si="130"/>
        <v/>
      </c>
      <c r="CUW21" s="16" t="str">
        <f t="shared" ca="1" si="131"/>
        <v/>
      </c>
      <c r="CUX21" s="16" t="str">
        <f t="shared" ca="1" si="132"/>
        <v/>
      </c>
      <c r="CUY21" s="16" t="str">
        <f t="shared" ca="1" si="133"/>
        <v/>
      </c>
      <c r="CUZ21" s="16" t="str">
        <f t="shared" ca="1" si="134"/>
        <v/>
      </c>
      <c r="CVA21" s="16" t="str">
        <f t="shared" ca="1" si="135"/>
        <v/>
      </c>
      <c r="CVB21" s="16" t="str">
        <f t="shared" ca="1" si="136"/>
        <v/>
      </c>
      <c r="CVC21" s="16" t="str">
        <f t="shared" ca="1" si="137"/>
        <v/>
      </c>
      <c r="CVD21" s="16" t="str">
        <f t="shared" ca="1" si="138"/>
        <v/>
      </c>
      <c r="CVE21" s="16" t="str">
        <f t="shared" ca="1" si="139"/>
        <v/>
      </c>
      <c r="CVF21" s="16" t="str">
        <f t="shared" ca="1" si="140"/>
        <v/>
      </c>
      <c r="CVG21" s="16" t="str">
        <f t="shared" ca="1" si="141"/>
        <v/>
      </c>
      <c r="CVH21" s="16" t="str">
        <f t="shared" ca="1" si="142"/>
        <v/>
      </c>
      <c r="CVI21" s="16" t="str">
        <f t="shared" ca="1" si="143"/>
        <v/>
      </c>
      <c r="CVJ21" s="16" t="str">
        <f t="shared" ca="1" si="144"/>
        <v/>
      </c>
      <c r="CVK21" s="16" t="str">
        <f t="shared" ca="1" si="145"/>
        <v/>
      </c>
      <c r="CVL21" s="16" t="str">
        <f t="shared" ca="1" si="146"/>
        <v/>
      </c>
      <c r="CVM21" s="16" t="str">
        <f t="shared" ca="1" si="147"/>
        <v/>
      </c>
      <c r="CVN21" s="16" t="str">
        <f t="shared" ca="1" si="148"/>
        <v/>
      </c>
      <c r="CVO21" s="58" t="str">
        <f t="shared" si="149"/>
        <v>егоровруслан</v>
      </c>
      <c r="CVP21" s="58" t="str">
        <f>IFERROR(VLOOKUP(CVO21,'Внешние данные'!A:Z,4,FALSE),"")</f>
        <v/>
      </c>
    </row>
    <row r="22" spans="1:894 2533:2616" s="16" customFormat="1" ht="13.8" x14ac:dyDescent="0.25">
      <c r="A22" s="2" t="s">
        <v>2356</v>
      </c>
      <c r="B22" s="2" t="s">
        <v>2438</v>
      </c>
      <c r="C22" s="57" t="s">
        <v>2402</v>
      </c>
      <c r="D22" s="35">
        <v>5</v>
      </c>
      <c r="E22" s="58">
        <v>57</v>
      </c>
      <c r="G22" s="16" t="s">
        <v>1393</v>
      </c>
      <c r="H22" s="53">
        <f t="shared" ca="1" si="99"/>
        <v>0.55555555555555558</v>
      </c>
      <c r="I22" s="35">
        <f t="shared" ca="1" si="100"/>
        <v>2</v>
      </c>
      <c r="J22" s="35">
        <f t="shared" ca="1" si="101"/>
        <v>4</v>
      </c>
      <c r="K22" s="49">
        <f t="shared" ca="1" si="102"/>
        <v>0.75</v>
      </c>
      <c r="L22" s="16">
        <v>205</v>
      </c>
      <c r="M22" s="12"/>
      <c r="N22" s="12"/>
      <c r="O22" s="4"/>
      <c r="P22" s="4"/>
      <c r="Q22" s="4"/>
      <c r="R22" s="4">
        <v>435</v>
      </c>
      <c r="S22" s="4">
        <v>435</v>
      </c>
      <c r="T22" s="4">
        <v>435</v>
      </c>
      <c r="U22" s="4"/>
      <c r="V22" s="4">
        <v>435</v>
      </c>
      <c r="W22" s="4">
        <v>435</v>
      </c>
      <c r="X22" s="4">
        <v>435</v>
      </c>
      <c r="Y22" s="4">
        <v>435</v>
      </c>
      <c r="Z22" s="4">
        <v>435</v>
      </c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PI22" s="16">
        <v>1</v>
      </c>
      <c r="PL22" s="16">
        <v>1</v>
      </c>
      <c r="RS22" s="16">
        <v>1</v>
      </c>
      <c r="WM22" s="16" t="s">
        <v>2961</v>
      </c>
      <c r="YW22" s="16">
        <v>1</v>
      </c>
      <c r="ZB22" s="16">
        <v>1</v>
      </c>
      <c r="ABG22" s="16">
        <v>1</v>
      </c>
      <c r="ABM22" s="16">
        <v>1</v>
      </c>
      <c r="ADQ22" s="16" t="s">
        <v>2961</v>
      </c>
      <c r="AGA22" s="16" t="s">
        <v>2961</v>
      </c>
      <c r="CSK22" s="54" t="str">
        <f t="shared" si="103"/>
        <v>X</v>
      </c>
      <c r="CSL22" s="35" t="str">
        <f t="shared" ca="1" si="150"/>
        <v/>
      </c>
      <c r="CSM22" s="35" t="str">
        <f t="shared" ca="1" si="150"/>
        <v/>
      </c>
      <c r="CSN22" s="35" t="str">
        <f t="shared" ca="1" si="150"/>
        <v/>
      </c>
      <c r="CSO22" s="35" t="str">
        <f t="shared" ca="1" si="150"/>
        <v/>
      </c>
      <c r="CSP22" s="35" t="str">
        <f t="shared" ca="1" si="150"/>
        <v/>
      </c>
      <c r="CSQ22" s="72" t="str">
        <f t="shared" ca="1" si="150"/>
        <v/>
      </c>
      <c r="CSR22" s="35">
        <f t="shared" ca="1" si="150"/>
        <v>1</v>
      </c>
      <c r="CSS22" s="35">
        <f t="shared" ca="1" si="150"/>
        <v>1</v>
      </c>
      <c r="CST22" s="35" t="str">
        <f t="shared" ca="1" si="150"/>
        <v/>
      </c>
      <c r="CSU22" s="35" t="str">
        <f t="shared" ca="1" si="150"/>
        <v/>
      </c>
      <c r="CSV22" s="35">
        <f t="shared" ca="1" si="151"/>
        <v>1</v>
      </c>
      <c r="CSW22" s="35">
        <f t="shared" ca="1" si="151"/>
        <v>1</v>
      </c>
      <c r="CSX22" s="35" t="str">
        <f t="shared" ca="1" si="151"/>
        <v/>
      </c>
      <c r="CSY22" s="35" t="str">
        <f t="shared" ca="1" si="151"/>
        <v/>
      </c>
      <c r="CSZ22" s="35" t="str">
        <f t="shared" ca="1" si="151"/>
        <v/>
      </c>
      <c r="CTA22" s="35" t="str">
        <f t="shared" ca="1" si="151"/>
        <v/>
      </c>
      <c r="CTB22" s="35" t="str">
        <f t="shared" ca="1" si="151"/>
        <v/>
      </c>
      <c r="CTC22" s="35" t="str">
        <f t="shared" ca="1" si="151"/>
        <v/>
      </c>
      <c r="CTD22" s="35" t="str">
        <f t="shared" ca="1" si="151"/>
        <v/>
      </c>
      <c r="CTE22" s="35" t="str">
        <f t="shared" ca="1" si="151"/>
        <v/>
      </c>
      <c r="CTF22" s="35" t="str">
        <f t="shared" ca="1" si="152"/>
        <v/>
      </c>
      <c r="CTG22" s="35" t="str">
        <f t="shared" ca="1" si="152"/>
        <v/>
      </c>
      <c r="CTH22" s="35" t="str">
        <f t="shared" ca="1" si="152"/>
        <v/>
      </c>
      <c r="CTI22" s="35" t="str">
        <f t="shared" ca="1" si="152"/>
        <v/>
      </c>
      <c r="CTJ22" s="35" t="str">
        <f t="shared" ca="1" si="152"/>
        <v/>
      </c>
      <c r="CTK22" s="35" t="str">
        <f t="shared" ca="1" si="152"/>
        <v/>
      </c>
      <c r="CTL22" s="35" t="str">
        <f t="shared" ca="1" si="152"/>
        <v/>
      </c>
      <c r="CTM22" s="35" t="str">
        <f t="shared" ca="1" si="152"/>
        <v/>
      </c>
      <c r="CTN22" s="35" t="str">
        <f t="shared" ca="1" si="152"/>
        <v/>
      </c>
      <c r="CTO22" s="35" t="str">
        <f t="shared" ca="1" si="152"/>
        <v/>
      </c>
      <c r="CTP22" s="35" t="str">
        <f t="shared" ca="1" si="153"/>
        <v/>
      </c>
      <c r="CTQ22" s="35" t="str">
        <f t="shared" ca="1" si="153"/>
        <v/>
      </c>
      <c r="CTR22" s="35" t="str">
        <f t="shared" ca="1" si="153"/>
        <v/>
      </c>
      <c r="CTS22" s="35" t="str">
        <f t="shared" ca="1" si="153"/>
        <v/>
      </c>
      <c r="CTT22" s="35" t="str">
        <f t="shared" ca="1" si="153"/>
        <v/>
      </c>
      <c r="CTU22" s="35" t="str">
        <f t="shared" ca="1" si="153"/>
        <v/>
      </c>
      <c r="CTV22" s="35" t="str">
        <f t="shared" ca="1" si="153"/>
        <v/>
      </c>
      <c r="CTW22" s="35" t="str">
        <f t="shared" ca="1" si="153"/>
        <v/>
      </c>
      <c r="CTX22" s="35" t="str">
        <f t="shared" ca="1" si="153"/>
        <v/>
      </c>
      <c r="CTY22" s="35" t="str">
        <f t="shared" ca="1" si="153"/>
        <v/>
      </c>
      <c r="CTZ22" s="56" t="str">
        <f t="shared" si="108"/>
        <v>X</v>
      </c>
      <c r="CUA22" s="58" t="str">
        <f t="shared" ca="1" si="109"/>
        <v/>
      </c>
      <c r="CUB22" s="16" t="str">
        <f t="shared" ca="1" si="110"/>
        <v/>
      </c>
      <c r="CUC22" s="16" t="str">
        <f t="shared" ca="1" si="111"/>
        <v/>
      </c>
      <c r="CUD22" s="16" t="str">
        <f t="shared" ca="1" si="112"/>
        <v/>
      </c>
      <c r="CUE22" s="16" t="str">
        <f t="shared" ca="1" si="113"/>
        <v/>
      </c>
      <c r="CUF22" s="16" t="str">
        <f t="shared" ca="1" si="114"/>
        <v/>
      </c>
      <c r="CUG22" s="16">
        <f t="shared" ca="1" si="115"/>
        <v>1</v>
      </c>
      <c r="CUH22" s="16">
        <f t="shared" ca="1" si="116"/>
        <v>0</v>
      </c>
      <c r="CUI22" s="16" t="str">
        <f t="shared" ca="1" si="117"/>
        <v/>
      </c>
      <c r="CUJ22" s="16" t="str">
        <f t="shared" ca="1" si="118"/>
        <v/>
      </c>
      <c r="CUK22" s="16">
        <f t="shared" ca="1" si="119"/>
        <v>1</v>
      </c>
      <c r="CUL22" s="16">
        <f t="shared" ca="1" si="120"/>
        <v>1</v>
      </c>
      <c r="CUM22" s="16" t="str">
        <f t="shared" ca="1" si="121"/>
        <v/>
      </c>
      <c r="CUN22" s="16" t="str">
        <f t="shared" ca="1" si="122"/>
        <v/>
      </c>
      <c r="CUO22" s="16" t="str">
        <f t="shared" ca="1" si="123"/>
        <v/>
      </c>
      <c r="CUP22" s="16" t="str">
        <f t="shared" ca="1" si="124"/>
        <v/>
      </c>
      <c r="CUQ22" s="16" t="str">
        <f t="shared" ca="1" si="125"/>
        <v/>
      </c>
      <c r="CUR22" s="16" t="str">
        <f t="shared" ca="1" si="126"/>
        <v/>
      </c>
      <c r="CUS22" s="16" t="str">
        <f t="shared" ca="1" si="127"/>
        <v/>
      </c>
      <c r="CUT22" s="16" t="str">
        <f t="shared" ca="1" si="128"/>
        <v/>
      </c>
      <c r="CUU22" s="16" t="str">
        <f t="shared" ca="1" si="129"/>
        <v/>
      </c>
      <c r="CUV22" s="16" t="str">
        <f t="shared" ca="1" si="130"/>
        <v/>
      </c>
      <c r="CUW22" s="16" t="str">
        <f t="shared" ca="1" si="131"/>
        <v/>
      </c>
      <c r="CUX22" s="16" t="str">
        <f t="shared" ca="1" si="132"/>
        <v/>
      </c>
      <c r="CUY22" s="16" t="str">
        <f t="shared" ca="1" si="133"/>
        <v/>
      </c>
      <c r="CUZ22" s="16" t="str">
        <f t="shared" ca="1" si="134"/>
        <v/>
      </c>
      <c r="CVA22" s="16" t="str">
        <f t="shared" ca="1" si="135"/>
        <v/>
      </c>
      <c r="CVB22" s="16" t="str">
        <f t="shared" ca="1" si="136"/>
        <v/>
      </c>
      <c r="CVC22" s="16" t="str">
        <f t="shared" ca="1" si="137"/>
        <v/>
      </c>
      <c r="CVD22" s="16" t="str">
        <f t="shared" ca="1" si="138"/>
        <v/>
      </c>
      <c r="CVE22" s="16" t="str">
        <f t="shared" ca="1" si="139"/>
        <v/>
      </c>
      <c r="CVF22" s="16" t="str">
        <f t="shared" ca="1" si="140"/>
        <v/>
      </c>
      <c r="CVG22" s="16" t="str">
        <f t="shared" ca="1" si="141"/>
        <v/>
      </c>
      <c r="CVH22" s="16" t="str">
        <f t="shared" ca="1" si="142"/>
        <v/>
      </c>
      <c r="CVI22" s="16" t="str">
        <f t="shared" ca="1" si="143"/>
        <v/>
      </c>
      <c r="CVJ22" s="16" t="str">
        <f t="shared" ca="1" si="144"/>
        <v/>
      </c>
      <c r="CVK22" s="16" t="str">
        <f t="shared" ca="1" si="145"/>
        <v/>
      </c>
      <c r="CVL22" s="16" t="str">
        <f t="shared" ca="1" si="146"/>
        <v/>
      </c>
      <c r="CVM22" s="16" t="str">
        <f t="shared" ca="1" si="147"/>
        <v/>
      </c>
      <c r="CVN22" s="16" t="str">
        <f t="shared" ca="1" si="148"/>
        <v/>
      </c>
      <c r="CVO22" s="58" t="str">
        <f t="shared" si="149"/>
        <v>павловкирилл</v>
      </c>
      <c r="CVP22" s="58" t="str">
        <f>IFERROR(VLOOKUP(CVO22,'Внешние данные'!A:Z,4,FALSE),"")</f>
        <v/>
      </c>
    </row>
    <row r="23" spans="1:894 2533:2616" s="16" customFormat="1" ht="13.8" x14ac:dyDescent="0.25">
      <c r="A23" s="2" t="s">
        <v>2357</v>
      </c>
      <c r="B23" s="2" t="s">
        <v>2455</v>
      </c>
      <c r="C23" s="57" t="s">
        <v>2403</v>
      </c>
      <c r="D23" s="35">
        <v>6</v>
      </c>
      <c r="E23" s="58">
        <v>179</v>
      </c>
      <c r="G23" s="16" t="s">
        <v>1393</v>
      </c>
      <c r="H23" s="53">
        <f t="shared" ca="1" si="99"/>
        <v>0.8</v>
      </c>
      <c r="I23" s="35">
        <f t="shared" ca="1" si="100"/>
        <v>0</v>
      </c>
      <c r="J23" s="35">
        <f t="shared" ca="1" si="101"/>
        <v>11</v>
      </c>
      <c r="K23" s="49">
        <f t="shared" ca="1" si="102"/>
        <v>6.6363636363636367</v>
      </c>
      <c r="L23" s="16">
        <v>305</v>
      </c>
      <c r="M23" s="12">
        <v>209</v>
      </c>
      <c r="N23" s="12">
        <v>209</v>
      </c>
      <c r="O23" s="4">
        <v>209</v>
      </c>
      <c r="P23" s="4">
        <v>209</v>
      </c>
      <c r="Q23" s="4">
        <v>209</v>
      </c>
      <c r="R23" s="4">
        <v>209</v>
      </c>
      <c r="S23" s="4">
        <v>209</v>
      </c>
      <c r="T23" s="4">
        <v>209</v>
      </c>
      <c r="U23" s="4"/>
      <c r="V23" s="4">
        <v>209</v>
      </c>
      <c r="W23" s="4">
        <v>209</v>
      </c>
      <c r="X23" s="4">
        <v>209</v>
      </c>
      <c r="Y23" s="4">
        <v>209</v>
      </c>
      <c r="Z23" s="4">
        <v>209</v>
      </c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6">
        <v>1</v>
      </c>
      <c r="BB23" s="16">
        <v>1</v>
      </c>
      <c r="BC23" s="16">
        <v>1</v>
      </c>
      <c r="BF23" s="16">
        <v>1</v>
      </c>
      <c r="BG23" s="16">
        <v>1</v>
      </c>
      <c r="BH23" s="16">
        <v>1</v>
      </c>
      <c r="BM23" s="16">
        <v>1</v>
      </c>
      <c r="BN23" s="16">
        <v>1</v>
      </c>
      <c r="DK23" s="16">
        <v>1</v>
      </c>
      <c r="DL23" s="16">
        <v>1</v>
      </c>
      <c r="DN23" s="16">
        <v>1</v>
      </c>
      <c r="DO23" s="16">
        <v>1</v>
      </c>
      <c r="DP23" s="16">
        <v>1</v>
      </c>
      <c r="DR23" s="16">
        <v>1</v>
      </c>
      <c r="DS23" s="16">
        <v>1</v>
      </c>
      <c r="FU23" s="16">
        <v>1</v>
      </c>
      <c r="FV23" s="16">
        <v>1</v>
      </c>
      <c r="FW23" s="16">
        <v>1</v>
      </c>
      <c r="FX23" s="16">
        <v>1</v>
      </c>
      <c r="FY23" s="16">
        <v>1</v>
      </c>
      <c r="FZ23" s="16">
        <v>1</v>
      </c>
      <c r="GA23" s="16">
        <v>1</v>
      </c>
      <c r="GB23" s="16">
        <v>1</v>
      </c>
      <c r="GC23" s="16">
        <v>1</v>
      </c>
      <c r="GD23" s="16">
        <v>1</v>
      </c>
      <c r="GE23" s="16">
        <v>1</v>
      </c>
      <c r="IE23" s="16">
        <v>1</v>
      </c>
      <c r="IF23" s="16">
        <v>1</v>
      </c>
      <c r="IG23" s="16">
        <v>1</v>
      </c>
      <c r="IH23" s="16">
        <v>1</v>
      </c>
      <c r="II23" s="16">
        <v>1</v>
      </c>
      <c r="IJ23" s="16">
        <v>1</v>
      </c>
      <c r="IK23" s="16">
        <v>1</v>
      </c>
      <c r="IL23" s="16">
        <v>1</v>
      </c>
      <c r="IN23" s="16">
        <v>1</v>
      </c>
      <c r="KO23" s="16">
        <v>1</v>
      </c>
      <c r="KP23" s="16">
        <v>1</v>
      </c>
      <c r="KQ23" s="16">
        <v>1</v>
      </c>
      <c r="KR23" s="16">
        <v>1</v>
      </c>
      <c r="KS23" s="16">
        <v>1</v>
      </c>
      <c r="KT23" s="16">
        <v>1</v>
      </c>
      <c r="KU23" s="16">
        <v>1</v>
      </c>
      <c r="KV23" s="16">
        <v>1</v>
      </c>
      <c r="PI23" s="16">
        <v>1</v>
      </c>
      <c r="PJ23" s="16">
        <v>1</v>
      </c>
      <c r="PK23" s="16">
        <v>1</v>
      </c>
      <c r="PL23" s="16">
        <v>1</v>
      </c>
      <c r="PM23" s="16">
        <v>1</v>
      </c>
      <c r="PN23" s="16">
        <v>1</v>
      </c>
      <c r="PO23" s="16">
        <v>1</v>
      </c>
      <c r="PP23" s="16">
        <v>1</v>
      </c>
      <c r="PQ23" s="16">
        <v>1</v>
      </c>
      <c r="PS23" s="16">
        <v>1</v>
      </c>
      <c r="RS23" s="16">
        <v>1</v>
      </c>
      <c r="RU23" s="16">
        <v>1</v>
      </c>
      <c r="RV23" s="16">
        <v>1</v>
      </c>
      <c r="RX23" s="16">
        <v>1</v>
      </c>
      <c r="RY23" s="16">
        <v>1</v>
      </c>
      <c r="RZ23" s="16">
        <v>1</v>
      </c>
      <c r="SA23" s="16">
        <v>1</v>
      </c>
      <c r="WM23" s="16">
        <v>1</v>
      </c>
      <c r="WQ23" s="16">
        <v>1</v>
      </c>
      <c r="WR23" s="16">
        <v>1</v>
      </c>
      <c r="WS23" s="16">
        <v>1</v>
      </c>
      <c r="WU23" s="16">
        <v>1</v>
      </c>
      <c r="WW23" s="16">
        <v>1</v>
      </c>
      <c r="WX23" s="16">
        <v>1</v>
      </c>
      <c r="YW23" s="16">
        <v>1</v>
      </c>
      <c r="YX23" s="16">
        <v>1</v>
      </c>
      <c r="YY23" s="16">
        <v>1</v>
      </c>
      <c r="YZ23" s="16">
        <v>1</v>
      </c>
      <c r="ZB23" s="16">
        <v>1</v>
      </c>
      <c r="ZC23" s="16">
        <v>1</v>
      </c>
      <c r="ZE23" s="16">
        <v>1</v>
      </c>
      <c r="ABG23" s="16">
        <v>1</v>
      </c>
      <c r="ABI23" s="16">
        <v>1</v>
      </c>
      <c r="ABJ23" s="16">
        <v>1</v>
      </c>
      <c r="ADQ23" s="16" t="s">
        <v>2961</v>
      </c>
      <c r="AGA23" s="16">
        <v>1</v>
      </c>
      <c r="AGB23" s="16">
        <v>1</v>
      </c>
      <c r="AGC23" s="16">
        <v>1</v>
      </c>
      <c r="AGG23" s="16">
        <v>1</v>
      </c>
      <c r="AGH23" s="16">
        <v>1</v>
      </c>
      <c r="AGI23" s="16">
        <v>1</v>
      </c>
      <c r="AGJ23" s="16">
        <v>1</v>
      </c>
      <c r="CSK23" s="54" t="str">
        <f t="shared" si="103"/>
        <v>X</v>
      </c>
      <c r="CSL23" s="35">
        <f t="shared" ca="1" si="150"/>
        <v>1</v>
      </c>
      <c r="CSM23" s="35">
        <f t="shared" ca="1" si="150"/>
        <v>1</v>
      </c>
      <c r="CSN23" s="35">
        <f t="shared" ca="1" si="150"/>
        <v>1</v>
      </c>
      <c r="CSO23" s="35">
        <f t="shared" ca="1" si="150"/>
        <v>1</v>
      </c>
      <c r="CSP23" s="35">
        <f t="shared" ca="1" si="150"/>
        <v>1</v>
      </c>
      <c r="CSQ23" s="72" t="str">
        <f t="shared" ca="1" si="150"/>
        <v/>
      </c>
      <c r="CSR23" s="35">
        <f t="shared" ca="1" si="150"/>
        <v>1</v>
      </c>
      <c r="CSS23" s="35">
        <f t="shared" ca="1" si="150"/>
        <v>1</v>
      </c>
      <c r="CST23" s="35" t="str">
        <f t="shared" ca="1" si="150"/>
        <v/>
      </c>
      <c r="CSU23" s="35">
        <f t="shared" ca="1" si="150"/>
        <v>1</v>
      </c>
      <c r="CSV23" s="35">
        <f t="shared" ca="1" si="151"/>
        <v>1</v>
      </c>
      <c r="CSW23" s="35">
        <f t="shared" ca="1" si="151"/>
        <v>1</v>
      </c>
      <c r="CSX23" s="35" t="str">
        <f t="shared" ca="1" si="151"/>
        <v/>
      </c>
      <c r="CSY23" s="35">
        <f t="shared" ca="1" si="151"/>
        <v>1</v>
      </c>
      <c r="CSZ23" s="35" t="str">
        <f t="shared" ca="1" si="151"/>
        <v/>
      </c>
      <c r="CTA23" s="35" t="str">
        <f t="shared" ca="1" si="151"/>
        <v/>
      </c>
      <c r="CTB23" s="35" t="str">
        <f t="shared" ca="1" si="151"/>
        <v/>
      </c>
      <c r="CTC23" s="35" t="str">
        <f t="shared" ca="1" si="151"/>
        <v/>
      </c>
      <c r="CTD23" s="35" t="str">
        <f t="shared" ca="1" si="151"/>
        <v/>
      </c>
      <c r="CTE23" s="35" t="str">
        <f t="shared" ca="1" si="151"/>
        <v/>
      </c>
      <c r="CTF23" s="35" t="str">
        <f t="shared" ca="1" si="152"/>
        <v/>
      </c>
      <c r="CTG23" s="35" t="str">
        <f t="shared" ca="1" si="152"/>
        <v/>
      </c>
      <c r="CTH23" s="35" t="str">
        <f t="shared" ca="1" si="152"/>
        <v/>
      </c>
      <c r="CTI23" s="35" t="str">
        <f t="shared" ca="1" si="152"/>
        <v/>
      </c>
      <c r="CTJ23" s="35" t="str">
        <f t="shared" ca="1" si="152"/>
        <v/>
      </c>
      <c r="CTK23" s="35" t="str">
        <f t="shared" ca="1" si="152"/>
        <v/>
      </c>
      <c r="CTL23" s="35" t="str">
        <f t="shared" ca="1" si="152"/>
        <v/>
      </c>
      <c r="CTM23" s="35" t="str">
        <f t="shared" ca="1" si="152"/>
        <v/>
      </c>
      <c r="CTN23" s="35" t="str">
        <f t="shared" ca="1" si="152"/>
        <v/>
      </c>
      <c r="CTO23" s="35" t="str">
        <f t="shared" ca="1" si="152"/>
        <v/>
      </c>
      <c r="CTP23" s="35" t="str">
        <f t="shared" ca="1" si="153"/>
        <v/>
      </c>
      <c r="CTQ23" s="35" t="str">
        <f t="shared" ca="1" si="153"/>
        <v/>
      </c>
      <c r="CTR23" s="35" t="str">
        <f t="shared" ca="1" si="153"/>
        <v/>
      </c>
      <c r="CTS23" s="35" t="str">
        <f t="shared" ca="1" si="153"/>
        <v/>
      </c>
      <c r="CTT23" s="35" t="str">
        <f t="shared" ca="1" si="153"/>
        <v/>
      </c>
      <c r="CTU23" s="35" t="str">
        <f t="shared" ca="1" si="153"/>
        <v/>
      </c>
      <c r="CTV23" s="35" t="str">
        <f t="shared" ca="1" si="153"/>
        <v/>
      </c>
      <c r="CTW23" s="35" t="str">
        <f t="shared" ca="1" si="153"/>
        <v/>
      </c>
      <c r="CTX23" s="35" t="str">
        <f t="shared" ca="1" si="153"/>
        <v/>
      </c>
      <c r="CTY23" s="35" t="str">
        <f t="shared" ca="1" si="153"/>
        <v/>
      </c>
      <c r="CTZ23" s="56" t="str">
        <f t="shared" si="108"/>
        <v>X</v>
      </c>
      <c r="CUA23" s="58">
        <f t="shared" ca="1" si="109"/>
        <v>7</v>
      </c>
      <c r="CUB23" s="16">
        <f t="shared" ca="1" si="110"/>
        <v>6</v>
      </c>
      <c r="CUC23" s="16">
        <f t="shared" ca="1" si="111"/>
        <v>10</v>
      </c>
      <c r="CUD23" s="16">
        <f t="shared" ca="1" si="112"/>
        <v>8</v>
      </c>
      <c r="CUE23" s="16">
        <f t="shared" ca="1" si="113"/>
        <v>7</v>
      </c>
      <c r="CUF23" s="16" t="str">
        <f t="shared" ca="1" si="114"/>
        <v/>
      </c>
      <c r="CUG23" s="16">
        <f t="shared" ca="1" si="115"/>
        <v>9</v>
      </c>
      <c r="CUH23" s="16">
        <f t="shared" ca="1" si="116"/>
        <v>6</v>
      </c>
      <c r="CUI23" s="16" t="str">
        <f t="shared" ca="1" si="117"/>
        <v/>
      </c>
      <c r="CUJ23" s="16">
        <f t="shared" ca="1" si="118"/>
        <v>6</v>
      </c>
      <c r="CUK23" s="16">
        <f t="shared" ca="1" si="119"/>
        <v>6</v>
      </c>
      <c r="CUL23" s="16">
        <f t="shared" ca="1" si="120"/>
        <v>2</v>
      </c>
      <c r="CUM23" s="16" t="str">
        <f t="shared" ca="1" si="121"/>
        <v/>
      </c>
      <c r="CUN23" s="16">
        <f t="shared" ca="1" si="122"/>
        <v>6</v>
      </c>
      <c r="CUO23" s="16" t="str">
        <f t="shared" ca="1" si="123"/>
        <v/>
      </c>
      <c r="CUP23" s="16" t="str">
        <f t="shared" ca="1" si="124"/>
        <v/>
      </c>
      <c r="CUQ23" s="16" t="str">
        <f t="shared" ca="1" si="125"/>
        <v/>
      </c>
      <c r="CUR23" s="16" t="str">
        <f t="shared" ca="1" si="126"/>
        <v/>
      </c>
      <c r="CUS23" s="16" t="str">
        <f t="shared" ca="1" si="127"/>
        <v/>
      </c>
      <c r="CUT23" s="16" t="str">
        <f t="shared" ca="1" si="128"/>
        <v/>
      </c>
      <c r="CUU23" s="16" t="str">
        <f t="shared" ca="1" si="129"/>
        <v/>
      </c>
      <c r="CUV23" s="16" t="str">
        <f t="shared" ca="1" si="130"/>
        <v/>
      </c>
      <c r="CUW23" s="16" t="str">
        <f t="shared" ca="1" si="131"/>
        <v/>
      </c>
      <c r="CUX23" s="16" t="str">
        <f t="shared" ca="1" si="132"/>
        <v/>
      </c>
      <c r="CUY23" s="16" t="str">
        <f t="shared" ca="1" si="133"/>
        <v/>
      </c>
      <c r="CUZ23" s="16" t="str">
        <f t="shared" ca="1" si="134"/>
        <v/>
      </c>
      <c r="CVA23" s="16" t="str">
        <f t="shared" ca="1" si="135"/>
        <v/>
      </c>
      <c r="CVB23" s="16" t="str">
        <f t="shared" ca="1" si="136"/>
        <v/>
      </c>
      <c r="CVC23" s="16" t="str">
        <f t="shared" ca="1" si="137"/>
        <v/>
      </c>
      <c r="CVD23" s="16" t="str">
        <f t="shared" ca="1" si="138"/>
        <v/>
      </c>
      <c r="CVE23" s="16" t="str">
        <f t="shared" ca="1" si="139"/>
        <v/>
      </c>
      <c r="CVF23" s="16" t="str">
        <f t="shared" ca="1" si="140"/>
        <v/>
      </c>
      <c r="CVG23" s="16" t="str">
        <f t="shared" ca="1" si="141"/>
        <v/>
      </c>
      <c r="CVH23" s="16" t="str">
        <f t="shared" ca="1" si="142"/>
        <v/>
      </c>
      <c r="CVI23" s="16" t="str">
        <f t="shared" ca="1" si="143"/>
        <v/>
      </c>
      <c r="CVJ23" s="16" t="str">
        <f t="shared" ca="1" si="144"/>
        <v/>
      </c>
      <c r="CVK23" s="16" t="str">
        <f t="shared" ca="1" si="145"/>
        <v/>
      </c>
      <c r="CVL23" s="16" t="str">
        <f t="shared" ca="1" si="146"/>
        <v/>
      </c>
      <c r="CVM23" s="16" t="str">
        <f t="shared" ca="1" si="147"/>
        <v/>
      </c>
      <c r="CVN23" s="16" t="str">
        <f t="shared" ca="1" si="148"/>
        <v/>
      </c>
      <c r="CVO23" s="58" t="str">
        <f t="shared" si="149"/>
        <v>козловбогдан</v>
      </c>
      <c r="CVP23" s="58" t="str">
        <f>IFERROR(VLOOKUP(CVO23,'Внешние данные'!A:Z,4,FALSE),"")</f>
        <v/>
      </c>
    </row>
    <row r="24" spans="1:894 2533:2616" s="16" customFormat="1" ht="13.8" x14ac:dyDescent="0.25">
      <c r="A24" s="2" t="s">
        <v>2358</v>
      </c>
      <c r="B24" s="2" t="s">
        <v>2467</v>
      </c>
      <c r="C24" s="57" t="s">
        <v>2404</v>
      </c>
      <c r="D24" s="35">
        <v>5</v>
      </c>
      <c r="E24" s="58" t="s">
        <v>2303</v>
      </c>
      <c r="G24" s="16" t="s">
        <v>1392</v>
      </c>
      <c r="H24" s="53">
        <f t="shared" ca="1" si="99"/>
        <v>0.14285714285714285</v>
      </c>
      <c r="I24" s="35">
        <f t="shared" ca="1" si="100"/>
        <v>12</v>
      </c>
      <c r="J24" s="35">
        <f t="shared" ca="1" si="101"/>
        <v>1</v>
      </c>
      <c r="K24" s="49">
        <f t="shared" ca="1" si="102"/>
        <v>5</v>
      </c>
      <c r="L24" s="16">
        <v>308</v>
      </c>
      <c r="M24" s="12">
        <v>207</v>
      </c>
      <c r="N24" s="12">
        <v>415</v>
      </c>
      <c r="O24" s="4">
        <v>415</v>
      </c>
      <c r="P24" s="4">
        <v>209</v>
      </c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DK24" s="16">
        <v>1</v>
      </c>
      <c r="DL24" s="16">
        <v>1</v>
      </c>
      <c r="DM24" s="16">
        <v>1</v>
      </c>
      <c r="DN24" s="16">
        <v>1</v>
      </c>
      <c r="DO24" s="16">
        <v>1</v>
      </c>
      <c r="DP24" s="16">
        <v>1</v>
      </c>
      <c r="PI24" s="16" t="s">
        <v>2961</v>
      </c>
      <c r="RS24" s="16" t="s">
        <v>2961</v>
      </c>
      <c r="WM24" s="16" t="s">
        <v>2961</v>
      </c>
      <c r="YW24" s="16" t="s">
        <v>2961</v>
      </c>
      <c r="ABG24" s="16" t="s">
        <v>2961</v>
      </c>
      <c r="AGA24" s="16" t="s">
        <v>2961</v>
      </c>
      <c r="CSK24" s="54" t="str">
        <f t="shared" si="103"/>
        <v>X</v>
      </c>
      <c r="CSL24" s="35" t="str">
        <f t="shared" ca="1" si="150"/>
        <v/>
      </c>
      <c r="CSM24" s="35">
        <f t="shared" ca="1" si="150"/>
        <v>1</v>
      </c>
      <c r="CSN24" s="35" t="str">
        <f t="shared" ca="1" si="150"/>
        <v/>
      </c>
      <c r="CSO24" s="35" t="str">
        <f t="shared" ca="1" si="150"/>
        <v/>
      </c>
      <c r="CSP24" s="35" t="str">
        <f t="shared" ca="1" si="150"/>
        <v/>
      </c>
      <c r="CSQ24" s="72" t="str">
        <f t="shared" ca="1" si="150"/>
        <v/>
      </c>
      <c r="CSR24" s="35" t="str">
        <f t="shared" ca="1" si="150"/>
        <v/>
      </c>
      <c r="CSS24" s="35" t="str">
        <f t="shared" ca="1" si="150"/>
        <v/>
      </c>
      <c r="CST24" s="35" t="str">
        <f t="shared" ca="1" si="150"/>
        <v/>
      </c>
      <c r="CSU24" s="35" t="str">
        <f t="shared" ca="1" si="150"/>
        <v/>
      </c>
      <c r="CSV24" s="35" t="str">
        <f t="shared" ca="1" si="151"/>
        <v/>
      </c>
      <c r="CSW24" s="35" t="str">
        <f t="shared" ca="1" si="151"/>
        <v/>
      </c>
      <c r="CSX24" s="35" t="str">
        <f t="shared" ca="1" si="151"/>
        <v/>
      </c>
      <c r="CSY24" s="35" t="str">
        <f t="shared" ca="1" si="151"/>
        <v/>
      </c>
      <c r="CSZ24" s="35" t="str">
        <f t="shared" ca="1" si="151"/>
        <v/>
      </c>
      <c r="CTA24" s="35" t="str">
        <f t="shared" ca="1" si="151"/>
        <v/>
      </c>
      <c r="CTB24" s="35" t="str">
        <f t="shared" ca="1" si="151"/>
        <v/>
      </c>
      <c r="CTC24" s="35" t="str">
        <f t="shared" ca="1" si="151"/>
        <v/>
      </c>
      <c r="CTD24" s="35" t="str">
        <f t="shared" ca="1" si="151"/>
        <v/>
      </c>
      <c r="CTE24" s="35" t="str">
        <f t="shared" ca="1" si="151"/>
        <v/>
      </c>
      <c r="CTF24" s="35" t="str">
        <f t="shared" ca="1" si="152"/>
        <v/>
      </c>
      <c r="CTG24" s="35" t="str">
        <f t="shared" ca="1" si="152"/>
        <v/>
      </c>
      <c r="CTH24" s="35" t="str">
        <f t="shared" ca="1" si="152"/>
        <v/>
      </c>
      <c r="CTI24" s="35" t="str">
        <f t="shared" ca="1" si="152"/>
        <v/>
      </c>
      <c r="CTJ24" s="35" t="str">
        <f t="shared" ca="1" si="152"/>
        <v/>
      </c>
      <c r="CTK24" s="35" t="str">
        <f t="shared" ca="1" si="152"/>
        <v/>
      </c>
      <c r="CTL24" s="35" t="str">
        <f t="shared" ca="1" si="152"/>
        <v/>
      </c>
      <c r="CTM24" s="35" t="str">
        <f t="shared" ca="1" si="152"/>
        <v/>
      </c>
      <c r="CTN24" s="35" t="str">
        <f t="shared" ca="1" si="152"/>
        <v/>
      </c>
      <c r="CTO24" s="35" t="str">
        <f t="shared" ca="1" si="152"/>
        <v/>
      </c>
      <c r="CTP24" s="35" t="str">
        <f t="shared" ca="1" si="153"/>
        <v/>
      </c>
      <c r="CTQ24" s="35" t="str">
        <f t="shared" ca="1" si="153"/>
        <v/>
      </c>
      <c r="CTR24" s="35" t="str">
        <f t="shared" ca="1" si="153"/>
        <v/>
      </c>
      <c r="CTS24" s="35" t="str">
        <f t="shared" ca="1" si="153"/>
        <v/>
      </c>
      <c r="CTT24" s="35" t="str">
        <f t="shared" ca="1" si="153"/>
        <v/>
      </c>
      <c r="CTU24" s="35" t="str">
        <f t="shared" ca="1" si="153"/>
        <v/>
      </c>
      <c r="CTV24" s="35" t="str">
        <f t="shared" ca="1" si="153"/>
        <v/>
      </c>
      <c r="CTW24" s="35" t="str">
        <f t="shared" ca="1" si="153"/>
        <v/>
      </c>
      <c r="CTX24" s="35" t="str">
        <f t="shared" ca="1" si="153"/>
        <v/>
      </c>
      <c r="CTY24" s="35" t="str">
        <f t="shared" ca="1" si="153"/>
        <v/>
      </c>
      <c r="CTZ24" s="56" t="str">
        <f t="shared" si="108"/>
        <v>X</v>
      </c>
      <c r="CUA24" s="58" t="str">
        <f t="shared" ca="1" si="109"/>
        <v/>
      </c>
      <c r="CUB24" s="16">
        <f t="shared" ca="1" si="110"/>
        <v>5</v>
      </c>
      <c r="CUC24" s="16" t="str">
        <f t="shared" ca="1" si="111"/>
        <v/>
      </c>
      <c r="CUD24" s="16" t="str">
        <f t="shared" ca="1" si="112"/>
        <v/>
      </c>
      <c r="CUE24" s="16" t="str">
        <f t="shared" ca="1" si="113"/>
        <v/>
      </c>
      <c r="CUF24" s="16" t="str">
        <f t="shared" ca="1" si="114"/>
        <v/>
      </c>
      <c r="CUG24" s="16" t="str">
        <f t="shared" ca="1" si="115"/>
        <v/>
      </c>
      <c r="CUH24" s="16" t="str">
        <f t="shared" ca="1" si="116"/>
        <v/>
      </c>
      <c r="CUI24" s="16" t="str">
        <f t="shared" ca="1" si="117"/>
        <v/>
      </c>
      <c r="CUJ24" s="16" t="str">
        <f t="shared" ca="1" si="118"/>
        <v/>
      </c>
      <c r="CUK24" s="16" t="str">
        <f t="shared" ca="1" si="119"/>
        <v/>
      </c>
      <c r="CUL24" s="16" t="str">
        <f t="shared" ca="1" si="120"/>
        <v/>
      </c>
      <c r="CUM24" s="16" t="str">
        <f t="shared" ca="1" si="121"/>
        <v/>
      </c>
      <c r="CUN24" s="16" t="str">
        <f t="shared" ca="1" si="122"/>
        <v/>
      </c>
      <c r="CUO24" s="16" t="str">
        <f t="shared" ca="1" si="123"/>
        <v/>
      </c>
      <c r="CUP24" s="16" t="str">
        <f t="shared" ca="1" si="124"/>
        <v/>
      </c>
      <c r="CUQ24" s="16" t="str">
        <f t="shared" ca="1" si="125"/>
        <v/>
      </c>
      <c r="CUR24" s="16" t="str">
        <f t="shared" ca="1" si="126"/>
        <v/>
      </c>
      <c r="CUS24" s="16" t="str">
        <f t="shared" ca="1" si="127"/>
        <v/>
      </c>
      <c r="CUT24" s="16" t="str">
        <f t="shared" ca="1" si="128"/>
        <v/>
      </c>
      <c r="CUU24" s="16" t="str">
        <f t="shared" ca="1" si="129"/>
        <v/>
      </c>
      <c r="CUV24" s="16" t="str">
        <f t="shared" ca="1" si="130"/>
        <v/>
      </c>
      <c r="CUW24" s="16" t="str">
        <f t="shared" ca="1" si="131"/>
        <v/>
      </c>
      <c r="CUX24" s="16" t="str">
        <f t="shared" ca="1" si="132"/>
        <v/>
      </c>
      <c r="CUY24" s="16" t="str">
        <f t="shared" ca="1" si="133"/>
        <v/>
      </c>
      <c r="CUZ24" s="16" t="str">
        <f t="shared" ca="1" si="134"/>
        <v/>
      </c>
      <c r="CVA24" s="16" t="str">
        <f t="shared" ca="1" si="135"/>
        <v/>
      </c>
      <c r="CVB24" s="16" t="str">
        <f t="shared" ca="1" si="136"/>
        <v/>
      </c>
      <c r="CVC24" s="16" t="str">
        <f t="shared" ca="1" si="137"/>
        <v/>
      </c>
      <c r="CVD24" s="16" t="str">
        <f t="shared" ca="1" si="138"/>
        <v/>
      </c>
      <c r="CVE24" s="16" t="str">
        <f t="shared" ca="1" si="139"/>
        <v/>
      </c>
      <c r="CVF24" s="16" t="str">
        <f t="shared" ca="1" si="140"/>
        <v/>
      </c>
      <c r="CVG24" s="16" t="str">
        <f t="shared" ca="1" si="141"/>
        <v/>
      </c>
      <c r="CVH24" s="16" t="str">
        <f t="shared" ca="1" si="142"/>
        <v/>
      </c>
      <c r="CVI24" s="16" t="str">
        <f t="shared" ca="1" si="143"/>
        <v/>
      </c>
      <c r="CVJ24" s="16" t="str">
        <f t="shared" ca="1" si="144"/>
        <v/>
      </c>
      <c r="CVK24" s="16" t="str">
        <f t="shared" ca="1" si="145"/>
        <v/>
      </c>
      <c r="CVL24" s="16" t="str">
        <f t="shared" ca="1" si="146"/>
        <v/>
      </c>
      <c r="CVM24" s="16" t="str">
        <f t="shared" ca="1" si="147"/>
        <v/>
      </c>
      <c r="CVN24" s="16" t="str">
        <f t="shared" ca="1" si="148"/>
        <v/>
      </c>
      <c r="CVO24" s="58" t="str">
        <f t="shared" si="149"/>
        <v>степановвячеслав</v>
      </c>
      <c r="CVP24" s="58" t="str">
        <f>IFERROR(VLOOKUP(CVO24,'Внешние данные'!A:Z,4,FALSE),"")</f>
        <v/>
      </c>
    </row>
    <row r="25" spans="1:894 2533:2616" s="16" customFormat="1" ht="13.8" x14ac:dyDescent="0.25">
      <c r="A25" s="2" t="s">
        <v>2359</v>
      </c>
      <c r="B25" s="2" t="s">
        <v>2439</v>
      </c>
      <c r="C25" s="57" t="s">
        <v>2405</v>
      </c>
      <c r="D25" s="35">
        <v>6</v>
      </c>
      <c r="E25" s="58">
        <v>444</v>
      </c>
      <c r="G25" s="16" t="s">
        <v>1393</v>
      </c>
      <c r="H25" s="53" t="str">
        <f t="shared" ca="1" si="99"/>
        <v/>
      </c>
      <c r="I25" s="35" t="str">
        <f t="shared" ca="1" si="100"/>
        <v/>
      </c>
      <c r="J25" s="35">
        <f t="shared" ca="1" si="101"/>
        <v>0</v>
      </c>
      <c r="K25" s="49" t="str">
        <f t="shared" ca="1" si="102"/>
        <v/>
      </c>
      <c r="L25" s="16">
        <v>205</v>
      </c>
      <c r="M25" s="12">
        <v>203</v>
      </c>
      <c r="N25" s="12">
        <v>405</v>
      </c>
      <c r="O25" s="4">
        <v>445</v>
      </c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PI25" s="16" t="s">
        <v>2961</v>
      </c>
      <c r="RS25" s="16" t="s">
        <v>2961</v>
      </c>
      <c r="WM25" s="16" t="s">
        <v>2961</v>
      </c>
      <c r="YW25" s="16" t="s">
        <v>2961</v>
      </c>
      <c r="AGA25" s="16" t="s">
        <v>2961</v>
      </c>
      <c r="CSK25" s="54" t="str">
        <f t="shared" si="103"/>
        <v>X</v>
      </c>
      <c r="CSL25" s="35" t="str">
        <f t="shared" ca="1" si="150"/>
        <v/>
      </c>
      <c r="CSM25" s="35" t="str">
        <f t="shared" ca="1" si="150"/>
        <v/>
      </c>
      <c r="CSN25" s="35" t="str">
        <f t="shared" ca="1" si="150"/>
        <v/>
      </c>
      <c r="CSO25" s="35" t="str">
        <f t="shared" ca="1" si="150"/>
        <v/>
      </c>
      <c r="CSP25" s="35" t="str">
        <f t="shared" ca="1" si="150"/>
        <v/>
      </c>
      <c r="CSQ25" s="72" t="str">
        <f t="shared" ca="1" si="150"/>
        <v/>
      </c>
      <c r="CSR25" s="35" t="str">
        <f t="shared" ca="1" si="150"/>
        <v/>
      </c>
      <c r="CSS25" s="35" t="str">
        <f t="shared" ca="1" si="150"/>
        <v/>
      </c>
      <c r="CST25" s="35" t="str">
        <f t="shared" ca="1" si="150"/>
        <v/>
      </c>
      <c r="CSU25" s="35" t="str">
        <f t="shared" ca="1" si="150"/>
        <v/>
      </c>
      <c r="CSV25" s="35" t="str">
        <f t="shared" ca="1" si="151"/>
        <v/>
      </c>
      <c r="CSW25" s="35" t="str">
        <f t="shared" ca="1" si="151"/>
        <v/>
      </c>
      <c r="CSX25" s="35" t="str">
        <f t="shared" ca="1" si="151"/>
        <v/>
      </c>
      <c r="CSY25" s="35" t="str">
        <f t="shared" ca="1" si="151"/>
        <v/>
      </c>
      <c r="CSZ25" s="35" t="str">
        <f t="shared" ca="1" si="151"/>
        <v/>
      </c>
      <c r="CTA25" s="35" t="str">
        <f t="shared" ca="1" si="151"/>
        <v/>
      </c>
      <c r="CTB25" s="35" t="str">
        <f t="shared" ca="1" si="151"/>
        <v/>
      </c>
      <c r="CTC25" s="35" t="str">
        <f t="shared" ca="1" si="151"/>
        <v/>
      </c>
      <c r="CTD25" s="35" t="str">
        <f t="shared" ca="1" si="151"/>
        <v/>
      </c>
      <c r="CTE25" s="35" t="str">
        <f t="shared" ca="1" si="151"/>
        <v/>
      </c>
      <c r="CTF25" s="35" t="str">
        <f t="shared" ca="1" si="152"/>
        <v/>
      </c>
      <c r="CTG25" s="35" t="str">
        <f t="shared" ca="1" si="152"/>
        <v/>
      </c>
      <c r="CTH25" s="35" t="str">
        <f t="shared" ca="1" si="152"/>
        <v/>
      </c>
      <c r="CTI25" s="35" t="str">
        <f t="shared" ca="1" si="152"/>
        <v/>
      </c>
      <c r="CTJ25" s="35" t="str">
        <f t="shared" ca="1" si="152"/>
        <v/>
      </c>
      <c r="CTK25" s="35" t="str">
        <f t="shared" ca="1" si="152"/>
        <v/>
      </c>
      <c r="CTL25" s="35" t="str">
        <f t="shared" ca="1" si="152"/>
        <v/>
      </c>
      <c r="CTM25" s="35" t="str">
        <f t="shared" ca="1" si="152"/>
        <v/>
      </c>
      <c r="CTN25" s="35" t="str">
        <f t="shared" ca="1" si="152"/>
        <v/>
      </c>
      <c r="CTO25" s="35" t="str">
        <f t="shared" ca="1" si="152"/>
        <v/>
      </c>
      <c r="CTP25" s="35" t="str">
        <f t="shared" ca="1" si="153"/>
        <v/>
      </c>
      <c r="CTQ25" s="35" t="str">
        <f t="shared" ca="1" si="153"/>
        <v/>
      </c>
      <c r="CTR25" s="35" t="str">
        <f t="shared" ca="1" si="153"/>
        <v/>
      </c>
      <c r="CTS25" s="35" t="str">
        <f t="shared" ca="1" si="153"/>
        <v/>
      </c>
      <c r="CTT25" s="35" t="str">
        <f t="shared" ca="1" si="153"/>
        <v/>
      </c>
      <c r="CTU25" s="35" t="str">
        <f t="shared" ca="1" si="153"/>
        <v/>
      </c>
      <c r="CTV25" s="35" t="str">
        <f t="shared" ca="1" si="153"/>
        <v/>
      </c>
      <c r="CTW25" s="35" t="str">
        <f t="shared" ca="1" si="153"/>
        <v/>
      </c>
      <c r="CTX25" s="35" t="str">
        <f t="shared" ca="1" si="153"/>
        <v/>
      </c>
      <c r="CTY25" s="35" t="str">
        <f t="shared" ca="1" si="153"/>
        <v/>
      </c>
      <c r="CTZ25" s="56" t="str">
        <f t="shared" si="108"/>
        <v>X</v>
      </c>
      <c r="CUA25" s="58" t="str">
        <f t="shared" ca="1" si="109"/>
        <v/>
      </c>
      <c r="CUB25" s="16" t="str">
        <f t="shared" ca="1" si="110"/>
        <v/>
      </c>
      <c r="CUC25" s="16" t="str">
        <f t="shared" ca="1" si="111"/>
        <v/>
      </c>
      <c r="CUD25" s="16" t="str">
        <f t="shared" ca="1" si="112"/>
        <v/>
      </c>
      <c r="CUE25" s="16" t="str">
        <f t="shared" ca="1" si="113"/>
        <v/>
      </c>
      <c r="CUF25" s="16" t="str">
        <f t="shared" ca="1" si="114"/>
        <v/>
      </c>
      <c r="CUG25" s="16" t="str">
        <f t="shared" ca="1" si="115"/>
        <v/>
      </c>
      <c r="CUH25" s="16" t="str">
        <f t="shared" ca="1" si="116"/>
        <v/>
      </c>
      <c r="CUI25" s="16" t="str">
        <f t="shared" ca="1" si="117"/>
        <v/>
      </c>
      <c r="CUJ25" s="16" t="str">
        <f t="shared" ca="1" si="118"/>
        <v/>
      </c>
      <c r="CUK25" s="16" t="str">
        <f t="shared" ca="1" si="119"/>
        <v/>
      </c>
      <c r="CUL25" s="16" t="str">
        <f t="shared" ca="1" si="120"/>
        <v/>
      </c>
      <c r="CUM25" s="16" t="str">
        <f t="shared" ca="1" si="121"/>
        <v/>
      </c>
      <c r="CUN25" s="16" t="str">
        <f t="shared" ca="1" si="122"/>
        <v/>
      </c>
      <c r="CUO25" s="16" t="str">
        <f t="shared" ca="1" si="123"/>
        <v/>
      </c>
      <c r="CUP25" s="16" t="str">
        <f t="shared" ca="1" si="124"/>
        <v/>
      </c>
      <c r="CUQ25" s="16" t="str">
        <f t="shared" ca="1" si="125"/>
        <v/>
      </c>
      <c r="CUR25" s="16" t="str">
        <f t="shared" ca="1" si="126"/>
        <v/>
      </c>
      <c r="CUS25" s="16" t="str">
        <f t="shared" ca="1" si="127"/>
        <v/>
      </c>
      <c r="CUT25" s="16" t="str">
        <f t="shared" ca="1" si="128"/>
        <v/>
      </c>
      <c r="CUU25" s="16" t="str">
        <f t="shared" ca="1" si="129"/>
        <v/>
      </c>
      <c r="CUV25" s="16" t="str">
        <f t="shared" ca="1" si="130"/>
        <v/>
      </c>
      <c r="CUW25" s="16" t="str">
        <f t="shared" ca="1" si="131"/>
        <v/>
      </c>
      <c r="CUX25" s="16" t="str">
        <f t="shared" ca="1" si="132"/>
        <v/>
      </c>
      <c r="CUY25" s="16" t="str">
        <f t="shared" ca="1" si="133"/>
        <v/>
      </c>
      <c r="CUZ25" s="16" t="str">
        <f t="shared" ca="1" si="134"/>
        <v/>
      </c>
      <c r="CVA25" s="16" t="str">
        <f t="shared" ca="1" si="135"/>
        <v/>
      </c>
      <c r="CVB25" s="16" t="str">
        <f t="shared" ca="1" si="136"/>
        <v/>
      </c>
      <c r="CVC25" s="16" t="str">
        <f t="shared" ca="1" si="137"/>
        <v/>
      </c>
      <c r="CVD25" s="16" t="str">
        <f t="shared" ca="1" si="138"/>
        <v/>
      </c>
      <c r="CVE25" s="16" t="str">
        <f t="shared" ca="1" si="139"/>
        <v/>
      </c>
      <c r="CVF25" s="16" t="str">
        <f t="shared" ca="1" si="140"/>
        <v/>
      </c>
      <c r="CVG25" s="16" t="str">
        <f t="shared" ca="1" si="141"/>
        <v/>
      </c>
      <c r="CVH25" s="16" t="str">
        <f t="shared" ca="1" si="142"/>
        <v/>
      </c>
      <c r="CVI25" s="16" t="str">
        <f t="shared" ca="1" si="143"/>
        <v/>
      </c>
      <c r="CVJ25" s="16" t="str">
        <f t="shared" ca="1" si="144"/>
        <v/>
      </c>
      <c r="CVK25" s="16" t="str">
        <f t="shared" ca="1" si="145"/>
        <v/>
      </c>
      <c r="CVL25" s="16" t="str">
        <f t="shared" ca="1" si="146"/>
        <v/>
      </c>
      <c r="CVM25" s="16" t="str">
        <f t="shared" ca="1" si="147"/>
        <v/>
      </c>
      <c r="CVN25" s="16" t="str">
        <f t="shared" ca="1" si="148"/>
        <v/>
      </c>
      <c r="CVO25" s="58" t="str">
        <f t="shared" si="149"/>
        <v>николаевникита</v>
      </c>
      <c r="CVP25" s="58" t="str">
        <f>IFERROR(VLOOKUP(CVO25,'Внешние данные'!A:Z,4,FALSE),"")</f>
        <v/>
      </c>
    </row>
    <row r="26" spans="1:894 2533:2616" s="16" customFormat="1" ht="13.8" x14ac:dyDescent="0.25">
      <c r="A26" s="2" t="s">
        <v>2360</v>
      </c>
      <c r="B26" s="2" t="s">
        <v>2440</v>
      </c>
      <c r="C26" s="57" t="s">
        <v>2406</v>
      </c>
      <c r="D26" s="35">
        <v>5</v>
      </c>
      <c r="E26" s="58">
        <v>57</v>
      </c>
      <c r="G26" s="16" t="s">
        <v>1393</v>
      </c>
      <c r="H26" s="53">
        <f t="shared" ca="1" si="99"/>
        <v>0.25</v>
      </c>
      <c r="I26" s="35">
        <f t="shared" ca="1" si="100"/>
        <v>6</v>
      </c>
      <c r="J26" s="35">
        <f t="shared" ca="1" si="101"/>
        <v>1</v>
      </c>
      <c r="K26" s="49">
        <f t="shared" ca="1" si="102"/>
        <v>4</v>
      </c>
      <c r="L26" s="16">
        <v>205</v>
      </c>
      <c r="M26" s="12"/>
      <c r="N26" s="12"/>
      <c r="O26" s="4"/>
      <c r="P26" s="4"/>
      <c r="Q26" s="4"/>
      <c r="R26" s="4">
        <v>445</v>
      </c>
      <c r="S26" s="4"/>
      <c r="T26" s="4">
        <v>445</v>
      </c>
      <c r="U26" s="4"/>
      <c r="V26" s="4">
        <v>445</v>
      </c>
      <c r="W26" s="4">
        <v>445</v>
      </c>
      <c r="X26" s="4">
        <v>445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PI26" s="16" t="s">
        <v>2961</v>
      </c>
      <c r="RS26" s="16">
        <v>1</v>
      </c>
      <c r="RU26" s="16">
        <v>1</v>
      </c>
      <c r="RX26" s="16">
        <v>1</v>
      </c>
      <c r="RY26" s="16">
        <v>1</v>
      </c>
      <c r="RZ26" s="16">
        <v>1</v>
      </c>
      <c r="WM26" s="16" t="s">
        <v>2961</v>
      </c>
      <c r="YW26" s="16" t="s">
        <v>2961</v>
      </c>
      <c r="ABG26" s="16" t="s">
        <v>2961</v>
      </c>
      <c r="AGA26" s="16" t="s">
        <v>2961</v>
      </c>
      <c r="CSK26" s="54" t="str">
        <f t="shared" si="103"/>
        <v>X</v>
      </c>
      <c r="CSL26" s="35" t="str">
        <f t="shared" ref="CSL26:CSU35" ca="1" si="154">IF(SUM(OFFSET($BA26:$DJ26,0,62*(CSL$1-1),,62))&gt;0,1,"")</f>
        <v/>
      </c>
      <c r="CSM26" s="35" t="str">
        <f t="shared" ca="1" si="154"/>
        <v/>
      </c>
      <c r="CSN26" s="35" t="str">
        <f t="shared" ca="1" si="154"/>
        <v/>
      </c>
      <c r="CSO26" s="35" t="str">
        <f t="shared" ca="1" si="154"/>
        <v/>
      </c>
      <c r="CSP26" s="35" t="str">
        <f t="shared" ca="1" si="154"/>
        <v/>
      </c>
      <c r="CSQ26" s="72" t="str">
        <f t="shared" ca="1" si="154"/>
        <v/>
      </c>
      <c r="CSR26" s="35" t="str">
        <f t="shared" ca="1" si="154"/>
        <v/>
      </c>
      <c r="CSS26" s="35">
        <f t="shared" ca="1" si="154"/>
        <v>1</v>
      </c>
      <c r="CST26" s="35" t="str">
        <f t="shared" ca="1" si="154"/>
        <v/>
      </c>
      <c r="CSU26" s="35" t="str">
        <f t="shared" ca="1" si="154"/>
        <v/>
      </c>
      <c r="CSV26" s="35" t="str">
        <f t="shared" ref="CSV26:CTE35" ca="1" si="155">IF(SUM(OFFSET($BA26:$DJ26,0,62*(CSV$1-1),,62))&gt;0,1,"")</f>
        <v/>
      </c>
      <c r="CSW26" s="35" t="str">
        <f t="shared" ca="1" si="155"/>
        <v/>
      </c>
      <c r="CSX26" s="35" t="str">
        <f t="shared" ca="1" si="155"/>
        <v/>
      </c>
      <c r="CSY26" s="35" t="str">
        <f t="shared" ca="1" si="155"/>
        <v/>
      </c>
      <c r="CSZ26" s="35" t="str">
        <f t="shared" ca="1" si="155"/>
        <v/>
      </c>
      <c r="CTA26" s="35" t="str">
        <f t="shared" ca="1" si="155"/>
        <v/>
      </c>
      <c r="CTB26" s="35" t="str">
        <f t="shared" ca="1" si="155"/>
        <v/>
      </c>
      <c r="CTC26" s="35" t="str">
        <f t="shared" ca="1" si="155"/>
        <v/>
      </c>
      <c r="CTD26" s="35" t="str">
        <f t="shared" ca="1" si="155"/>
        <v/>
      </c>
      <c r="CTE26" s="35" t="str">
        <f t="shared" ca="1" si="155"/>
        <v/>
      </c>
      <c r="CTF26" s="35" t="str">
        <f t="shared" ref="CTF26:CTO35" ca="1" si="156">IF(SUM(OFFSET($BA26:$DJ26,0,62*(CTF$1-1),,62))&gt;0,1,"")</f>
        <v/>
      </c>
      <c r="CTG26" s="35" t="str">
        <f t="shared" ca="1" si="156"/>
        <v/>
      </c>
      <c r="CTH26" s="35" t="str">
        <f t="shared" ca="1" si="156"/>
        <v/>
      </c>
      <c r="CTI26" s="35" t="str">
        <f t="shared" ca="1" si="156"/>
        <v/>
      </c>
      <c r="CTJ26" s="35" t="str">
        <f t="shared" ca="1" si="156"/>
        <v/>
      </c>
      <c r="CTK26" s="35" t="str">
        <f t="shared" ca="1" si="156"/>
        <v/>
      </c>
      <c r="CTL26" s="35" t="str">
        <f t="shared" ca="1" si="156"/>
        <v/>
      </c>
      <c r="CTM26" s="35" t="str">
        <f t="shared" ca="1" si="156"/>
        <v/>
      </c>
      <c r="CTN26" s="35" t="str">
        <f t="shared" ca="1" si="156"/>
        <v/>
      </c>
      <c r="CTO26" s="35" t="str">
        <f t="shared" ca="1" si="156"/>
        <v/>
      </c>
      <c r="CTP26" s="35" t="str">
        <f t="shared" ref="CTP26:CTY35" ca="1" si="157">IF(SUM(OFFSET($BA26:$DJ26,0,62*(CTP$1-1),,62))&gt;0,1,"")</f>
        <v/>
      </c>
      <c r="CTQ26" s="35" t="str">
        <f t="shared" ca="1" si="157"/>
        <v/>
      </c>
      <c r="CTR26" s="35" t="str">
        <f t="shared" ca="1" si="157"/>
        <v/>
      </c>
      <c r="CTS26" s="35" t="str">
        <f t="shared" ca="1" si="157"/>
        <v/>
      </c>
      <c r="CTT26" s="35" t="str">
        <f t="shared" ca="1" si="157"/>
        <v/>
      </c>
      <c r="CTU26" s="35" t="str">
        <f t="shared" ca="1" si="157"/>
        <v/>
      </c>
      <c r="CTV26" s="35" t="str">
        <f t="shared" ca="1" si="157"/>
        <v/>
      </c>
      <c r="CTW26" s="35" t="str">
        <f t="shared" ca="1" si="157"/>
        <v/>
      </c>
      <c r="CTX26" s="35" t="str">
        <f t="shared" ca="1" si="157"/>
        <v/>
      </c>
      <c r="CTY26" s="35" t="str">
        <f t="shared" ca="1" si="157"/>
        <v/>
      </c>
      <c r="CTZ26" s="56" t="str">
        <f t="shared" si="108"/>
        <v>X</v>
      </c>
      <c r="CUA26" s="58" t="str">
        <f t="shared" ca="1" si="109"/>
        <v/>
      </c>
      <c r="CUB26" s="16" t="str">
        <f t="shared" ca="1" si="110"/>
        <v/>
      </c>
      <c r="CUC26" s="16" t="str">
        <f t="shared" ca="1" si="111"/>
        <v/>
      </c>
      <c r="CUD26" s="16" t="str">
        <f t="shared" ca="1" si="112"/>
        <v/>
      </c>
      <c r="CUE26" s="16" t="str">
        <f t="shared" ca="1" si="113"/>
        <v/>
      </c>
      <c r="CUF26" s="16" t="str">
        <f t="shared" ca="1" si="114"/>
        <v/>
      </c>
      <c r="CUG26" s="16" t="str">
        <f t="shared" ca="1" si="115"/>
        <v/>
      </c>
      <c r="CUH26" s="16">
        <f t="shared" ca="1" si="116"/>
        <v>4</v>
      </c>
      <c r="CUI26" s="16" t="str">
        <f t="shared" ca="1" si="117"/>
        <v/>
      </c>
      <c r="CUJ26" s="16" t="str">
        <f t="shared" ca="1" si="118"/>
        <v/>
      </c>
      <c r="CUK26" s="16" t="str">
        <f t="shared" ca="1" si="119"/>
        <v/>
      </c>
      <c r="CUL26" s="16" t="str">
        <f t="shared" ca="1" si="120"/>
        <v/>
      </c>
      <c r="CUM26" s="16" t="str">
        <f t="shared" ca="1" si="121"/>
        <v/>
      </c>
      <c r="CUN26" s="16" t="str">
        <f t="shared" ca="1" si="122"/>
        <v/>
      </c>
      <c r="CUO26" s="16" t="str">
        <f t="shared" ca="1" si="123"/>
        <v/>
      </c>
      <c r="CUP26" s="16" t="str">
        <f t="shared" ca="1" si="124"/>
        <v/>
      </c>
      <c r="CUQ26" s="16" t="str">
        <f t="shared" ca="1" si="125"/>
        <v/>
      </c>
      <c r="CUR26" s="16" t="str">
        <f t="shared" ca="1" si="126"/>
        <v/>
      </c>
      <c r="CUS26" s="16" t="str">
        <f t="shared" ca="1" si="127"/>
        <v/>
      </c>
      <c r="CUT26" s="16" t="str">
        <f t="shared" ca="1" si="128"/>
        <v/>
      </c>
      <c r="CUU26" s="16" t="str">
        <f t="shared" ca="1" si="129"/>
        <v/>
      </c>
      <c r="CUV26" s="16" t="str">
        <f t="shared" ca="1" si="130"/>
        <v/>
      </c>
      <c r="CUW26" s="16" t="str">
        <f t="shared" ca="1" si="131"/>
        <v/>
      </c>
      <c r="CUX26" s="16" t="str">
        <f t="shared" ca="1" si="132"/>
        <v/>
      </c>
      <c r="CUY26" s="16" t="str">
        <f t="shared" ca="1" si="133"/>
        <v/>
      </c>
      <c r="CUZ26" s="16" t="str">
        <f t="shared" ca="1" si="134"/>
        <v/>
      </c>
      <c r="CVA26" s="16" t="str">
        <f t="shared" ca="1" si="135"/>
        <v/>
      </c>
      <c r="CVB26" s="16" t="str">
        <f t="shared" ca="1" si="136"/>
        <v/>
      </c>
      <c r="CVC26" s="16" t="str">
        <f t="shared" ca="1" si="137"/>
        <v/>
      </c>
      <c r="CVD26" s="16" t="str">
        <f t="shared" ca="1" si="138"/>
        <v/>
      </c>
      <c r="CVE26" s="16" t="str">
        <f t="shared" ca="1" si="139"/>
        <v/>
      </c>
      <c r="CVF26" s="16" t="str">
        <f t="shared" ca="1" si="140"/>
        <v/>
      </c>
      <c r="CVG26" s="16" t="str">
        <f t="shared" ca="1" si="141"/>
        <v/>
      </c>
      <c r="CVH26" s="16" t="str">
        <f t="shared" ca="1" si="142"/>
        <v/>
      </c>
      <c r="CVI26" s="16" t="str">
        <f t="shared" ca="1" si="143"/>
        <v/>
      </c>
      <c r="CVJ26" s="16" t="str">
        <f t="shared" ca="1" si="144"/>
        <v/>
      </c>
      <c r="CVK26" s="16" t="str">
        <f t="shared" ca="1" si="145"/>
        <v/>
      </c>
      <c r="CVL26" s="16" t="str">
        <f t="shared" ca="1" si="146"/>
        <v/>
      </c>
      <c r="CVM26" s="16" t="str">
        <f t="shared" ca="1" si="147"/>
        <v/>
      </c>
      <c r="CVN26" s="16" t="str">
        <f t="shared" ca="1" si="148"/>
        <v/>
      </c>
      <c r="CVO26" s="58" t="str">
        <f t="shared" si="149"/>
        <v>орловмихаил</v>
      </c>
      <c r="CVP26" s="58" t="str">
        <f>IFERROR(VLOOKUP(CVO26,'Внешние данные'!A:Z,4,FALSE),"")</f>
        <v/>
      </c>
    </row>
    <row r="27" spans="1:894 2533:2616" s="16" customFormat="1" ht="13.8" x14ac:dyDescent="0.25">
      <c r="A27" s="2" t="s">
        <v>2361</v>
      </c>
      <c r="B27" s="2" t="s">
        <v>2456</v>
      </c>
      <c r="C27" s="57" t="s">
        <v>2407</v>
      </c>
      <c r="D27" s="35">
        <v>6</v>
      </c>
      <c r="E27" s="58">
        <v>179</v>
      </c>
      <c r="G27" s="16" t="s">
        <v>1393</v>
      </c>
      <c r="H27" s="53">
        <f t="shared" ca="1" si="99"/>
        <v>0.73333333333333328</v>
      </c>
      <c r="I27" s="35">
        <f t="shared" ca="1" si="100"/>
        <v>0</v>
      </c>
      <c r="J27" s="35">
        <f t="shared" ca="1" si="101"/>
        <v>10</v>
      </c>
      <c r="K27" s="49">
        <f t="shared" ca="1" si="102"/>
        <v>2.8</v>
      </c>
      <c r="L27" s="16">
        <v>305</v>
      </c>
      <c r="M27" s="12">
        <v>406</v>
      </c>
      <c r="N27" s="12">
        <v>406</v>
      </c>
      <c r="O27" s="4">
        <v>406</v>
      </c>
      <c r="P27" s="4">
        <v>406</v>
      </c>
      <c r="Q27" s="4">
        <v>406</v>
      </c>
      <c r="R27" s="4">
        <v>406</v>
      </c>
      <c r="S27" s="4">
        <v>406</v>
      </c>
      <c r="T27" s="4">
        <v>406</v>
      </c>
      <c r="U27" s="4"/>
      <c r="V27" s="4">
        <v>406</v>
      </c>
      <c r="W27" s="4">
        <v>406</v>
      </c>
      <c r="X27" s="4">
        <v>406</v>
      </c>
      <c r="Y27" s="4">
        <v>406</v>
      </c>
      <c r="Z27" s="4">
        <v>406</v>
      </c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16">
        <v>1</v>
      </c>
      <c r="BB27" s="16">
        <v>1</v>
      </c>
      <c r="BC27" s="16">
        <v>1</v>
      </c>
      <c r="BM27" s="16">
        <v>1</v>
      </c>
      <c r="BN27" s="16">
        <v>1</v>
      </c>
      <c r="BP27" s="16">
        <v>1</v>
      </c>
      <c r="BR27" s="16">
        <v>1</v>
      </c>
      <c r="DK27" s="16">
        <v>1</v>
      </c>
      <c r="DS27" s="16">
        <v>1</v>
      </c>
      <c r="FU27" s="16">
        <v>1</v>
      </c>
      <c r="FV27" s="16">
        <v>1</v>
      </c>
      <c r="FY27" s="16">
        <v>1</v>
      </c>
      <c r="FZ27" s="16">
        <v>1</v>
      </c>
      <c r="GA27" s="16">
        <v>1</v>
      </c>
      <c r="GB27" s="16">
        <v>1</v>
      </c>
      <c r="GC27" s="16">
        <v>1</v>
      </c>
      <c r="IE27" s="16">
        <v>1</v>
      </c>
      <c r="IN27" s="16">
        <v>1</v>
      </c>
      <c r="KO27" s="16">
        <v>1</v>
      </c>
      <c r="KP27" s="16">
        <v>1</v>
      </c>
      <c r="KR27" s="16">
        <v>1</v>
      </c>
      <c r="PI27" s="16" t="s">
        <v>2961</v>
      </c>
      <c r="RS27" s="16">
        <v>1</v>
      </c>
      <c r="WM27" s="16">
        <v>1</v>
      </c>
      <c r="WU27" s="16">
        <v>1</v>
      </c>
      <c r="WW27" s="16">
        <v>1</v>
      </c>
      <c r="YW27" s="16">
        <v>1</v>
      </c>
      <c r="YZ27" s="16">
        <v>1</v>
      </c>
      <c r="ZB27" s="16">
        <v>1</v>
      </c>
      <c r="ABG27" s="16">
        <v>1</v>
      </c>
      <c r="ABH27" s="16">
        <v>1</v>
      </c>
      <c r="ABI27" s="16">
        <v>1</v>
      </c>
      <c r="ABK27" s="16">
        <v>1</v>
      </c>
      <c r="ABM27" s="16">
        <v>1</v>
      </c>
      <c r="ABS27" s="16">
        <v>1</v>
      </c>
      <c r="ABU27" s="16">
        <v>1</v>
      </c>
      <c r="ADQ27" s="16" t="s">
        <v>2961</v>
      </c>
      <c r="AGA27" s="16">
        <v>1</v>
      </c>
      <c r="AGB27" s="16">
        <v>1</v>
      </c>
      <c r="AGJ27" s="16">
        <v>1</v>
      </c>
      <c r="CSK27" s="54" t="str">
        <f t="shared" si="103"/>
        <v>X</v>
      </c>
      <c r="CSL27" s="35">
        <f t="shared" ca="1" si="154"/>
        <v>1</v>
      </c>
      <c r="CSM27" s="35">
        <f t="shared" ca="1" si="154"/>
        <v>1</v>
      </c>
      <c r="CSN27" s="35">
        <f t="shared" ca="1" si="154"/>
        <v>1</v>
      </c>
      <c r="CSO27" s="35">
        <f t="shared" ca="1" si="154"/>
        <v>1</v>
      </c>
      <c r="CSP27" s="35">
        <f t="shared" ca="1" si="154"/>
        <v>1</v>
      </c>
      <c r="CSQ27" s="72" t="str">
        <f t="shared" ca="1" si="154"/>
        <v/>
      </c>
      <c r="CSR27" s="35" t="str">
        <f t="shared" ca="1" si="154"/>
        <v/>
      </c>
      <c r="CSS27" s="35">
        <f t="shared" ca="1" si="154"/>
        <v>1</v>
      </c>
      <c r="CST27" s="35" t="str">
        <f t="shared" ca="1" si="154"/>
        <v/>
      </c>
      <c r="CSU27" s="35">
        <f t="shared" ca="1" si="154"/>
        <v>1</v>
      </c>
      <c r="CSV27" s="35">
        <f t="shared" ca="1" si="155"/>
        <v>1</v>
      </c>
      <c r="CSW27" s="35">
        <f t="shared" ca="1" si="155"/>
        <v>1</v>
      </c>
      <c r="CSX27" s="35" t="str">
        <f t="shared" ca="1" si="155"/>
        <v/>
      </c>
      <c r="CSY27" s="35">
        <f t="shared" ca="1" si="155"/>
        <v>1</v>
      </c>
      <c r="CSZ27" s="35" t="str">
        <f t="shared" ca="1" si="155"/>
        <v/>
      </c>
      <c r="CTA27" s="35" t="str">
        <f t="shared" ca="1" si="155"/>
        <v/>
      </c>
      <c r="CTB27" s="35" t="str">
        <f t="shared" ca="1" si="155"/>
        <v/>
      </c>
      <c r="CTC27" s="35" t="str">
        <f t="shared" ca="1" si="155"/>
        <v/>
      </c>
      <c r="CTD27" s="35" t="str">
        <f t="shared" ca="1" si="155"/>
        <v/>
      </c>
      <c r="CTE27" s="35" t="str">
        <f t="shared" ca="1" si="155"/>
        <v/>
      </c>
      <c r="CTF27" s="35" t="str">
        <f t="shared" ca="1" si="156"/>
        <v/>
      </c>
      <c r="CTG27" s="35" t="str">
        <f t="shared" ca="1" si="156"/>
        <v/>
      </c>
      <c r="CTH27" s="35" t="str">
        <f t="shared" ca="1" si="156"/>
        <v/>
      </c>
      <c r="CTI27" s="35" t="str">
        <f t="shared" ca="1" si="156"/>
        <v/>
      </c>
      <c r="CTJ27" s="35" t="str">
        <f t="shared" ca="1" si="156"/>
        <v/>
      </c>
      <c r="CTK27" s="35" t="str">
        <f t="shared" ca="1" si="156"/>
        <v/>
      </c>
      <c r="CTL27" s="35" t="str">
        <f t="shared" ca="1" si="156"/>
        <v/>
      </c>
      <c r="CTM27" s="35" t="str">
        <f t="shared" ca="1" si="156"/>
        <v/>
      </c>
      <c r="CTN27" s="35" t="str">
        <f t="shared" ca="1" si="156"/>
        <v/>
      </c>
      <c r="CTO27" s="35" t="str">
        <f t="shared" ca="1" si="156"/>
        <v/>
      </c>
      <c r="CTP27" s="35" t="str">
        <f t="shared" ca="1" si="157"/>
        <v/>
      </c>
      <c r="CTQ27" s="35" t="str">
        <f t="shared" ca="1" si="157"/>
        <v/>
      </c>
      <c r="CTR27" s="35" t="str">
        <f t="shared" ca="1" si="157"/>
        <v/>
      </c>
      <c r="CTS27" s="35" t="str">
        <f t="shared" ca="1" si="157"/>
        <v/>
      </c>
      <c r="CTT27" s="35" t="str">
        <f t="shared" ca="1" si="157"/>
        <v/>
      </c>
      <c r="CTU27" s="35" t="str">
        <f t="shared" ca="1" si="157"/>
        <v/>
      </c>
      <c r="CTV27" s="35" t="str">
        <f t="shared" ca="1" si="157"/>
        <v/>
      </c>
      <c r="CTW27" s="35" t="str">
        <f t="shared" ca="1" si="157"/>
        <v/>
      </c>
      <c r="CTX27" s="35" t="str">
        <f t="shared" ca="1" si="157"/>
        <v/>
      </c>
      <c r="CTY27" s="35" t="str">
        <f t="shared" ca="1" si="157"/>
        <v/>
      </c>
      <c r="CTZ27" s="56" t="str">
        <f t="shared" si="108"/>
        <v>X</v>
      </c>
      <c r="CUA27" s="58">
        <f t="shared" ca="1" si="109"/>
        <v>6</v>
      </c>
      <c r="CUB27" s="16">
        <f t="shared" ca="1" si="110"/>
        <v>1</v>
      </c>
      <c r="CUC27" s="16">
        <f t="shared" ca="1" si="111"/>
        <v>6</v>
      </c>
      <c r="CUD27" s="16">
        <f t="shared" ca="1" si="112"/>
        <v>1</v>
      </c>
      <c r="CUE27" s="16">
        <f t="shared" ca="1" si="113"/>
        <v>2</v>
      </c>
      <c r="CUF27" s="16" t="str">
        <f t="shared" ca="1" si="114"/>
        <v/>
      </c>
      <c r="CUG27" s="16" t="str">
        <f t="shared" ca="1" si="115"/>
        <v/>
      </c>
      <c r="CUH27" s="16">
        <f t="shared" ca="1" si="116"/>
        <v>0</v>
      </c>
      <c r="CUI27" s="16" t="str">
        <f t="shared" ca="1" si="117"/>
        <v/>
      </c>
      <c r="CUJ27" s="16">
        <f t="shared" ca="1" si="118"/>
        <v>2</v>
      </c>
      <c r="CUK27" s="16">
        <f t="shared" ca="1" si="119"/>
        <v>2</v>
      </c>
      <c r="CUL27" s="16">
        <f t="shared" ca="1" si="120"/>
        <v>6</v>
      </c>
      <c r="CUM27" s="16" t="str">
        <f t="shared" ca="1" si="121"/>
        <v/>
      </c>
      <c r="CUN27" s="16">
        <f t="shared" ca="1" si="122"/>
        <v>2</v>
      </c>
      <c r="CUO27" s="16" t="str">
        <f t="shared" ca="1" si="123"/>
        <v/>
      </c>
      <c r="CUP27" s="16" t="str">
        <f t="shared" ca="1" si="124"/>
        <v/>
      </c>
      <c r="CUQ27" s="16" t="str">
        <f t="shared" ca="1" si="125"/>
        <v/>
      </c>
      <c r="CUR27" s="16" t="str">
        <f t="shared" ca="1" si="126"/>
        <v/>
      </c>
      <c r="CUS27" s="16" t="str">
        <f t="shared" ca="1" si="127"/>
        <v/>
      </c>
      <c r="CUT27" s="16" t="str">
        <f t="shared" ca="1" si="128"/>
        <v/>
      </c>
      <c r="CUU27" s="16" t="str">
        <f t="shared" ca="1" si="129"/>
        <v/>
      </c>
      <c r="CUV27" s="16" t="str">
        <f t="shared" ca="1" si="130"/>
        <v/>
      </c>
      <c r="CUW27" s="16" t="str">
        <f t="shared" ca="1" si="131"/>
        <v/>
      </c>
      <c r="CUX27" s="16" t="str">
        <f t="shared" ca="1" si="132"/>
        <v/>
      </c>
      <c r="CUY27" s="16" t="str">
        <f t="shared" ca="1" si="133"/>
        <v/>
      </c>
      <c r="CUZ27" s="16" t="str">
        <f t="shared" ca="1" si="134"/>
        <v/>
      </c>
      <c r="CVA27" s="16" t="str">
        <f t="shared" ca="1" si="135"/>
        <v/>
      </c>
      <c r="CVB27" s="16" t="str">
        <f t="shared" ca="1" si="136"/>
        <v/>
      </c>
      <c r="CVC27" s="16" t="str">
        <f t="shared" ca="1" si="137"/>
        <v/>
      </c>
      <c r="CVD27" s="16" t="str">
        <f t="shared" ca="1" si="138"/>
        <v/>
      </c>
      <c r="CVE27" s="16" t="str">
        <f t="shared" ca="1" si="139"/>
        <v/>
      </c>
      <c r="CVF27" s="16" t="str">
        <f t="shared" ca="1" si="140"/>
        <v/>
      </c>
      <c r="CVG27" s="16" t="str">
        <f t="shared" ca="1" si="141"/>
        <v/>
      </c>
      <c r="CVH27" s="16" t="str">
        <f t="shared" ca="1" si="142"/>
        <v/>
      </c>
      <c r="CVI27" s="16" t="str">
        <f t="shared" ca="1" si="143"/>
        <v/>
      </c>
      <c r="CVJ27" s="16" t="str">
        <f t="shared" ca="1" si="144"/>
        <v/>
      </c>
      <c r="CVK27" s="16" t="str">
        <f t="shared" ca="1" si="145"/>
        <v/>
      </c>
      <c r="CVL27" s="16" t="str">
        <f t="shared" ca="1" si="146"/>
        <v/>
      </c>
      <c r="CVM27" s="16" t="str">
        <f t="shared" ca="1" si="147"/>
        <v/>
      </c>
      <c r="CVN27" s="16" t="str">
        <f t="shared" ca="1" si="148"/>
        <v/>
      </c>
      <c r="CVO27" s="58" t="str">
        <f t="shared" si="149"/>
        <v>андреевевгений</v>
      </c>
      <c r="CVP27" s="58" t="str">
        <f>IFERROR(VLOOKUP(CVO27,'Внешние данные'!A:Z,4,FALSE),"")</f>
        <v/>
      </c>
    </row>
    <row r="28" spans="1:894 2533:2616" s="16" customFormat="1" ht="13.8" x14ac:dyDescent="0.25">
      <c r="A28" s="2" t="s">
        <v>2362</v>
      </c>
      <c r="B28" s="2" t="s">
        <v>2468</v>
      </c>
      <c r="C28" s="57" t="s">
        <v>2408</v>
      </c>
      <c r="D28" s="35">
        <v>5</v>
      </c>
      <c r="E28" s="58" t="s">
        <v>2303</v>
      </c>
      <c r="G28" s="16" t="s">
        <v>1392</v>
      </c>
      <c r="H28" s="53">
        <f t="shared" ca="1" si="99"/>
        <v>0.8</v>
      </c>
      <c r="I28" s="35">
        <f t="shared" ca="1" si="100"/>
        <v>0</v>
      </c>
      <c r="J28" s="35">
        <f t="shared" ca="1" si="101"/>
        <v>11</v>
      </c>
      <c r="K28" s="49">
        <f t="shared" ca="1" si="102"/>
        <v>5</v>
      </c>
      <c r="L28" s="16">
        <v>308</v>
      </c>
      <c r="M28" s="12">
        <v>303</v>
      </c>
      <c r="N28" s="12">
        <v>303</v>
      </c>
      <c r="O28" s="4">
        <v>307</v>
      </c>
      <c r="P28" s="4">
        <v>307</v>
      </c>
      <c r="Q28" s="4">
        <v>307</v>
      </c>
      <c r="R28" s="4">
        <v>307</v>
      </c>
      <c r="S28" s="4">
        <v>307</v>
      </c>
      <c r="T28" s="4">
        <v>307</v>
      </c>
      <c r="U28" s="4"/>
      <c r="V28" s="4">
        <v>307</v>
      </c>
      <c r="W28" s="4">
        <v>307</v>
      </c>
      <c r="X28" s="4">
        <v>307</v>
      </c>
      <c r="Y28" s="4">
        <v>307</v>
      </c>
      <c r="Z28" s="4">
        <v>307</v>
      </c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16">
        <v>1</v>
      </c>
      <c r="BB28" s="16">
        <v>1</v>
      </c>
      <c r="BC28" s="16">
        <v>1</v>
      </c>
      <c r="BD28" s="16">
        <v>1</v>
      </c>
      <c r="BF28" s="16">
        <v>1</v>
      </c>
      <c r="BG28" s="16">
        <v>1</v>
      </c>
      <c r="BH28" s="16">
        <v>1</v>
      </c>
      <c r="BM28" s="16">
        <v>1</v>
      </c>
      <c r="BO28" s="16">
        <v>1</v>
      </c>
      <c r="BP28" s="16">
        <v>1</v>
      </c>
      <c r="BQ28" s="16">
        <v>1</v>
      </c>
      <c r="BS28" s="16">
        <v>1</v>
      </c>
      <c r="DK28" s="16">
        <v>1</v>
      </c>
      <c r="DL28" s="16">
        <v>1</v>
      </c>
      <c r="DM28" s="16">
        <v>1</v>
      </c>
      <c r="DN28" s="16">
        <v>1</v>
      </c>
      <c r="DO28" s="16">
        <v>1</v>
      </c>
      <c r="DP28" s="16">
        <v>1</v>
      </c>
      <c r="DQ28" s="16">
        <v>1</v>
      </c>
      <c r="DR28" s="16">
        <v>1</v>
      </c>
      <c r="DS28" s="16">
        <v>1</v>
      </c>
      <c r="DT28" s="16">
        <v>1</v>
      </c>
      <c r="DU28" s="16">
        <v>1</v>
      </c>
      <c r="DV28" s="16">
        <v>1</v>
      </c>
      <c r="DW28" s="16">
        <v>1</v>
      </c>
      <c r="EP28" s="16">
        <v>1</v>
      </c>
      <c r="ES28" s="16">
        <v>1</v>
      </c>
      <c r="EW28" s="16">
        <v>1</v>
      </c>
      <c r="JJ28" s="16">
        <v>1</v>
      </c>
      <c r="JK28" s="16">
        <v>1</v>
      </c>
      <c r="LT28" s="16">
        <v>1</v>
      </c>
      <c r="LU28" s="16">
        <v>1</v>
      </c>
      <c r="LV28" s="16">
        <v>1</v>
      </c>
      <c r="LX28" s="16">
        <v>1</v>
      </c>
      <c r="LY28" s="16">
        <v>1</v>
      </c>
      <c r="OD28" s="16">
        <v>1</v>
      </c>
      <c r="OE28" s="16">
        <v>1</v>
      </c>
      <c r="OF28" s="16">
        <v>1</v>
      </c>
      <c r="OG28" s="16">
        <v>1</v>
      </c>
      <c r="OJ28" s="16">
        <v>1</v>
      </c>
      <c r="OK28" s="16">
        <v>1</v>
      </c>
      <c r="ON28" s="16">
        <v>1</v>
      </c>
      <c r="OO28" s="16">
        <v>1</v>
      </c>
      <c r="QN28" s="16">
        <v>1</v>
      </c>
      <c r="QP28" s="16">
        <v>1</v>
      </c>
      <c r="QT28" s="16">
        <v>1</v>
      </c>
      <c r="QU28" s="16">
        <v>1</v>
      </c>
      <c r="QW28" s="16">
        <v>1</v>
      </c>
      <c r="XR28" s="16">
        <v>1</v>
      </c>
      <c r="XS28" s="16">
        <v>1</v>
      </c>
      <c r="XT28" s="16">
        <v>1</v>
      </c>
      <c r="XU28" s="16">
        <v>1</v>
      </c>
      <c r="XW28" s="16">
        <v>1</v>
      </c>
      <c r="XX28" s="16">
        <v>1</v>
      </c>
      <c r="XY28" s="16">
        <v>1</v>
      </c>
      <c r="AAB28" s="16">
        <v>1</v>
      </c>
      <c r="AAE28" s="16">
        <v>1</v>
      </c>
      <c r="ACL28" s="16">
        <v>1</v>
      </c>
      <c r="ACM28" s="16">
        <v>1</v>
      </c>
      <c r="ACN28" s="16">
        <v>1</v>
      </c>
      <c r="ACQ28" s="16">
        <v>1</v>
      </c>
      <c r="AEV28" s="16">
        <v>1</v>
      </c>
      <c r="AEZ28" s="16">
        <v>1</v>
      </c>
      <c r="AHF28" s="16">
        <v>1</v>
      </c>
      <c r="AHG28" s="16">
        <v>1</v>
      </c>
      <c r="AHH28" s="16">
        <v>1</v>
      </c>
      <c r="CSK28" s="54" t="str">
        <f t="shared" si="103"/>
        <v>X</v>
      </c>
      <c r="CSL28" s="35">
        <f t="shared" ca="1" si="154"/>
        <v>1</v>
      </c>
      <c r="CSM28" s="35">
        <f t="shared" ca="1" si="154"/>
        <v>1</v>
      </c>
      <c r="CSN28" s="35" t="str">
        <f t="shared" ca="1" si="154"/>
        <v/>
      </c>
      <c r="CSO28" s="35">
        <f t="shared" ca="1" si="154"/>
        <v>1</v>
      </c>
      <c r="CSP28" s="35">
        <f t="shared" ca="1" si="154"/>
        <v>1</v>
      </c>
      <c r="CSQ28" s="72">
        <f t="shared" ca="1" si="154"/>
        <v>1</v>
      </c>
      <c r="CSR28" s="35">
        <f t="shared" ca="1" si="154"/>
        <v>1</v>
      </c>
      <c r="CSS28" s="35" t="str">
        <f t="shared" ca="1" si="154"/>
        <v/>
      </c>
      <c r="CST28" s="35" t="str">
        <f t="shared" ca="1" si="154"/>
        <v/>
      </c>
      <c r="CSU28" s="35">
        <f t="shared" ca="1" si="154"/>
        <v>1</v>
      </c>
      <c r="CSV28" s="35">
        <f t="shared" ca="1" si="155"/>
        <v>1</v>
      </c>
      <c r="CSW28" s="35">
        <f t="shared" ca="1" si="155"/>
        <v>1</v>
      </c>
      <c r="CSX28" s="35">
        <f t="shared" ca="1" si="155"/>
        <v>1</v>
      </c>
      <c r="CSY28" s="35">
        <f t="shared" ca="1" si="155"/>
        <v>1</v>
      </c>
      <c r="CSZ28" s="35" t="str">
        <f t="shared" ca="1" si="155"/>
        <v/>
      </c>
      <c r="CTA28" s="35" t="str">
        <f t="shared" ca="1" si="155"/>
        <v/>
      </c>
      <c r="CTB28" s="35" t="str">
        <f t="shared" ca="1" si="155"/>
        <v/>
      </c>
      <c r="CTC28" s="35" t="str">
        <f t="shared" ca="1" si="155"/>
        <v/>
      </c>
      <c r="CTD28" s="35" t="str">
        <f t="shared" ca="1" si="155"/>
        <v/>
      </c>
      <c r="CTE28" s="35" t="str">
        <f t="shared" ca="1" si="155"/>
        <v/>
      </c>
      <c r="CTF28" s="35" t="str">
        <f t="shared" ca="1" si="156"/>
        <v/>
      </c>
      <c r="CTG28" s="35" t="str">
        <f t="shared" ca="1" si="156"/>
        <v/>
      </c>
      <c r="CTH28" s="35" t="str">
        <f t="shared" ca="1" si="156"/>
        <v/>
      </c>
      <c r="CTI28" s="35" t="str">
        <f t="shared" ca="1" si="156"/>
        <v/>
      </c>
      <c r="CTJ28" s="35" t="str">
        <f t="shared" ca="1" si="156"/>
        <v/>
      </c>
      <c r="CTK28" s="35" t="str">
        <f t="shared" ca="1" si="156"/>
        <v/>
      </c>
      <c r="CTL28" s="35" t="str">
        <f t="shared" ca="1" si="156"/>
        <v/>
      </c>
      <c r="CTM28" s="35" t="str">
        <f t="shared" ca="1" si="156"/>
        <v/>
      </c>
      <c r="CTN28" s="35" t="str">
        <f t="shared" ca="1" si="156"/>
        <v/>
      </c>
      <c r="CTO28" s="35" t="str">
        <f t="shared" ca="1" si="156"/>
        <v/>
      </c>
      <c r="CTP28" s="35" t="str">
        <f t="shared" ca="1" si="157"/>
        <v/>
      </c>
      <c r="CTQ28" s="35" t="str">
        <f t="shared" ca="1" si="157"/>
        <v/>
      </c>
      <c r="CTR28" s="35" t="str">
        <f t="shared" ca="1" si="157"/>
        <v/>
      </c>
      <c r="CTS28" s="35" t="str">
        <f t="shared" ca="1" si="157"/>
        <v/>
      </c>
      <c r="CTT28" s="35" t="str">
        <f t="shared" ca="1" si="157"/>
        <v/>
      </c>
      <c r="CTU28" s="35" t="str">
        <f t="shared" ca="1" si="157"/>
        <v/>
      </c>
      <c r="CTV28" s="35" t="str">
        <f t="shared" ca="1" si="157"/>
        <v/>
      </c>
      <c r="CTW28" s="35" t="str">
        <f t="shared" ca="1" si="157"/>
        <v/>
      </c>
      <c r="CTX28" s="35" t="str">
        <f t="shared" ca="1" si="157"/>
        <v/>
      </c>
      <c r="CTY28" s="35" t="str">
        <f t="shared" ca="1" si="157"/>
        <v/>
      </c>
      <c r="CTZ28" s="56" t="str">
        <f t="shared" si="108"/>
        <v>X</v>
      </c>
      <c r="CUA28" s="58">
        <f t="shared" ca="1" si="109"/>
        <v>11</v>
      </c>
      <c r="CUB28" s="16">
        <f t="shared" ca="1" si="110"/>
        <v>15</v>
      </c>
      <c r="CUC28" s="16" t="str">
        <f t="shared" ca="1" si="111"/>
        <v/>
      </c>
      <c r="CUD28" s="16">
        <f t="shared" ca="1" si="112"/>
        <v>1</v>
      </c>
      <c r="CUE28" s="16">
        <f t="shared" ca="1" si="113"/>
        <v>4</v>
      </c>
      <c r="CUF28" s="16">
        <f t="shared" ca="1" si="114"/>
        <v>7</v>
      </c>
      <c r="CUG28" s="16">
        <f t="shared" ca="1" si="115"/>
        <v>4</v>
      </c>
      <c r="CUH28" s="16" t="str">
        <f t="shared" ca="1" si="116"/>
        <v/>
      </c>
      <c r="CUI28" s="16" t="str">
        <f t="shared" ca="1" si="117"/>
        <v/>
      </c>
      <c r="CUJ28" s="16">
        <f t="shared" ca="1" si="118"/>
        <v>6</v>
      </c>
      <c r="CUK28" s="16">
        <f t="shared" ca="1" si="119"/>
        <v>1</v>
      </c>
      <c r="CUL28" s="16">
        <f t="shared" ca="1" si="120"/>
        <v>3</v>
      </c>
      <c r="CUM28" s="16">
        <f t="shared" ca="1" si="121"/>
        <v>1</v>
      </c>
      <c r="CUN28" s="16">
        <f t="shared" ca="1" si="122"/>
        <v>2</v>
      </c>
      <c r="CUO28" s="16" t="str">
        <f t="shared" ca="1" si="123"/>
        <v/>
      </c>
      <c r="CUP28" s="16" t="str">
        <f t="shared" ca="1" si="124"/>
        <v/>
      </c>
      <c r="CUQ28" s="16" t="str">
        <f t="shared" ca="1" si="125"/>
        <v/>
      </c>
      <c r="CUR28" s="16" t="str">
        <f t="shared" ca="1" si="126"/>
        <v/>
      </c>
      <c r="CUS28" s="16" t="str">
        <f t="shared" ca="1" si="127"/>
        <v/>
      </c>
      <c r="CUT28" s="16" t="str">
        <f t="shared" ca="1" si="128"/>
        <v/>
      </c>
      <c r="CUU28" s="16" t="str">
        <f t="shared" ca="1" si="129"/>
        <v/>
      </c>
      <c r="CUV28" s="16" t="str">
        <f t="shared" ca="1" si="130"/>
        <v/>
      </c>
      <c r="CUW28" s="16" t="str">
        <f t="shared" ca="1" si="131"/>
        <v/>
      </c>
      <c r="CUX28" s="16" t="str">
        <f t="shared" ca="1" si="132"/>
        <v/>
      </c>
      <c r="CUY28" s="16" t="str">
        <f t="shared" ca="1" si="133"/>
        <v/>
      </c>
      <c r="CUZ28" s="16" t="str">
        <f t="shared" ca="1" si="134"/>
        <v/>
      </c>
      <c r="CVA28" s="16" t="str">
        <f t="shared" ca="1" si="135"/>
        <v/>
      </c>
      <c r="CVB28" s="16" t="str">
        <f t="shared" ca="1" si="136"/>
        <v/>
      </c>
      <c r="CVC28" s="16" t="str">
        <f t="shared" ca="1" si="137"/>
        <v/>
      </c>
      <c r="CVD28" s="16" t="str">
        <f t="shared" ca="1" si="138"/>
        <v/>
      </c>
      <c r="CVE28" s="16" t="str">
        <f t="shared" ca="1" si="139"/>
        <v/>
      </c>
      <c r="CVF28" s="16" t="str">
        <f t="shared" ca="1" si="140"/>
        <v/>
      </c>
      <c r="CVG28" s="16" t="str">
        <f t="shared" ca="1" si="141"/>
        <v/>
      </c>
      <c r="CVH28" s="16" t="str">
        <f t="shared" ca="1" si="142"/>
        <v/>
      </c>
      <c r="CVI28" s="16" t="str">
        <f t="shared" ca="1" si="143"/>
        <v/>
      </c>
      <c r="CVJ28" s="16" t="str">
        <f t="shared" ca="1" si="144"/>
        <v/>
      </c>
      <c r="CVK28" s="16" t="str">
        <f t="shared" ca="1" si="145"/>
        <v/>
      </c>
      <c r="CVL28" s="16" t="str">
        <f t="shared" ca="1" si="146"/>
        <v/>
      </c>
      <c r="CVM28" s="16" t="str">
        <f t="shared" ca="1" si="147"/>
        <v/>
      </c>
      <c r="CVN28" s="16" t="str">
        <f t="shared" ca="1" si="148"/>
        <v/>
      </c>
      <c r="CVO28" s="58" t="str">
        <f t="shared" si="149"/>
        <v>макаровгригорий</v>
      </c>
      <c r="CVP28" s="58" t="str">
        <f>IFERROR(VLOOKUP(CVO28,'Внешние данные'!A:Z,4,FALSE),"")</f>
        <v/>
      </c>
    </row>
    <row r="29" spans="1:894 2533:2616" s="16" customFormat="1" ht="13.8" x14ac:dyDescent="0.25">
      <c r="A29" s="2" t="s">
        <v>2363</v>
      </c>
      <c r="B29" s="2" t="s">
        <v>2481</v>
      </c>
      <c r="C29" s="57" t="s">
        <v>2409</v>
      </c>
      <c r="D29" s="35">
        <v>6</v>
      </c>
      <c r="E29" s="58">
        <v>57</v>
      </c>
      <c r="G29" s="16" t="s">
        <v>1393</v>
      </c>
      <c r="H29" s="53">
        <f t="shared" ca="1" si="99"/>
        <v>0.75</v>
      </c>
      <c r="I29" s="35">
        <f t="shared" ca="1" si="100"/>
        <v>0</v>
      </c>
      <c r="J29" s="35">
        <f t="shared" ca="1" si="101"/>
        <v>8</v>
      </c>
      <c r="K29" s="49">
        <f t="shared" ca="1" si="102"/>
        <v>8</v>
      </c>
      <c r="L29" s="16">
        <v>205</v>
      </c>
      <c r="M29" s="12"/>
      <c r="N29" s="12"/>
      <c r="O29" s="4"/>
      <c r="P29" s="4">
        <v>425</v>
      </c>
      <c r="Q29" s="4">
        <v>425</v>
      </c>
      <c r="R29" s="4">
        <v>205</v>
      </c>
      <c r="S29" s="4">
        <v>205</v>
      </c>
      <c r="T29" s="4">
        <v>205</v>
      </c>
      <c r="U29" s="4"/>
      <c r="V29" s="4">
        <v>205</v>
      </c>
      <c r="W29" s="4">
        <v>205</v>
      </c>
      <c r="X29" s="4">
        <v>205</v>
      </c>
      <c r="Y29" s="4">
        <v>205</v>
      </c>
      <c r="Z29" s="4">
        <v>205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IE29" s="16">
        <v>1</v>
      </c>
      <c r="IF29" s="16">
        <v>1</v>
      </c>
      <c r="IG29" s="16">
        <v>1</v>
      </c>
      <c r="IH29" s="16">
        <v>1</v>
      </c>
      <c r="II29" s="16">
        <v>1</v>
      </c>
      <c r="IJ29" s="16">
        <v>1</v>
      </c>
      <c r="IN29" s="16">
        <v>1</v>
      </c>
      <c r="IQ29" s="16">
        <v>1</v>
      </c>
      <c r="KO29" s="16">
        <v>1</v>
      </c>
      <c r="KP29" s="16">
        <v>1</v>
      </c>
      <c r="KQ29" s="16">
        <v>1</v>
      </c>
      <c r="KR29" s="16">
        <v>1</v>
      </c>
      <c r="KS29" s="16">
        <v>1</v>
      </c>
      <c r="KV29" s="16">
        <v>1</v>
      </c>
      <c r="PI29" s="16">
        <v>1</v>
      </c>
      <c r="PJ29" s="16">
        <v>1</v>
      </c>
      <c r="PK29" s="16">
        <v>1</v>
      </c>
      <c r="PL29" s="16">
        <v>1</v>
      </c>
      <c r="PM29" s="16">
        <v>1</v>
      </c>
      <c r="PN29" s="16">
        <v>1</v>
      </c>
      <c r="RS29" s="16">
        <v>1</v>
      </c>
      <c r="RT29" s="16">
        <v>1</v>
      </c>
      <c r="RU29" s="16">
        <v>1</v>
      </c>
      <c r="RV29" s="16">
        <v>1</v>
      </c>
      <c r="RW29" s="16">
        <v>1</v>
      </c>
      <c r="SA29" s="16">
        <v>1</v>
      </c>
      <c r="SB29" s="16">
        <v>1</v>
      </c>
      <c r="SD29" s="16">
        <v>1</v>
      </c>
      <c r="WM29" s="16">
        <v>1</v>
      </c>
      <c r="WN29" s="16">
        <v>1</v>
      </c>
      <c r="WP29" s="16">
        <v>1</v>
      </c>
      <c r="WQ29" s="16">
        <v>1</v>
      </c>
      <c r="WR29" s="16">
        <v>1</v>
      </c>
      <c r="WS29" s="16">
        <v>1</v>
      </c>
      <c r="WT29" s="16">
        <v>1</v>
      </c>
      <c r="WU29" s="16">
        <v>1</v>
      </c>
      <c r="WV29" s="16">
        <v>1</v>
      </c>
      <c r="WW29" s="16">
        <v>1</v>
      </c>
      <c r="WX29" s="16">
        <v>1</v>
      </c>
      <c r="YW29" s="16" t="s">
        <v>2961</v>
      </c>
      <c r="ABG29" s="16">
        <v>1</v>
      </c>
      <c r="ABI29" s="16">
        <v>1</v>
      </c>
      <c r="ABJ29" s="16">
        <v>1</v>
      </c>
      <c r="ABK29" s="16">
        <v>1</v>
      </c>
      <c r="ABM29" s="16">
        <v>1</v>
      </c>
      <c r="ABO29" s="16">
        <v>1</v>
      </c>
      <c r="ABS29" s="16">
        <v>1</v>
      </c>
      <c r="ABT29" s="16">
        <v>1</v>
      </c>
      <c r="ABU29" s="16">
        <v>1</v>
      </c>
      <c r="ADQ29" s="16">
        <v>1</v>
      </c>
      <c r="ADR29" s="16">
        <v>1</v>
      </c>
      <c r="ADS29" s="16">
        <v>1</v>
      </c>
      <c r="ADT29" s="16">
        <v>1</v>
      </c>
      <c r="ADU29" s="16">
        <v>1</v>
      </c>
      <c r="ADV29" s="16">
        <v>1</v>
      </c>
      <c r="ADW29" s="16">
        <v>1</v>
      </c>
      <c r="ADX29" s="16">
        <v>1</v>
      </c>
      <c r="ADY29" s="16">
        <v>1</v>
      </c>
      <c r="ADZ29" s="16">
        <v>1</v>
      </c>
      <c r="AEA29" s="16">
        <v>1</v>
      </c>
      <c r="AEB29" s="16">
        <v>1</v>
      </c>
      <c r="AED29" s="16">
        <v>1</v>
      </c>
      <c r="AEG29" s="16">
        <v>1</v>
      </c>
      <c r="AEH29" s="16">
        <v>1</v>
      </c>
      <c r="AGA29" s="16">
        <v>1</v>
      </c>
      <c r="AGB29" s="16">
        <v>1</v>
      </c>
      <c r="AGC29" s="16">
        <v>1</v>
      </c>
      <c r="AGE29" s="16">
        <v>1</v>
      </c>
      <c r="AGG29" s="16">
        <v>1</v>
      </c>
      <c r="AGH29" s="16">
        <v>1</v>
      </c>
      <c r="AGI29" s="16">
        <v>1</v>
      </c>
      <c r="AGJ29" s="16">
        <v>1</v>
      </c>
      <c r="AGK29" s="16">
        <v>1</v>
      </c>
      <c r="CSK29" s="54" t="str">
        <f t="shared" si="103"/>
        <v>X</v>
      </c>
      <c r="CSL29" s="35" t="str">
        <f t="shared" ca="1" si="154"/>
        <v/>
      </c>
      <c r="CSM29" s="35" t="str">
        <f t="shared" ca="1" si="154"/>
        <v/>
      </c>
      <c r="CSN29" s="35" t="str">
        <f t="shared" ca="1" si="154"/>
        <v/>
      </c>
      <c r="CSO29" s="35">
        <f t="shared" ca="1" si="154"/>
        <v>1</v>
      </c>
      <c r="CSP29" s="35">
        <f t="shared" ca="1" si="154"/>
        <v>1</v>
      </c>
      <c r="CSQ29" s="72" t="str">
        <f t="shared" ca="1" si="154"/>
        <v/>
      </c>
      <c r="CSR29" s="35">
        <f t="shared" ca="1" si="154"/>
        <v>1</v>
      </c>
      <c r="CSS29" s="35">
        <f t="shared" ca="1" si="154"/>
        <v>1</v>
      </c>
      <c r="CST29" s="35" t="str">
        <f t="shared" ca="1" si="154"/>
        <v/>
      </c>
      <c r="CSU29" s="35">
        <f t="shared" ca="1" si="154"/>
        <v>1</v>
      </c>
      <c r="CSV29" s="35" t="str">
        <f t="shared" ca="1" si="155"/>
        <v/>
      </c>
      <c r="CSW29" s="35">
        <f t="shared" ca="1" si="155"/>
        <v>1</v>
      </c>
      <c r="CSX29" s="35">
        <f t="shared" ca="1" si="155"/>
        <v>1</v>
      </c>
      <c r="CSY29" s="35">
        <f t="shared" ca="1" si="155"/>
        <v>1</v>
      </c>
      <c r="CSZ29" s="35" t="str">
        <f t="shared" ca="1" si="155"/>
        <v/>
      </c>
      <c r="CTA29" s="35" t="str">
        <f t="shared" ca="1" si="155"/>
        <v/>
      </c>
      <c r="CTB29" s="35" t="str">
        <f t="shared" ca="1" si="155"/>
        <v/>
      </c>
      <c r="CTC29" s="35" t="str">
        <f t="shared" ca="1" si="155"/>
        <v/>
      </c>
      <c r="CTD29" s="35" t="str">
        <f t="shared" ca="1" si="155"/>
        <v/>
      </c>
      <c r="CTE29" s="35" t="str">
        <f t="shared" ca="1" si="155"/>
        <v/>
      </c>
      <c r="CTF29" s="35" t="str">
        <f t="shared" ca="1" si="156"/>
        <v/>
      </c>
      <c r="CTG29" s="35" t="str">
        <f t="shared" ca="1" si="156"/>
        <v/>
      </c>
      <c r="CTH29" s="35" t="str">
        <f t="shared" ca="1" si="156"/>
        <v/>
      </c>
      <c r="CTI29" s="35" t="str">
        <f t="shared" ca="1" si="156"/>
        <v/>
      </c>
      <c r="CTJ29" s="35" t="str">
        <f t="shared" ca="1" si="156"/>
        <v/>
      </c>
      <c r="CTK29" s="35" t="str">
        <f t="shared" ca="1" si="156"/>
        <v/>
      </c>
      <c r="CTL29" s="35" t="str">
        <f t="shared" ca="1" si="156"/>
        <v/>
      </c>
      <c r="CTM29" s="35" t="str">
        <f t="shared" ca="1" si="156"/>
        <v/>
      </c>
      <c r="CTN29" s="35" t="str">
        <f t="shared" ca="1" si="156"/>
        <v/>
      </c>
      <c r="CTO29" s="35" t="str">
        <f t="shared" ca="1" si="156"/>
        <v/>
      </c>
      <c r="CTP29" s="35" t="str">
        <f t="shared" ca="1" si="157"/>
        <v/>
      </c>
      <c r="CTQ29" s="35" t="str">
        <f t="shared" ca="1" si="157"/>
        <v/>
      </c>
      <c r="CTR29" s="35" t="str">
        <f t="shared" ca="1" si="157"/>
        <v/>
      </c>
      <c r="CTS29" s="35" t="str">
        <f t="shared" ca="1" si="157"/>
        <v/>
      </c>
      <c r="CTT29" s="35" t="str">
        <f t="shared" ca="1" si="157"/>
        <v/>
      </c>
      <c r="CTU29" s="35" t="str">
        <f t="shared" ca="1" si="157"/>
        <v/>
      </c>
      <c r="CTV29" s="35" t="str">
        <f t="shared" ca="1" si="157"/>
        <v/>
      </c>
      <c r="CTW29" s="35" t="str">
        <f t="shared" ca="1" si="157"/>
        <v/>
      </c>
      <c r="CTX29" s="35" t="str">
        <f t="shared" ca="1" si="157"/>
        <v/>
      </c>
      <c r="CTY29" s="35" t="str">
        <f t="shared" ca="1" si="157"/>
        <v/>
      </c>
      <c r="CTZ29" s="56" t="str">
        <f t="shared" si="108"/>
        <v>X</v>
      </c>
      <c r="CUA29" s="58" t="str">
        <f t="shared" ca="1" si="109"/>
        <v/>
      </c>
      <c r="CUB29" s="16" t="str">
        <f t="shared" ca="1" si="110"/>
        <v/>
      </c>
      <c r="CUC29" s="16" t="str">
        <f t="shared" ca="1" si="111"/>
        <v/>
      </c>
      <c r="CUD29" s="16">
        <f t="shared" ca="1" si="112"/>
        <v>7</v>
      </c>
      <c r="CUE29" s="16">
        <f t="shared" ca="1" si="113"/>
        <v>5</v>
      </c>
      <c r="CUF29" s="16" t="str">
        <f t="shared" ca="1" si="114"/>
        <v/>
      </c>
      <c r="CUG29" s="16">
        <f t="shared" ca="1" si="115"/>
        <v>5</v>
      </c>
      <c r="CUH29" s="16">
        <f t="shared" ca="1" si="116"/>
        <v>7</v>
      </c>
      <c r="CUI29" s="16" t="str">
        <f t="shared" ca="1" si="117"/>
        <v/>
      </c>
      <c r="CUJ29" s="16">
        <f t="shared" ca="1" si="118"/>
        <v>10</v>
      </c>
      <c r="CUK29" s="16" t="str">
        <f t="shared" ca="1" si="119"/>
        <v/>
      </c>
      <c r="CUL29" s="16">
        <f t="shared" ca="1" si="120"/>
        <v>8</v>
      </c>
      <c r="CUM29" s="16">
        <f t="shared" ca="1" si="121"/>
        <v>14</v>
      </c>
      <c r="CUN29" s="16">
        <f t="shared" ca="1" si="122"/>
        <v>8</v>
      </c>
      <c r="CUO29" s="16" t="str">
        <f t="shared" ca="1" si="123"/>
        <v/>
      </c>
      <c r="CUP29" s="16" t="str">
        <f t="shared" ca="1" si="124"/>
        <v/>
      </c>
      <c r="CUQ29" s="16" t="str">
        <f t="shared" ca="1" si="125"/>
        <v/>
      </c>
      <c r="CUR29" s="16" t="str">
        <f t="shared" ca="1" si="126"/>
        <v/>
      </c>
      <c r="CUS29" s="16" t="str">
        <f t="shared" ca="1" si="127"/>
        <v/>
      </c>
      <c r="CUT29" s="16" t="str">
        <f t="shared" ca="1" si="128"/>
        <v/>
      </c>
      <c r="CUU29" s="16" t="str">
        <f t="shared" ca="1" si="129"/>
        <v/>
      </c>
      <c r="CUV29" s="16" t="str">
        <f t="shared" ca="1" si="130"/>
        <v/>
      </c>
      <c r="CUW29" s="16" t="str">
        <f t="shared" ca="1" si="131"/>
        <v/>
      </c>
      <c r="CUX29" s="16" t="str">
        <f t="shared" ca="1" si="132"/>
        <v/>
      </c>
      <c r="CUY29" s="16" t="str">
        <f t="shared" ca="1" si="133"/>
        <v/>
      </c>
      <c r="CUZ29" s="16" t="str">
        <f t="shared" ca="1" si="134"/>
        <v/>
      </c>
      <c r="CVA29" s="16" t="str">
        <f t="shared" ca="1" si="135"/>
        <v/>
      </c>
      <c r="CVB29" s="16" t="str">
        <f t="shared" ca="1" si="136"/>
        <v/>
      </c>
      <c r="CVC29" s="16" t="str">
        <f t="shared" ca="1" si="137"/>
        <v/>
      </c>
      <c r="CVD29" s="16" t="str">
        <f t="shared" ca="1" si="138"/>
        <v/>
      </c>
      <c r="CVE29" s="16" t="str">
        <f t="shared" ca="1" si="139"/>
        <v/>
      </c>
      <c r="CVF29" s="16" t="str">
        <f t="shared" ca="1" si="140"/>
        <v/>
      </c>
      <c r="CVG29" s="16" t="str">
        <f t="shared" ca="1" si="141"/>
        <v/>
      </c>
      <c r="CVH29" s="16" t="str">
        <f t="shared" ca="1" si="142"/>
        <v/>
      </c>
      <c r="CVI29" s="16" t="str">
        <f t="shared" ca="1" si="143"/>
        <v/>
      </c>
      <c r="CVJ29" s="16" t="str">
        <f t="shared" ca="1" si="144"/>
        <v/>
      </c>
      <c r="CVK29" s="16" t="str">
        <f t="shared" ca="1" si="145"/>
        <v/>
      </c>
      <c r="CVL29" s="16" t="str">
        <f t="shared" ca="1" si="146"/>
        <v/>
      </c>
      <c r="CVM29" s="16" t="str">
        <f t="shared" ca="1" si="147"/>
        <v/>
      </c>
      <c r="CVN29" s="16" t="str">
        <f t="shared" ca="1" si="148"/>
        <v/>
      </c>
      <c r="CVO29" s="58" t="str">
        <f t="shared" si="149"/>
        <v>никитинегор57</v>
      </c>
      <c r="CVP29" s="58" t="str">
        <f>IFERROR(VLOOKUP(CVO29,'Внешние данные'!A:Z,4,FALSE),"")</f>
        <v/>
      </c>
    </row>
    <row r="30" spans="1:894 2533:2616" s="16" customFormat="1" ht="13.8" x14ac:dyDescent="0.25">
      <c r="A30" s="2" t="s">
        <v>2363</v>
      </c>
      <c r="B30" s="2" t="s">
        <v>2482</v>
      </c>
      <c r="C30" s="57" t="s">
        <v>2410</v>
      </c>
      <c r="D30" s="35">
        <v>5</v>
      </c>
      <c r="E30" s="58">
        <v>179</v>
      </c>
      <c r="G30" s="16" t="s">
        <v>1393</v>
      </c>
      <c r="H30" s="53">
        <f t="shared" ca="1" si="99"/>
        <v>0.22222222222222221</v>
      </c>
      <c r="I30" s="35">
        <f t="shared" ca="1" si="100"/>
        <v>7</v>
      </c>
      <c r="J30" s="35">
        <f t="shared" ca="1" si="101"/>
        <v>1</v>
      </c>
      <c r="K30" s="49">
        <f t="shared" ca="1" si="102"/>
        <v>0</v>
      </c>
      <c r="L30" s="16">
        <v>305</v>
      </c>
      <c r="M30" s="12"/>
      <c r="N30" s="12"/>
      <c r="O30" s="4"/>
      <c r="P30" s="4"/>
      <c r="Q30" s="4"/>
      <c r="R30" s="4">
        <v>425</v>
      </c>
      <c r="S30" s="4">
        <v>425</v>
      </c>
      <c r="T30" s="4">
        <v>425</v>
      </c>
      <c r="U30" s="4"/>
      <c r="V30" s="4">
        <v>425</v>
      </c>
      <c r="W30" s="4">
        <v>425</v>
      </c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PI30" s="16">
        <v>1</v>
      </c>
      <c r="RS30" s="16" t="s">
        <v>2961</v>
      </c>
      <c r="WM30" s="16" t="s">
        <v>2961</v>
      </c>
      <c r="YW30" s="16" t="s">
        <v>2961</v>
      </c>
      <c r="AGA30" s="16" t="s">
        <v>2961</v>
      </c>
      <c r="CSK30" s="54" t="str">
        <f t="shared" si="103"/>
        <v>X</v>
      </c>
      <c r="CSL30" s="35" t="str">
        <f t="shared" ca="1" si="154"/>
        <v/>
      </c>
      <c r="CSM30" s="35" t="str">
        <f t="shared" ca="1" si="154"/>
        <v/>
      </c>
      <c r="CSN30" s="35" t="str">
        <f t="shared" ca="1" si="154"/>
        <v/>
      </c>
      <c r="CSO30" s="35" t="str">
        <f t="shared" ca="1" si="154"/>
        <v/>
      </c>
      <c r="CSP30" s="35" t="str">
        <f t="shared" ca="1" si="154"/>
        <v/>
      </c>
      <c r="CSQ30" s="72" t="str">
        <f t="shared" ca="1" si="154"/>
        <v/>
      </c>
      <c r="CSR30" s="35">
        <f t="shared" ca="1" si="154"/>
        <v>1</v>
      </c>
      <c r="CSS30" s="35" t="str">
        <f t="shared" ca="1" si="154"/>
        <v/>
      </c>
      <c r="CST30" s="35" t="str">
        <f t="shared" ca="1" si="154"/>
        <v/>
      </c>
      <c r="CSU30" s="35" t="str">
        <f t="shared" ca="1" si="154"/>
        <v/>
      </c>
      <c r="CSV30" s="35" t="str">
        <f t="shared" ca="1" si="155"/>
        <v/>
      </c>
      <c r="CSW30" s="35" t="str">
        <f t="shared" ca="1" si="155"/>
        <v/>
      </c>
      <c r="CSX30" s="35" t="str">
        <f t="shared" ca="1" si="155"/>
        <v/>
      </c>
      <c r="CSY30" s="35" t="str">
        <f t="shared" ca="1" si="155"/>
        <v/>
      </c>
      <c r="CSZ30" s="35" t="str">
        <f t="shared" ca="1" si="155"/>
        <v/>
      </c>
      <c r="CTA30" s="35" t="str">
        <f t="shared" ca="1" si="155"/>
        <v/>
      </c>
      <c r="CTB30" s="35" t="str">
        <f t="shared" ca="1" si="155"/>
        <v/>
      </c>
      <c r="CTC30" s="35" t="str">
        <f t="shared" ca="1" si="155"/>
        <v/>
      </c>
      <c r="CTD30" s="35" t="str">
        <f t="shared" ca="1" si="155"/>
        <v/>
      </c>
      <c r="CTE30" s="35" t="str">
        <f t="shared" ca="1" si="155"/>
        <v/>
      </c>
      <c r="CTF30" s="35" t="str">
        <f t="shared" ca="1" si="156"/>
        <v/>
      </c>
      <c r="CTG30" s="35" t="str">
        <f t="shared" ca="1" si="156"/>
        <v/>
      </c>
      <c r="CTH30" s="35" t="str">
        <f t="shared" ca="1" si="156"/>
        <v/>
      </c>
      <c r="CTI30" s="35" t="str">
        <f t="shared" ca="1" si="156"/>
        <v/>
      </c>
      <c r="CTJ30" s="35" t="str">
        <f t="shared" ca="1" si="156"/>
        <v/>
      </c>
      <c r="CTK30" s="35" t="str">
        <f t="shared" ca="1" si="156"/>
        <v/>
      </c>
      <c r="CTL30" s="35" t="str">
        <f t="shared" ca="1" si="156"/>
        <v/>
      </c>
      <c r="CTM30" s="35" t="str">
        <f t="shared" ca="1" si="156"/>
        <v/>
      </c>
      <c r="CTN30" s="35" t="str">
        <f t="shared" ca="1" si="156"/>
        <v/>
      </c>
      <c r="CTO30" s="35" t="str">
        <f t="shared" ca="1" si="156"/>
        <v/>
      </c>
      <c r="CTP30" s="35" t="str">
        <f t="shared" ca="1" si="157"/>
        <v/>
      </c>
      <c r="CTQ30" s="35" t="str">
        <f t="shared" ca="1" si="157"/>
        <v/>
      </c>
      <c r="CTR30" s="35" t="str">
        <f t="shared" ca="1" si="157"/>
        <v/>
      </c>
      <c r="CTS30" s="35" t="str">
        <f t="shared" ca="1" si="157"/>
        <v/>
      </c>
      <c r="CTT30" s="35" t="str">
        <f t="shared" ca="1" si="157"/>
        <v/>
      </c>
      <c r="CTU30" s="35" t="str">
        <f t="shared" ca="1" si="157"/>
        <v/>
      </c>
      <c r="CTV30" s="35" t="str">
        <f t="shared" ca="1" si="157"/>
        <v/>
      </c>
      <c r="CTW30" s="35" t="str">
        <f t="shared" ca="1" si="157"/>
        <v/>
      </c>
      <c r="CTX30" s="35" t="str">
        <f t="shared" ca="1" si="157"/>
        <v/>
      </c>
      <c r="CTY30" s="35" t="str">
        <f t="shared" ca="1" si="157"/>
        <v/>
      </c>
      <c r="CTZ30" s="56" t="str">
        <f t="shared" si="108"/>
        <v>X</v>
      </c>
      <c r="CUA30" s="58" t="str">
        <f t="shared" ca="1" si="109"/>
        <v/>
      </c>
      <c r="CUB30" s="16" t="str">
        <f t="shared" ca="1" si="110"/>
        <v/>
      </c>
      <c r="CUC30" s="16" t="str">
        <f t="shared" ca="1" si="111"/>
        <v/>
      </c>
      <c r="CUD30" s="16" t="str">
        <f t="shared" ca="1" si="112"/>
        <v/>
      </c>
      <c r="CUE30" s="16" t="str">
        <f t="shared" ca="1" si="113"/>
        <v/>
      </c>
      <c r="CUF30" s="16" t="str">
        <f t="shared" ca="1" si="114"/>
        <v/>
      </c>
      <c r="CUG30" s="16">
        <f t="shared" ca="1" si="115"/>
        <v>0</v>
      </c>
      <c r="CUH30" s="16" t="str">
        <f t="shared" ca="1" si="116"/>
        <v/>
      </c>
      <c r="CUI30" s="16" t="str">
        <f t="shared" ca="1" si="117"/>
        <v/>
      </c>
      <c r="CUJ30" s="16" t="str">
        <f t="shared" ca="1" si="118"/>
        <v/>
      </c>
      <c r="CUK30" s="16" t="str">
        <f t="shared" ca="1" si="119"/>
        <v/>
      </c>
      <c r="CUL30" s="16" t="str">
        <f t="shared" ca="1" si="120"/>
        <v/>
      </c>
      <c r="CUM30" s="16" t="str">
        <f t="shared" ca="1" si="121"/>
        <v/>
      </c>
      <c r="CUN30" s="16" t="str">
        <f t="shared" ca="1" si="122"/>
        <v/>
      </c>
      <c r="CUO30" s="16" t="str">
        <f t="shared" ca="1" si="123"/>
        <v/>
      </c>
      <c r="CUP30" s="16" t="str">
        <f t="shared" ca="1" si="124"/>
        <v/>
      </c>
      <c r="CUQ30" s="16" t="str">
        <f t="shared" ca="1" si="125"/>
        <v/>
      </c>
      <c r="CUR30" s="16" t="str">
        <f t="shared" ca="1" si="126"/>
        <v/>
      </c>
      <c r="CUS30" s="16" t="str">
        <f t="shared" ca="1" si="127"/>
        <v/>
      </c>
      <c r="CUT30" s="16" t="str">
        <f t="shared" ca="1" si="128"/>
        <v/>
      </c>
      <c r="CUU30" s="16" t="str">
        <f t="shared" ca="1" si="129"/>
        <v/>
      </c>
      <c r="CUV30" s="16" t="str">
        <f t="shared" ca="1" si="130"/>
        <v/>
      </c>
      <c r="CUW30" s="16" t="str">
        <f t="shared" ca="1" si="131"/>
        <v/>
      </c>
      <c r="CUX30" s="16" t="str">
        <f t="shared" ca="1" si="132"/>
        <v/>
      </c>
      <c r="CUY30" s="16" t="str">
        <f t="shared" ca="1" si="133"/>
        <v/>
      </c>
      <c r="CUZ30" s="16" t="str">
        <f t="shared" ca="1" si="134"/>
        <v/>
      </c>
      <c r="CVA30" s="16" t="str">
        <f t="shared" ca="1" si="135"/>
        <v/>
      </c>
      <c r="CVB30" s="16" t="str">
        <f t="shared" ca="1" si="136"/>
        <v/>
      </c>
      <c r="CVC30" s="16" t="str">
        <f t="shared" ca="1" si="137"/>
        <v/>
      </c>
      <c r="CVD30" s="16" t="str">
        <f t="shared" ca="1" si="138"/>
        <v/>
      </c>
      <c r="CVE30" s="16" t="str">
        <f t="shared" ca="1" si="139"/>
        <v/>
      </c>
      <c r="CVF30" s="16" t="str">
        <f t="shared" ca="1" si="140"/>
        <v/>
      </c>
      <c r="CVG30" s="16" t="str">
        <f t="shared" ca="1" si="141"/>
        <v/>
      </c>
      <c r="CVH30" s="16" t="str">
        <f t="shared" ca="1" si="142"/>
        <v/>
      </c>
      <c r="CVI30" s="16" t="str">
        <f t="shared" ca="1" si="143"/>
        <v/>
      </c>
      <c r="CVJ30" s="16" t="str">
        <f t="shared" ca="1" si="144"/>
        <v/>
      </c>
      <c r="CVK30" s="16" t="str">
        <f t="shared" ca="1" si="145"/>
        <v/>
      </c>
      <c r="CVL30" s="16" t="str">
        <f t="shared" ca="1" si="146"/>
        <v/>
      </c>
      <c r="CVM30" s="16" t="str">
        <f t="shared" ca="1" si="147"/>
        <v/>
      </c>
      <c r="CVN30" s="16" t="str">
        <f t="shared" ca="1" si="148"/>
        <v/>
      </c>
      <c r="CVO30" s="58" t="str">
        <f t="shared" si="149"/>
        <v>никитинегор179</v>
      </c>
      <c r="CVP30" s="58" t="str">
        <f>IFERROR(VLOOKUP(CVO30,'Внешние данные'!A:Z,4,FALSE),"")</f>
        <v/>
      </c>
    </row>
    <row r="31" spans="1:894 2533:2616" s="16" customFormat="1" ht="13.8" x14ac:dyDescent="0.25">
      <c r="A31" s="2" t="s">
        <v>2364</v>
      </c>
      <c r="B31" s="2" t="s">
        <v>2469</v>
      </c>
      <c r="C31" s="57" t="s">
        <v>2411</v>
      </c>
      <c r="D31" s="35">
        <v>6</v>
      </c>
      <c r="E31" s="58" t="s">
        <v>2303</v>
      </c>
      <c r="G31" s="16" t="s">
        <v>1392</v>
      </c>
      <c r="H31" s="53" t="str">
        <f t="shared" ca="1" si="99"/>
        <v/>
      </c>
      <c r="I31" s="35" t="str">
        <f t="shared" ca="1" si="100"/>
        <v/>
      </c>
      <c r="J31" s="35">
        <f t="shared" ca="1" si="101"/>
        <v>0</v>
      </c>
      <c r="K31" s="49" t="str">
        <f t="shared" ca="1" si="102"/>
        <v/>
      </c>
      <c r="L31" s="16">
        <v>308</v>
      </c>
      <c r="M31" s="12"/>
      <c r="N31" s="12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CSK31" s="54" t="str">
        <f t="shared" si="103"/>
        <v>X</v>
      </c>
      <c r="CSL31" s="35" t="str">
        <f t="shared" ca="1" si="154"/>
        <v/>
      </c>
      <c r="CSM31" s="35" t="str">
        <f t="shared" ca="1" si="154"/>
        <v/>
      </c>
      <c r="CSN31" s="35" t="str">
        <f t="shared" ca="1" si="154"/>
        <v/>
      </c>
      <c r="CSO31" s="35" t="str">
        <f t="shared" ca="1" si="154"/>
        <v/>
      </c>
      <c r="CSP31" s="35" t="str">
        <f t="shared" ca="1" si="154"/>
        <v/>
      </c>
      <c r="CSQ31" s="72" t="str">
        <f t="shared" ca="1" si="154"/>
        <v/>
      </c>
      <c r="CSR31" s="35" t="str">
        <f t="shared" ca="1" si="154"/>
        <v/>
      </c>
      <c r="CSS31" s="35" t="str">
        <f t="shared" ca="1" si="154"/>
        <v/>
      </c>
      <c r="CST31" s="35" t="str">
        <f t="shared" ca="1" si="154"/>
        <v/>
      </c>
      <c r="CSU31" s="35" t="str">
        <f t="shared" ca="1" si="154"/>
        <v/>
      </c>
      <c r="CSV31" s="35" t="str">
        <f t="shared" ca="1" si="155"/>
        <v/>
      </c>
      <c r="CSW31" s="35" t="str">
        <f t="shared" ca="1" si="155"/>
        <v/>
      </c>
      <c r="CSX31" s="35" t="str">
        <f t="shared" ca="1" si="155"/>
        <v/>
      </c>
      <c r="CSY31" s="35" t="str">
        <f t="shared" ca="1" si="155"/>
        <v/>
      </c>
      <c r="CSZ31" s="35" t="str">
        <f t="shared" ca="1" si="155"/>
        <v/>
      </c>
      <c r="CTA31" s="35" t="str">
        <f t="shared" ca="1" si="155"/>
        <v/>
      </c>
      <c r="CTB31" s="35" t="str">
        <f t="shared" ca="1" si="155"/>
        <v/>
      </c>
      <c r="CTC31" s="35" t="str">
        <f t="shared" ca="1" si="155"/>
        <v/>
      </c>
      <c r="CTD31" s="35" t="str">
        <f t="shared" ca="1" si="155"/>
        <v/>
      </c>
      <c r="CTE31" s="35" t="str">
        <f t="shared" ca="1" si="155"/>
        <v/>
      </c>
      <c r="CTF31" s="35" t="str">
        <f t="shared" ca="1" si="156"/>
        <v/>
      </c>
      <c r="CTG31" s="35" t="str">
        <f t="shared" ca="1" si="156"/>
        <v/>
      </c>
      <c r="CTH31" s="35" t="str">
        <f t="shared" ca="1" si="156"/>
        <v/>
      </c>
      <c r="CTI31" s="35" t="str">
        <f t="shared" ca="1" si="156"/>
        <v/>
      </c>
      <c r="CTJ31" s="35" t="str">
        <f t="shared" ca="1" si="156"/>
        <v/>
      </c>
      <c r="CTK31" s="35" t="str">
        <f t="shared" ca="1" si="156"/>
        <v/>
      </c>
      <c r="CTL31" s="35" t="str">
        <f t="shared" ca="1" si="156"/>
        <v/>
      </c>
      <c r="CTM31" s="35" t="str">
        <f t="shared" ca="1" si="156"/>
        <v/>
      </c>
      <c r="CTN31" s="35" t="str">
        <f t="shared" ca="1" si="156"/>
        <v/>
      </c>
      <c r="CTO31" s="35" t="str">
        <f t="shared" ca="1" si="156"/>
        <v/>
      </c>
      <c r="CTP31" s="35" t="str">
        <f t="shared" ca="1" si="157"/>
        <v/>
      </c>
      <c r="CTQ31" s="35" t="str">
        <f t="shared" ca="1" si="157"/>
        <v/>
      </c>
      <c r="CTR31" s="35" t="str">
        <f t="shared" ca="1" si="157"/>
        <v/>
      </c>
      <c r="CTS31" s="35" t="str">
        <f t="shared" ca="1" si="157"/>
        <v/>
      </c>
      <c r="CTT31" s="35" t="str">
        <f t="shared" ca="1" si="157"/>
        <v/>
      </c>
      <c r="CTU31" s="35" t="str">
        <f t="shared" ca="1" si="157"/>
        <v/>
      </c>
      <c r="CTV31" s="35" t="str">
        <f t="shared" ca="1" si="157"/>
        <v/>
      </c>
      <c r="CTW31" s="35" t="str">
        <f t="shared" ca="1" si="157"/>
        <v/>
      </c>
      <c r="CTX31" s="35" t="str">
        <f t="shared" ca="1" si="157"/>
        <v/>
      </c>
      <c r="CTY31" s="35" t="str">
        <f t="shared" ca="1" si="157"/>
        <v/>
      </c>
      <c r="CTZ31" s="56" t="str">
        <f t="shared" si="108"/>
        <v>X</v>
      </c>
      <c r="CUA31" s="58" t="str">
        <f t="shared" ca="1" si="109"/>
        <v/>
      </c>
      <c r="CUB31" s="16" t="str">
        <f t="shared" ca="1" si="110"/>
        <v/>
      </c>
      <c r="CUC31" s="16" t="str">
        <f t="shared" ca="1" si="111"/>
        <v/>
      </c>
      <c r="CUD31" s="16" t="str">
        <f t="shared" ca="1" si="112"/>
        <v/>
      </c>
      <c r="CUE31" s="16" t="str">
        <f t="shared" ca="1" si="113"/>
        <v/>
      </c>
      <c r="CUF31" s="16" t="str">
        <f t="shared" ca="1" si="114"/>
        <v/>
      </c>
      <c r="CUG31" s="16" t="str">
        <f t="shared" ca="1" si="115"/>
        <v/>
      </c>
      <c r="CUH31" s="16" t="str">
        <f t="shared" ca="1" si="116"/>
        <v/>
      </c>
      <c r="CUI31" s="16" t="str">
        <f t="shared" ca="1" si="117"/>
        <v/>
      </c>
      <c r="CUJ31" s="16" t="str">
        <f t="shared" ca="1" si="118"/>
        <v/>
      </c>
      <c r="CUK31" s="16" t="str">
        <f t="shared" ca="1" si="119"/>
        <v/>
      </c>
      <c r="CUL31" s="16" t="str">
        <f t="shared" ca="1" si="120"/>
        <v/>
      </c>
      <c r="CUM31" s="16" t="str">
        <f t="shared" ca="1" si="121"/>
        <v/>
      </c>
      <c r="CUN31" s="16" t="str">
        <f t="shared" ca="1" si="122"/>
        <v/>
      </c>
      <c r="CUO31" s="16" t="str">
        <f t="shared" ca="1" si="123"/>
        <v/>
      </c>
      <c r="CUP31" s="16" t="str">
        <f t="shared" ca="1" si="124"/>
        <v/>
      </c>
      <c r="CUQ31" s="16" t="str">
        <f t="shared" ca="1" si="125"/>
        <v/>
      </c>
      <c r="CUR31" s="16" t="str">
        <f t="shared" ca="1" si="126"/>
        <v/>
      </c>
      <c r="CUS31" s="16" t="str">
        <f t="shared" ca="1" si="127"/>
        <v/>
      </c>
      <c r="CUT31" s="16" t="str">
        <f t="shared" ca="1" si="128"/>
        <v/>
      </c>
      <c r="CUU31" s="16" t="str">
        <f t="shared" ca="1" si="129"/>
        <v/>
      </c>
      <c r="CUV31" s="16" t="str">
        <f t="shared" ca="1" si="130"/>
        <v/>
      </c>
      <c r="CUW31" s="16" t="str">
        <f t="shared" ca="1" si="131"/>
        <v/>
      </c>
      <c r="CUX31" s="16" t="str">
        <f t="shared" ca="1" si="132"/>
        <v/>
      </c>
      <c r="CUY31" s="16" t="str">
        <f t="shared" ca="1" si="133"/>
        <v/>
      </c>
      <c r="CUZ31" s="16" t="str">
        <f t="shared" ca="1" si="134"/>
        <v/>
      </c>
      <c r="CVA31" s="16" t="str">
        <f t="shared" ca="1" si="135"/>
        <v/>
      </c>
      <c r="CVB31" s="16" t="str">
        <f t="shared" ca="1" si="136"/>
        <v/>
      </c>
      <c r="CVC31" s="16" t="str">
        <f t="shared" ca="1" si="137"/>
        <v/>
      </c>
      <c r="CVD31" s="16" t="str">
        <f t="shared" ca="1" si="138"/>
        <v/>
      </c>
      <c r="CVE31" s="16" t="str">
        <f t="shared" ca="1" si="139"/>
        <v/>
      </c>
      <c r="CVF31" s="16" t="str">
        <f t="shared" ca="1" si="140"/>
        <v/>
      </c>
      <c r="CVG31" s="16" t="str">
        <f t="shared" ca="1" si="141"/>
        <v/>
      </c>
      <c r="CVH31" s="16" t="str">
        <f t="shared" ca="1" si="142"/>
        <v/>
      </c>
      <c r="CVI31" s="16" t="str">
        <f t="shared" ca="1" si="143"/>
        <v/>
      </c>
      <c r="CVJ31" s="16" t="str">
        <f t="shared" ca="1" si="144"/>
        <v/>
      </c>
      <c r="CVK31" s="16" t="str">
        <f t="shared" ca="1" si="145"/>
        <v/>
      </c>
      <c r="CVL31" s="16" t="str">
        <f t="shared" ca="1" si="146"/>
        <v/>
      </c>
      <c r="CVM31" s="16" t="str">
        <f t="shared" ca="1" si="147"/>
        <v/>
      </c>
      <c r="CVN31" s="16" t="str">
        <f t="shared" ca="1" si="148"/>
        <v/>
      </c>
      <c r="CVO31" s="58" t="str">
        <f t="shared" si="149"/>
        <v>зайцевмакар</v>
      </c>
      <c r="CVP31" s="58" t="str">
        <f>IFERROR(VLOOKUP(CVO31,'Внешние данные'!A:Z,4,FALSE),"")</f>
        <v/>
      </c>
    </row>
    <row r="32" spans="1:894 2533:2616" s="16" customFormat="1" ht="13.8" x14ac:dyDescent="0.25">
      <c r="A32" s="2" t="s">
        <v>2365</v>
      </c>
      <c r="B32" s="2" t="s">
        <v>2441</v>
      </c>
      <c r="C32" s="57" t="s">
        <v>2412</v>
      </c>
      <c r="D32" s="35">
        <v>5</v>
      </c>
      <c r="E32" s="58">
        <v>57</v>
      </c>
      <c r="G32" s="16" t="s">
        <v>1393</v>
      </c>
      <c r="H32" s="53" t="str">
        <f t="shared" ca="1" si="99"/>
        <v/>
      </c>
      <c r="I32" s="35" t="str">
        <f t="shared" ca="1" si="100"/>
        <v/>
      </c>
      <c r="J32" s="35">
        <f t="shared" ca="1" si="101"/>
        <v>0</v>
      </c>
      <c r="K32" s="49" t="str">
        <f t="shared" ca="1" si="102"/>
        <v/>
      </c>
      <c r="L32" s="16">
        <v>205</v>
      </c>
      <c r="M32" s="12"/>
      <c r="N32" s="12"/>
      <c r="O32" s="4"/>
      <c r="P32" s="4"/>
      <c r="Q32" s="4"/>
      <c r="R32" s="4">
        <v>445</v>
      </c>
      <c r="S32" s="4"/>
      <c r="T32" s="4">
        <v>445</v>
      </c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PI32" s="16" t="s">
        <v>2961</v>
      </c>
      <c r="RS32" s="16" t="s">
        <v>2961</v>
      </c>
      <c r="WM32" s="16" t="s">
        <v>2961</v>
      </c>
      <c r="YW32" s="16" t="s">
        <v>2961</v>
      </c>
      <c r="AGA32" s="16" t="s">
        <v>2961</v>
      </c>
      <c r="CSK32" s="54" t="str">
        <f t="shared" si="103"/>
        <v>X</v>
      </c>
      <c r="CSL32" s="35" t="str">
        <f t="shared" ca="1" si="154"/>
        <v/>
      </c>
      <c r="CSM32" s="35" t="str">
        <f t="shared" ca="1" si="154"/>
        <v/>
      </c>
      <c r="CSN32" s="35" t="str">
        <f t="shared" ca="1" si="154"/>
        <v/>
      </c>
      <c r="CSO32" s="35" t="str">
        <f t="shared" ca="1" si="154"/>
        <v/>
      </c>
      <c r="CSP32" s="35" t="str">
        <f t="shared" ca="1" si="154"/>
        <v/>
      </c>
      <c r="CSQ32" s="72" t="str">
        <f t="shared" ca="1" si="154"/>
        <v/>
      </c>
      <c r="CSR32" s="35" t="str">
        <f t="shared" ca="1" si="154"/>
        <v/>
      </c>
      <c r="CSS32" s="35" t="str">
        <f t="shared" ca="1" si="154"/>
        <v/>
      </c>
      <c r="CST32" s="35" t="str">
        <f t="shared" ca="1" si="154"/>
        <v/>
      </c>
      <c r="CSU32" s="35" t="str">
        <f t="shared" ca="1" si="154"/>
        <v/>
      </c>
      <c r="CSV32" s="35" t="str">
        <f t="shared" ca="1" si="155"/>
        <v/>
      </c>
      <c r="CSW32" s="35" t="str">
        <f t="shared" ca="1" si="155"/>
        <v/>
      </c>
      <c r="CSX32" s="35" t="str">
        <f t="shared" ca="1" si="155"/>
        <v/>
      </c>
      <c r="CSY32" s="35" t="str">
        <f t="shared" ca="1" si="155"/>
        <v/>
      </c>
      <c r="CSZ32" s="35" t="str">
        <f t="shared" ca="1" si="155"/>
        <v/>
      </c>
      <c r="CTA32" s="35" t="str">
        <f t="shared" ca="1" si="155"/>
        <v/>
      </c>
      <c r="CTB32" s="35" t="str">
        <f t="shared" ca="1" si="155"/>
        <v/>
      </c>
      <c r="CTC32" s="35" t="str">
        <f t="shared" ca="1" si="155"/>
        <v/>
      </c>
      <c r="CTD32" s="35" t="str">
        <f t="shared" ca="1" si="155"/>
        <v/>
      </c>
      <c r="CTE32" s="35" t="str">
        <f t="shared" ca="1" si="155"/>
        <v/>
      </c>
      <c r="CTF32" s="35" t="str">
        <f t="shared" ca="1" si="156"/>
        <v/>
      </c>
      <c r="CTG32" s="35" t="str">
        <f t="shared" ca="1" si="156"/>
        <v/>
      </c>
      <c r="CTH32" s="35" t="str">
        <f t="shared" ca="1" si="156"/>
        <v/>
      </c>
      <c r="CTI32" s="35" t="str">
        <f t="shared" ca="1" si="156"/>
        <v/>
      </c>
      <c r="CTJ32" s="35" t="str">
        <f t="shared" ca="1" si="156"/>
        <v/>
      </c>
      <c r="CTK32" s="35" t="str">
        <f t="shared" ca="1" si="156"/>
        <v/>
      </c>
      <c r="CTL32" s="35" t="str">
        <f t="shared" ca="1" si="156"/>
        <v/>
      </c>
      <c r="CTM32" s="35" t="str">
        <f t="shared" ca="1" si="156"/>
        <v/>
      </c>
      <c r="CTN32" s="35" t="str">
        <f t="shared" ca="1" si="156"/>
        <v/>
      </c>
      <c r="CTO32" s="35" t="str">
        <f t="shared" ca="1" si="156"/>
        <v/>
      </c>
      <c r="CTP32" s="35" t="str">
        <f t="shared" ca="1" si="157"/>
        <v/>
      </c>
      <c r="CTQ32" s="35" t="str">
        <f t="shared" ca="1" si="157"/>
        <v/>
      </c>
      <c r="CTR32" s="35" t="str">
        <f t="shared" ca="1" si="157"/>
        <v/>
      </c>
      <c r="CTS32" s="35" t="str">
        <f t="shared" ca="1" si="157"/>
        <v/>
      </c>
      <c r="CTT32" s="35" t="str">
        <f t="shared" ca="1" si="157"/>
        <v/>
      </c>
      <c r="CTU32" s="35" t="str">
        <f t="shared" ca="1" si="157"/>
        <v/>
      </c>
      <c r="CTV32" s="35" t="str">
        <f t="shared" ca="1" si="157"/>
        <v/>
      </c>
      <c r="CTW32" s="35" t="str">
        <f t="shared" ca="1" si="157"/>
        <v/>
      </c>
      <c r="CTX32" s="35" t="str">
        <f t="shared" ca="1" si="157"/>
        <v/>
      </c>
      <c r="CTY32" s="35" t="str">
        <f t="shared" ca="1" si="157"/>
        <v/>
      </c>
      <c r="CTZ32" s="56" t="str">
        <f t="shared" si="108"/>
        <v>X</v>
      </c>
      <c r="CUA32" s="58" t="str">
        <f t="shared" ca="1" si="109"/>
        <v/>
      </c>
      <c r="CUB32" s="16" t="str">
        <f t="shared" ca="1" si="110"/>
        <v/>
      </c>
      <c r="CUC32" s="16" t="str">
        <f t="shared" ca="1" si="111"/>
        <v/>
      </c>
      <c r="CUD32" s="16" t="str">
        <f t="shared" ca="1" si="112"/>
        <v/>
      </c>
      <c r="CUE32" s="16" t="str">
        <f t="shared" ca="1" si="113"/>
        <v/>
      </c>
      <c r="CUF32" s="16" t="str">
        <f t="shared" ca="1" si="114"/>
        <v/>
      </c>
      <c r="CUG32" s="16" t="str">
        <f t="shared" ca="1" si="115"/>
        <v/>
      </c>
      <c r="CUH32" s="16" t="str">
        <f t="shared" ca="1" si="116"/>
        <v/>
      </c>
      <c r="CUI32" s="16" t="str">
        <f t="shared" ca="1" si="117"/>
        <v/>
      </c>
      <c r="CUJ32" s="16" t="str">
        <f t="shared" ca="1" si="118"/>
        <v/>
      </c>
      <c r="CUK32" s="16" t="str">
        <f t="shared" ca="1" si="119"/>
        <v/>
      </c>
      <c r="CUL32" s="16" t="str">
        <f t="shared" ca="1" si="120"/>
        <v/>
      </c>
      <c r="CUM32" s="16" t="str">
        <f t="shared" ca="1" si="121"/>
        <v/>
      </c>
      <c r="CUN32" s="16" t="str">
        <f t="shared" ca="1" si="122"/>
        <v/>
      </c>
      <c r="CUO32" s="16" t="str">
        <f t="shared" ca="1" si="123"/>
        <v/>
      </c>
      <c r="CUP32" s="16" t="str">
        <f t="shared" ca="1" si="124"/>
        <v/>
      </c>
      <c r="CUQ32" s="16" t="str">
        <f t="shared" ca="1" si="125"/>
        <v/>
      </c>
      <c r="CUR32" s="16" t="str">
        <f t="shared" ca="1" si="126"/>
        <v/>
      </c>
      <c r="CUS32" s="16" t="str">
        <f t="shared" ca="1" si="127"/>
        <v/>
      </c>
      <c r="CUT32" s="16" t="str">
        <f t="shared" ca="1" si="128"/>
        <v/>
      </c>
      <c r="CUU32" s="16" t="str">
        <f t="shared" ca="1" si="129"/>
        <v/>
      </c>
      <c r="CUV32" s="16" t="str">
        <f t="shared" ca="1" si="130"/>
        <v/>
      </c>
      <c r="CUW32" s="16" t="str">
        <f t="shared" ca="1" si="131"/>
        <v/>
      </c>
      <c r="CUX32" s="16" t="str">
        <f t="shared" ca="1" si="132"/>
        <v/>
      </c>
      <c r="CUY32" s="16" t="str">
        <f t="shared" ca="1" si="133"/>
        <v/>
      </c>
      <c r="CUZ32" s="16" t="str">
        <f t="shared" ca="1" si="134"/>
        <v/>
      </c>
      <c r="CVA32" s="16" t="str">
        <f t="shared" ca="1" si="135"/>
        <v/>
      </c>
      <c r="CVB32" s="16" t="str">
        <f t="shared" ca="1" si="136"/>
        <v/>
      </c>
      <c r="CVC32" s="16" t="str">
        <f t="shared" ca="1" si="137"/>
        <v/>
      </c>
      <c r="CVD32" s="16" t="str">
        <f t="shared" ca="1" si="138"/>
        <v/>
      </c>
      <c r="CVE32" s="16" t="str">
        <f t="shared" ca="1" si="139"/>
        <v/>
      </c>
      <c r="CVF32" s="16" t="str">
        <f t="shared" ca="1" si="140"/>
        <v/>
      </c>
      <c r="CVG32" s="16" t="str">
        <f t="shared" ca="1" si="141"/>
        <v/>
      </c>
      <c r="CVH32" s="16" t="str">
        <f t="shared" ca="1" si="142"/>
        <v/>
      </c>
      <c r="CVI32" s="16" t="str">
        <f t="shared" ca="1" si="143"/>
        <v/>
      </c>
      <c r="CVJ32" s="16" t="str">
        <f t="shared" ca="1" si="144"/>
        <v/>
      </c>
      <c r="CVK32" s="16" t="str">
        <f t="shared" ca="1" si="145"/>
        <v/>
      </c>
      <c r="CVL32" s="16" t="str">
        <f t="shared" ca="1" si="146"/>
        <v/>
      </c>
      <c r="CVM32" s="16" t="str">
        <f t="shared" ca="1" si="147"/>
        <v/>
      </c>
      <c r="CVN32" s="16" t="str">
        <f t="shared" ca="1" si="148"/>
        <v/>
      </c>
      <c r="CVO32" s="58" t="str">
        <f t="shared" si="149"/>
        <v>соловьевматвей</v>
      </c>
      <c r="CVP32" s="58" t="str">
        <f>IFERROR(VLOOKUP(CVO32,'Внешние данные'!A:Z,4,FALSE),"")</f>
        <v/>
      </c>
    </row>
    <row r="33" spans="1:2616" s="16" customFormat="1" ht="13.8" x14ac:dyDescent="0.25">
      <c r="A33" s="2" t="s">
        <v>2366</v>
      </c>
      <c r="B33" s="2" t="s">
        <v>2457</v>
      </c>
      <c r="C33" s="57" t="s">
        <v>2413</v>
      </c>
      <c r="D33" s="35">
        <v>6</v>
      </c>
      <c r="E33" s="58">
        <v>179</v>
      </c>
      <c r="G33" s="16" t="s">
        <v>1393</v>
      </c>
      <c r="H33" s="53">
        <f t="shared" ca="1" si="99"/>
        <v>0.8666666666666667</v>
      </c>
      <c r="I33" s="35">
        <f t="shared" ca="1" si="100"/>
        <v>1</v>
      </c>
      <c r="J33" s="35">
        <f t="shared" ca="1" si="101"/>
        <v>12</v>
      </c>
      <c r="K33" s="49">
        <f t="shared" ca="1" si="102"/>
        <v>8.75</v>
      </c>
      <c r="L33" s="16">
        <v>305</v>
      </c>
      <c r="M33" s="12">
        <v>205</v>
      </c>
      <c r="N33" s="12">
        <v>205</v>
      </c>
      <c r="O33" s="4">
        <v>205</v>
      </c>
      <c r="P33" s="4">
        <v>205</v>
      </c>
      <c r="Q33" s="4">
        <v>205</v>
      </c>
      <c r="R33" s="4">
        <v>205</v>
      </c>
      <c r="S33" s="4">
        <v>205</v>
      </c>
      <c r="T33" s="4">
        <v>205</v>
      </c>
      <c r="U33" s="4"/>
      <c r="V33" s="4">
        <v>205</v>
      </c>
      <c r="W33" s="4">
        <v>205</v>
      </c>
      <c r="X33" s="4">
        <v>205</v>
      </c>
      <c r="Y33" s="4">
        <v>205</v>
      </c>
      <c r="Z33" s="4">
        <v>205</v>
      </c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16">
        <v>1</v>
      </c>
      <c r="BB33" s="16">
        <v>1</v>
      </c>
      <c r="BC33" s="16">
        <v>1</v>
      </c>
      <c r="BF33" s="16">
        <v>1</v>
      </c>
      <c r="BG33" s="16">
        <v>1</v>
      </c>
      <c r="BH33" s="16">
        <v>1</v>
      </c>
      <c r="DK33" s="16">
        <v>1</v>
      </c>
      <c r="DL33" s="16">
        <v>1</v>
      </c>
      <c r="DO33" s="16">
        <v>1</v>
      </c>
      <c r="DP33" s="16">
        <v>1</v>
      </c>
      <c r="DQ33" s="16">
        <v>1</v>
      </c>
      <c r="DR33" s="16">
        <v>1</v>
      </c>
      <c r="DS33" s="16">
        <v>1</v>
      </c>
      <c r="FU33" s="16">
        <v>1</v>
      </c>
      <c r="FV33" s="16">
        <v>1</v>
      </c>
      <c r="FW33" s="16">
        <v>1</v>
      </c>
      <c r="GC33" s="16">
        <v>1</v>
      </c>
      <c r="GD33" s="16">
        <v>1</v>
      </c>
      <c r="GE33" s="16">
        <v>1</v>
      </c>
      <c r="IE33" s="16">
        <v>1</v>
      </c>
      <c r="IL33" s="16">
        <v>1</v>
      </c>
      <c r="IM33" s="16">
        <v>1</v>
      </c>
      <c r="IN33" s="16">
        <v>1</v>
      </c>
      <c r="IO33" s="16">
        <v>1</v>
      </c>
      <c r="IP33" s="16">
        <v>1</v>
      </c>
      <c r="IQ33" s="16">
        <v>1</v>
      </c>
      <c r="IR33" s="16">
        <v>1</v>
      </c>
      <c r="KO33" s="16">
        <v>1</v>
      </c>
      <c r="KP33" s="16">
        <v>1</v>
      </c>
      <c r="KQ33" s="16">
        <v>1</v>
      </c>
      <c r="KS33" s="16">
        <v>1</v>
      </c>
      <c r="KT33" s="16">
        <v>1</v>
      </c>
      <c r="KU33" s="16">
        <v>1</v>
      </c>
      <c r="KV33" s="16">
        <v>1</v>
      </c>
      <c r="MY33" s="16">
        <v>1</v>
      </c>
      <c r="MZ33" s="16">
        <v>1</v>
      </c>
      <c r="NB33" s="16">
        <v>1</v>
      </c>
      <c r="NC33" s="16">
        <v>1</v>
      </c>
      <c r="ND33" s="16">
        <v>1</v>
      </c>
      <c r="NE33" s="16">
        <v>1</v>
      </c>
      <c r="NJ33" s="16">
        <v>1</v>
      </c>
      <c r="NM33" s="16">
        <v>1</v>
      </c>
      <c r="PI33" s="16">
        <v>1</v>
      </c>
      <c r="PJ33" s="16">
        <v>1</v>
      </c>
      <c r="PK33" s="16">
        <v>1</v>
      </c>
      <c r="PL33" s="16">
        <v>1</v>
      </c>
      <c r="PM33" s="16">
        <v>1</v>
      </c>
      <c r="PN33" s="16">
        <v>1</v>
      </c>
      <c r="PO33" s="16">
        <v>1</v>
      </c>
      <c r="PP33" s="16">
        <v>1</v>
      </c>
      <c r="PQ33" s="16">
        <v>1</v>
      </c>
      <c r="PR33" s="16">
        <v>1</v>
      </c>
      <c r="PS33" s="16">
        <v>1</v>
      </c>
      <c r="PT33" s="16">
        <v>1</v>
      </c>
      <c r="PU33" s="16">
        <v>1</v>
      </c>
      <c r="PX33" s="16">
        <v>1</v>
      </c>
      <c r="RS33" s="16">
        <v>1</v>
      </c>
      <c r="RU33" s="16">
        <v>1</v>
      </c>
      <c r="RV33" s="16">
        <v>1</v>
      </c>
      <c r="RX33" s="16">
        <v>1</v>
      </c>
      <c r="RY33" s="16">
        <v>1</v>
      </c>
      <c r="RZ33" s="16">
        <v>1</v>
      </c>
      <c r="SA33" s="16">
        <v>1</v>
      </c>
      <c r="SB33" s="16">
        <v>1</v>
      </c>
      <c r="SC33" s="16">
        <v>1</v>
      </c>
      <c r="SE33" s="16">
        <v>1</v>
      </c>
      <c r="SG33" s="16">
        <v>1</v>
      </c>
      <c r="WM33" s="16">
        <v>1</v>
      </c>
      <c r="WN33" s="16">
        <v>1</v>
      </c>
      <c r="WO33" s="16">
        <v>1</v>
      </c>
      <c r="WP33" s="16">
        <v>1</v>
      </c>
      <c r="WQ33" s="16">
        <v>1</v>
      </c>
      <c r="WS33" s="16">
        <v>1</v>
      </c>
      <c r="WU33" s="16">
        <v>1</v>
      </c>
      <c r="WV33" s="16">
        <v>1</v>
      </c>
      <c r="WW33" s="16">
        <v>1</v>
      </c>
      <c r="WX33" s="16">
        <v>1</v>
      </c>
      <c r="XB33" s="16">
        <v>1</v>
      </c>
      <c r="YW33" s="16">
        <v>1</v>
      </c>
      <c r="YX33" s="16">
        <v>1</v>
      </c>
      <c r="YY33" s="16">
        <v>1</v>
      </c>
      <c r="YZ33" s="16">
        <v>1</v>
      </c>
      <c r="ZB33" s="16">
        <v>1</v>
      </c>
      <c r="ZC33" s="16">
        <v>1</v>
      </c>
      <c r="ZD33" s="16">
        <v>1</v>
      </c>
      <c r="ZE33" s="16">
        <v>1</v>
      </c>
      <c r="ZN33" s="16">
        <v>1</v>
      </c>
      <c r="ABG33" s="16">
        <v>1</v>
      </c>
      <c r="ABH33" s="16">
        <v>1</v>
      </c>
      <c r="ABI33" s="16">
        <v>1</v>
      </c>
      <c r="ABJ33" s="16">
        <v>1</v>
      </c>
      <c r="ABK33" s="16">
        <v>1</v>
      </c>
      <c r="ABM33" s="16">
        <v>1</v>
      </c>
      <c r="ABN33" s="16">
        <v>1</v>
      </c>
      <c r="ABO33" s="16">
        <v>1</v>
      </c>
      <c r="ABP33" s="16">
        <v>1</v>
      </c>
      <c r="ABR33" s="16">
        <v>1</v>
      </c>
      <c r="ABS33" s="16">
        <v>1</v>
      </c>
      <c r="ABT33" s="16">
        <v>1</v>
      </c>
      <c r="ABU33" s="16">
        <v>1</v>
      </c>
      <c r="ABX33" s="16">
        <v>1</v>
      </c>
      <c r="ABY33" s="16">
        <v>1</v>
      </c>
      <c r="ADQ33" s="16">
        <v>1</v>
      </c>
      <c r="ADR33" s="16">
        <v>1</v>
      </c>
      <c r="ADS33" s="16">
        <v>1</v>
      </c>
      <c r="ADT33" s="16">
        <v>1</v>
      </c>
      <c r="ADU33" s="16">
        <v>1</v>
      </c>
      <c r="ADW33" s="16">
        <v>1</v>
      </c>
      <c r="ADX33" s="16">
        <v>1</v>
      </c>
      <c r="ADY33" s="16">
        <v>1</v>
      </c>
      <c r="ADZ33" s="16">
        <v>1</v>
      </c>
      <c r="AEA33" s="16">
        <v>1</v>
      </c>
      <c r="AEB33" s="16">
        <v>1</v>
      </c>
      <c r="AEE33" s="16">
        <v>1</v>
      </c>
      <c r="AEF33" s="16">
        <v>1</v>
      </c>
      <c r="AEG33" s="16">
        <v>1</v>
      </c>
      <c r="AEH33" s="16">
        <v>1</v>
      </c>
      <c r="AGA33" s="16" t="s">
        <v>2961</v>
      </c>
      <c r="CSK33" s="54" t="str">
        <f t="shared" si="103"/>
        <v>X</v>
      </c>
      <c r="CSL33" s="35">
        <f t="shared" ca="1" si="154"/>
        <v>1</v>
      </c>
      <c r="CSM33" s="35">
        <f t="shared" ca="1" si="154"/>
        <v>1</v>
      </c>
      <c r="CSN33" s="35">
        <f t="shared" ca="1" si="154"/>
        <v>1</v>
      </c>
      <c r="CSO33" s="35">
        <f t="shared" ca="1" si="154"/>
        <v>1</v>
      </c>
      <c r="CSP33" s="35">
        <f t="shared" ca="1" si="154"/>
        <v>1</v>
      </c>
      <c r="CSQ33" s="72">
        <f t="shared" ca="1" si="154"/>
        <v>1</v>
      </c>
      <c r="CSR33" s="35">
        <f t="shared" ca="1" si="154"/>
        <v>1</v>
      </c>
      <c r="CSS33" s="35">
        <f t="shared" ca="1" si="154"/>
        <v>1</v>
      </c>
      <c r="CST33" s="35" t="str">
        <f t="shared" ca="1" si="154"/>
        <v/>
      </c>
      <c r="CSU33" s="35">
        <f t="shared" ca="1" si="154"/>
        <v>1</v>
      </c>
      <c r="CSV33" s="35">
        <f t="shared" ca="1" si="155"/>
        <v>1</v>
      </c>
      <c r="CSW33" s="35">
        <f t="shared" ca="1" si="155"/>
        <v>1</v>
      </c>
      <c r="CSX33" s="35">
        <f t="shared" ca="1" si="155"/>
        <v>1</v>
      </c>
      <c r="CSY33" s="35" t="str">
        <f t="shared" ca="1" si="155"/>
        <v/>
      </c>
      <c r="CSZ33" s="35" t="str">
        <f t="shared" ca="1" si="155"/>
        <v/>
      </c>
      <c r="CTA33" s="35" t="str">
        <f t="shared" ca="1" si="155"/>
        <v/>
      </c>
      <c r="CTB33" s="35" t="str">
        <f t="shared" ca="1" si="155"/>
        <v/>
      </c>
      <c r="CTC33" s="35" t="str">
        <f t="shared" ca="1" si="155"/>
        <v/>
      </c>
      <c r="CTD33" s="35" t="str">
        <f t="shared" ca="1" si="155"/>
        <v/>
      </c>
      <c r="CTE33" s="35" t="str">
        <f t="shared" ca="1" si="155"/>
        <v/>
      </c>
      <c r="CTF33" s="35" t="str">
        <f t="shared" ca="1" si="156"/>
        <v/>
      </c>
      <c r="CTG33" s="35" t="str">
        <f t="shared" ca="1" si="156"/>
        <v/>
      </c>
      <c r="CTH33" s="35" t="str">
        <f t="shared" ca="1" si="156"/>
        <v/>
      </c>
      <c r="CTI33" s="35" t="str">
        <f t="shared" ca="1" si="156"/>
        <v/>
      </c>
      <c r="CTJ33" s="35" t="str">
        <f t="shared" ca="1" si="156"/>
        <v/>
      </c>
      <c r="CTK33" s="35" t="str">
        <f t="shared" ca="1" si="156"/>
        <v/>
      </c>
      <c r="CTL33" s="35" t="str">
        <f t="shared" ca="1" si="156"/>
        <v/>
      </c>
      <c r="CTM33" s="35" t="str">
        <f t="shared" ca="1" si="156"/>
        <v/>
      </c>
      <c r="CTN33" s="35" t="str">
        <f t="shared" ca="1" si="156"/>
        <v/>
      </c>
      <c r="CTO33" s="35" t="str">
        <f t="shared" ca="1" si="156"/>
        <v/>
      </c>
      <c r="CTP33" s="35" t="str">
        <f t="shared" ca="1" si="157"/>
        <v/>
      </c>
      <c r="CTQ33" s="35" t="str">
        <f t="shared" ca="1" si="157"/>
        <v/>
      </c>
      <c r="CTR33" s="35" t="str">
        <f t="shared" ca="1" si="157"/>
        <v/>
      </c>
      <c r="CTS33" s="35" t="str">
        <f t="shared" ca="1" si="157"/>
        <v/>
      </c>
      <c r="CTT33" s="35" t="str">
        <f t="shared" ca="1" si="157"/>
        <v/>
      </c>
      <c r="CTU33" s="35" t="str">
        <f t="shared" ca="1" si="157"/>
        <v/>
      </c>
      <c r="CTV33" s="35" t="str">
        <f t="shared" ca="1" si="157"/>
        <v/>
      </c>
      <c r="CTW33" s="35" t="str">
        <f t="shared" ca="1" si="157"/>
        <v/>
      </c>
      <c r="CTX33" s="35" t="str">
        <f t="shared" ca="1" si="157"/>
        <v/>
      </c>
      <c r="CTY33" s="35" t="str">
        <f t="shared" ca="1" si="157"/>
        <v/>
      </c>
      <c r="CTZ33" s="56" t="str">
        <f t="shared" si="108"/>
        <v>X</v>
      </c>
      <c r="CUA33" s="58">
        <f t="shared" ca="1" si="109"/>
        <v>5</v>
      </c>
      <c r="CUB33" s="16">
        <f t="shared" ca="1" si="110"/>
        <v>6</v>
      </c>
      <c r="CUC33" s="16">
        <f t="shared" ca="1" si="111"/>
        <v>5</v>
      </c>
      <c r="CUD33" s="16">
        <f t="shared" ca="1" si="112"/>
        <v>7</v>
      </c>
      <c r="CUE33" s="16">
        <f t="shared" ca="1" si="113"/>
        <v>6</v>
      </c>
      <c r="CUF33" s="16">
        <f t="shared" ca="1" si="114"/>
        <v>7</v>
      </c>
      <c r="CUG33" s="16">
        <f t="shared" ca="1" si="115"/>
        <v>13</v>
      </c>
      <c r="CUH33" s="16">
        <f t="shared" ca="1" si="116"/>
        <v>10</v>
      </c>
      <c r="CUI33" s="16" t="str">
        <f t="shared" ca="1" si="117"/>
        <v/>
      </c>
      <c r="CUJ33" s="16">
        <f t="shared" ca="1" si="118"/>
        <v>10</v>
      </c>
      <c r="CUK33" s="16">
        <f t="shared" ca="1" si="119"/>
        <v>8</v>
      </c>
      <c r="CUL33" s="16">
        <f t="shared" ca="1" si="120"/>
        <v>14</v>
      </c>
      <c r="CUM33" s="16">
        <f t="shared" ca="1" si="121"/>
        <v>14</v>
      </c>
      <c r="CUN33" s="16" t="str">
        <f t="shared" ca="1" si="122"/>
        <v/>
      </c>
      <c r="CUO33" s="16" t="str">
        <f t="shared" ca="1" si="123"/>
        <v/>
      </c>
      <c r="CUP33" s="16" t="str">
        <f t="shared" ca="1" si="124"/>
        <v/>
      </c>
      <c r="CUQ33" s="16" t="str">
        <f t="shared" ca="1" si="125"/>
        <v/>
      </c>
      <c r="CUR33" s="16" t="str">
        <f t="shared" ca="1" si="126"/>
        <v/>
      </c>
      <c r="CUS33" s="16" t="str">
        <f t="shared" ca="1" si="127"/>
        <v/>
      </c>
      <c r="CUT33" s="16" t="str">
        <f t="shared" ca="1" si="128"/>
        <v/>
      </c>
      <c r="CUU33" s="16" t="str">
        <f t="shared" ca="1" si="129"/>
        <v/>
      </c>
      <c r="CUV33" s="16" t="str">
        <f t="shared" ca="1" si="130"/>
        <v/>
      </c>
      <c r="CUW33" s="16" t="str">
        <f t="shared" ca="1" si="131"/>
        <v/>
      </c>
      <c r="CUX33" s="16" t="str">
        <f t="shared" ca="1" si="132"/>
        <v/>
      </c>
      <c r="CUY33" s="16" t="str">
        <f t="shared" ca="1" si="133"/>
        <v/>
      </c>
      <c r="CUZ33" s="16" t="str">
        <f t="shared" ca="1" si="134"/>
        <v/>
      </c>
      <c r="CVA33" s="16" t="str">
        <f t="shared" ca="1" si="135"/>
        <v/>
      </c>
      <c r="CVB33" s="16" t="str">
        <f t="shared" ca="1" si="136"/>
        <v/>
      </c>
      <c r="CVC33" s="16" t="str">
        <f t="shared" ca="1" si="137"/>
        <v/>
      </c>
      <c r="CVD33" s="16" t="str">
        <f t="shared" ca="1" si="138"/>
        <v/>
      </c>
      <c r="CVE33" s="16" t="str">
        <f t="shared" ca="1" si="139"/>
        <v/>
      </c>
      <c r="CVF33" s="16" t="str">
        <f t="shared" ca="1" si="140"/>
        <v/>
      </c>
      <c r="CVG33" s="16" t="str">
        <f t="shared" ca="1" si="141"/>
        <v/>
      </c>
      <c r="CVH33" s="16" t="str">
        <f t="shared" ca="1" si="142"/>
        <v/>
      </c>
      <c r="CVI33" s="16" t="str">
        <f t="shared" ca="1" si="143"/>
        <v/>
      </c>
      <c r="CVJ33" s="16" t="str">
        <f t="shared" ca="1" si="144"/>
        <v/>
      </c>
      <c r="CVK33" s="16" t="str">
        <f t="shared" ca="1" si="145"/>
        <v/>
      </c>
      <c r="CVL33" s="16" t="str">
        <f t="shared" ca="1" si="146"/>
        <v/>
      </c>
      <c r="CVM33" s="16" t="str">
        <f t="shared" ca="1" si="147"/>
        <v/>
      </c>
      <c r="CVN33" s="16" t="str">
        <f t="shared" ca="1" si="148"/>
        <v/>
      </c>
      <c r="CVO33" s="58" t="str">
        <f t="shared" si="149"/>
        <v>борисовстепан</v>
      </c>
      <c r="CVP33" s="58" t="str">
        <f>IFERROR(VLOOKUP(CVO33,'Внешние данные'!A:Z,4,FALSE),"")</f>
        <v/>
      </c>
    </row>
    <row r="34" spans="1:2616" s="16" customFormat="1" ht="13.8" x14ac:dyDescent="0.25">
      <c r="A34" s="2" t="s">
        <v>2367</v>
      </c>
      <c r="B34" s="2" t="s">
        <v>2470</v>
      </c>
      <c r="C34" s="57" t="s">
        <v>2414</v>
      </c>
      <c r="D34" s="35">
        <v>5</v>
      </c>
      <c r="E34" s="58" t="s">
        <v>2303</v>
      </c>
      <c r="G34" s="16" t="s">
        <v>1392</v>
      </c>
      <c r="H34" s="53">
        <f t="shared" ca="1" si="99"/>
        <v>0.13333333333333333</v>
      </c>
      <c r="I34" s="35">
        <f t="shared" ca="1" si="100"/>
        <v>13</v>
      </c>
      <c r="J34" s="35">
        <f t="shared" ca="1" si="101"/>
        <v>1</v>
      </c>
      <c r="K34" s="49">
        <f t="shared" ca="1" si="102"/>
        <v>2</v>
      </c>
      <c r="L34" s="16">
        <v>308</v>
      </c>
      <c r="M34" s="12">
        <v>305</v>
      </c>
      <c r="N34" s="12">
        <v>301</v>
      </c>
      <c r="O34" s="4">
        <v>301</v>
      </c>
      <c r="P34" s="4">
        <v>301</v>
      </c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16">
        <v>1</v>
      </c>
      <c r="BB34" s="16">
        <v>1</v>
      </c>
      <c r="BH34" s="16">
        <v>1</v>
      </c>
      <c r="PI34" s="16" t="s">
        <v>2961</v>
      </c>
      <c r="RS34" s="16" t="s">
        <v>2961</v>
      </c>
      <c r="WM34" s="16" t="s">
        <v>2961</v>
      </c>
      <c r="YW34" s="16" t="s">
        <v>2961</v>
      </c>
      <c r="ABG34" s="16" t="s">
        <v>2961</v>
      </c>
      <c r="AGA34" s="16" t="s">
        <v>2961</v>
      </c>
      <c r="CSK34" s="54" t="str">
        <f t="shared" si="103"/>
        <v>X</v>
      </c>
      <c r="CSL34" s="35">
        <f t="shared" ca="1" si="154"/>
        <v>1</v>
      </c>
      <c r="CSM34" s="35" t="str">
        <f t="shared" ca="1" si="154"/>
        <v/>
      </c>
      <c r="CSN34" s="35" t="str">
        <f t="shared" ca="1" si="154"/>
        <v/>
      </c>
      <c r="CSO34" s="35" t="str">
        <f t="shared" ca="1" si="154"/>
        <v/>
      </c>
      <c r="CSP34" s="35" t="str">
        <f t="shared" ca="1" si="154"/>
        <v/>
      </c>
      <c r="CSQ34" s="72" t="str">
        <f t="shared" ca="1" si="154"/>
        <v/>
      </c>
      <c r="CSR34" s="35" t="str">
        <f t="shared" ca="1" si="154"/>
        <v/>
      </c>
      <c r="CSS34" s="35" t="str">
        <f t="shared" ca="1" si="154"/>
        <v/>
      </c>
      <c r="CST34" s="35" t="str">
        <f t="shared" ca="1" si="154"/>
        <v/>
      </c>
      <c r="CSU34" s="35" t="str">
        <f t="shared" ca="1" si="154"/>
        <v/>
      </c>
      <c r="CSV34" s="35" t="str">
        <f t="shared" ca="1" si="155"/>
        <v/>
      </c>
      <c r="CSW34" s="35" t="str">
        <f t="shared" ca="1" si="155"/>
        <v/>
      </c>
      <c r="CSX34" s="35" t="str">
        <f t="shared" ca="1" si="155"/>
        <v/>
      </c>
      <c r="CSY34" s="35" t="str">
        <f t="shared" ca="1" si="155"/>
        <v/>
      </c>
      <c r="CSZ34" s="35" t="str">
        <f t="shared" ca="1" si="155"/>
        <v/>
      </c>
      <c r="CTA34" s="35" t="str">
        <f t="shared" ca="1" si="155"/>
        <v/>
      </c>
      <c r="CTB34" s="35" t="str">
        <f t="shared" ca="1" si="155"/>
        <v/>
      </c>
      <c r="CTC34" s="35" t="str">
        <f t="shared" ca="1" si="155"/>
        <v/>
      </c>
      <c r="CTD34" s="35" t="str">
        <f t="shared" ca="1" si="155"/>
        <v/>
      </c>
      <c r="CTE34" s="35" t="str">
        <f t="shared" ca="1" si="155"/>
        <v/>
      </c>
      <c r="CTF34" s="35" t="str">
        <f t="shared" ca="1" si="156"/>
        <v/>
      </c>
      <c r="CTG34" s="35" t="str">
        <f t="shared" ca="1" si="156"/>
        <v/>
      </c>
      <c r="CTH34" s="35" t="str">
        <f t="shared" ca="1" si="156"/>
        <v/>
      </c>
      <c r="CTI34" s="35" t="str">
        <f t="shared" ca="1" si="156"/>
        <v/>
      </c>
      <c r="CTJ34" s="35" t="str">
        <f t="shared" ca="1" si="156"/>
        <v/>
      </c>
      <c r="CTK34" s="35" t="str">
        <f t="shared" ca="1" si="156"/>
        <v/>
      </c>
      <c r="CTL34" s="35" t="str">
        <f t="shared" ca="1" si="156"/>
        <v/>
      </c>
      <c r="CTM34" s="35" t="str">
        <f t="shared" ca="1" si="156"/>
        <v/>
      </c>
      <c r="CTN34" s="35" t="str">
        <f t="shared" ca="1" si="156"/>
        <v/>
      </c>
      <c r="CTO34" s="35" t="str">
        <f t="shared" ca="1" si="156"/>
        <v/>
      </c>
      <c r="CTP34" s="35" t="str">
        <f t="shared" ca="1" si="157"/>
        <v/>
      </c>
      <c r="CTQ34" s="35" t="str">
        <f t="shared" ca="1" si="157"/>
        <v/>
      </c>
      <c r="CTR34" s="35" t="str">
        <f t="shared" ca="1" si="157"/>
        <v/>
      </c>
      <c r="CTS34" s="35" t="str">
        <f t="shared" ca="1" si="157"/>
        <v/>
      </c>
      <c r="CTT34" s="35" t="str">
        <f t="shared" ca="1" si="157"/>
        <v/>
      </c>
      <c r="CTU34" s="35" t="str">
        <f t="shared" ca="1" si="157"/>
        <v/>
      </c>
      <c r="CTV34" s="35" t="str">
        <f t="shared" ca="1" si="157"/>
        <v/>
      </c>
      <c r="CTW34" s="35" t="str">
        <f t="shared" ca="1" si="157"/>
        <v/>
      </c>
      <c r="CTX34" s="35" t="str">
        <f t="shared" ca="1" si="157"/>
        <v/>
      </c>
      <c r="CTY34" s="35" t="str">
        <f t="shared" ca="1" si="157"/>
        <v/>
      </c>
      <c r="CTZ34" s="56" t="str">
        <f t="shared" si="108"/>
        <v>X</v>
      </c>
      <c r="CUA34" s="58">
        <f t="shared" ca="1" si="109"/>
        <v>2</v>
      </c>
      <c r="CUB34" s="16" t="str">
        <f t="shared" ca="1" si="110"/>
        <v/>
      </c>
      <c r="CUC34" s="16" t="str">
        <f t="shared" ca="1" si="111"/>
        <v/>
      </c>
      <c r="CUD34" s="16" t="str">
        <f t="shared" ca="1" si="112"/>
        <v/>
      </c>
      <c r="CUE34" s="16" t="str">
        <f t="shared" ca="1" si="113"/>
        <v/>
      </c>
      <c r="CUF34" s="16" t="str">
        <f t="shared" ca="1" si="114"/>
        <v/>
      </c>
      <c r="CUG34" s="16" t="str">
        <f t="shared" ca="1" si="115"/>
        <v/>
      </c>
      <c r="CUH34" s="16" t="str">
        <f t="shared" ca="1" si="116"/>
        <v/>
      </c>
      <c r="CUI34" s="16" t="str">
        <f t="shared" ca="1" si="117"/>
        <v/>
      </c>
      <c r="CUJ34" s="16" t="str">
        <f t="shared" ca="1" si="118"/>
        <v/>
      </c>
      <c r="CUK34" s="16" t="str">
        <f t="shared" ca="1" si="119"/>
        <v/>
      </c>
      <c r="CUL34" s="16" t="str">
        <f t="shared" ca="1" si="120"/>
        <v/>
      </c>
      <c r="CUM34" s="16" t="str">
        <f t="shared" ca="1" si="121"/>
        <v/>
      </c>
      <c r="CUN34" s="16" t="str">
        <f t="shared" ca="1" si="122"/>
        <v/>
      </c>
      <c r="CUO34" s="16" t="str">
        <f t="shared" ca="1" si="123"/>
        <v/>
      </c>
      <c r="CUP34" s="16" t="str">
        <f t="shared" ca="1" si="124"/>
        <v/>
      </c>
      <c r="CUQ34" s="16" t="str">
        <f t="shared" ca="1" si="125"/>
        <v/>
      </c>
      <c r="CUR34" s="16" t="str">
        <f t="shared" ca="1" si="126"/>
        <v/>
      </c>
      <c r="CUS34" s="16" t="str">
        <f t="shared" ca="1" si="127"/>
        <v/>
      </c>
      <c r="CUT34" s="16" t="str">
        <f t="shared" ca="1" si="128"/>
        <v/>
      </c>
      <c r="CUU34" s="16" t="str">
        <f t="shared" ca="1" si="129"/>
        <v/>
      </c>
      <c r="CUV34" s="16" t="str">
        <f t="shared" ca="1" si="130"/>
        <v/>
      </c>
      <c r="CUW34" s="16" t="str">
        <f t="shared" ca="1" si="131"/>
        <v/>
      </c>
      <c r="CUX34" s="16" t="str">
        <f t="shared" ca="1" si="132"/>
        <v/>
      </c>
      <c r="CUY34" s="16" t="str">
        <f t="shared" ca="1" si="133"/>
        <v/>
      </c>
      <c r="CUZ34" s="16" t="str">
        <f t="shared" ca="1" si="134"/>
        <v/>
      </c>
      <c r="CVA34" s="16" t="str">
        <f t="shared" ca="1" si="135"/>
        <v/>
      </c>
      <c r="CVB34" s="16" t="str">
        <f t="shared" ca="1" si="136"/>
        <v/>
      </c>
      <c r="CVC34" s="16" t="str">
        <f t="shared" ca="1" si="137"/>
        <v/>
      </c>
      <c r="CVD34" s="16" t="str">
        <f t="shared" ca="1" si="138"/>
        <v/>
      </c>
      <c r="CVE34" s="16" t="str">
        <f t="shared" ca="1" si="139"/>
        <v/>
      </c>
      <c r="CVF34" s="16" t="str">
        <f t="shared" ca="1" si="140"/>
        <v/>
      </c>
      <c r="CVG34" s="16" t="str">
        <f t="shared" ca="1" si="141"/>
        <v/>
      </c>
      <c r="CVH34" s="16" t="str">
        <f t="shared" ca="1" si="142"/>
        <v/>
      </c>
      <c r="CVI34" s="16" t="str">
        <f t="shared" ca="1" si="143"/>
        <v/>
      </c>
      <c r="CVJ34" s="16" t="str">
        <f t="shared" ca="1" si="144"/>
        <v/>
      </c>
      <c r="CVK34" s="16" t="str">
        <f t="shared" ca="1" si="145"/>
        <v/>
      </c>
      <c r="CVL34" s="16" t="str">
        <f t="shared" ca="1" si="146"/>
        <v/>
      </c>
      <c r="CVM34" s="16" t="str">
        <f t="shared" ca="1" si="147"/>
        <v/>
      </c>
      <c r="CVN34" s="16" t="str">
        <f t="shared" ca="1" si="148"/>
        <v/>
      </c>
      <c r="CVO34" s="58" t="str">
        <f t="shared" si="149"/>
        <v>яковлевартур</v>
      </c>
      <c r="CVP34" s="58" t="str">
        <f>IFERROR(VLOOKUP(CVO34,'Внешние данные'!A:Z,4,FALSE),"")</f>
        <v/>
      </c>
    </row>
    <row r="35" spans="1:2616" s="16" customFormat="1" ht="13.8" x14ac:dyDescent="0.25">
      <c r="A35" s="2" t="s">
        <v>2368</v>
      </c>
      <c r="B35" s="2" t="s">
        <v>2442</v>
      </c>
      <c r="C35" s="57" t="s">
        <v>2415</v>
      </c>
      <c r="D35" s="35">
        <v>6</v>
      </c>
      <c r="E35" s="58">
        <v>444</v>
      </c>
      <c r="G35" s="16" t="s">
        <v>1393</v>
      </c>
      <c r="H35" s="53">
        <f t="shared" ca="1" si="99"/>
        <v>0.25</v>
      </c>
      <c r="I35" s="35">
        <f t="shared" ca="1" si="100"/>
        <v>6</v>
      </c>
      <c r="J35" s="35">
        <f t="shared" ca="1" si="101"/>
        <v>1</v>
      </c>
      <c r="K35" s="49">
        <f t="shared" ca="1" si="102"/>
        <v>0</v>
      </c>
      <c r="L35" s="16">
        <v>205</v>
      </c>
      <c r="M35" s="12"/>
      <c r="N35" s="12"/>
      <c r="O35" s="4"/>
      <c r="P35" s="4"/>
      <c r="Q35" s="4"/>
      <c r="R35" s="4"/>
      <c r="S35" s="4">
        <v>435</v>
      </c>
      <c r="T35" s="4">
        <v>435</v>
      </c>
      <c r="U35" s="4"/>
      <c r="V35" s="4">
        <v>435</v>
      </c>
      <c r="W35" s="4">
        <v>435</v>
      </c>
      <c r="X35" s="4">
        <v>435</v>
      </c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PI35" s="16" t="s">
        <v>2961</v>
      </c>
      <c r="RS35" s="16">
        <v>1</v>
      </c>
      <c r="WM35" s="16" t="s">
        <v>2961</v>
      </c>
      <c r="YW35" s="16" t="s">
        <v>2961</v>
      </c>
      <c r="ABG35" s="16" t="s">
        <v>2961</v>
      </c>
      <c r="AGA35" s="16" t="s">
        <v>2961</v>
      </c>
      <c r="CSK35" s="54" t="str">
        <f t="shared" si="103"/>
        <v>X</v>
      </c>
      <c r="CSL35" s="35" t="str">
        <f t="shared" ca="1" si="154"/>
        <v/>
      </c>
      <c r="CSM35" s="35" t="str">
        <f t="shared" ca="1" si="154"/>
        <v/>
      </c>
      <c r="CSN35" s="35" t="str">
        <f t="shared" ca="1" si="154"/>
        <v/>
      </c>
      <c r="CSO35" s="35" t="str">
        <f t="shared" ca="1" si="154"/>
        <v/>
      </c>
      <c r="CSP35" s="35" t="str">
        <f t="shared" ca="1" si="154"/>
        <v/>
      </c>
      <c r="CSQ35" s="72" t="str">
        <f t="shared" ca="1" si="154"/>
        <v/>
      </c>
      <c r="CSR35" s="35" t="str">
        <f t="shared" ca="1" si="154"/>
        <v/>
      </c>
      <c r="CSS35" s="35">
        <f t="shared" ca="1" si="154"/>
        <v>1</v>
      </c>
      <c r="CST35" s="35" t="str">
        <f t="shared" ca="1" si="154"/>
        <v/>
      </c>
      <c r="CSU35" s="35" t="str">
        <f t="shared" ca="1" si="154"/>
        <v/>
      </c>
      <c r="CSV35" s="35" t="str">
        <f t="shared" ca="1" si="155"/>
        <v/>
      </c>
      <c r="CSW35" s="35" t="str">
        <f t="shared" ca="1" si="155"/>
        <v/>
      </c>
      <c r="CSX35" s="35" t="str">
        <f t="shared" ca="1" si="155"/>
        <v/>
      </c>
      <c r="CSY35" s="35" t="str">
        <f t="shared" ca="1" si="155"/>
        <v/>
      </c>
      <c r="CSZ35" s="35" t="str">
        <f t="shared" ca="1" si="155"/>
        <v/>
      </c>
      <c r="CTA35" s="35" t="str">
        <f t="shared" ca="1" si="155"/>
        <v/>
      </c>
      <c r="CTB35" s="35" t="str">
        <f t="shared" ca="1" si="155"/>
        <v/>
      </c>
      <c r="CTC35" s="35" t="str">
        <f t="shared" ca="1" si="155"/>
        <v/>
      </c>
      <c r="CTD35" s="35" t="str">
        <f t="shared" ca="1" si="155"/>
        <v/>
      </c>
      <c r="CTE35" s="35" t="str">
        <f t="shared" ca="1" si="155"/>
        <v/>
      </c>
      <c r="CTF35" s="35" t="str">
        <f t="shared" ca="1" si="156"/>
        <v/>
      </c>
      <c r="CTG35" s="35" t="str">
        <f t="shared" ca="1" si="156"/>
        <v/>
      </c>
      <c r="CTH35" s="35" t="str">
        <f t="shared" ca="1" si="156"/>
        <v/>
      </c>
      <c r="CTI35" s="35" t="str">
        <f t="shared" ca="1" si="156"/>
        <v/>
      </c>
      <c r="CTJ35" s="35" t="str">
        <f t="shared" ca="1" si="156"/>
        <v/>
      </c>
      <c r="CTK35" s="35" t="str">
        <f t="shared" ca="1" si="156"/>
        <v/>
      </c>
      <c r="CTL35" s="35" t="str">
        <f t="shared" ca="1" si="156"/>
        <v/>
      </c>
      <c r="CTM35" s="35" t="str">
        <f t="shared" ca="1" si="156"/>
        <v/>
      </c>
      <c r="CTN35" s="35" t="str">
        <f t="shared" ca="1" si="156"/>
        <v/>
      </c>
      <c r="CTO35" s="35" t="str">
        <f t="shared" ca="1" si="156"/>
        <v/>
      </c>
      <c r="CTP35" s="35" t="str">
        <f t="shared" ca="1" si="157"/>
        <v/>
      </c>
      <c r="CTQ35" s="35" t="str">
        <f t="shared" ca="1" si="157"/>
        <v/>
      </c>
      <c r="CTR35" s="35" t="str">
        <f t="shared" ca="1" si="157"/>
        <v/>
      </c>
      <c r="CTS35" s="35" t="str">
        <f t="shared" ca="1" si="157"/>
        <v/>
      </c>
      <c r="CTT35" s="35" t="str">
        <f t="shared" ca="1" si="157"/>
        <v/>
      </c>
      <c r="CTU35" s="35" t="str">
        <f t="shared" ca="1" si="157"/>
        <v/>
      </c>
      <c r="CTV35" s="35" t="str">
        <f t="shared" ca="1" si="157"/>
        <v/>
      </c>
      <c r="CTW35" s="35" t="str">
        <f t="shared" ca="1" si="157"/>
        <v/>
      </c>
      <c r="CTX35" s="35" t="str">
        <f t="shared" ca="1" si="157"/>
        <v/>
      </c>
      <c r="CTY35" s="35" t="str">
        <f t="shared" ca="1" si="157"/>
        <v/>
      </c>
      <c r="CTZ35" s="56" t="str">
        <f t="shared" si="108"/>
        <v>X</v>
      </c>
      <c r="CUA35" s="58" t="str">
        <f t="shared" ca="1" si="109"/>
        <v/>
      </c>
      <c r="CUB35" s="16" t="str">
        <f t="shared" ca="1" si="110"/>
        <v/>
      </c>
      <c r="CUC35" s="16" t="str">
        <f t="shared" ca="1" si="111"/>
        <v/>
      </c>
      <c r="CUD35" s="16" t="str">
        <f t="shared" ca="1" si="112"/>
        <v/>
      </c>
      <c r="CUE35" s="16" t="str">
        <f t="shared" ca="1" si="113"/>
        <v/>
      </c>
      <c r="CUF35" s="16" t="str">
        <f t="shared" ca="1" si="114"/>
        <v/>
      </c>
      <c r="CUG35" s="16" t="str">
        <f t="shared" ca="1" si="115"/>
        <v/>
      </c>
      <c r="CUH35" s="16">
        <f t="shared" ca="1" si="116"/>
        <v>0</v>
      </c>
      <c r="CUI35" s="16" t="str">
        <f t="shared" ca="1" si="117"/>
        <v/>
      </c>
      <c r="CUJ35" s="16" t="str">
        <f t="shared" ca="1" si="118"/>
        <v/>
      </c>
      <c r="CUK35" s="16" t="str">
        <f t="shared" ca="1" si="119"/>
        <v/>
      </c>
      <c r="CUL35" s="16" t="str">
        <f t="shared" ca="1" si="120"/>
        <v/>
      </c>
      <c r="CUM35" s="16" t="str">
        <f t="shared" ca="1" si="121"/>
        <v/>
      </c>
      <c r="CUN35" s="16" t="str">
        <f t="shared" ca="1" si="122"/>
        <v/>
      </c>
      <c r="CUO35" s="16" t="str">
        <f t="shared" ca="1" si="123"/>
        <v/>
      </c>
      <c r="CUP35" s="16" t="str">
        <f t="shared" ca="1" si="124"/>
        <v/>
      </c>
      <c r="CUQ35" s="16" t="str">
        <f t="shared" ca="1" si="125"/>
        <v/>
      </c>
      <c r="CUR35" s="16" t="str">
        <f t="shared" ca="1" si="126"/>
        <v/>
      </c>
      <c r="CUS35" s="16" t="str">
        <f t="shared" ca="1" si="127"/>
        <v/>
      </c>
      <c r="CUT35" s="16" t="str">
        <f t="shared" ca="1" si="128"/>
        <v/>
      </c>
      <c r="CUU35" s="16" t="str">
        <f t="shared" ca="1" si="129"/>
        <v/>
      </c>
      <c r="CUV35" s="16" t="str">
        <f t="shared" ca="1" si="130"/>
        <v/>
      </c>
      <c r="CUW35" s="16" t="str">
        <f t="shared" ca="1" si="131"/>
        <v/>
      </c>
      <c r="CUX35" s="16" t="str">
        <f t="shared" ca="1" si="132"/>
        <v/>
      </c>
      <c r="CUY35" s="16" t="str">
        <f t="shared" ca="1" si="133"/>
        <v/>
      </c>
      <c r="CUZ35" s="16" t="str">
        <f t="shared" ca="1" si="134"/>
        <v/>
      </c>
      <c r="CVA35" s="16" t="str">
        <f t="shared" ca="1" si="135"/>
        <v/>
      </c>
      <c r="CVB35" s="16" t="str">
        <f t="shared" ca="1" si="136"/>
        <v/>
      </c>
      <c r="CVC35" s="16" t="str">
        <f t="shared" ca="1" si="137"/>
        <v/>
      </c>
      <c r="CVD35" s="16" t="str">
        <f t="shared" ca="1" si="138"/>
        <v/>
      </c>
      <c r="CVE35" s="16" t="str">
        <f t="shared" ca="1" si="139"/>
        <v/>
      </c>
      <c r="CVF35" s="16" t="str">
        <f t="shared" ca="1" si="140"/>
        <v/>
      </c>
      <c r="CVG35" s="16" t="str">
        <f t="shared" ca="1" si="141"/>
        <v/>
      </c>
      <c r="CVH35" s="16" t="str">
        <f t="shared" ca="1" si="142"/>
        <v/>
      </c>
      <c r="CVI35" s="16" t="str">
        <f t="shared" ca="1" si="143"/>
        <v/>
      </c>
      <c r="CVJ35" s="16" t="str">
        <f t="shared" ca="1" si="144"/>
        <v/>
      </c>
      <c r="CVK35" s="16" t="str">
        <f t="shared" ca="1" si="145"/>
        <v/>
      </c>
      <c r="CVL35" s="16" t="str">
        <f t="shared" ca="1" si="146"/>
        <v/>
      </c>
      <c r="CVM35" s="16" t="str">
        <f t="shared" ca="1" si="147"/>
        <v/>
      </c>
      <c r="CVN35" s="16" t="str">
        <f t="shared" ca="1" si="148"/>
        <v/>
      </c>
      <c r="CVO35" s="58" t="str">
        <f t="shared" si="149"/>
        <v>григорьевандрей</v>
      </c>
      <c r="CVP35" s="58" t="str">
        <f>IFERROR(VLOOKUP(CVO35,'Внешние данные'!A:Z,4,FALSE),"")</f>
        <v/>
      </c>
    </row>
    <row r="36" spans="1:2616" s="16" customFormat="1" ht="13.8" x14ac:dyDescent="0.25">
      <c r="A36" s="2" t="s">
        <v>2369</v>
      </c>
      <c r="B36" s="2" t="s">
        <v>2443</v>
      </c>
      <c r="C36" s="57" t="s">
        <v>2416</v>
      </c>
      <c r="D36" s="35">
        <v>5</v>
      </c>
      <c r="E36" s="58">
        <v>57</v>
      </c>
      <c r="G36" s="16" t="s">
        <v>1393</v>
      </c>
      <c r="H36" s="53">
        <f t="shared" ca="1" si="99"/>
        <v>0.5714285714285714</v>
      </c>
      <c r="I36" s="35">
        <f t="shared" ca="1" si="100"/>
        <v>0</v>
      </c>
      <c r="J36" s="35">
        <f t="shared" ca="1" si="101"/>
        <v>7</v>
      </c>
      <c r="K36" s="49">
        <f t="shared" ca="1" si="102"/>
        <v>1.1428571428571428</v>
      </c>
      <c r="L36" s="16">
        <v>205</v>
      </c>
      <c r="M36" s="12">
        <v>207</v>
      </c>
      <c r="N36" s="12">
        <v>415</v>
      </c>
      <c r="O36" s="4">
        <v>415</v>
      </c>
      <c r="P36" s="4">
        <v>415</v>
      </c>
      <c r="Q36" s="4">
        <v>415</v>
      </c>
      <c r="R36" s="4">
        <v>415</v>
      </c>
      <c r="S36" s="4">
        <v>415</v>
      </c>
      <c r="T36" s="4">
        <v>415</v>
      </c>
      <c r="U36" s="4"/>
      <c r="V36" s="4">
        <v>415</v>
      </c>
      <c r="W36" s="4">
        <v>415</v>
      </c>
      <c r="X36" s="4">
        <v>415</v>
      </c>
      <c r="Y36" s="4">
        <v>415</v>
      </c>
      <c r="Z36" s="4">
        <v>415</v>
      </c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DK36" s="16">
        <v>1</v>
      </c>
      <c r="DL36" s="16">
        <v>1</v>
      </c>
      <c r="DM36" s="16">
        <v>1</v>
      </c>
      <c r="DN36" s="16">
        <v>1</v>
      </c>
      <c r="DO36" s="16">
        <v>1</v>
      </c>
      <c r="DP36" s="16">
        <v>1</v>
      </c>
      <c r="FU36" s="16">
        <v>1</v>
      </c>
      <c r="IE36" s="16">
        <v>1</v>
      </c>
      <c r="PI36" s="16">
        <v>1</v>
      </c>
      <c r="PM36" s="16">
        <v>1</v>
      </c>
      <c r="PN36" s="16">
        <v>1</v>
      </c>
      <c r="RS36" s="16">
        <v>1</v>
      </c>
      <c r="RW36" s="16">
        <v>1</v>
      </c>
      <c r="WM36" s="16" t="s">
        <v>2961</v>
      </c>
      <c r="YW36" s="16" t="s">
        <v>2961</v>
      </c>
      <c r="ABG36" s="16" t="s">
        <v>2961</v>
      </c>
      <c r="ADQ36" s="16">
        <v>1</v>
      </c>
      <c r="AGA36" s="16">
        <v>1</v>
      </c>
      <c r="CSK36" s="54" t="str">
        <f t="shared" si="103"/>
        <v>X</v>
      </c>
      <c r="CSL36" s="35" t="str">
        <f t="shared" ref="CSL36:CSU45" ca="1" si="158">IF(SUM(OFFSET($BA36:$DJ36,0,62*(CSL$1-1),,62))&gt;0,1,"")</f>
        <v/>
      </c>
      <c r="CSM36" s="35">
        <f t="shared" ca="1" si="158"/>
        <v>1</v>
      </c>
      <c r="CSN36" s="35">
        <f t="shared" ca="1" si="158"/>
        <v>1</v>
      </c>
      <c r="CSO36" s="35">
        <f t="shared" ca="1" si="158"/>
        <v>1</v>
      </c>
      <c r="CSP36" s="35" t="str">
        <f t="shared" ca="1" si="158"/>
        <v/>
      </c>
      <c r="CSQ36" s="72" t="str">
        <f t="shared" ca="1" si="158"/>
        <v/>
      </c>
      <c r="CSR36" s="35">
        <f t="shared" ca="1" si="158"/>
        <v>1</v>
      </c>
      <c r="CSS36" s="35">
        <f t="shared" ca="1" si="158"/>
        <v>1</v>
      </c>
      <c r="CST36" s="35" t="str">
        <f t="shared" ca="1" si="158"/>
        <v/>
      </c>
      <c r="CSU36" s="35" t="str">
        <f t="shared" ca="1" si="158"/>
        <v/>
      </c>
      <c r="CSV36" s="35" t="str">
        <f t="shared" ref="CSV36:CTE45" ca="1" si="159">IF(SUM(OFFSET($BA36:$DJ36,0,62*(CSV$1-1),,62))&gt;0,1,"")</f>
        <v/>
      </c>
      <c r="CSW36" s="35" t="str">
        <f t="shared" ca="1" si="159"/>
        <v/>
      </c>
      <c r="CSX36" s="35">
        <f t="shared" ca="1" si="159"/>
        <v>1</v>
      </c>
      <c r="CSY36" s="35">
        <f t="shared" ca="1" si="159"/>
        <v>1</v>
      </c>
      <c r="CSZ36" s="35" t="str">
        <f t="shared" ca="1" si="159"/>
        <v/>
      </c>
      <c r="CTA36" s="35" t="str">
        <f t="shared" ca="1" si="159"/>
        <v/>
      </c>
      <c r="CTB36" s="35" t="str">
        <f t="shared" ca="1" si="159"/>
        <v/>
      </c>
      <c r="CTC36" s="35" t="str">
        <f t="shared" ca="1" si="159"/>
        <v/>
      </c>
      <c r="CTD36" s="35" t="str">
        <f t="shared" ca="1" si="159"/>
        <v/>
      </c>
      <c r="CTE36" s="35" t="str">
        <f t="shared" ca="1" si="159"/>
        <v/>
      </c>
      <c r="CTF36" s="35" t="str">
        <f t="shared" ref="CTF36:CTO45" ca="1" si="160">IF(SUM(OFFSET($BA36:$DJ36,0,62*(CTF$1-1),,62))&gt;0,1,"")</f>
        <v/>
      </c>
      <c r="CTG36" s="35" t="str">
        <f t="shared" ca="1" si="160"/>
        <v/>
      </c>
      <c r="CTH36" s="35" t="str">
        <f t="shared" ca="1" si="160"/>
        <v/>
      </c>
      <c r="CTI36" s="35" t="str">
        <f t="shared" ca="1" si="160"/>
        <v/>
      </c>
      <c r="CTJ36" s="35" t="str">
        <f t="shared" ca="1" si="160"/>
        <v/>
      </c>
      <c r="CTK36" s="35" t="str">
        <f t="shared" ca="1" si="160"/>
        <v/>
      </c>
      <c r="CTL36" s="35" t="str">
        <f t="shared" ca="1" si="160"/>
        <v/>
      </c>
      <c r="CTM36" s="35" t="str">
        <f t="shared" ca="1" si="160"/>
        <v/>
      </c>
      <c r="CTN36" s="35" t="str">
        <f t="shared" ca="1" si="160"/>
        <v/>
      </c>
      <c r="CTO36" s="35" t="str">
        <f t="shared" ca="1" si="160"/>
        <v/>
      </c>
      <c r="CTP36" s="35" t="str">
        <f t="shared" ref="CTP36:CTY45" ca="1" si="161">IF(SUM(OFFSET($BA36:$DJ36,0,62*(CTP$1-1),,62))&gt;0,1,"")</f>
        <v/>
      </c>
      <c r="CTQ36" s="35" t="str">
        <f t="shared" ca="1" si="161"/>
        <v/>
      </c>
      <c r="CTR36" s="35" t="str">
        <f t="shared" ca="1" si="161"/>
        <v/>
      </c>
      <c r="CTS36" s="35" t="str">
        <f t="shared" ca="1" si="161"/>
        <v/>
      </c>
      <c r="CTT36" s="35" t="str">
        <f t="shared" ca="1" si="161"/>
        <v/>
      </c>
      <c r="CTU36" s="35" t="str">
        <f t="shared" ca="1" si="161"/>
        <v/>
      </c>
      <c r="CTV36" s="35" t="str">
        <f t="shared" ca="1" si="161"/>
        <v/>
      </c>
      <c r="CTW36" s="35" t="str">
        <f t="shared" ca="1" si="161"/>
        <v/>
      </c>
      <c r="CTX36" s="35" t="str">
        <f t="shared" ca="1" si="161"/>
        <v/>
      </c>
      <c r="CTY36" s="35" t="str">
        <f t="shared" ca="1" si="161"/>
        <v/>
      </c>
      <c r="CTZ36" s="56" t="str">
        <f t="shared" si="108"/>
        <v>X</v>
      </c>
      <c r="CUA36" s="58" t="str">
        <f t="shared" ca="1" si="109"/>
        <v/>
      </c>
      <c r="CUB36" s="16">
        <f t="shared" ca="1" si="110"/>
        <v>5</v>
      </c>
      <c r="CUC36" s="16">
        <f t="shared" ca="1" si="111"/>
        <v>0</v>
      </c>
      <c r="CUD36" s="16">
        <f t="shared" ca="1" si="112"/>
        <v>0</v>
      </c>
      <c r="CUE36" s="16" t="str">
        <f t="shared" ca="1" si="113"/>
        <v/>
      </c>
      <c r="CUF36" s="16" t="str">
        <f t="shared" ca="1" si="114"/>
        <v/>
      </c>
      <c r="CUG36" s="16">
        <f t="shared" ca="1" si="115"/>
        <v>2</v>
      </c>
      <c r="CUH36" s="16">
        <f t="shared" ca="1" si="116"/>
        <v>1</v>
      </c>
      <c r="CUI36" s="16" t="str">
        <f t="shared" ca="1" si="117"/>
        <v/>
      </c>
      <c r="CUJ36" s="16" t="str">
        <f t="shared" ca="1" si="118"/>
        <v/>
      </c>
      <c r="CUK36" s="16" t="str">
        <f t="shared" ca="1" si="119"/>
        <v/>
      </c>
      <c r="CUL36" s="16" t="str">
        <f t="shared" ca="1" si="120"/>
        <v/>
      </c>
      <c r="CUM36" s="16">
        <f t="shared" ca="1" si="121"/>
        <v>0</v>
      </c>
      <c r="CUN36" s="16">
        <f t="shared" ca="1" si="122"/>
        <v>0</v>
      </c>
      <c r="CUO36" s="16" t="str">
        <f t="shared" ca="1" si="123"/>
        <v/>
      </c>
      <c r="CUP36" s="16" t="str">
        <f t="shared" ca="1" si="124"/>
        <v/>
      </c>
      <c r="CUQ36" s="16" t="str">
        <f t="shared" ca="1" si="125"/>
        <v/>
      </c>
      <c r="CUR36" s="16" t="str">
        <f t="shared" ca="1" si="126"/>
        <v/>
      </c>
      <c r="CUS36" s="16" t="str">
        <f t="shared" ca="1" si="127"/>
        <v/>
      </c>
      <c r="CUT36" s="16" t="str">
        <f t="shared" ca="1" si="128"/>
        <v/>
      </c>
      <c r="CUU36" s="16" t="str">
        <f t="shared" ca="1" si="129"/>
        <v/>
      </c>
      <c r="CUV36" s="16" t="str">
        <f t="shared" ca="1" si="130"/>
        <v/>
      </c>
      <c r="CUW36" s="16" t="str">
        <f t="shared" ca="1" si="131"/>
        <v/>
      </c>
      <c r="CUX36" s="16" t="str">
        <f t="shared" ca="1" si="132"/>
        <v/>
      </c>
      <c r="CUY36" s="16" t="str">
        <f t="shared" ca="1" si="133"/>
        <v/>
      </c>
      <c r="CUZ36" s="16" t="str">
        <f t="shared" ca="1" si="134"/>
        <v/>
      </c>
      <c r="CVA36" s="16" t="str">
        <f t="shared" ca="1" si="135"/>
        <v/>
      </c>
      <c r="CVB36" s="16" t="str">
        <f t="shared" ca="1" si="136"/>
        <v/>
      </c>
      <c r="CVC36" s="16" t="str">
        <f t="shared" ca="1" si="137"/>
        <v/>
      </c>
      <c r="CVD36" s="16" t="str">
        <f t="shared" ca="1" si="138"/>
        <v/>
      </c>
      <c r="CVE36" s="16" t="str">
        <f t="shared" ca="1" si="139"/>
        <v/>
      </c>
      <c r="CVF36" s="16" t="str">
        <f t="shared" ca="1" si="140"/>
        <v/>
      </c>
      <c r="CVG36" s="16" t="str">
        <f t="shared" ca="1" si="141"/>
        <v/>
      </c>
      <c r="CVH36" s="16" t="str">
        <f t="shared" ca="1" si="142"/>
        <v/>
      </c>
      <c r="CVI36" s="16" t="str">
        <f t="shared" ca="1" si="143"/>
        <v/>
      </c>
      <c r="CVJ36" s="16" t="str">
        <f t="shared" ca="1" si="144"/>
        <v/>
      </c>
      <c r="CVK36" s="16" t="str">
        <f t="shared" ca="1" si="145"/>
        <v/>
      </c>
      <c r="CVL36" s="16" t="str">
        <f t="shared" ca="1" si="146"/>
        <v/>
      </c>
      <c r="CVM36" s="16" t="str">
        <f t="shared" ca="1" si="147"/>
        <v/>
      </c>
      <c r="CVN36" s="16" t="str">
        <f t="shared" ca="1" si="148"/>
        <v/>
      </c>
      <c r="CVO36" s="58" t="str">
        <f t="shared" si="149"/>
        <v>романовилья</v>
      </c>
      <c r="CVP36" s="58" t="str">
        <f>IFERROR(VLOOKUP(CVO36,'Внешние данные'!A:Z,4,FALSE),"")</f>
        <v/>
      </c>
    </row>
    <row r="37" spans="1:2616" s="16" customFormat="1" ht="13.8" x14ac:dyDescent="0.25">
      <c r="A37" s="2" t="s">
        <v>2370</v>
      </c>
      <c r="B37" s="2" t="s">
        <v>2458</v>
      </c>
      <c r="C37" s="57" t="s">
        <v>2417</v>
      </c>
      <c r="D37" s="35">
        <v>6</v>
      </c>
      <c r="E37" s="58">
        <v>179</v>
      </c>
      <c r="G37" s="16" t="s">
        <v>1393</v>
      </c>
      <c r="H37" s="53">
        <f t="shared" ca="1" si="99"/>
        <v>0.8666666666666667</v>
      </c>
      <c r="I37" s="35">
        <f t="shared" ca="1" si="100"/>
        <v>0</v>
      </c>
      <c r="J37" s="35">
        <f t="shared" ca="1" si="101"/>
        <v>12</v>
      </c>
      <c r="K37" s="49">
        <f t="shared" ca="1" si="102"/>
        <v>4.666666666666667</v>
      </c>
      <c r="L37" s="16">
        <v>305</v>
      </c>
      <c r="M37" s="12">
        <v>203</v>
      </c>
      <c r="N37" s="12">
        <v>203</v>
      </c>
      <c r="O37" s="4">
        <v>203</v>
      </c>
      <c r="P37" s="4">
        <v>203</v>
      </c>
      <c r="Q37" s="4">
        <v>203</v>
      </c>
      <c r="R37" s="4">
        <v>203</v>
      </c>
      <c r="S37" s="4">
        <v>203</v>
      </c>
      <c r="T37" s="4">
        <v>203</v>
      </c>
      <c r="U37" s="4"/>
      <c r="V37" s="4">
        <v>203</v>
      </c>
      <c r="W37" s="4">
        <v>203</v>
      </c>
      <c r="X37" s="4">
        <v>203</v>
      </c>
      <c r="Y37" s="4">
        <v>203</v>
      </c>
      <c r="Z37" s="4">
        <v>203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16">
        <v>1</v>
      </c>
      <c r="BB37" s="16">
        <v>1</v>
      </c>
      <c r="BH37" s="16">
        <v>1</v>
      </c>
      <c r="BM37" s="16">
        <v>1</v>
      </c>
      <c r="BN37" s="16">
        <v>1</v>
      </c>
      <c r="BO37" s="16">
        <v>1</v>
      </c>
      <c r="BP37" s="16">
        <v>1</v>
      </c>
      <c r="BQ37" s="16">
        <v>1</v>
      </c>
      <c r="BS37" s="16">
        <v>1</v>
      </c>
      <c r="DK37" s="16">
        <v>1</v>
      </c>
      <c r="DL37" s="16">
        <v>1</v>
      </c>
      <c r="DM37" s="16">
        <v>1</v>
      </c>
      <c r="DP37" s="16">
        <v>1</v>
      </c>
      <c r="DS37" s="16">
        <v>1</v>
      </c>
      <c r="FU37" s="16">
        <v>1</v>
      </c>
      <c r="FX37" s="16">
        <v>1</v>
      </c>
      <c r="FY37" s="16">
        <v>1</v>
      </c>
      <c r="FZ37" s="16">
        <v>1</v>
      </c>
      <c r="GA37" s="16">
        <v>1</v>
      </c>
      <c r="GB37" s="16">
        <v>1</v>
      </c>
      <c r="GC37" s="16">
        <v>1</v>
      </c>
      <c r="GD37" s="16">
        <v>1</v>
      </c>
      <c r="IE37" s="16">
        <v>1</v>
      </c>
      <c r="IL37" s="16">
        <v>1</v>
      </c>
      <c r="IQ37" s="16">
        <v>1</v>
      </c>
      <c r="IS37" s="16">
        <v>1</v>
      </c>
      <c r="KO37" s="16">
        <v>1</v>
      </c>
      <c r="KP37" s="16">
        <v>1</v>
      </c>
      <c r="KR37" s="16">
        <v>1</v>
      </c>
      <c r="KS37" s="16">
        <v>1</v>
      </c>
      <c r="KV37" s="16">
        <v>1</v>
      </c>
      <c r="KZ37" s="16">
        <v>1</v>
      </c>
      <c r="MY37" s="16">
        <v>1</v>
      </c>
      <c r="NB37" s="16">
        <v>1</v>
      </c>
      <c r="NC37" s="16">
        <v>1</v>
      </c>
      <c r="PI37" s="16">
        <v>1</v>
      </c>
      <c r="PK37" s="16">
        <v>1</v>
      </c>
      <c r="PM37" s="16">
        <v>1</v>
      </c>
      <c r="PN37" s="16">
        <v>1</v>
      </c>
      <c r="PO37" s="16">
        <v>1</v>
      </c>
      <c r="PP37" s="16">
        <v>1</v>
      </c>
      <c r="PQ37" s="16">
        <v>1</v>
      </c>
      <c r="RS37" s="16">
        <v>1</v>
      </c>
      <c r="RU37" s="16">
        <v>1</v>
      </c>
      <c r="RV37" s="16">
        <v>1</v>
      </c>
      <c r="RW37" s="16">
        <v>1</v>
      </c>
      <c r="RY37" s="16">
        <v>1</v>
      </c>
      <c r="SD37" s="16">
        <v>1</v>
      </c>
      <c r="WM37" s="16">
        <v>1</v>
      </c>
      <c r="WW37" s="16">
        <v>1</v>
      </c>
      <c r="XB37" s="16">
        <v>1</v>
      </c>
      <c r="YW37" s="16" t="s">
        <v>2961</v>
      </c>
      <c r="ABG37" s="16">
        <v>1</v>
      </c>
      <c r="ABI37" s="16">
        <v>1</v>
      </c>
      <c r="ABM37" s="16">
        <v>1</v>
      </c>
      <c r="ABS37" s="16">
        <v>1</v>
      </c>
      <c r="ABT37" s="16">
        <v>1</v>
      </c>
      <c r="ABU37" s="16">
        <v>1</v>
      </c>
      <c r="ADQ37" s="16">
        <v>1</v>
      </c>
      <c r="ADR37" s="16">
        <v>1</v>
      </c>
      <c r="ADT37" s="16">
        <v>1</v>
      </c>
      <c r="ADU37" s="16">
        <v>1</v>
      </c>
      <c r="ADX37" s="16">
        <v>1</v>
      </c>
      <c r="ADY37" s="16">
        <v>1</v>
      </c>
      <c r="AEA37" s="16">
        <v>1</v>
      </c>
      <c r="AGA37" s="16">
        <v>1</v>
      </c>
      <c r="AGB37" s="16">
        <v>1</v>
      </c>
      <c r="AGJ37" s="16">
        <v>1</v>
      </c>
      <c r="AGK37" s="16">
        <v>1</v>
      </c>
      <c r="CSK37" s="54" t="str">
        <f t="shared" si="103"/>
        <v>X</v>
      </c>
      <c r="CSL37" s="35">
        <f t="shared" ca="1" si="158"/>
        <v>1</v>
      </c>
      <c r="CSM37" s="35">
        <f t="shared" ca="1" si="158"/>
        <v>1</v>
      </c>
      <c r="CSN37" s="35">
        <f t="shared" ca="1" si="158"/>
        <v>1</v>
      </c>
      <c r="CSO37" s="35">
        <f t="shared" ca="1" si="158"/>
        <v>1</v>
      </c>
      <c r="CSP37" s="35">
        <f t="shared" ca="1" si="158"/>
        <v>1</v>
      </c>
      <c r="CSQ37" s="72">
        <f t="shared" ca="1" si="158"/>
        <v>1</v>
      </c>
      <c r="CSR37" s="35">
        <f t="shared" ca="1" si="158"/>
        <v>1</v>
      </c>
      <c r="CSS37" s="35">
        <f t="shared" ca="1" si="158"/>
        <v>1</v>
      </c>
      <c r="CST37" s="35" t="str">
        <f t="shared" ca="1" si="158"/>
        <v/>
      </c>
      <c r="CSU37" s="35">
        <f t="shared" ca="1" si="158"/>
        <v>1</v>
      </c>
      <c r="CSV37" s="35" t="str">
        <f t="shared" ca="1" si="159"/>
        <v/>
      </c>
      <c r="CSW37" s="35">
        <f t="shared" ca="1" si="159"/>
        <v>1</v>
      </c>
      <c r="CSX37" s="35">
        <f t="shared" ca="1" si="159"/>
        <v>1</v>
      </c>
      <c r="CSY37" s="35">
        <f t="shared" ca="1" si="159"/>
        <v>1</v>
      </c>
      <c r="CSZ37" s="35" t="str">
        <f t="shared" ca="1" si="159"/>
        <v/>
      </c>
      <c r="CTA37" s="35" t="str">
        <f t="shared" ca="1" si="159"/>
        <v/>
      </c>
      <c r="CTB37" s="35" t="str">
        <f t="shared" ca="1" si="159"/>
        <v/>
      </c>
      <c r="CTC37" s="35" t="str">
        <f t="shared" ca="1" si="159"/>
        <v/>
      </c>
      <c r="CTD37" s="35" t="str">
        <f t="shared" ca="1" si="159"/>
        <v/>
      </c>
      <c r="CTE37" s="35" t="str">
        <f t="shared" ca="1" si="159"/>
        <v/>
      </c>
      <c r="CTF37" s="35" t="str">
        <f t="shared" ca="1" si="160"/>
        <v/>
      </c>
      <c r="CTG37" s="35" t="str">
        <f t="shared" ca="1" si="160"/>
        <v/>
      </c>
      <c r="CTH37" s="35" t="str">
        <f t="shared" ca="1" si="160"/>
        <v/>
      </c>
      <c r="CTI37" s="35" t="str">
        <f t="shared" ca="1" si="160"/>
        <v/>
      </c>
      <c r="CTJ37" s="35" t="str">
        <f t="shared" ca="1" si="160"/>
        <v/>
      </c>
      <c r="CTK37" s="35" t="str">
        <f t="shared" ca="1" si="160"/>
        <v/>
      </c>
      <c r="CTL37" s="35" t="str">
        <f t="shared" ca="1" si="160"/>
        <v/>
      </c>
      <c r="CTM37" s="35" t="str">
        <f t="shared" ca="1" si="160"/>
        <v/>
      </c>
      <c r="CTN37" s="35" t="str">
        <f t="shared" ca="1" si="160"/>
        <v/>
      </c>
      <c r="CTO37" s="35" t="str">
        <f t="shared" ca="1" si="160"/>
        <v/>
      </c>
      <c r="CTP37" s="35" t="str">
        <f t="shared" ca="1" si="161"/>
        <v/>
      </c>
      <c r="CTQ37" s="35" t="str">
        <f t="shared" ca="1" si="161"/>
        <v/>
      </c>
      <c r="CTR37" s="35" t="str">
        <f t="shared" ca="1" si="161"/>
        <v/>
      </c>
      <c r="CTS37" s="35" t="str">
        <f t="shared" ca="1" si="161"/>
        <v/>
      </c>
      <c r="CTT37" s="35" t="str">
        <f t="shared" ca="1" si="161"/>
        <v/>
      </c>
      <c r="CTU37" s="35" t="str">
        <f t="shared" ca="1" si="161"/>
        <v/>
      </c>
      <c r="CTV37" s="35" t="str">
        <f t="shared" ca="1" si="161"/>
        <v/>
      </c>
      <c r="CTW37" s="35" t="str">
        <f t="shared" ca="1" si="161"/>
        <v/>
      </c>
      <c r="CTX37" s="35" t="str">
        <f t="shared" ca="1" si="161"/>
        <v/>
      </c>
      <c r="CTY37" s="35" t="str">
        <f t="shared" ca="1" si="161"/>
        <v/>
      </c>
      <c r="CTZ37" s="56" t="str">
        <f t="shared" si="108"/>
        <v>X</v>
      </c>
      <c r="CUA37" s="58">
        <f t="shared" ca="1" si="109"/>
        <v>8</v>
      </c>
      <c r="CUB37" s="16">
        <f t="shared" ca="1" si="110"/>
        <v>4</v>
      </c>
      <c r="CUC37" s="16">
        <f t="shared" ca="1" si="111"/>
        <v>7</v>
      </c>
      <c r="CUD37" s="16">
        <f t="shared" ca="1" si="112"/>
        <v>3</v>
      </c>
      <c r="CUE37" s="16">
        <f t="shared" ca="1" si="113"/>
        <v>5</v>
      </c>
      <c r="CUF37" s="16">
        <f t="shared" ca="1" si="114"/>
        <v>2</v>
      </c>
      <c r="CUG37" s="16">
        <f t="shared" ca="1" si="115"/>
        <v>6</v>
      </c>
      <c r="CUH37" s="16">
        <f t="shared" ca="1" si="116"/>
        <v>5</v>
      </c>
      <c r="CUI37" s="16" t="str">
        <f t="shared" ca="1" si="117"/>
        <v/>
      </c>
      <c r="CUJ37" s="16">
        <f t="shared" ca="1" si="118"/>
        <v>2</v>
      </c>
      <c r="CUK37" s="16" t="str">
        <f t="shared" ca="1" si="119"/>
        <v/>
      </c>
      <c r="CUL37" s="16">
        <f t="shared" ca="1" si="120"/>
        <v>5</v>
      </c>
      <c r="CUM37" s="16">
        <f t="shared" ca="1" si="121"/>
        <v>6</v>
      </c>
      <c r="CUN37" s="16">
        <f t="shared" ca="1" si="122"/>
        <v>3</v>
      </c>
      <c r="CUO37" s="16" t="str">
        <f t="shared" ca="1" si="123"/>
        <v/>
      </c>
      <c r="CUP37" s="16" t="str">
        <f t="shared" ca="1" si="124"/>
        <v/>
      </c>
      <c r="CUQ37" s="16" t="str">
        <f t="shared" ca="1" si="125"/>
        <v/>
      </c>
      <c r="CUR37" s="16" t="str">
        <f t="shared" ca="1" si="126"/>
        <v/>
      </c>
      <c r="CUS37" s="16" t="str">
        <f t="shared" ca="1" si="127"/>
        <v/>
      </c>
      <c r="CUT37" s="16" t="str">
        <f t="shared" ca="1" si="128"/>
        <v/>
      </c>
      <c r="CUU37" s="16" t="str">
        <f t="shared" ca="1" si="129"/>
        <v/>
      </c>
      <c r="CUV37" s="16" t="str">
        <f t="shared" ca="1" si="130"/>
        <v/>
      </c>
      <c r="CUW37" s="16" t="str">
        <f t="shared" ca="1" si="131"/>
        <v/>
      </c>
      <c r="CUX37" s="16" t="str">
        <f t="shared" ca="1" si="132"/>
        <v/>
      </c>
      <c r="CUY37" s="16" t="str">
        <f t="shared" ca="1" si="133"/>
        <v/>
      </c>
      <c r="CUZ37" s="16" t="str">
        <f t="shared" ca="1" si="134"/>
        <v/>
      </c>
      <c r="CVA37" s="16" t="str">
        <f t="shared" ca="1" si="135"/>
        <v/>
      </c>
      <c r="CVB37" s="16" t="str">
        <f t="shared" ca="1" si="136"/>
        <v/>
      </c>
      <c r="CVC37" s="16" t="str">
        <f t="shared" ca="1" si="137"/>
        <v/>
      </c>
      <c r="CVD37" s="16" t="str">
        <f t="shared" ca="1" si="138"/>
        <v/>
      </c>
      <c r="CVE37" s="16" t="str">
        <f t="shared" ca="1" si="139"/>
        <v/>
      </c>
      <c r="CVF37" s="16" t="str">
        <f t="shared" ca="1" si="140"/>
        <v/>
      </c>
      <c r="CVG37" s="16" t="str">
        <f t="shared" ca="1" si="141"/>
        <v/>
      </c>
      <c r="CVH37" s="16" t="str">
        <f t="shared" ca="1" si="142"/>
        <v/>
      </c>
      <c r="CVI37" s="16" t="str">
        <f t="shared" ca="1" si="143"/>
        <v/>
      </c>
      <c r="CVJ37" s="16" t="str">
        <f t="shared" ca="1" si="144"/>
        <v/>
      </c>
      <c r="CVK37" s="16" t="str">
        <f t="shared" ca="1" si="145"/>
        <v/>
      </c>
      <c r="CVL37" s="16" t="str">
        <f t="shared" ca="1" si="146"/>
        <v/>
      </c>
      <c r="CVM37" s="16" t="str">
        <f t="shared" ca="1" si="147"/>
        <v/>
      </c>
      <c r="CVN37" s="16" t="str">
        <f t="shared" ca="1" si="148"/>
        <v/>
      </c>
      <c r="CVO37" s="58" t="str">
        <f t="shared" si="149"/>
        <v>воробьевзахар</v>
      </c>
      <c r="CVP37" s="58" t="str">
        <f>IFERROR(VLOOKUP(CVO37,'Внешние данные'!A:Z,4,FALSE),"")</f>
        <v/>
      </c>
    </row>
    <row r="38" spans="1:2616" s="16" customFormat="1" ht="13.8" x14ac:dyDescent="0.25">
      <c r="A38" s="2" t="s">
        <v>2371</v>
      </c>
      <c r="B38" s="2" t="s">
        <v>2471</v>
      </c>
      <c r="C38" s="57" t="s">
        <v>2418</v>
      </c>
      <c r="D38" s="35">
        <v>5</v>
      </c>
      <c r="E38" s="58" t="s">
        <v>2303</v>
      </c>
      <c r="G38" s="16" t="s">
        <v>1392</v>
      </c>
      <c r="H38" s="53">
        <f t="shared" ref="H38:H55" ca="1" si="162">IF(ISNA(MATCH(1,$CSL38:$CTY38,0)),"",(J38+1)/($B$1-MATCH(1,$CSL38:$CTY38,0)+2))</f>
        <v>0.58333333333333337</v>
      </c>
      <c r="I38" s="35">
        <f t="shared" ref="I38:I55" ca="1" si="163">IF(ISNA(MATCH(0,$CSL38:$CTY38,-1)),"",$B$1-MATCH(0,$CSL38:$CTY38,-1))</f>
        <v>1</v>
      </c>
      <c r="J38" s="35">
        <f t="shared" ref="J38:J55" ca="1" si="164">SUM(CSL38:CTY38)</f>
        <v>6</v>
      </c>
      <c r="K38" s="49">
        <f t="shared" ref="K38:K55" ca="1" si="165">IF($J38&gt;0,SUM($CUA38:$CVN38)/$J38,"")</f>
        <v>1.3333333333333333</v>
      </c>
      <c r="L38" s="16">
        <v>308</v>
      </c>
      <c r="M38" s="12"/>
      <c r="N38" s="12"/>
      <c r="O38" s="4"/>
      <c r="P38" s="4">
        <v>445</v>
      </c>
      <c r="Q38" s="4">
        <v>445</v>
      </c>
      <c r="R38" s="4">
        <v>445</v>
      </c>
      <c r="S38" s="4">
        <v>445</v>
      </c>
      <c r="T38" s="4">
        <v>445</v>
      </c>
      <c r="U38" s="4"/>
      <c r="V38" s="4">
        <v>445</v>
      </c>
      <c r="W38" s="4">
        <v>445</v>
      </c>
      <c r="X38" s="4">
        <v>445</v>
      </c>
      <c r="Y38" s="4">
        <v>445</v>
      </c>
      <c r="Z38" s="4">
        <v>445</v>
      </c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IE38" s="16">
        <v>1</v>
      </c>
      <c r="IF38" s="16">
        <v>1</v>
      </c>
      <c r="IG38" s="16">
        <v>1</v>
      </c>
      <c r="IH38" s="16">
        <v>1</v>
      </c>
      <c r="II38" s="16">
        <v>1</v>
      </c>
      <c r="IJ38" s="16">
        <v>1</v>
      </c>
      <c r="KO38" s="16">
        <v>1</v>
      </c>
      <c r="MY38" s="16">
        <v>1</v>
      </c>
      <c r="MZ38" s="16">
        <v>1</v>
      </c>
      <c r="PI38" s="16" t="s">
        <v>2961</v>
      </c>
      <c r="RS38" s="16">
        <v>1</v>
      </c>
      <c r="WM38" s="16" t="s">
        <v>2961</v>
      </c>
      <c r="YW38" s="16">
        <v>1</v>
      </c>
      <c r="YZ38" s="16">
        <v>1</v>
      </c>
      <c r="ZB38" s="16">
        <v>1</v>
      </c>
      <c r="ABG38" s="16" t="s">
        <v>2961</v>
      </c>
      <c r="ADQ38" s="16">
        <v>1</v>
      </c>
      <c r="AGA38" s="16" t="s">
        <v>2961</v>
      </c>
      <c r="CSK38" s="54" t="str">
        <f t="shared" ref="CSK38:CSK55" si="166">"X"</f>
        <v>X</v>
      </c>
      <c r="CSL38" s="35" t="str">
        <f t="shared" ca="1" si="158"/>
        <v/>
      </c>
      <c r="CSM38" s="35" t="str">
        <f t="shared" ca="1" si="158"/>
        <v/>
      </c>
      <c r="CSN38" s="35" t="str">
        <f t="shared" ca="1" si="158"/>
        <v/>
      </c>
      <c r="CSO38" s="35">
        <f t="shared" ca="1" si="158"/>
        <v>1</v>
      </c>
      <c r="CSP38" s="35">
        <f t="shared" ca="1" si="158"/>
        <v>1</v>
      </c>
      <c r="CSQ38" s="72">
        <f t="shared" ca="1" si="158"/>
        <v>1</v>
      </c>
      <c r="CSR38" s="35" t="str">
        <f t="shared" ca="1" si="158"/>
        <v/>
      </c>
      <c r="CSS38" s="35">
        <f t="shared" ca="1" si="158"/>
        <v>1</v>
      </c>
      <c r="CST38" s="35" t="str">
        <f t="shared" ca="1" si="158"/>
        <v/>
      </c>
      <c r="CSU38" s="35" t="str">
        <f t="shared" ca="1" si="158"/>
        <v/>
      </c>
      <c r="CSV38" s="35">
        <f t="shared" ca="1" si="159"/>
        <v>1</v>
      </c>
      <c r="CSW38" s="35" t="str">
        <f t="shared" ca="1" si="159"/>
        <v/>
      </c>
      <c r="CSX38" s="35">
        <f t="shared" ca="1" si="159"/>
        <v>1</v>
      </c>
      <c r="CSY38" s="35" t="str">
        <f t="shared" ca="1" si="159"/>
        <v/>
      </c>
      <c r="CSZ38" s="35" t="str">
        <f t="shared" ca="1" si="159"/>
        <v/>
      </c>
      <c r="CTA38" s="35" t="str">
        <f t="shared" ca="1" si="159"/>
        <v/>
      </c>
      <c r="CTB38" s="35" t="str">
        <f t="shared" ca="1" si="159"/>
        <v/>
      </c>
      <c r="CTC38" s="35" t="str">
        <f t="shared" ca="1" si="159"/>
        <v/>
      </c>
      <c r="CTD38" s="35" t="str">
        <f t="shared" ca="1" si="159"/>
        <v/>
      </c>
      <c r="CTE38" s="35" t="str">
        <f t="shared" ca="1" si="159"/>
        <v/>
      </c>
      <c r="CTF38" s="35" t="str">
        <f t="shared" ca="1" si="160"/>
        <v/>
      </c>
      <c r="CTG38" s="35" t="str">
        <f t="shared" ca="1" si="160"/>
        <v/>
      </c>
      <c r="CTH38" s="35" t="str">
        <f t="shared" ca="1" si="160"/>
        <v/>
      </c>
      <c r="CTI38" s="35" t="str">
        <f t="shared" ca="1" si="160"/>
        <v/>
      </c>
      <c r="CTJ38" s="35" t="str">
        <f t="shared" ca="1" si="160"/>
        <v/>
      </c>
      <c r="CTK38" s="35" t="str">
        <f t="shared" ca="1" si="160"/>
        <v/>
      </c>
      <c r="CTL38" s="35" t="str">
        <f t="shared" ca="1" si="160"/>
        <v/>
      </c>
      <c r="CTM38" s="35" t="str">
        <f t="shared" ca="1" si="160"/>
        <v/>
      </c>
      <c r="CTN38" s="35" t="str">
        <f t="shared" ca="1" si="160"/>
        <v/>
      </c>
      <c r="CTO38" s="35" t="str">
        <f t="shared" ca="1" si="160"/>
        <v/>
      </c>
      <c r="CTP38" s="35" t="str">
        <f t="shared" ca="1" si="161"/>
        <v/>
      </c>
      <c r="CTQ38" s="35" t="str">
        <f t="shared" ca="1" si="161"/>
        <v/>
      </c>
      <c r="CTR38" s="35" t="str">
        <f t="shared" ca="1" si="161"/>
        <v/>
      </c>
      <c r="CTS38" s="35" t="str">
        <f t="shared" ca="1" si="161"/>
        <v/>
      </c>
      <c r="CTT38" s="35" t="str">
        <f t="shared" ca="1" si="161"/>
        <v/>
      </c>
      <c r="CTU38" s="35" t="str">
        <f t="shared" ca="1" si="161"/>
        <v/>
      </c>
      <c r="CTV38" s="35" t="str">
        <f t="shared" ca="1" si="161"/>
        <v/>
      </c>
      <c r="CTW38" s="35" t="str">
        <f t="shared" ca="1" si="161"/>
        <v/>
      </c>
      <c r="CTX38" s="35" t="str">
        <f t="shared" ca="1" si="161"/>
        <v/>
      </c>
      <c r="CTY38" s="35" t="str">
        <f t="shared" ca="1" si="161"/>
        <v/>
      </c>
      <c r="CTZ38" s="56" t="str">
        <f t="shared" ref="CTZ38:CTZ55" si="167">"X"</f>
        <v>X</v>
      </c>
      <c r="CUA38" s="58" t="str">
        <f t="shared" ref="CUA38:CUA55" ca="1" si="168">IF(AND(ISNUMBER(CSL38),CSL38&gt;0),SUM(OFFSET($BA38:$DJ38,0,62*(CUA$1-1),,62))-1,"")</f>
        <v/>
      </c>
      <c r="CUB38" s="16" t="str">
        <f t="shared" ref="CUB38:CUB55" ca="1" si="169">IF(AND(ISNUMBER(CSM38),CSM38&gt;0),SUM(OFFSET($BA38:$DJ38,0,62*(CUB$1-1),,62))-1,"")</f>
        <v/>
      </c>
      <c r="CUC38" s="16" t="str">
        <f t="shared" ref="CUC38:CUC55" ca="1" si="170">IF(AND(ISNUMBER(CSN38),CSN38&gt;0),SUM(OFFSET($BA38:$DJ38,0,62*(CUC$1-1),,62))-1,"")</f>
        <v/>
      </c>
      <c r="CUD38" s="16">
        <f t="shared" ref="CUD38:CUD55" ca="1" si="171">IF(AND(ISNUMBER(CSO38),CSO38&gt;0),SUM(OFFSET($BA38:$DJ38,0,62*(CUD$1-1),,62))-1,"")</f>
        <v>5</v>
      </c>
      <c r="CUE38" s="16">
        <f t="shared" ref="CUE38:CUE55" ca="1" si="172">IF(AND(ISNUMBER(CSP38),CSP38&gt;0),SUM(OFFSET($BA38:$DJ38,0,62*(CUE$1-1),,62))-1,"")</f>
        <v>0</v>
      </c>
      <c r="CUF38" s="16">
        <f t="shared" ref="CUF38:CUF55" ca="1" si="173">IF(AND(ISNUMBER(CSQ38),CSQ38&gt;0),SUM(OFFSET($BA38:$DJ38,0,62*(CUF$1-1),,62))-1,"")</f>
        <v>1</v>
      </c>
      <c r="CUG38" s="16" t="str">
        <f t="shared" ref="CUG38:CUG55" ca="1" si="174">IF(AND(ISNUMBER(CSR38),CSR38&gt;0),SUM(OFFSET($BA38:$DJ38,0,62*(CUG$1-1),,62))-1,"")</f>
        <v/>
      </c>
      <c r="CUH38" s="16">
        <f t="shared" ref="CUH38:CUH55" ca="1" si="175">IF(AND(ISNUMBER(CSS38),CSS38&gt;0),SUM(OFFSET($BA38:$DJ38,0,62*(CUH$1-1),,62))-1,"")</f>
        <v>0</v>
      </c>
      <c r="CUI38" s="16" t="str">
        <f t="shared" ref="CUI38:CUI55" ca="1" si="176">IF(AND(ISNUMBER(CST38),CST38&gt;0),SUM(OFFSET($BA38:$DJ38,0,62*(CUI$1-1),,62))-1,"")</f>
        <v/>
      </c>
      <c r="CUJ38" s="16" t="str">
        <f t="shared" ref="CUJ38:CUJ55" ca="1" si="177">IF(AND(ISNUMBER(CSU38),CSU38&gt;0),SUM(OFFSET($BA38:$DJ38,0,62*(CUJ$1-1),,62))-1,"")</f>
        <v/>
      </c>
      <c r="CUK38" s="16">
        <f t="shared" ref="CUK38:CUK55" ca="1" si="178">IF(AND(ISNUMBER(CSV38),CSV38&gt;0),SUM(OFFSET($BA38:$DJ38,0,62*(CUK$1-1),,62))-1,"")</f>
        <v>2</v>
      </c>
      <c r="CUL38" s="16" t="str">
        <f t="shared" ref="CUL38:CUL55" ca="1" si="179">IF(AND(ISNUMBER(CSW38),CSW38&gt;0),SUM(OFFSET($BA38:$DJ38,0,62*(CUL$1-1),,62))-1,"")</f>
        <v/>
      </c>
      <c r="CUM38" s="16">
        <f t="shared" ref="CUM38:CUM55" ca="1" si="180">IF(AND(ISNUMBER(CSX38),CSX38&gt;0),SUM(OFFSET($BA38:$DJ38,0,62*(CUM$1-1),,62))-1,"")</f>
        <v>0</v>
      </c>
      <c r="CUN38" s="16" t="str">
        <f t="shared" ref="CUN38:CUN55" ca="1" si="181">IF(AND(ISNUMBER(CSY38),CSY38&gt;0),SUM(OFFSET($BA38:$DJ38,0,62*(CUN$1-1),,62))-1,"")</f>
        <v/>
      </c>
      <c r="CUO38" s="16" t="str">
        <f t="shared" ref="CUO38:CUO55" ca="1" si="182">IF(AND(ISNUMBER(CSZ38),CSZ38&gt;0),SUM(OFFSET($BA38:$DJ38,0,62*(CUO$1-1),,62))-1,"")</f>
        <v/>
      </c>
      <c r="CUP38" s="16" t="str">
        <f t="shared" ref="CUP38:CUP55" ca="1" si="183">IF(AND(ISNUMBER(CTA38),CTA38&gt;0),SUM(OFFSET($BA38:$DJ38,0,62*(CUP$1-1),,62))-1,"")</f>
        <v/>
      </c>
      <c r="CUQ38" s="16" t="str">
        <f t="shared" ref="CUQ38:CUQ55" ca="1" si="184">IF(AND(ISNUMBER(CTB38),CTB38&gt;0),SUM(OFFSET($BA38:$DJ38,0,62*(CUQ$1-1),,62))-1,"")</f>
        <v/>
      </c>
      <c r="CUR38" s="16" t="str">
        <f t="shared" ref="CUR38:CUR55" ca="1" si="185">IF(AND(ISNUMBER(CTC38),CTC38&gt;0),SUM(OFFSET($BA38:$DJ38,0,62*(CUR$1-1),,62))-1,"")</f>
        <v/>
      </c>
      <c r="CUS38" s="16" t="str">
        <f t="shared" ref="CUS38:CUS55" ca="1" si="186">IF(AND(ISNUMBER(CTD38),CTD38&gt;0),SUM(OFFSET($BA38:$DJ38,0,62*(CUS$1-1),,62))-1,"")</f>
        <v/>
      </c>
      <c r="CUT38" s="16" t="str">
        <f t="shared" ref="CUT38:CUT55" ca="1" si="187">IF(AND(ISNUMBER(CTE38),CTE38&gt;0),SUM(OFFSET($BA38:$DJ38,0,62*(CUT$1-1),,62))-1,"")</f>
        <v/>
      </c>
      <c r="CUU38" s="16" t="str">
        <f t="shared" ref="CUU38:CUU55" ca="1" si="188">IF(AND(ISNUMBER(CTF38),CTF38&gt;0),SUM(OFFSET($BA38:$DJ38,0,62*(CUU$1-1),,62))-1,"")</f>
        <v/>
      </c>
      <c r="CUV38" s="16" t="str">
        <f t="shared" ref="CUV38:CUV55" ca="1" si="189">IF(AND(ISNUMBER(CTG38),CTG38&gt;0),SUM(OFFSET($BA38:$DJ38,0,62*(CUV$1-1),,62))-1,"")</f>
        <v/>
      </c>
      <c r="CUW38" s="16" t="str">
        <f t="shared" ref="CUW38:CUW55" ca="1" si="190">IF(AND(ISNUMBER(CTH38),CTH38&gt;0),SUM(OFFSET($BA38:$DJ38,0,62*(CUW$1-1),,62))-1,"")</f>
        <v/>
      </c>
      <c r="CUX38" s="16" t="str">
        <f t="shared" ref="CUX38:CUX55" ca="1" si="191">IF(AND(ISNUMBER(CTI38),CTI38&gt;0),SUM(OFFSET($BA38:$DJ38,0,62*(CUX$1-1),,62))-1,"")</f>
        <v/>
      </c>
      <c r="CUY38" s="16" t="str">
        <f t="shared" ref="CUY38:CUY55" ca="1" si="192">IF(AND(ISNUMBER(CTJ38),CTJ38&gt;0),SUM(OFFSET($BA38:$DJ38,0,62*(CUY$1-1),,62))-1,"")</f>
        <v/>
      </c>
      <c r="CUZ38" s="16" t="str">
        <f t="shared" ref="CUZ38:CUZ55" ca="1" si="193">IF(AND(ISNUMBER(CTK38),CTK38&gt;0),SUM(OFFSET($BA38:$DJ38,0,62*(CUZ$1-1),,62))-1,"")</f>
        <v/>
      </c>
      <c r="CVA38" s="16" t="str">
        <f t="shared" ref="CVA38:CVA55" ca="1" si="194">IF(AND(ISNUMBER(CTL38),CTL38&gt;0),SUM(OFFSET($BA38:$DJ38,0,62*(CVA$1-1),,62))-1,"")</f>
        <v/>
      </c>
      <c r="CVB38" s="16" t="str">
        <f t="shared" ref="CVB38:CVB55" ca="1" si="195">IF(AND(ISNUMBER(CTM38),CTM38&gt;0),SUM(OFFSET($BA38:$DJ38,0,62*(CVB$1-1),,62))-1,"")</f>
        <v/>
      </c>
      <c r="CVC38" s="16" t="str">
        <f t="shared" ref="CVC38:CVC55" ca="1" si="196">IF(AND(ISNUMBER(CTN38),CTN38&gt;0),SUM(OFFSET($BA38:$DJ38,0,62*(CVC$1-1),,62))-1,"")</f>
        <v/>
      </c>
      <c r="CVD38" s="16" t="str">
        <f t="shared" ref="CVD38:CVD55" ca="1" si="197">IF(AND(ISNUMBER(CTO38),CTO38&gt;0),SUM(OFFSET($BA38:$DJ38,0,62*(CVD$1-1),,62))-1,"")</f>
        <v/>
      </c>
      <c r="CVE38" s="16" t="str">
        <f t="shared" ref="CVE38:CVE55" ca="1" si="198">IF(AND(ISNUMBER(CTP38),CTP38&gt;0),SUM(OFFSET($BA38:$DJ38,0,62*(CVE$1-1),,62))-1,"")</f>
        <v/>
      </c>
      <c r="CVF38" s="16" t="str">
        <f t="shared" ref="CVF38:CVF55" ca="1" si="199">IF(AND(ISNUMBER(CTQ38),CTQ38&gt;0),SUM(OFFSET($BA38:$DJ38,0,62*(CVF$1-1),,62))-1,"")</f>
        <v/>
      </c>
      <c r="CVG38" s="16" t="str">
        <f t="shared" ref="CVG38:CVG55" ca="1" si="200">IF(AND(ISNUMBER(CTR38),CTR38&gt;0),SUM(OFFSET($BA38:$DJ38,0,62*(CVG$1-1),,62))-1,"")</f>
        <v/>
      </c>
      <c r="CVH38" s="16" t="str">
        <f t="shared" ref="CVH38:CVH55" ca="1" si="201">IF(AND(ISNUMBER(CTS38),CTS38&gt;0),SUM(OFFSET($BA38:$DJ38,0,62*(CVH$1-1),,62))-1,"")</f>
        <v/>
      </c>
      <c r="CVI38" s="16" t="str">
        <f t="shared" ref="CVI38:CVI55" ca="1" si="202">IF(AND(ISNUMBER(CTT38),CTT38&gt;0),SUM(OFFSET($BA38:$DJ38,0,62*(CVI$1-1),,62))-1,"")</f>
        <v/>
      </c>
      <c r="CVJ38" s="16" t="str">
        <f t="shared" ref="CVJ38:CVJ55" ca="1" si="203">IF(AND(ISNUMBER(CTU38),CTU38&gt;0),SUM(OFFSET($BA38:$DJ38,0,62*(CVJ$1-1),,62))-1,"")</f>
        <v/>
      </c>
      <c r="CVK38" s="16" t="str">
        <f t="shared" ref="CVK38:CVK55" ca="1" si="204">IF(AND(ISNUMBER(CTV38),CTV38&gt;0),SUM(OFFSET($BA38:$DJ38,0,62*(CVK$1-1),,62))-1,"")</f>
        <v/>
      </c>
      <c r="CVL38" s="16" t="str">
        <f t="shared" ref="CVL38:CVL55" ca="1" si="205">IF(AND(ISNUMBER(CTW38),CTW38&gt;0),SUM(OFFSET($BA38:$DJ38,0,62*(CVL$1-1),,62))-1,"")</f>
        <v/>
      </c>
      <c r="CVM38" s="16" t="str">
        <f t="shared" ref="CVM38:CVM55" ca="1" si="206">IF(AND(ISNUMBER(CTX38),CTX38&gt;0),SUM(OFFSET($BA38:$DJ38,0,62*(CVM$1-1),,62))-1,"")</f>
        <v/>
      </c>
      <c r="CVN38" s="16" t="str">
        <f t="shared" ref="CVN38:CVN55" ca="1" si="207">IF(AND(ISNUMBER(CTY38),CTY38&gt;0),SUM(OFFSET($BA38:$DJ38,0,62*(CVN$1-1),,62))-1,"")</f>
        <v/>
      </c>
      <c r="CVO38" s="58" t="str">
        <f t="shared" ref="CVO38:CVO55" si="208">SUBSTITUTE(SUBSTITUTE(LOWER(A38&amp;B38),"ё","е")," ","")</f>
        <v>сергееввиктор</v>
      </c>
      <c r="CVP38" s="58" t="str">
        <f>IFERROR(VLOOKUP(CVO38,'Внешние данные'!A:Z,4,FALSE),"")</f>
        <v/>
      </c>
    </row>
    <row r="39" spans="1:2616" s="16" customFormat="1" ht="13.8" x14ac:dyDescent="0.25">
      <c r="A39" s="2" t="s">
        <v>2372</v>
      </c>
      <c r="B39" s="2" t="s">
        <v>2444</v>
      </c>
      <c r="C39" s="57" t="s">
        <v>2419</v>
      </c>
      <c r="D39" s="35">
        <v>6</v>
      </c>
      <c r="E39" s="58">
        <v>57</v>
      </c>
      <c r="G39" s="16" t="s">
        <v>1393</v>
      </c>
      <c r="H39" s="53">
        <f t="shared" ca="1" si="162"/>
        <v>0.4</v>
      </c>
      <c r="I39" s="35">
        <f t="shared" ca="1" si="163"/>
        <v>4</v>
      </c>
      <c r="J39" s="35">
        <f t="shared" ca="1" si="164"/>
        <v>3</v>
      </c>
      <c r="K39" s="49">
        <f t="shared" ca="1" si="165"/>
        <v>4.333333333333333</v>
      </c>
      <c r="L39" s="16">
        <v>205</v>
      </c>
      <c r="M39" s="12"/>
      <c r="N39" s="12"/>
      <c r="O39" s="4"/>
      <c r="P39" s="4">
        <v>415</v>
      </c>
      <c r="Q39" s="4">
        <v>415</v>
      </c>
      <c r="R39" s="4">
        <v>415</v>
      </c>
      <c r="S39" s="4">
        <v>406</v>
      </c>
      <c r="T39" s="4">
        <v>406</v>
      </c>
      <c r="U39" s="4"/>
      <c r="V39" s="4">
        <v>406</v>
      </c>
      <c r="W39" s="4">
        <v>406</v>
      </c>
      <c r="X39" s="4">
        <v>406</v>
      </c>
      <c r="Y39" s="4">
        <v>406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MY39" s="16">
        <v>1</v>
      </c>
      <c r="MZ39" s="16">
        <v>1</v>
      </c>
      <c r="NA39" s="16">
        <v>1</v>
      </c>
      <c r="NB39" s="16">
        <v>1</v>
      </c>
      <c r="NC39" s="16">
        <v>1</v>
      </c>
      <c r="ND39" s="16">
        <v>1</v>
      </c>
      <c r="NE39" s="16">
        <v>1</v>
      </c>
      <c r="NF39" s="16">
        <v>1</v>
      </c>
      <c r="NG39" s="16">
        <v>1</v>
      </c>
      <c r="NH39" s="16">
        <v>1</v>
      </c>
      <c r="NI39" s="16">
        <v>1</v>
      </c>
      <c r="NL39" s="16">
        <v>1</v>
      </c>
      <c r="NM39" s="16">
        <v>1</v>
      </c>
      <c r="PI39" s="16">
        <v>1</v>
      </c>
      <c r="RS39" s="16" t="s">
        <v>2961</v>
      </c>
      <c r="WM39" s="16">
        <v>1</v>
      </c>
      <c r="WW39" s="16">
        <v>1</v>
      </c>
      <c r="YW39" s="16" t="s">
        <v>2961</v>
      </c>
      <c r="ABG39" s="16" t="s">
        <v>2961</v>
      </c>
      <c r="ADQ39" s="16" t="s">
        <v>2961</v>
      </c>
      <c r="AGA39" s="16" t="s">
        <v>2961</v>
      </c>
      <c r="CSK39" s="54" t="str">
        <f t="shared" si="166"/>
        <v>X</v>
      </c>
      <c r="CSL39" s="35" t="str">
        <f t="shared" ca="1" si="158"/>
        <v/>
      </c>
      <c r="CSM39" s="35" t="str">
        <f t="shared" ca="1" si="158"/>
        <v/>
      </c>
      <c r="CSN39" s="35" t="str">
        <f t="shared" ca="1" si="158"/>
        <v/>
      </c>
      <c r="CSO39" s="35" t="str">
        <f t="shared" ca="1" si="158"/>
        <v/>
      </c>
      <c r="CSP39" s="35" t="str">
        <f t="shared" ca="1" si="158"/>
        <v/>
      </c>
      <c r="CSQ39" s="72">
        <f t="shared" ca="1" si="158"/>
        <v>1</v>
      </c>
      <c r="CSR39" s="35">
        <f t="shared" ca="1" si="158"/>
        <v>1</v>
      </c>
      <c r="CSS39" s="35" t="str">
        <f t="shared" ca="1" si="158"/>
        <v/>
      </c>
      <c r="CST39" s="35" t="str">
        <f t="shared" ca="1" si="158"/>
        <v/>
      </c>
      <c r="CSU39" s="35">
        <f t="shared" ca="1" si="158"/>
        <v>1</v>
      </c>
      <c r="CSV39" s="35" t="str">
        <f t="shared" ca="1" si="159"/>
        <v/>
      </c>
      <c r="CSW39" s="35" t="str">
        <f t="shared" ca="1" si="159"/>
        <v/>
      </c>
      <c r="CSX39" s="35" t="str">
        <f t="shared" ca="1" si="159"/>
        <v/>
      </c>
      <c r="CSY39" s="35" t="str">
        <f t="shared" ca="1" si="159"/>
        <v/>
      </c>
      <c r="CSZ39" s="35" t="str">
        <f t="shared" ca="1" si="159"/>
        <v/>
      </c>
      <c r="CTA39" s="35" t="str">
        <f t="shared" ca="1" si="159"/>
        <v/>
      </c>
      <c r="CTB39" s="35" t="str">
        <f t="shared" ca="1" si="159"/>
        <v/>
      </c>
      <c r="CTC39" s="35" t="str">
        <f t="shared" ca="1" si="159"/>
        <v/>
      </c>
      <c r="CTD39" s="35" t="str">
        <f t="shared" ca="1" si="159"/>
        <v/>
      </c>
      <c r="CTE39" s="35" t="str">
        <f t="shared" ca="1" si="159"/>
        <v/>
      </c>
      <c r="CTF39" s="35" t="str">
        <f t="shared" ca="1" si="160"/>
        <v/>
      </c>
      <c r="CTG39" s="35" t="str">
        <f t="shared" ca="1" si="160"/>
        <v/>
      </c>
      <c r="CTH39" s="35" t="str">
        <f t="shared" ca="1" si="160"/>
        <v/>
      </c>
      <c r="CTI39" s="35" t="str">
        <f t="shared" ca="1" si="160"/>
        <v/>
      </c>
      <c r="CTJ39" s="35" t="str">
        <f t="shared" ca="1" si="160"/>
        <v/>
      </c>
      <c r="CTK39" s="35" t="str">
        <f t="shared" ca="1" si="160"/>
        <v/>
      </c>
      <c r="CTL39" s="35" t="str">
        <f t="shared" ca="1" si="160"/>
        <v/>
      </c>
      <c r="CTM39" s="35" t="str">
        <f t="shared" ca="1" si="160"/>
        <v/>
      </c>
      <c r="CTN39" s="35" t="str">
        <f t="shared" ca="1" si="160"/>
        <v/>
      </c>
      <c r="CTO39" s="35" t="str">
        <f t="shared" ca="1" si="160"/>
        <v/>
      </c>
      <c r="CTP39" s="35" t="str">
        <f t="shared" ca="1" si="161"/>
        <v/>
      </c>
      <c r="CTQ39" s="35" t="str">
        <f t="shared" ca="1" si="161"/>
        <v/>
      </c>
      <c r="CTR39" s="35" t="str">
        <f t="shared" ca="1" si="161"/>
        <v/>
      </c>
      <c r="CTS39" s="35" t="str">
        <f t="shared" ca="1" si="161"/>
        <v/>
      </c>
      <c r="CTT39" s="35" t="str">
        <f t="shared" ca="1" si="161"/>
        <v/>
      </c>
      <c r="CTU39" s="35" t="str">
        <f t="shared" ca="1" si="161"/>
        <v/>
      </c>
      <c r="CTV39" s="35" t="str">
        <f t="shared" ca="1" si="161"/>
        <v/>
      </c>
      <c r="CTW39" s="35" t="str">
        <f t="shared" ca="1" si="161"/>
        <v/>
      </c>
      <c r="CTX39" s="35" t="str">
        <f t="shared" ca="1" si="161"/>
        <v/>
      </c>
      <c r="CTY39" s="35" t="str">
        <f t="shared" ca="1" si="161"/>
        <v/>
      </c>
      <c r="CTZ39" s="56" t="str">
        <f t="shared" si="167"/>
        <v>X</v>
      </c>
      <c r="CUA39" s="58" t="str">
        <f t="shared" ca="1" si="168"/>
        <v/>
      </c>
      <c r="CUB39" s="16" t="str">
        <f t="shared" ca="1" si="169"/>
        <v/>
      </c>
      <c r="CUC39" s="16" t="str">
        <f t="shared" ca="1" si="170"/>
        <v/>
      </c>
      <c r="CUD39" s="16" t="str">
        <f t="shared" ca="1" si="171"/>
        <v/>
      </c>
      <c r="CUE39" s="16" t="str">
        <f t="shared" ca="1" si="172"/>
        <v/>
      </c>
      <c r="CUF39" s="16">
        <f t="shared" ca="1" si="173"/>
        <v>12</v>
      </c>
      <c r="CUG39" s="16">
        <f t="shared" ca="1" si="174"/>
        <v>0</v>
      </c>
      <c r="CUH39" s="16" t="str">
        <f t="shared" ca="1" si="175"/>
        <v/>
      </c>
      <c r="CUI39" s="16" t="str">
        <f t="shared" ca="1" si="176"/>
        <v/>
      </c>
      <c r="CUJ39" s="16">
        <f t="shared" ca="1" si="177"/>
        <v>1</v>
      </c>
      <c r="CUK39" s="16" t="str">
        <f t="shared" ca="1" si="178"/>
        <v/>
      </c>
      <c r="CUL39" s="16" t="str">
        <f t="shared" ca="1" si="179"/>
        <v/>
      </c>
      <c r="CUM39" s="16" t="str">
        <f t="shared" ca="1" si="180"/>
        <v/>
      </c>
      <c r="CUN39" s="16" t="str">
        <f t="shared" ca="1" si="181"/>
        <v/>
      </c>
      <c r="CUO39" s="16" t="str">
        <f t="shared" ca="1" si="182"/>
        <v/>
      </c>
      <c r="CUP39" s="16" t="str">
        <f t="shared" ca="1" si="183"/>
        <v/>
      </c>
      <c r="CUQ39" s="16" t="str">
        <f t="shared" ca="1" si="184"/>
        <v/>
      </c>
      <c r="CUR39" s="16" t="str">
        <f t="shared" ca="1" si="185"/>
        <v/>
      </c>
      <c r="CUS39" s="16" t="str">
        <f t="shared" ca="1" si="186"/>
        <v/>
      </c>
      <c r="CUT39" s="16" t="str">
        <f t="shared" ca="1" si="187"/>
        <v/>
      </c>
      <c r="CUU39" s="16" t="str">
        <f t="shared" ca="1" si="188"/>
        <v/>
      </c>
      <c r="CUV39" s="16" t="str">
        <f t="shared" ca="1" si="189"/>
        <v/>
      </c>
      <c r="CUW39" s="16" t="str">
        <f t="shared" ca="1" si="190"/>
        <v/>
      </c>
      <c r="CUX39" s="16" t="str">
        <f t="shared" ca="1" si="191"/>
        <v/>
      </c>
      <c r="CUY39" s="16" t="str">
        <f t="shared" ca="1" si="192"/>
        <v/>
      </c>
      <c r="CUZ39" s="16" t="str">
        <f t="shared" ca="1" si="193"/>
        <v/>
      </c>
      <c r="CVA39" s="16" t="str">
        <f t="shared" ca="1" si="194"/>
        <v/>
      </c>
      <c r="CVB39" s="16" t="str">
        <f t="shared" ca="1" si="195"/>
        <v/>
      </c>
      <c r="CVC39" s="16" t="str">
        <f t="shared" ca="1" si="196"/>
        <v/>
      </c>
      <c r="CVD39" s="16" t="str">
        <f t="shared" ca="1" si="197"/>
        <v/>
      </c>
      <c r="CVE39" s="16" t="str">
        <f t="shared" ca="1" si="198"/>
        <v/>
      </c>
      <c r="CVF39" s="16" t="str">
        <f t="shared" ca="1" si="199"/>
        <v/>
      </c>
      <c r="CVG39" s="16" t="str">
        <f t="shared" ca="1" si="200"/>
        <v/>
      </c>
      <c r="CVH39" s="16" t="str">
        <f t="shared" ca="1" si="201"/>
        <v/>
      </c>
      <c r="CVI39" s="16" t="str">
        <f t="shared" ca="1" si="202"/>
        <v/>
      </c>
      <c r="CVJ39" s="16" t="str">
        <f t="shared" ca="1" si="203"/>
        <v/>
      </c>
      <c r="CVK39" s="16" t="str">
        <f t="shared" ca="1" si="204"/>
        <v/>
      </c>
      <c r="CVL39" s="16" t="str">
        <f t="shared" ca="1" si="205"/>
        <v/>
      </c>
      <c r="CVM39" s="16" t="str">
        <f t="shared" ca="1" si="206"/>
        <v/>
      </c>
      <c r="CVN39" s="16" t="str">
        <f t="shared" ca="1" si="207"/>
        <v/>
      </c>
      <c r="CVO39" s="58" t="str">
        <f t="shared" si="208"/>
        <v>кузьминалексей</v>
      </c>
      <c r="CVP39" s="58" t="str">
        <f>IFERROR(VLOOKUP(CVO39,'Внешние данные'!A:Z,4,FALSE),"")</f>
        <v/>
      </c>
    </row>
    <row r="40" spans="1:2616" s="16" customFormat="1" ht="13.8" x14ac:dyDescent="0.25">
      <c r="A40" s="2" t="s">
        <v>2373</v>
      </c>
      <c r="B40" s="2" t="s">
        <v>2459</v>
      </c>
      <c r="C40" s="57" t="s">
        <v>2420</v>
      </c>
      <c r="D40" s="35">
        <v>5</v>
      </c>
      <c r="E40" s="58">
        <v>179</v>
      </c>
      <c r="G40" s="16" t="s">
        <v>1393</v>
      </c>
      <c r="H40" s="53" t="str">
        <f t="shared" ca="1" si="162"/>
        <v/>
      </c>
      <c r="I40" s="35" t="str">
        <f t="shared" ca="1" si="163"/>
        <v/>
      </c>
      <c r="J40" s="35">
        <f t="shared" ca="1" si="164"/>
        <v>0</v>
      </c>
      <c r="K40" s="49" t="str">
        <f t="shared" ca="1" si="165"/>
        <v/>
      </c>
      <c r="L40" s="16">
        <v>305</v>
      </c>
      <c r="M40" s="12">
        <v>307</v>
      </c>
      <c r="N40" s="12">
        <v>405</v>
      </c>
      <c r="O40" s="4">
        <v>445</v>
      </c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PI40" s="16" t="s">
        <v>2961</v>
      </c>
      <c r="RS40" s="16" t="s">
        <v>2961</v>
      </c>
      <c r="WM40" s="16" t="s">
        <v>2961</v>
      </c>
      <c r="YW40" s="16" t="s">
        <v>2961</v>
      </c>
      <c r="ABG40" s="16" t="s">
        <v>2961</v>
      </c>
      <c r="AGA40" s="16" t="s">
        <v>2961</v>
      </c>
      <c r="CSK40" s="54" t="str">
        <f t="shared" si="166"/>
        <v>X</v>
      </c>
      <c r="CSL40" s="35" t="str">
        <f t="shared" ca="1" si="158"/>
        <v/>
      </c>
      <c r="CSM40" s="35" t="str">
        <f t="shared" ca="1" si="158"/>
        <v/>
      </c>
      <c r="CSN40" s="35" t="str">
        <f t="shared" ca="1" si="158"/>
        <v/>
      </c>
      <c r="CSO40" s="35" t="str">
        <f t="shared" ca="1" si="158"/>
        <v/>
      </c>
      <c r="CSP40" s="35" t="str">
        <f t="shared" ca="1" si="158"/>
        <v/>
      </c>
      <c r="CSQ40" s="72" t="str">
        <f t="shared" ca="1" si="158"/>
        <v/>
      </c>
      <c r="CSR40" s="35" t="str">
        <f t="shared" ca="1" si="158"/>
        <v/>
      </c>
      <c r="CSS40" s="35" t="str">
        <f t="shared" ca="1" si="158"/>
        <v/>
      </c>
      <c r="CST40" s="35" t="str">
        <f t="shared" ca="1" si="158"/>
        <v/>
      </c>
      <c r="CSU40" s="35" t="str">
        <f t="shared" ca="1" si="158"/>
        <v/>
      </c>
      <c r="CSV40" s="35" t="str">
        <f t="shared" ca="1" si="159"/>
        <v/>
      </c>
      <c r="CSW40" s="35" t="str">
        <f t="shared" ca="1" si="159"/>
        <v/>
      </c>
      <c r="CSX40" s="35" t="str">
        <f t="shared" ca="1" si="159"/>
        <v/>
      </c>
      <c r="CSY40" s="35" t="str">
        <f t="shared" ca="1" si="159"/>
        <v/>
      </c>
      <c r="CSZ40" s="35" t="str">
        <f t="shared" ca="1" si="159"/>
        <v/>
      </c>
      <c r="CTA40" s="35" t="str">
        <f t="shared" ca="1" si="159"/>
        <v/>
      </c>
      <c r="CTB40" s="35" t="str">
        <f t="shared" ca="1" si="159"/>
        <v/>
      </c>
      <c r="CTC40" s="35" t="str">
        <f t="shared" ca="1" si="159"/>
        <v/>
      </c>
      <c r="CTD40" s="35" t="str">
        <f t="shared" ca="1" si="159"/>
        <v/>
      </c>
      <c r="CTE40" s="35" t="str">
        <f t="shared" ca="1" si="159"/>
        <v/>
      </c>
      <c r="CTF40" s="35" t="str">
        <f t="shared" ca="1" si="160"/>
        <v/>
      </c>
      <c r="CTG40" s="35" t="str">
        <f t="shared" ca="1" si="160"/>
        <v/>
      </c>
      <c r="CTH40" s="35" t="str">
        <f t="shared" ca="1" si="160"/>
        <v/>
      </c>
      <c r="CTI40" s="35" t="str">
        <f t="shared" ca="1" si="160"/>
        <v/>
      </c>
      <c r="CTJ40" s="35" t="str">
        <f t="shared" ca="1" si="160"/>
        <v/>
      </c>
      <c r="CTK40" s="35" t="str">
        <f t="shared" ca="1" si="160"/>
        <v/>
      </c>
      <c r="CTL40" s="35" t="str">
        <f t="shared" ca="1" si="160"/>
        <v/>
      </c>
      <c r="CTM40" s="35" t="str">
        <f t="shared" ca="1" si="160"/>
        <v/>
      </c>
      <c r="CTN40" s="35" t="str">
        <f t="shared" ca="1" si="160"/>
        <v/>
      </c>
      <c r="CTO40" s="35" t="str">
        <f t="shared" ca="1" si="160"/>
        <v/>
      </c>
      <c r="CTP40" s="35" t="str">
        <f t="shared" ca="1" si="161"/>
        <v/>
      </c>
      <c r="CTQ40" s="35" t="str">
        <f t="shared" ca="1" si="161"/>
        <v/>
      </c>
      <c r="CTR40" s="35" t="str">
        <f t="shared" ca="1" si="161"/>
        <v/>
      </c>
      <c r="CTS40" s="35" t="str">
        <f t="shared" ca="1" si="161"/>
        <v/>
      </c>
      <c r="CTT40" s="35" t="str">
        <f t="shared" ca="1" si="161"/>
        <v/>
      </c>
      <c r="CTU40" s="35" t="str">
        <f t="shared" ca="1" si="161"/>
        <v/>
      </c>
      <c r="CTV40" s="35" t="str">
        <f t="shared" ca="1" si="161"/>
        <v/>
      </c>
      <c r="CTW40" s="35" t="str">
        <f t="shared" ca="1" si="161"/>
        <v/>
      </c>
      <c r="CTX40" s="35" t="str">
        <f t="shared" ca="1" si="161"/>
        <v/>
      </c>
      <c r="CTY40" s="35" t="str">
        <f t="shared" ca="1" si="161"/>
        <v/>
      </c>
      <c r="CTZ40" s="56" t="str">
        <f t="shared" si="167"/>
        <v>X</v>
      </c>
      <c r="CUA40" s="58" t="str">
        <f t="shared" ca="1" si="168"/>
        <v/>
      </c>
      <c r="CUB40" s="16" t="str">
        <f t="shared" ca="1" si="169"/>
        <v/>
      </c>
      <c r="CUC40" s="16" t="str">
        <f t="shared" ca="1" si="170"/>
        <v/>
      </c>
      <c r="CUD40" s="16" t="str">
        <f t="shared" ca="1" si="171"/>
        <v/>
      </c>
      <c r="CUE40" s="16" t="str">
        <f t="shared" ca="1" si="172"/>
        <v/>
      </c>
      <c r="CUF40" s="16" t="str">
        <f t="shared" ca="1" si="173"/>
        <v/>
      </c>
      <c r="CUG40" s="16" t="str">
        <f t="shared" ca="1" si="174"/>
        <v/>
      </c>
      <c r="CUH40" s="16" t="str">
        <f t="shared" ca="1" si="175"/>
        <v/>
      </c>
      <c r="CUI40" s="16" t="str">
        <f t="shared" ca="1" si="176"/>
        <v/>
      </c>
      <c r="CUJ40" s="16" t="str">
        <f t="shared" ca="1" si="177"/>
        <v/>
      </c>
      <c r="CUK40" s="16" t="str">
        <f t="shared" ca="1" si="178"/>
        <v/>
      </c>
      <c r="CUL40" s="16" t="str">
        <f t="shared" ca="1" si="179"/>
        <v/>
      </c>
      <c r="CUM40" s="16" t="str">
        <f t="shared" ca="1" si="180"/>
        <v/>
      </c>
      <c r="CUN40" s="16" t="str">
        <f t="shared" ca="1" si="181"/>
        <v/>
      </c>
      <c r="CUO40" s="16" t="str">
        <f t="shared" ca="1" si="182"/>
        <v/>
      </c>
      <c r="CUP40" s="16" t="str">
        <f t="shared" ca="1" si="183"/>
        <v/>
      </c>
      <c r="CUQ40" s="16" t="str">
        <f t="shared" ca="1" si="184"/>
        <v/>
      </c>
      <c r="CUR40" s="16" t="str">
        <f t="shared" ca="1" si="185"/>
        <v/>
      </c>
      <c r="CUS40" s="16" t="str">
        <f t="shared" ca="1" si="186"/>
        <v/>
      </c>
      <c r="CUT40" s="16" t="str">
        <f t="shared" ca="1" si="187"/>
        <v/>
      </c>
      <c r="CUU40" s="16" t="str">
        <f t="shared" ca="1" si="188"/>
        <v/>
      </c>
      <c r="CUV40" s="16" t="str">
        <f t="shared" ca="1" si="189"/>
        <v/>
      </c>
      <c r="CUW40" s="16" t="str">
        <f t="shared" ca="1" si="190"/>
        <v/>
      </c>
      <c r="CUX40" s="16" t="str">
        <f t="shared" ca="1" si="191"/>
        <v/>
      </c>
      <c r="CUY40" s="16" t="str">
        <f t="shared" ca="1" si="192"/>
        <v/>
      </c>
      <c r="CUZ40" s="16" t="str">
        <f t="shared" ca="1" si="193"/>
        <v/>
      </c>
      <c r="CVA40" s="16" t="str">
        <f t="shared" ca="1" si="194"/>
        <v/>
      </c>
      <c r="CVB40" s="16" t="str">
        <f t="shared" ca="1" si="195"/>
        <v/>
      </c>
      <c r="CVC40" s="16" t="str">
        <f t="shared" ca="1" si="196"/>
        <v/>
      </c>
      <c r="CVD40" s="16" t="str">
        <f t="shared" ca="1" si="197"/>
        <v/>
      </c>
      <c r="CVE40" s="16" t="str">
        <f t="shared" ca="1" si="198"/>
        <v/>
      </c>
      <c r="CVF40" s="16" t="str">
        <f t="shared" ca="1" si="199"/>
        <v/>
      </c>
      <c r="CVG40" s="16" t="str">
        <f t="shared" ca="1" si="200"/>
        <v/>
      </c>
      <c r="CVH40" s="16" t="str">
        <f t="shared" ca="1" si="201"/>
        <v/>
      </c>
      <c r="CVI40" s="16" t="str">
        <f t="shared" ca="1" si="202"/>
        <v/>
      </c>
      <c r="CVJ40" s="16" t="str">
        <f t="shared" ca="1" si="203"/>
        <v/>
      </c>
      <c r="CVK40" s="16" t="str">
        <f t="shared" ca="1" si="204"/>
        <v/>
      </c>
      <c r="CVL40" s="16" t="str">
        <f t="shared" ca="1" si="205"/>
        <v/>
      </c>
      <c r="CVM40" s="16" t="str">
        <f t="shared" ca="1" si="206"/>
        <v/>
      </c>
      <c r="CVN40" s="16" t="str">
        <f t="shared" ca="1" si="207"/>
        <v/>
      </c>
      <c r="CVO40" s="58" t="str">
        <f t="shared" si="208"/>
        <v>фроловтимур</v>
      </c>
      <c r="CVP40" s="58" t="str">
        <f>IFERROR(VLOOKUP(CVO40,'Внешние данные'!A:Z,4,FALSE),"")</f>
        <v/>
      </c>
    </row>
    <row r="41" spans="1:2616" s="16" customFormat="1" ht="13.8" x14ac:dyDescent="0.25">
      <c r="A41" s="2" t="s">
        <v>2374</v>
      </c>
      <c r="B41" s="2" t="s">
        <v>2472</v>
      </c>
      <c r="C41" s="57" t="s">
        <v>2421</v>
      </c>
      <c r="D41" s="35">
        <v>6</v>
      </c>
      <c r="E41" s="58" t="s">
        <v>2303</v>
      </c>
      <c r="G41" s="16" t="s">
        <v>1392</v>
      </c>
      <c r="H41" s="53">
        <f t="shared" ca="1" si="162"/>
        <v>0.7</v>
      </c>
      <c r="I41" s="35">
        <f t="shared" ca="1" si="163"/>
        <v>1</v>
      </c>
      <c r="J41" s="35">
        <f t="shared" ca="1" si="164"/>
        <v>6</v>
      </c>
      <c r="K41" s="49">
        <f t="shared" ca="1" si="165"/>
        <v>7.5</v>
      </c>
      <c r="L41" s="16">
        <v>308</v>
      </c>
      <c r="M41" s="12"/>
      <c r="N41" s="12"/>
      <c r="O41" s="4"/>
      <c r="P41" s="4"/>
      <c r="Q41" s="4"/>
      <c r="R41" s="4">
        <v>435</v>
      </c>
      <c r="S41" s="4">
        <v>301</v>
      </c>
      <c r="T41" s="4">
        <v>301</v>
      </c>
      <c r="U41" s="4"/>
      <c r="V41" s="4">
        <v>301</v>
      </c>
      <c r="W41" s="4">
        <v>301</v>
      </c>
      <c r="X41" s="4">
        <v>301</v>
      </c>
      <c r="Y41" s="4">
        <v>301</v>
      </c>
      <c r="Z41" s="4">
        <v>301</v>
      </c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MY41" s="16">
        <v>1</v>
      </c>
      <c r="MZ41" s="16">
        <v>1</v>
      </c>
      <c r="NA41" s="16">
        <v>1</v>
      </c>
      <c r="NB41" s="16">
        <v>1</v>
      </c>
      <c r="NC41" s="16">
        <v>1</v>
      </c>
      <c r="ND41" s="16">
        <v>1</v>
      </c>
      <c r="NH41" s="16">
        <v>1</v>
      </c>
      <c r="NI41" s="16">
        <v>1</v>
      </c>
      <c r="PI41" s="16">
        <v>1</v>
      </c>
      <c r="PJ41" s="16">
        <v>1</v>
      </c>
      <c r="PK41" s="16">
        <v>1</v>
      </c>
      <c r="PL41" s="16">
        <v>1</v>
      </c>
      <c r="PM41" s="16">
        <v>1</v>
      </c>
      <c r="PN41" s="16">
        <v>1</v>
      </c>
      <c r="PO41" s="16">
        <v>1</v>
      </c>
      <c r="PQ41" s="16">
        <v>1</v>
      </c>
      <c r="PR41" s="16">
        <v>1</v>
      </c>
      <c r="PS41" s="16">
        <v>1</v>
      </c>
      <c r="RS41" s="16">
        <v>1</v>
      </c>
      <c r="RT41" s="16">
        <v>1</v>
      </c>
      <c r="RU41" s="16">
        <v>1</v>
      </c>
      <c r="RW41" s="16">
        <v>1</v>
      </c>
      <c r="RX41" s="16">
        <v>1</v>
      </c>
      <c r="RY41" s="16">
        <v>1</v>
      </c>
      <c r="SC41" s="16">
        <v>1</v>
      </c>
      <c r="WM41" s="16" t="s">
        <v>2961</v>
      </c>
      <c r="YW41" s="16">
        <v>1</v>
      </c>
      <c r="YX41" s="16">
        <v>1</v>
      </c>
      <c r="YY41" s="16">
        <v>1</v>
      </c>
      <c r="YZ41" s="16">
        <v>1</v>
      </c>
      <c r="ZA41" s="16" t="s">
        <v>2962</v>
      </c>
      <c r="ZB41" s="16">
        <v>1</v>
      </c>
      <c r="ZC41" s="16">
        <v>1</v>
      </c>
      <c r="ZD41" s="16">
        <v>1</v>
      </c>
      <c r="ZE41" s="16">
        <v>1</v>
      </c>
      <c r="ZF41" s="16" t="s">
        <v>2962</v>
      </c>
      <c r="ZG41" s="16" t="s">
        <v>2962</v>
      </c>
      <c r="ABG41" s="16">
        <v>1</v>
      </c>
      <c r="ABH41" s="16">
        <v>1</v>
      </c>
      <c r="ABI41" s="16" t="s">
        <v>2962</v>
      </c>
      <c r="ABJ41" s="16" t="s">
        <v>2962</v>
      </c>
      <c r="ABK41" s="16" t="s">
        <v>2962</v>
      </c>
      <c r="ABL41" s="16">
        <v>1</v>
      </c>
      <c r="ABM41" s="16">
        <v>1</v>
      </c>
      <c r="ABO41" s="16">
        <v>1</v>
      </c>
      <c r="ABP41" s="16">
        <v>1</v>
      </c>
      <c r="ABQ41" s="16">
        <v>1</v>
      </c>
      <c r="ABU41" s="16">
        <v>1</v>
      </c>
      <c r="ADQ41" s="16">
        <v>1</v>
      </c>
      <c r="ADR41" s="16">
        <v>1</v>
      </c>
      <c r="ADT41" s="16">
        <v>1</v>
      </c>
      <c r="ADU41" s="16">
        <v>1</v>
      </c>
      <c r="ADX41" s="16">
        <v>1</v>
      </c>
      <c r="ADY41" s="16">
        <v>1</v>
      </c>
      <c r="ADZ41" s="16">
        <v>1</v>
      </c>
      <c r="AEA41" s="16">
        <v>1</v>
      </c>
      <c r="AEB41" s="16">
        <v>1</v>
      </c>
      <c r="AEC41" s="16">
        <v>1</v>
      </c>
      <c r="AGA41" s="16" t="s">
        <v>2961</v>
      </c>
      <c r="CSK41" s="54" t="str">
        <f t="shared" si="166"/>
        <v>X</v>
      </c>
      <c r="CSL41" s="35" t="str">
        <f t="shared" ca="1" si="158"/>
        <v/>
      </c>
      <c r="CSM41" s="35" t="str">
        <f t="shared" ca="1" si="158"/>
        <v/>
      </c>
      <c r="CSN41" s="35" t="str">
        <f t="shared" ca="1" si="158"/>
        <v/>
      </c>
      <c r="CSO41" s="35" t="str">
        <f t="shared" ca="1" si="158"/>
        <v/>
      </c>
      <c r="CSP41" s="35" t="str">
        <f t="shared" ca="1" si="158"/>
        <v/>
      </c>
      <c r="CSQ41" s="72">
        <f t="shared" ca="1" si="158"/>
        <v>1</v>
      </c>
      <c r="CSR41" s="35">
        <f t="shared" ca="1" si="158"/>
        <v>1</v>
      </c>
      <c r="CSS41" s="35">
        <f t="shared" ca="1" si="158"/>
        <v>1</v>
      </c>
      <c r="CST41" s="35" t="str">
        <f t="shared" ca="1" si="158"/>
        <v/>
      </c>
      <c r="CSU41" s="35" t="str">
        <f t="shared" ca="1" si="158"/>
        <v/>
      </c>
      <c r="CSV41" s="35">
        <f t="shared" ca="1" si="159"/>
        <v>1</v>
      </c>
      <c r="CSW41" s="35">
        <f t="shared" ca="1" si="159"/>
        <v>1</v>
      </c>
      <c r="CSX41" s="35">
        <f t="shared" ca="1" si="159"/>
        <v>1</v>
      </c>
      <c r="CSY41" s="35" t="str">
        <f t="shared" ca="1" si="159"/>
        <v/>
      </c>
      <c r="CSZ41" s="35" t="str">
        <f t="shared" ca="1" si="159"/>
        <v/>
      </c>
      <c r="CTA41" s="35" t="str">
        <f t="shared" ca="1" si="159"/>
        <v/>
      </c>
      <c r="CTB41" s="35" t="str">
        <f t="shared" ca="1" si="159"/>
        <v/>
      </c>
      <c r="CTC41" s="35" t="str">
        <f t="shared" ca="1" si="159"/>
        <v/>
      </c>
      <c r="CTD41" s="35" t="str">
        <f t="shared" ca="1" si="159"/>
        <v/>
      </c>
      <c r="CTE41" s="35" t="str">
        <f t="shared" ca="1" si="159"/>
        <v/>
      </c>
      <c r="CTF41" s="35" t="str">
        <f t="shared" ca="1" si="160"/>
        <v/>
      </c>
      <c r="CTG41" s="35" t="str">
        <f t="shared" ca="1" si="160"/>
        <v/>
      </c>
      <c r="CTH41" s="35" t="str">
        <f t="shared" ca="1" si="160"/>
        <v/>
      </c>
      <c r="CTI41" s="35" t="str">
        <f t="shared" ca="1" si="160"/>
        <v/>
      </c>
      <c r="CTJ41" s="35" t="str">
        <f t="shared" ca="1" si="160"/>
        <v/>
      </c>
      <c r="CTK41" s="35" t="str">
        <f t="shared" ca="1" si="160"/>
        <v/>
      </c>
      <c r="CTL41" s="35" t="str">
        <f t="shared" ca="1" si="160"/>
        <v/>
      </c>
      <c r="CTM41" s="35" t="str">
        <f t="shared" ca="1" si="160"/>
        <v/>
      </c>
      <c r="CTN41" s="35" t="str">
        <f t="shared" ca="1" si="160"/>
        <v/>
      </c>
      <c r="CTO41" s="35" t="str">
        <f t="shared" ca="1" si="160"/>
        <v/>
      </c>
      <c r="CTP41" s="35" t="str">
        <f t="shared" ca="1" si="161"/>
        <v/>
      </c>
      <c r="CTQ41" s="35" t="str">
        <f t="shared" ca="1" si="161"/>
        <v/>
      </c>
      <c r="CTR41" s="35" t="str">
        <f t="shared" ca="1" si="161"/>
        <v/>
      </c>
      <c r="CTS41" s="35" t="str">
        <f t="shared" ca="1" si="161"/>
        <v/>
      </c>
      <c r="CTT41" s="35" t="str">
        <f t="shared" ca="1" si="161"/>
        <v/>
      </c>
      <c r="CTU41" s="35" t="str">
        <f t="shared" ca="1" si="161"/>
        <v/>
      </c>
      <c r="CTV41" s="35" t="str">
        <f t="shared" ca="1" si="161"/>
        <v/>
      </c>
      <c r="CTW41" s="35" t="str">
        <f t="shared" ca="1" si="161"/>
        <v/>
      </c>
      <c r="CTX41" s="35" t="str">
        <f t="shared" ca="1" si="161"/>
        <v/>
      </c>
      <c r="CTY41" s="35" t="str">
        <f t="shared" ca="1" si="161"/>
        <v/>
      </c>
      <c r="CTZ41" s="56" t="str">
        <f t="shared" si="167"/>
        <v>X</v>
      </c>
      <c r="CUA41" s="58" t="str">
        <f t="shared" ca="1" si="168"/>
        <v/>
      </c>
      <c r="CUB41" s="16" t="str">
        <f t="shared" ca="1" si="169"/>
        <v/>
      </c>
      <c r="CUC41" s="16" t="str">
        <f t="shared" ca="1" si="170"/>
        <v/>
      </c>
      <c r="CUD41" s="16" t="str">
        <f t="shared" ca="1" si="171"/>
        <v/>
      </c>
      <c r="CUE41" s="16" t="str">
        <f t="shared" ca="1" si="172"/>
        <v/>
      </c>
      <c r="CUF41" s="16">
        <f t="shared" ca="1" si="173"/>
        <v>7</v>
      </c>
      <c r="CUG41" s="16">
        <f t="shared" ca="1" si="174"/>
        <v>9</v>
      </c>
      <c r="CUH41" s="16">
        <f t="shared" ca="1" si="175"/>
        <v>6</v>
      </c>
      <c r="CUI41" s="16" t="str">
        <f t="shared" ca="1" si="176"/>
        <v/>
      </c>
      <c r="CUJ41" s="16" t="str">
        <f t="shared" ca="1" si="177"/>
        <v/>
      </c>
      <c r="CUK41" s="16">
        <f t="shared" ca="1" si="178"/>
        <v>7</v>
      </c>
      <c r="CUL41" s="16">
        <f t="shared" ca="1" si="179"/>
        <v>7</v>
      </c>
      <c r="CUM41" s="16">
        <f t="shared" ca="1" si="180"/>
        <v>9</v>
      </c>
      <c r="CUN41" s="16" t="str">
        <f t="shared" ca="1" si="181"/>
        <v/>
      </c>
      <c r="CUO41" s="16" t="str">
        <f t="shared" ca="1" si="182"/>
        <v/>
      </c>
      <c r="CUP41" s="16" t="str">
        <f t="shared" ca="1" si="183"/>
        <v/>
      </c>
      <c r="CUQ41" s="16" t="str">
        <f t="shared" ca="1" si="184"/>
        <v/>
      </c>
      <c r="CUR41" s="16" t="str">
        <f t="shared" ca="1" si="185"/>
        <v/>
      </c>
      <c r="CUS41" s="16" t="str">
        <f t="shared" ca="1" si="186"/>
        <v/>
      </c>
      <c r="CUT41" s="16" t="str">
        <f t="shared" ca="1" si="187"/>
        <v/>
      </c>
      <c r="CUU41" s="16" t="str">
        <f t="shared" ca="1" si="188"/>
        <v/>
      </c>
      <c r="CUV41" s="16" t="str">
        <f t="shared" ca="1" si="189"/>
        <v/>
      </c>
      <c r="CUW41" s="16" t="str">
        <f t="shared" ca="1" si="190"/>
        <v/>
      </c>
      <c r="CUX41" s="16" t="str">
        <f t="shared" ca="1" si="191"/>
        <v/>
      </c>
      <c r="CUY41" s="16" t="str">
        <f t="shared" ca="1" si="192"/>
        <v/>
      </c>
      <c r="CUZ41" s="16" t="str">
        <f t="shared" ca="1" si="193"/>
        <v/>
      </c>
      <c r="CVA41" s="16" t="str">
        <f t="shared" ca="1" si="194"/>
        <v/>
      </c>
      <c r="CVB41" s="16" t="str">
        <f t="shared" ca="1" si="195"/>
        <v/>
      </c>
      <c r="CVC41" s="16" t="str">
        <f t="shared" ca="1" si="196"/>
        <v/>
      </c>
      <c r="CVD41" s="16" t="str">
        <f t="shared" ca="1" si="197"/>
        <v/>
      </c>
      <c r="CVE41" s="16" t="str">
        <f t="shared" ca="1" si="198"/>
        <v/>
      </c>
      <c r="CVF41" s="16" t="str">
        <f t="shared" ca="1" si="199"/>
        <v/>
      </c>
      <c r="CVG41" s="16" t="str">
        <f t="shared" ca="1" si="200"/>
        <v/>
      </c>
      <c r="CVH41" s="16" t="str">
        <f t="shared" ca="1" si="201"/>
        <v/>
      </c>
      <c r="CVI41" s="16" t="str">
        <f t="shared" ca="1" si="202"/>
        <v/>
      </c>
      <c r="CVJ41" s="16" t="str">
        <f t="shared" ca="1" si="203"/>
        <v/>
      </c>
      <c r="CVK41" s="16" t="str">
        <f t="shared" ca="1" si="204"/>
        <v/>
      </c>
      <c r="CVL41" s="16" t="str">
        <f t="shared" ca="1" si="205"/>
        <v/>
      </c>
      <c r="CVM41" s="16" t="str">
        <f t="shared" ca="1" si="206"/>
        <v/>
      </c>
      <c r="CVN41" s="16" t="str">
        <f t="shared" ca="1" si="207"/>
        <v/>
      </c>
      <c r="CVO41" s="58" t="str">
        <f t="shared" si="208"/>
        <v>александровстанислав</v>
      </c>
      <c r="CVP41" s="58" t="str">
        <f>IFERROR(VLOOKUP(CVO41,'Внешние данные'!A:Z,4,FALSE),"")</f>
        <v/>
      </c>
    </row>
    <row r="42" spans="1:2616" s="16" customFormat="1" ht="13.8" x14ac:dyDescent="0.25">
      <c r="A42" s="2" t="s">
        <v>2375</v>
      </c>
      <c r="B42" s="2" t="s">
        <v>2445</v>
      </c>
      <c r="C42" s="57" t="s">
        <v>2422</v>
      </c>
      <c r="D42" s="35">
        <v>5</v>
      </c>
      <c r="E42" s="58">
        <v>57</v>
      </c>
      <c r="G42" s="16" t="s">
        <v>1393</v>
      </c>
      <c r="H42" s="53" t="str">
        <f t="shared" ca="1" si="162"/>
        <v/>
      </c>
      <c r="I42" s="35" t="str">
        <f t="shared" ca="1" si="163"/>
        <v/>
      </c>
      <c r="J42" s="35">
        <f t="shared" ca="1" si="164"/>
        <v>0</v>
      </c>
      <c r="K42" s="49" t="str">
        <f t="shared" ca="1" si="165"/>
        <v/>
      </c>
      <c r="L42" s="16">
        <v>205</v>
      </c>
      <c r="M42" s="12"/>
      <c r="N42" s="12">
        <v>405</v>
      </c>
      <c r="O42" s="4">
        <v>445</v>
      </c>
      <c r="P42" s="4">
        <v>435</v>
      </c>
      <c r="Q42" s="4">
        <v>435</v>
      </c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PI42" s="16" t="s">
        <v>2961</v>
      </c>
      <c r="RS42" s="16" t="s">
        <v>2961</v>
      </c>
      <c r="WM42" s="16" t="s">
        <v>2961</v>
      </c>
      <c r="YW42" s="16" t="s">
        <v>2961</v>
      </c>
      <c r="AGA42" s="16" t="s">
        <v>2961</v>
      </c>
      <c r="CSK42" s="54" t="str">
        <f t="shared" si="166"/>
        <v>X</v>
      </c>
      <c r="CSL42" s="35" t="str">
        <f t="shared" ca="1" si="158"/>
        <v/>
      </c>
      <c r="CSM42" s="35" t="str">
        <f t="shared" ca="1" si="158"/>
        <v/>
      </c>
      <c r="CSN42" s="35" t="str">
        <f t="shared" ca="1" si="158"/>
        <v/>
      </c>
      <c r="CSO42" s="35" t="str">
        <f t="shared" ca="1" si="158"/>
        <v/>
      </c>
      <c r="CSP42" s="35" t="str">
        <f t="shared" ca="1" si="158"/>
        <v/>
      </c>
      <c r="CSQ42" s="72" t="str">
        <f t="shared" ca="1" si="158"/>
        <v/>
      </c>
      <c r="CSR42" s="35" t="str">
        <f t="shared" ca="1" si="158"/>
        <v/>
      </c>
      <c r="CSS42" s="35" t="str">
        <f t="shared" ca="1" si="158"/>
        <v/>
      </c>
      <c r="CST42" s="35" t="str">
        <f t="shared" ca="1" si="158"/>
        <v/>
      </c>
      <c r="CSU42" s="35" t="str">
        <f t="shared" ca="1" si="158"/>
        <v/>
      </c>
      <c r="CSV42" s="35" t="str">
        <f t="shared" ca="1" si="159"/>
        <v/>
      </c>
      <c r="CSW42" s="35" t="str">
        <f t="shared" ca="1" si="159"/>
        <v/>
      </c>
      <c r="CSX42" s="35" t="str">
        <f t="shared" ca="1" si="159"/>
        <v/>
      </c>
      <c r="CSY42" s="35" t="str">
        <f t="shared" ca="1" si="159"/>
        <v/>
      </c>
      <c r="CSZ42" s="35" t="str">
        <f t="shared" ca="1" si="159"/>
        <v/>
      </c>
      <c r="CTA42" s="35" t="str">
        <f t="shared" ca="1" si="159"/>
        <v/>
      </c>
      <c r="CTB42" s="35" t="str">
        <f t="shared" ca="1" si="159"/>
        <v/>
      </c>
      <c r="CTC42" s="35" t="str">
        <f t="shared" ca="1" si="159"/>
        <v/>
      </c>
      <c r="CTD42" s="35" t="str">
        <f t="shared" ca="1" si="159"/>
        <v/>
      </c>
      <c r="CTE42" s="35" t="str">
        <f t="shared" ca="1" si="159"/>
        <v/>
      </c>
      <c r="CTF42" s="35" t="str">
        <f t="shared" ca="1" si="160"/>
        <v/>
      </c>
      <c r="CTG42" s="35" t="str">
        <f t="shared" ca="1" si="160"/>
        <v/>
      </c>
      <c r="CTH42" s="35" t="str">
        <f t="shared" ca="1" si="160"/>
        <v/>
      </c>
      <c r="CTI42" s="35" t="str">
        <f t="shared" ca="1" si="160"/>
        <v/>
      </c>
      <c r="CTJ42" s="35" t="str">
        <f t="shared" ca="1" si="160"/>
        <v/>
      </c>
      <c r="CTK42" s="35" t="str">
        <f t="shared" ca="1" si="160"/>
        <v/>
      </c>
      <c r="CTL42" s="35" t="str">
        <f t="shared" ca="1" si="160"/>
        <v/>
      </c>
      <c r="CTM42" s="35" t="str">
        <f t="shared" ca="1" si="160"/>
        <v/>
      </c>
      <c r="CTN42" s="35" t="str">
        <f t="shared" ca="1" si="160"/>
        <v/>
      </c>
      <c r="CTO42" s="35" t="str">
        <f t="shared" ca="1" si="160"/>
        <v/>
      </c>
      <c r="CTP42" s="35" t="str">
        <f t="shared" ca="1" si="161"/>
        <v/>
      </c>
      <c r="CTQ42" s="35" t="str">
        <f t="shared" ca="1" si="161"/>
        <v/>
      </c>
      <c r="CTR42" s="35" t="str">
        <f t="shared" ca="1" si="161"/>
        <v/>
      </c>
      <c r="CTS42" s="35" t="str">
        <f t="shared" ca="1" si="161"/>
        <v/>
      </c>
      <c r="CTT42" s="35" t="str">
        <f t="shared" ca="1" si="161"/>
        <v/>
      </c>
      <c r="CTU42" s="35" t="str">
        <f t="shared" ca="1" si="161"/>
        <v/>
      </c>
      <c r="CTV42" s="35" t="str">
        <f t="shared" ca="1" si="161"/>
        <v/>
      </c>
      <c r="CTW42" s="35" t="str">
        <f t="shared" ca="1" si="161"/>
        <v/>
      </c>
      <c r="CTX42" s="35" t="str">
        <f t="shared" ca="1" si="161"/>
        <v/>
      </c>
      <c r="CTY42" s="35" t="str">
        <f t="shared" ca="1" si="161"/>
        <v/>
      </c>
      <c r="CTZ42" s="56" t="str">
        <f t="shared" si="167"/>
        <v>X</v>
      </c>
      <c r="CUA42" s="58" t="str">
        <f t="shared" ca="1" si="168"/>
        <v/>
      </c>
      <c r="CUB42" s="16" t="str">
        <f t="shared" ca="1" si="169"/>
        <v/>
      </c>
      <c r="CUC42" s="16" t="str">
        <f t="shared" ca="1" si="170"/>
        <v/>
      </c>
      <c r="CUD42" s="16" t="str">
        <f t="shared" ca="1" si="171"/>
        <v/>
      </c>
      <c r="CUE42" s="16" t="str">
        <f t="shared" ca="1" si="172"/>
        <v/>
      </c>
      <c r="CUF42" s="16" t="str">
        <f t="shared" ca="1" si="173"/>
        <v/>
      </c>
      <c r="CUG42" s="16" t="str">
        <f t="shared" ca="1" si="174"/>
        <v/>
      </c>
      <c r="CUH42" s="16" t="str">
        <f t="shared" ca="1" si="175"/>
        <v/>
      </c>
      <c r="CUI42" s="16" t="str">
        <f t="shared" ca="1" si="176"/>
        <v/>
      </c>
      <c r="CUJ42" s="16" t="str">
        <f t="shared" ca="1" si="177"/>
        <v/>
      </c>
      <c r="CUK42" s="16" t="str">
        <f t="shared" ca="1" si="178"/>
        <v/>
      </c>
      <c r="CUL42" s="16" t="str">
        <f t="shared" ca="1" si="179"/>
        <v/>
      </c>
      <c r="CUM42" s="16" t="str">
        <f t="shared" ca="1" si="180"/>
        <v/>
      </c>
      <c r="CUN42" s="16" t="str">
        <f t="shared" ca="1" si="181"/>
        <v/>
      </c>
      <c r="CUO42" s="16" t="str">
        <f t="shared" ca="1" si="182"/>
        <v/>
      </c>
      <c r="CUP42" s="16" t="str">
        <f t="shared" ca="1" si="183"/>
        <v/>
      </c>
      <c r="CUQ42" s="16" t="str">
        <f t="shared" ca="1" si="184"/>
        <v/>
      </c>
      <c r="CUR42" s="16" t="str">
        <f t="shared" ca="1" si="185"/>
        <v/>
      </c>
      <c r="CUS42" s="16" t="str">
        <f t="shared" ca="1" si="186"/>
        <v/>
      </c>
      <c r="CUT42" s="16" t="str">
        <f t="shared" ca="1" si="187"/>
        <v/>
      </c>
      <c r="CUU42" s="16" t="str">
        <f t="shared" ca="1" si="188"/>
        <v/>
      </c>
      <c r="CUV42" s="16" t="str">
        <f t="shared" ca="1" si="189"/>
        <v/>
      </c>
      <c r="CUW42" s="16" t="str">
        <f t="shared" ca="1" si="190"/>
        <v/>
      </c>
      <c r="CUX42" s="16" t="str">
        <f t="shared" ca="1" si="191"/>
        <v/>
      </c>
      <c r="CUY42" s="16" t="str">
        <f t="shared" ca="1" si="192"/>
        <v/>
      </c>
      <c r="CUZ42" s="16" t="str">
        <f t="shared" ca="1" si="193"/>
        <v/>
      </c>
      <c r="CVA42" s="16" t="str">
        <f t="shared" ca="1" si="194"/>
        <v/>
      </c>
      <c r="CVB42" s="16" t="str">
        <f t="shared" ca="1" si="195"/>
        <v/>
      </c>
      <c r="CVC42" s="16" t="str">
        <f t="shared" ca="1" si="196"/>
        <v/>
      </c>
      <c r="CVD42" s="16" t="str">
        <f t="shared" ca="1" si="197"/>
        <v/>
      </c>
      <c r="CVE42" s="16" t="str">
        <f t="shared" ca="1" si="198"/>
        <v/>
      </c>
      <c r="CVF42" s="16" t="str">
        <f t="shared" ca="1" si="199"/>
        <v/>
      </c>
      <c r="CVG42" s="16" t="str">
        <f t="shared" ca="1" si="200"/>
        <v/>
      </c>
      <c r="CVH42" s="16" t="str">
        <f t="shared" ca="1" si="201"/>
        <v/>
      </c>
      <c r="CVI42" s="16" t="str">
        <f t="shared" ca="1" si="202"/>
        <v/>
      </c>
      <c r="CVJ42" s="16" t="str">
        <f t="shared" ca="1" si="203"/>
        <v/>
      </c>
      <c r="CVK42" s="16" t="str">
        <f t="shared" ca="1" si="204"/>
        <v/>
      </c>
      <c r="CVL42" s="16" t="str">
        <f t="shared" ca="1" si="205"/>
        <v/>
      </c>
      <c r="CVM42" s="16" t="str">
        <f t="shared" ca="1" si="206"/>
        <v/>
      </c>
      <c r="CVN42" s="16" t="str">
        <f t="shared" ca="1" si="207"/>
        <v/>
      </c>
      <c r="CVO42" s="58" t="str">
        <f t="shared" si="208"/>
        <v>дмитриевроман</v>
      </c>
      <c r="CVP42" s="58" t="str">
        <f>IFERROR(VLOOKUP(CVO42,'Внешние данные'!A:Z,4,FALSE),"")</f>
        <v/>
      </c>
    </row>
    <row r="43" spans="1:2616" s="16" customFormat="1" ht="13.8" x14ac:dyDescent="0.25">
      <c r="A43" s="2" t="s">
        <v>2376</v>
      </c>
      <c r="B43" s="2" t="s">
        <v>2460</v>
      </c>
      <c r="C43" s="57" t="s">
        <v>2423</v>
      </c>
      <c r="D43" s="35">
        <v>6</v>
      </c>
      <c r="E43" s="58">
        <v>179</v>
      </c>
      <c r="G43" s="16" t="s">
        <v>1393</v>
      </c>
      <c r="H43" s="53">
        <f t="shared" ca="1" si="162"/>
        <v>0.69230769230769229</v>
      </c>
      <c r="I43" s="35">
        <f t="shared" ca="1" si="163"/>
        <v>0</v>
      </c>
      <c r="J43" s="35">
        <f t="shared" ca="1" si="164"/>
        <v>8</v>
      </c>
      <c r="K43" s="49">
        <f t="shared" ca="1" si="165"/>
        <v>0</v>
      </c>
      <c r="L43" s="16">
        <v>305</v>
      </c>
      <c r="M43" s="12"/>
      <c r="N43" s="12"/>
      <c r="O43" s="4">
        <v>435</v>
      </c>
      <c r="P43" s="4">
        <v>435</v>
      </c>
      <c r="Q43" s="4">
        <v>435</v>
      </c>
      <c r="R43" s="4">
        <v>435</v>
      </c>
      <c r="S43" s="4">
        <v>435</v>
      </c>
      <c r="T43" s="4">
        <v>435</v>
      </c>
      <c r="U43" s="4"/>
      <c r="V43" s="4">
        <v>435</v>
      </c>
      <c r="W43" s="4">
        <v>435</v>
      </c>
      <c r="X43" s="4">
        <v>435</v>
      </c>
      <c r="Y43" s="4">
        <v>415</v>
      </c>
      <c r="Z43" s="4">
        <v>435</v>
      </c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FU43" s="16">
        <v>1</v>
      </c>
      <c r="IE43" s="16">
        <v>1</v>
      </c>
      <c r="KO43" s="16">
        <v>1</v>
      </c>
      <c r="MY43" s="16">
        <v>1</v>
      </c>
      <c r="PI43" s="16">
        <v>1</v>
      </c>
      <c r="RS43" s="16">
        <v>1</v>
      </c>
      <c r="WM43" s="16" t="s">
        <v>2961</v>
      </c>
      <c r="YW43" s="16" t="s">
        <v>2961</v>
      </c>
      <c r="ABG43" s="16" t="s">
        <v>2961</v>
      </c>
      <c r="ADQ43" s="16">
        <v>1</v>
      </c>
      <c r="AGA43" s="16">
        <v>1</v>
      </c>
      <c r="CSK43" s="54" t="str">
        <f t="shared" si="166"/>
        <v>X</v>
      </c>
      <c r="CSL43" s="35" t="str">
        <f t="shared" ca="1" si="158"/>
        <v/>
      </c>
      <c r="CSM43" s="35" t="str">
        <f t="shared" ca="1" si="158"/>
        <v/>
      </c>
      <c r="CSN43" s="35">
        <f t="shared" ca="1" si="158"/>
        <v>1</v>
      </c>
      <c r="CSO43" s="35">
        <f t="shared" ca="1" si="158"/>
        <v>1</v>
      </c>
      <c r="CSP43" s="35">
        <f t="shared" ca="1" si="158"/>
        <v>1</v>
      </c>
      <c r="CSQ43" s="72">
        <f t="shared" ca="1" si="158"/>
        <v>1</v>
      </c>
      <c r="CSR43" s="35">
        <f t="shared" ca="1" si="158"/>
        <v>1</v>
      </c>
      <c r="CSS43" s="35">
        <f t="shared" ca="1" si="158"/>
        <v>1</v>
      </c>
      <c r="CST43" s="35" t="str">
        <f t="shared" ca="1" si="158"/>
        <v/>
      </c>
      <c r="CSU43" s="35" t="str">
        <f t="shared" ca="1" si="158"/>
        <v/>
      </c>
      <c r="CSV43" s="35" t="str">
        <f t="shared" ca="1" si="159"/>
        <v/>
      </c>
      <c r="CSW43" s="35" t="str">
        <f t="shared" ca="1" si="159"/>
        <v/>
      </c>
      <c r="CSX43" s="35">
        <f t="shared" ca="1" si="159"/>
        <v>1</v>
      </c>
      <c r="CSY43" s="35">
        <f t="shared" ca="1" si="159"/>
        <v>1</v>
      </c>
      <c r="CSZ43" s="35" t="str">
        <f t="shared" ca="1" si="159"/>
        <v/>
      </c>
      <c r="CTA43" s="35" t="str">
        <f t="shared" ca="1" si="159"/>
        <v/>
      </c>
      <c r="CTB43" s="35" t="str">
        <f t="shared" ca="1" si="159"/>
        <v/>
      </c>
      <c r="CTC43" s="35" t="str">
        <f t="shared" ca="1" si="159"/>
        <v/>
      </c>
      <c r="CTD43" s="35" t="str">
        <f t="shared" ca="1" si="159"/>
        <v/>
      </c>
      <c r="CTE43" s="35" t="str">
        <f t="shared" ca="1" si="159"/>
        <v/>
      </c>
      <c r="CTF43" s="35" t="str">
        <f t="shared" ca="1" si="160"/>
        <v/>
      </c>
      <c r="CTG43" s="35" t="str">
        <f t="shared" ca="1" si="160"/>
        <v/>
      </c>
      <c r="CTH43" s="35" t="str">
        <f t="shared" ca="1" si="160"/>
        <v/>
      </c>
      <c r="CTI43" s="35" t="str">
        <f t="shared" ca="1" si="160"/>
        <v/>
      </c>
      <c r="CTJ43" s="35" t="str">
        <f t="shared" ca="1" si="160"/>
        <v/>
      </c>
      <c r="CTK43" s="35" t="str">
        <f t="shared" ca="1" si="160"/>
        <v/>
      </c>
      <c r="CTL43" s="35" t="str">
        <f t="shared" ca="1" si="160"/>
        <v/>
      </c>
      <c r="CTM43" s="35" t="str">
        <f t="shared" ca="1" si="160"/>
        <v/>
      </c>
      <c r="CTN43" s="35" t="str">
        <f t="shared" ca="1" si="160"/>
        <v/>
      </c>
      <c r="CTO43" s="35" t="str">
        <f t="shared" ca="1" si="160"/>
        <v/>
      </c>
      <c r="CTP43" s="35" t="str">
        <f t="shared" ca="1" si="161"/>
        <v/>
      </c>
      <c r="CTQ43" s="35" t="str">
        <f t="shared" ca="1" si="161"/>
        <v/>
      </c>
      <c r="CTR43" s="35" t="str">
        <f t="shared" ca="1" si="161"/>
        <v/>
      </c>
      <c r="CTS43" s="35" t="str">
        <f t="shared" ca="1" si="161"/>
        <v/>
      </c>
      <c r="CTT43" s="35" t="str">
        <f t="shared" ca="1" si="161"/>
        <v/>
      </c>
      <c r="CTU43" s="35" t="str">
        <f t="shared" ca="1" si="161"/>
        <v/>
      </c>
      <c r="CTV43" s="35" t="str">
        <f t="shared" ca="1" si="161"/>
        <v/>
      </c>
      <c r="CTW43" s="35" t="str">
        <f t="shared" ca="1" si="161"/>
        <v/>
      </c>
      <c r="CTX43" s="35" t="str">
        <f t="shared" ca="1" si="161"/>
        <v/>
      </c>
      <c r="CTY43" s="35" t="str">
        <f t="shared" ca="1" si="161"/>
        <v/>
      </c>
      <c r="CTZ43" s="56" t="str">
        <f t="shared" si="167"/>
        <v>X</v>
      </c>
      <c r="CUA43" s="58" t="str">
        <f t="shared" ca="1" si="168"/>
        <v/>
      </c>
      <c r="CUB43" s="16" t="str">
        <f t="shared" ca="1" si="169"/>
        <v/>
      </c>
      <c r="CUC43" s="16">
        <f t="shared" ca="1" si="170"/>
        <v>0</v>
      </c>
      <c r="CUD43" s="16">
        <f t="shared" ca="1" si="171"/>
        <v>0</v>
      </c>
      <c r="CUE43" s="16">
        <f t="shared" ca="1" si="172"/>
        <v>0</v>
      </c>
      <c r="CUF43" s="16">
        <f t="shared" ca="1" si="173"/>
        <v>0</v>
      </c>
      <c r="CUG43" s="16">
        <f t="shared" ca="1" si="174"/>
        <v>0</v>
      </c>
      <c r="CUH43" s="16">
        <f t="shared" ca="1" si="175"/>
        <v>0</v>
      </c>
      <c r="CUI43" s="16" t="str">
        <f t="shared" ca="1" si="176"/>
        <v/>
      </c>
      <c r="CUJ43" s="16" t="str">
        <f t="shared" ca="1" si="177"/>
        <v/>
      </c>
      <c r="CUK43" s="16" t="str">
        <f t="shared" ca="1" si="178"/>
        <v/>
      </c>
      <c r="CUL43" s="16" t="str">
        <f t="shared" ca="1" si="179"/>
        <v/>
      </c>
      <c r="CUM43" s="16">
        <f t="shared" ca="1" si="180"/>
        <v>0</v>
      </c>
      <c r="CUN43" s="16">
        <f t="shared" ca="1" si="181"/>
        <v>0</v>
      </c>
      <c r="CUO43" s="16" t="str">
        <f t="shared" ca="1" si="182"/>
        <v/>
      </c>
      <c r="CUP43" s="16" t="str">
        <f t="shared" ca="1" si="183"/>
        <v/>
      </c>
      <c r="CUQ43" s="16" t="str">
        <f t="shared" ca="1" si="184"/>
        <v/>
      </c>
      <c r="CUR43" s="16" t="str">
        <f t="shared" ca="1" si="185"/>
        <v/>
      </c>
      <c r="CUS43" s="16" t="str">
        <f t="shared" ca="1" si="186"/>
        <v/>
      </c>
      <c r="CUT43" s="16" t="str">
        <f t="shared" ca="1" si="187"/>
        <v/>
      </c>
      <c r="CUU43" s="16" t="str">
        <f t="shared" ca="1" si="188"/>
        <v/>
      </c>
      <c r="CUV43" s="16" t="str">
        <f t="shared" ca="1" si="189"/>
        <v/>
      </c>
      <c r="CUW43" s="16" t="str">
        <f t="shared" ca="1" si="190"/>
        <v/>
      </c>
      <c r="CUX43" s="16" t="str">
        <f t="shared" ca="1" si="191"/>
        <v/>
      </c>
      <c r="CUY43" s="16" t="str">
        <f t="shared" ca="1" si="192"/>
        <v/>
      </c>
      <c r="CUZ43" s="16" t="str">
        <f t="shared" ca="1" si="193"/>
        <v/>
      </c>
      <c r="CVA43" s="16" t="str">
        <f t="shared" ca="1" si="194"/>
        <v/>
      </c>
      <c r="CVB43" s="16" t="str">
        <f t="shared" ca="1" si="195"/>
        <v/>
      </c>
      <c r="CVC43" s="16" t="str">
        <f t="shared" ca="1" si="196"/>
        <v/>
      </c>
      <c r="CVD43" s="16" t="str">
        <f t="shared" ca="1" si="197"/>
        <v/>
      </c>
      <c r="CVE43" s="16" t="str">
        <f t="shared" ca="1" si="198"/>
        <v/>
      </c>
      <c r="CVF43" s="16" t="str">
        <f t="shared" ca="1" si="199"/>
        <v/>
      </c>
      <c r="CVG43" s="16" t="str">
        <f t="shared" ca="1" si="200"/>
        <v/>
      </c>
      <c r="CVH43" s="16" t="str">
        <f t="shared" ca="1" si="201"/>
        <v/>
      </c>
      <c r="CVI43" s="16" t="str">
        <f t="shared" ca="1" si="202"/>
        <v/>
      </c>
      <c r="CVJ43" s="16" t="str">
        <f t="shared" ca="1" si="203"/>
        <v/>
      </c>
      <c r="CVK43" s="16" t="str">
        <f t="shared" ca="1" si="204"/>
        <v/>
      </c>
      <c r="CVL43" s="16" t="str">
        <f t="shared" ca="1" si="205"/>
        <v/>
      </c>
      <c r="CVM43" s="16" t="str">
        <f t="shared" ca="1" si="206"/>
        <v/>
      </c>
      <c r="CVN43" s="16" t="str">
        <f t="shared" ca="1" si="207"/>
        <v/>
      </c>
      <c r="CVO43" s="58" t="str">
        <f t="shared" si="208"/>
        <v>королевмарк</v>
      </c>
      <c r="CVP43" s="58" t="str">
        <f>IFERROR(VLOOKUP(CVO43,'Внешние данные'!A:Z,4,FALSE),"")</f>
        <v/>
      </c>
    </row>
    <row r="44" spans="1:2616" s="16" customFormat="1" ht="13.8" x14ac:dyDescent="0.25">
      <c r="A44" s="2" t="s">
        <v>2377</v>
      </c>
      <c r="B44" s="2" t="s">
        <v>2473</v>
      </c>
      <c r="C44" s="57" t="s">
        <v>2424</v>
      </c>
      <c r="D44" s="35">
        <v>5</v>
      </c>
      <c r="E44" s="58" t="s">
        <v>2303</v>
      </c>
      <c r="G44" s="16" t="s">
        <v>1392</v>
      </c>
      <c r="H44" s="53">
        <f t="shared" ca="1" si="162"/>
        <v>0.72727272727272729</v>
      </c>
      <c r="I44" s="35">
        <f t="shared" ca="1" si="163"/>
        <v>0</v>
      </c>
      <c r="J44" s="35">
        <f t="shared" ca="1" si="164"/>
        <v>7</v>
      </c>
      <c r="K44" s="49">
        <f t="shared" ca="1" si="165"/>
        <v>4.7142857142857144</v>
      </c>
      <c r="L44" s="16">
        <v>308</v>
      </c>
      <c r="M44" s="12"/>
      <c r="N44" s="12"/>
      <c r="O44" s="4"/>
      <c r="P44" s="4">
        <v>425</v>
      </c>
      <c r="Q44" s="4">
        <v>425</v>
      </c>
      <c r="R44" s="4">
        <v>415</v>
      </c>
      <c r="S44" s="4">
        <v>425</v>
      </c>
      <c r="T44" s="4">
        <v>425</v>
      </c>
      <c r="U44" s="4"/>
      <c r="V44" s="4">
        <v>425</v>
      </c>
      <c r="W44" s="4">
        <v>305</v>
      </c>
      <c r="X44" s="4">
        <v>305</v>
      </c>
      <c r="Y44" s="4">
        <v>305</v>
      </c>
      <c r="Z44" s="4">
        <v>305</v>
      </c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KO44" s="16">
        <v>1</v>
      </c>
      <c r="KP44" s="16">
        <v>1</v>
      </c>
      <c r="KR44" s="16">
        <v>1</v>
      </c>
      <c r="KS44" s="16">
        <v>1</v>
      </c>
      <c r="MY44" s="16">
        <v>1</v>
      </c>
      <c r="MZ44" s="16">
        <v>1</v>
      </c>
      <c r="NA44" s="16">
        <v>1</v>
      </c>
      <c r="NB44" s="16">
        <v>1</v>
      </c>
      <c r="NC44" s="16">
        <v>1</v>
      </c>
      <c r="PI44" s="16" t="s">
        <v>2961</v>
      </c>
      <c r="RS44" s="16">
        <v>1</v>
      </c>
      <c r="RU44" s="16">
        <v>1</v>
      </c>
      <c r="RX44" s="16">
        <v>1</v>
      </c>
      <c r="RY44" s="16">
        <v>1</v>
      </c>
      <c r="RZ44" s="16">
        <v>1</v>
      </c>
      <c r="SB44" s="16">
        <v>1</v>
      </c>
      <c r="SD44" s="16">
        <v>1</v>
      </c>
      <c r="WM44" s="16">
        <v>1</v>
      </c>
      <c r="WN44" s="16">
        <v>1</v>
      </c>
      <c r="WO44" s="16">
        <v>1</v>
      </c>
      <c r="WP44" s="16">
        <v>1</v>
      </c>
      <c r="WQ44" s="16">
        <v>1</v>
      </c>
      <c r="WR44" s="16">
        <v>1</v>
      </c>
      <c r="WS44" s="16">
        <v>1</v>
      </c>
      <c r="WV44" s="16">
        <v>1</v>
      </c>
      <c r="WW44" s="16">
        <v>1</v>
      </c>
      <c r="YW44" s="16" t="s">
        <v>2961</v>
      </c>
      <c r="YZ44" s="16">
        <v>1</v>
      </c>
      <c r="ABG44" s="16">
        <v>1</v>
      </c>
      <c r="ABH44" s="16">
        <v>1</v>
      </c>
      <c r="ABI44" s="16">
        <v>1</v>
      </c>
      <c r="ABJ44" s="16">
        <v>1</v>
      </c>
      <c r="ABM44" s="16">
        <v>1</v>
      </c>
      <c r="ABO44" s="16">
        <v>1</v>
      </c>
      <c r="ABP44" s="16">
        <v>1</v>
      </c>
      <c r="ADQ44" s="16" t="s">
        <v>2961</v>
      </c>
      <c r="AGA44" s="16">
        <v>1</v>
      </c>
      <c r="AGB44" s="16">
        <v>1</v>
      </c>
      <c r="AGC44" s="16">
        <v>1</v>
      </c>
      <c r="AGG44" s="16">
        <v>1</v>
      </c>
      <c r="AGH44" s="16">
        <v>1</v>
      </c>
      <c r="AGJ44" s="16">
        <v>1</v>
      </c>
      <c r="AGK44" s="16">
        <v>1</v>
      </c>
      <c r="CSK44" s="54" t="str">
        <f t="shared" si="166"/>
        <v>X</v>
      </c>
      <c r="CSL44" s="35" t="str">
        <f t="shared" ca="1" si="158"/>
        <v/>
      </c>
      <c r="CSM44" s="35" t="str">
        <f t="shared" ca="1" si="158"/>
        <v/>
      </c>
      <c r="CSN44" s="35" t="str">
        <f t="shared" ca="1" si="158"/>
        <v/>
      </c>
      <c r="CSO44" s="35" t="str">
        <f t="shared" ca="1" si="158"/>
        <v/>
      </c>
      <c r="CSP44" s="35">
        <f t="shared" ca="1" si="158"/>
        <v>1</v>
      </c>
      <c r="CSQ44" s="72">
        <f t="shared" ca="1" si="158"/>
        <v>1</v>
      </c>
      <c r="CSR44" s="35" t="str">
        <f t="shared" ca="1" si="158"/>
        <v/>
      </c>
      <c r="CSS44" s="35">
        <f t="shared" ca="1" si="158"/>
        <v>1</v>
      </c>
      <c r="CST44" s="35" t="str">
        <f t="shared" ca="1" si="158"/>
        <v/>
      </c>
      <c r="CSU44" s="35">
        <f t="shared" ca="1" si="158"/>
        <v>1</v>
      </c>
      <c r="CSV44" s="35">
        <f t="shared" ca="1" si="159"/>
        <v>1</v>
      </c>
      <c r="CSW44" s="35">
        <f t="shared" ca="1" si="159"/>
        <v>1</v>
      </c>
      <c r="CSX44" s="35" t="str">
        <f t="shared" ca="1" si="159"/>
        <v/>
      </c>
      <c r="CSY44" s="35">
        <f t="shared" ca="1" si="159"/>
        <v>1</v>
      </c>
      <c r="CSZ44" s="35" t="str">
        <f t="shared" ca="1" si="159"/>
        <v/>
      </c>
      <c r="CTA44" s="35" t="str">
        <f t="shared" ca="1" si="159"/>
        <v/>
      </c>
      <c r="CTB44" s="35" t="str">
        <f t="shared" ca="1" si="159"/>
        <v/>
      </c>
      <c r="CTC44" s="35" t="str">
        <f t="shared" ca="1" si="159"/>
        <v/>
      </c>
      <c r="CTD44" s="35" t="str">
        <f t="shared" ca="1" si="159"/>
        <v/>
      </c>
      <c r="CTE44" s="35" t="str">
        <f t="shared" ca="1" si="159"/>
        <v/>
      </c>
      <c r="CTF44" s="35" t="str">
        <f t="shared" ca="1" si="160"/>
        <v/>
      </c>
      <c r="CTG44" s="35" t="str">
        <f t="shared" ca="1" si="160"/>
        <v/>
      </c>
      <c r="CTH44" s="35" t="str">
        <f t="shared" ca="1" si="160"/>
        <v/>
      </c>
      <c r="CTI44" s="35" t="str">
        <f t="shared" ca="1" si="160"/>
        <v/>
      </c>
      <c r="CTJ44" s="35" t="str">
        <f t="shared" ca="1" si="160"/>
        <v/>
      </c>
      <c r="CTK44" s="35" t="str">
        <f t="shared" ca="1" si="160"/>
        <v/>
      </c>
      <c r="CTL44" s="35" t="str">
        <f t="shared" ca="1" si="160"/>
        <v/>
      </c>
      <c r="CTM44" s="35" t="str">
        <f t="shared" ca="1" si="160"/>
        <v/>
      </c>
      <c r="CTN44" s="35" t="str">
        <f t="shared" ca="1" si="160"/>
        <v/>
      </c>
      <c r="CTO44" s="35" t="str">
        <f t="shared" ca="1" si="160"/>
        <v/>
      </c>
      <c r="CTP44" s="35" t="str">
        <f t="shared" ca="1" si="161"/>
        <v/>
      </c>
      <c r="CTQ44" s="35" t="str">
        <f t="shared" ca="1" si="161"/>
        <v/>
      </c>
      <c r="CTR44" s="35" t="str">
        <f t="shared" ca="1" si="161"/>
        <v/>
      </c>
      <c r="CTS44" s="35" t="str">
        <f t="shared" ca="1" si="161"/>
        <v/>
      </c>
      <c r="CTT44" s="35" t="str">
        <f t="shared" ca="1" si="161"/>
        <v/>
      </c>
      <c r="CTU44" s="35" t="str">
        <f t="shared" ca="1" si="161"/>
        <v/>
      </c>
      <c r="CTV44" s="35" t="str">
        <f t="shared" ca="1" si="161"/>
        <v/>
      </c>
      <c r="CTW44" s="35" t="str">
        <f t="shared" ca="1" si="161"/>
        <v/>
      </c>
      <c r="CTX44" s="35" t="str">
        <f t="shared" ca="1" si="161"/>
        <v/>
      </c>
      <c r="CTY44" s="35" t="str">
        <f t="shared" ca="1" si="161"/>
        <v/>
      </c>
      <c r="CTZ44" s="56" t="str">
        <f t="shared" si="167"/>
        <v>X</v>
      </c>
      <c r="CUA44" s="58" t="str">
        <f t="shared" ca="1" si="168"/>
        <v/>
      </c>
      <c r="CUB44" s="16" t="str">
        <f t="shared" ca="1" si="169"/>
        <v/>
      </c>
      <c r="CUC44" s="16" t="str">
        <f t="shared" ca="1" si="170"/>
        <v/>
      </c>
      <c r="CUD44" s="16" t="str">
        <f t="shared" ca="1" si="171"/>
        <v/>
      </c>
      <c r="CUE44" s="16">
        <f t="shared" ca="1" si="172"/>
        <v>3</v>
      </c>
      <c r="CUF44" s="16">
        <f t="shared" ca="1" si="173"/>
        <v>4</v>
      </c>
      <c r="CUG44" s="16" t="str">
        <f t="shared" ca="1" si="174"/>
        <v/>
      </c>
      <c r="CUH44" s="16">
        <f t="shared" ca="1" si="175"/>
        <v>6</v>
      </c>
      <c r="CUI44" s="16" t="str">
        <f t="shared" ca="1" si="176"/>
        <v/>
      </c>
      <c r="CUJ44" s="16">
        <f t="shared" ca="1" si="177"/>
        <v>8</v>
      </c>
      <c r="CUK44" s="16">
        <f t="shared" ca="1" si="178"/>
        <v>0</v>
      </c>
      <c r="CUL44" s="16">
        <f t="shared" ca="1" si="179"/>
        <v>6</v>
      </c>
      <c r="CUM44" s="16" t="str">
        <f t="shared" ca="1" si="180"/>
        <v/>
      </c>
      <c r="CUN44" s="16">
        <f t="shared" ca="1" si="181"/>
        <v>6</v>
      </c>
      <c r="CUO44" s="16" t="str">
        <f t="shared" ca="1" si="182"/>
        <v/>
      </c>
      <c r="CUP44" s="16" t="str">
        <f t="shared" ca="1" si="183"/>
        <v/>
      </c>
      <c r="CUQ44" s="16" t="str">
        <f t="shared" ca="1" si="184"/>
        <v/>
      </c>
      <c r="CUR44" s="16" t="str">
        <f t="shared" ca="1" si="185"/>
        <v/>
      </c>
      <c r="CUS44" s="16" t="str">
        <f t="shared" ca="1" si="186"/>
        <v/>
      </c>
      <c r="CUT44" s="16" t="str">
        <f t="shared" ca="1" si="187"/>
        <v/>
      </c>
      <c r="CUU44" s="16" t="str">
        <f t="shared" ca="1" si="188"/>
        <v/>
      </c>
      <c r="CUV44" s="16" t="str">
        <f t="shared" ca="1" si="189"/>
        <v/>
      </c>
      <c r="CUW44" s="16" t="str">
        <f t="shared" ca="1" si="190"/>
        <v/>
      </c>
      <c r="CUX44" s="16" t="str">
        <f t="shared" ca="1" si="191"/>
        <v/>
      </c>
      <c r="CUY44" s="16" t="str">
        <f t="shared" ca="1" si="192"/>
        <v/>
      </c>
      <c r="CUZ44" s="16" t="str">
        <f t="shared" ca="1" si="193"/>
        <v/>
      </c>
      <c r="CVA44" s="16" t="str">
        <f t="shared" ca="1" si="194"/>
        <v/>
      </c>
      <c r="CVB44" s="16" t="str">
        <f t="shared" ca="1" si="195"/>
        <v/>
      </c>
      <c r="CVC44" s="16" t="str">
        <f t="shared" ca="1" si="196"/>
        <v/>
      </c>
      <c r="CVD44" s="16" t="str">
        <f t="shared" ca="1" si="197"/>
        <v/>
      </c>
      <c r="CVE44" s="16" t="str">
        <f t="shared" ca="1" si="198"/>
        <v/>
      </c>
      <c r="CVF44" s="16" t="str">
        <f t="shared" ca="1" si="199"/>
        <v/>
      </c>
      <c r="CVG44" s="16" t="str">
        <f t="shared" ca="1" si="200"/>
        <v/>
      </c>
      <c r="CVH44" s="16" t="str">
        <f t="shared" ca="1" si="201"/>
        <v/>
      </c>
      <c r="CVI44" s="16" t="str">
        <f t="shared" ca="1" si="202"/>
        <v/>
      </c>
      <c r="CVJ44" s="16" t="str">
        <f t="shared" ca="1" si="203"/>
        <v/>
      </c>
      <c r="CVK44" s="16" t="str">
        <f t="shared" ca="1" si="204"/>
        <v/>
      </c>
      <c r="CVL44" s="16" t="str">
        <f t="shared" ca="1" si="205"/>
        <v/>
      </c>
      <c r="CVM44" s="16" t="str">
        <f t="shared" ca="1" si="206"/>
        <v/>
      </c>
      <c r="CVN44" s="16" t="str">
        <f t="shared" ca="1" si="207"/>
        <v/>
      </c>
      <c r="CVO44" s="58" t="str">
        <f t="shared" si="208"/>
        <v>гусевсавелий</v>
      </c>
      <c r="CVP44" s="58" t="str">
        <f>IFERROR(VLOOKUP(CVO44,'Внешние данные'!A:Z,4,FALSE),"")</f>
        <v/>
      </c>
    </row>
    <row r="45" spans="1:2616" s="16" customFormat="1" ht="13.8" x14ac:dyDescent="0.25">
      <c r="A45" s="2" t="s">
        <v>2378</v>
      </c>
      <c r="B45" s="2" t="s">
        <v>2446</v>
      </c>
      <c r="C45" s="57" t="s">
        <v>2425</v>
      </c>
      <c r="D45" s="35">
        <v>6</v>
      </c>
      <c r="E45" s="58">
        <v>444</v>
      </c>
      <c r="G45" s="16" t="s">
        <v>1393</v>
      </c>
      <c r="H45" s="53" t="str">
        <f t="shared" ca="1" si="162"/>
        <v/>
      </c>
      <c r="I45" s="35" t="str">
        <f t="shared" ca="1" si="163"/>
        <v/>
      </c>
      <c r="J45" s="35">
        <f t="shared" ca="1" si="164"/>
        <v>0</v>
      </c>
      <c r="K45" s="49" t="str">
        <f t="shared" ca="1" si="165"/>
        <v/>
      </c>
      <c r="L45" s="16">
        <v>205</v>
      </c>
      <c r="M45" s="12"/>
      <c r="N45" s="12"/>
      <c r="O45" s="4"/>
      <c r="P45" s="4"/>
      <c r="Q45" s="4"/>
      <c r="R45" s="4"/>
      <c r="S45" s="4">
        <v>415</v>
      </c>
      <c r="T45" s="4">
        <v>415</v>
      </c>
      <c r="U45" s="4"/>
      <c r="V45" s="4">
        <v>415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PI45" s="16" t="s">
        <v>2961</v>
      </c>
      <c r="RS45" s="16" t="s">
        <v>2961</v>
      </c>
      <c r="WM45" s="16" t="s">
        <v>2961</v>
      </c>
      <c r="YW45" s="16" t="s">
        <v>2961</v>
      </c>
      <c r="AGA45" s="16" t="s">
        <v>2961</v>
      </c>
      <c r="CSK45" s="54" t="str">
        <f t="shared" si="166"/>
        <v>X</v>
      </c>
      <c r="CSL45" s="35" t="str">
        <f t="shared" ca="1" si="158"/>
        <v/>
      </c>
      <c r="CSM45" s="35" t="str">
        <f t="shared" ca="1" si="158"/>
        <v/>
      </c>
      <c r="CSN45" s="35" t="str">
        <f t="shared" ca="1" si="158"/>
        <v/>
      </c>
      <c r="CSO45" s="35" t="str">
        <f t="shared" ca="1" si="158"/>
        <v/>
      </c>
      <c r="CSP45" s="35" t="str">
        <f t="shared" ca="1" si="158"/>
        <v/>
      </c>
      <c r="CSQ45" s="72" t="str">
        <f t="shared" ca="1" si="158"/>
        <v/>
      </c>
      <c r="CSR45" s="35" t="str">
        <f t="shared" ca="1" si="158"/>
        <v/>
      </c>
      <c r="CSS45" s="35" t="str">
        <f t="shared" ca="1" si="158"/>
        <v/>
      </c>
      <c r="CST45" s="35" t="str">
        <f t="shared" ca="1" si="158"/>
        <v/>
      </c>
      <c r="CSU45" s="35" t="str">
        <f t="shared" ca="1" si="158"/>
        <v/>
      </c>
      <c r="CSV45" s="35" t="str">
        <f t="shared" ca="1" si="159"/>
        <v/>
      </c>
      <c r="CSW45" s="35" t="str">
        <f t="shared" ca="1" si="159"/>
        <v/>
      </c>
      <c r="CSX45" s="35" t="str">
        <f t="shared" ca="1" si="159"/>
        <v/>
      </c>
      <c r="CSY45" s="35" t="str">
        <f t="shared" ca="1" si="159"/>
        <v/>
      </c>
      <c r="CSZ45" s="35" t="str">
        <f t="shared" ca="1" si="159"/>
        <v/>
      </c>
      <c r="CTA45" s="35" t="str">
        <f t="shared" ca="1" si="159"/>
        <v/>
      </c>
      <c r="CTB45" s="35" t="str">
        <f t="shared" ca="1" si="159"/>
        <v/>
      </c>
      <c r="CTC45" s="35" t="str">
        <f t="shared" ca="1" si="159"/>
        <v/>
      </c>
      <c r="CTD45" s="35" t="str">
        <f t="shared" ca="1" si="159"/>
        <v/>
      </c>
      <c r="CTE45" s="35" t="str">
        <f t="shared" ca="1" si="159"/>
        <v/>
      </c>
      <c r="CTF45" s="35" t="str">
        <f t="shared" ca="1" si="160"/>
        <v/>
      </c>
      <c r="CTG45" s="35" t="str">
        <f t="shared" ca="1" si="160"/>
        <v/>
      </c>
      <c r="CTH45" s="35" t="str">
        <f t="shared" ca="1" si="160"/>
        <v/>
      </c>
      <c r="CTI45" s="35" t="str">
        <f t="shared" ca="1" si="160"/>
        <v/>
      </c>
      <c r="CTJ45" s="35" t="str">
        <f t="shared" ca="1" si="160"/>
        <v/>
      </c>
      <c r="CTK45" s="35" t="str">
        <f t="shared" ca="1" si="160"/>
        <v/>
      </c>
      <c r="CTL45" s="35" t="str">
        <f t="shared" ca="1" si="160"/>
        <v/>
      </c>
      <c r="CTM45" s="35" t="str">
        <f t="shared" ca="1" si="160"/>
        <v/>
      </c>
      <c r="CTN45" s="35" t="str">
        <f t="shared" ca="1" si="160"/>
        <v/>
      </c>
      <c r="CTO45" s="35" t="str">
        <f t="shared" ca="1" si="160"/>
        <v/>
      </c>
      <c r="CTP45" s="35" t="str">
        <f t="shared" ca="1" si="161"/>
        <v/>
      </c>
      <c r="CTQ45" s="35" t="str">
        <f t="shared" ca="1" si="161"/>
        <v/>
      </c>
      <c r="CTR45" s="35" t="str">
        <f t="shared" ca="1" si="161"/>
        <v/>
      </c>
      <c r="CTS45" s="35" t="str">
        <f t="shared" ca="1" si="161"/>
        <v/>
      </c>
      <c r="CTT45" s="35" t="str">
        <f t="shared" ca="1" si="161"/>
        <v/>
      </c>
      <c r="CTU45" s="35" t="str">
        <f t="shared" ca="1" si="161"/>
        <v/>
      </c>
      <c r="CTV45" s="35" t="str">
        <f t="shared" ca="1" si="161"/>
        <v/>
      </c>
      <c r="CTW45" s="35" t="str">
        <f t="shared" ca="1" si="161"/>
        <v/>
      </c>
      <c r="CTX45" s="35" t="str">
        <f t="shared" ca="1" si="161"/>
        <v/>
      </c>
      <c r="CTY45" s="35" t="str">
        <f t="shared" ca="1" si="161"/>
        <v/>
      </c>
      <c r="CTZ45" s="56" t="str">
        <f t="shared" si="167"/>
        <v>X</v>
      </c>
      <c r="CUA45" s="58" t="str">
        <f t="shared" ca="1" si="168"/>
        <v/>
      </c>
      <c r="CUB45" s="16" t="str">
        <f t="shared" ca="1" si="169"/>
        <v/>
      </c>
      <c r="CUC45" s="16" t="str">
        <f t="shared" ca="1" si="170"/>
        <v/>
      </c>
      <c r="CUD45" s="16" t="str">
        <f t="shared" ca="1" si="171"/>
        <v/>
      </c>
      <c r="CUE45" s="16" t="str">
        <f t="shared" ca="1" si="172"/>
        <v/>
      </c>
      <c r="CUF45" s="16" t="str">
        <f t="shared" ca="1" si="173"/>
        <v/>
      </c>
      <c r="CUG45" s="16" t="str">
        <f t="shared" ca="1" si="174"/>
        <v/>
      </c>
      <c r="CUH45" s="16" t="str">
        <f t="shared" ca="1" si="175"/>
        <v/>
      </c>
      <c r="CUI45" s="16" t="str">
        <f t="shared" ca="1" si="176"/>
        <v/>
      </c>
      <c r="CUJ45" s="16" t="str">
        <f t="shared" ca="1" si="177"/>
        <v/>
      </c>
      <c r="CUK45" s="16" t="str">
        <f t="shared" ca="1" si="178"/>
        <v/>
      </c>
      <c r="CUL45" s="16" t="str">
        <f t="shared" ca="1" si="179"/>
        <v/>
      </c>
      <c r="CUM45" s="16" t="str">
        <f t="shared" ca="1" si="180"/>
        <v/>
      </c>
      <c r="CUN45" s="16" t="str">
        <f t="shared" ca="1" si="181"/>
        <v/>
      </c>
      <c r="CUO45" s="16" t="str">
        <f t="shared" ca="1" si="182"/>
        <v/>
      </c>
      <c r="CUP45" s="16" t="str">
        <f t="shared" ca="1" si="183"/>
        <v/>
      </c>
      <c r="CUQ45" s="16" t="str">
        <f t="shared" ca="1" si="184"/>
        <v/>
      </c>
      <c r="CUR45" s="16" t="str">
        <f t="shared" ca="1" si="185"/>
        <v/>
      </c>
      <c r="CUS45" s="16" t="str">
        <f t="shared" ca="1" si="186"/>
        <v/>
      </c>
      <c r="CUT45" s="16" t="str">
        <f t="shared" ca="1" si="187"/>
        <v/>
      </c>
      <c r="CUU45" s="16" t="str">
        <f t="shared" ca="1" si="188"/>
        <v/>
      </c>
      <c r="CUV45" s="16" t="str">
        <f t="shared" ca="1" si="189"/>
        <v/>
      </c>
      <c r="CUW45" s="16" t="str">
        <f t="shared" ca="1" si="190"/>
        <v/>
      </c>
      <c r="CUX45" s="16" t="str">
        <f t="shared" ca="1" si="191"/>
        <v/>
      </c>
      <c r="CUY45" s="16" t="str">
        <f t="shared" ca="1" si="192"/>
        <v/>
      </c>
      <c r="CUZ45" s="16" t="str">
        <f t="shared" ca="1" si="193"/>
        <v/>
      </c>
      <c r="CVA45" s="16" t="str">
        <f t="shared" ca="1" si="194"/>
        <v/>
      </c>
      <c r="CVB45" s="16" t="str">
        <f t="shared" ca="1" si="195"/>
        <v/>
      </c>
      <c r="CVC45" s="16" t="str">
        <f t="shared" ca="1" si="196"/>
        <v/>
      </c>
      <c r="CVD45" s="16" t="str">
        <f t="shared" ca="1" si="197"/>
        <v/>
      </c>
      <c r="CVE45" s="16" t="str">
        <f t="shared" ca="1" si="198"/>
        <v/>
      </c>
      <c r="CVF45" s="16" t="str">
        <f t="shared" ca="1" si="199"/>
        <v/>
      </c>
      <c r="CVG45" s="16" t="str">
        <f t="shared" ca="1" si="200"/>
        <v/>
      </c>
      <c r="CVH45" s="16" t="str">
        <f t="shared" ca="1" si="201"/>
        <v/>
      </c>
      <c r="CVI45" s="16" t="str">
        <f t="shared" ca="1" si="202"/>
        <v/>
      </c>
      <c r="CVJ45" s="16" t="str">
        <f t="shared" ca="1" si="203"/>
        <v/>
      </c>
      <c r="CVK45" s="16" t="str">
        <f t="shared" ca="1" si="204"/>
        <v/>
      </c>
      <c r="CVL45" s="16" t="str">
        <f t="shared" ca="1" si="205"/>
        <v/>
      </c>
      <c r="CVM45" s="16" t="str">
        <f t="shared" ca="1" si="206"/>
        <v/>
      </c>
      <c r="CVN45" s="16" t="str">
        <f t="shared" ca="1" si="207"/>
        <v/>
      </c>
      <c r="CVO45" s="58" t="str">
        <f t="shared" si="208"/>
        <v>киселевсергей</v>
      </c>
      <c r="CVP45" s="58" t="str">
        <f>IFERROR(VLOOKUP(CVO45,'Внешние данные'!A:Z,4,FALSE),"")</f>
        <v/>
      </c>
    </row>
    <row r="46" spans="1:2616" ht="13.8" x14ac:dyDescent="0.25">
      <c r="A46" s="2" t="s">
        <v>2379</v>
      </c>
      <c r="B46" s="2" t="s">
        <v>2447</v>
      </c>
      <c r="C46" s="57" t="s">
        <v>2426</v>
      </c>
      <c r="D46" s="35">
        <v>5</v>
      </c>
      <c r="E46" s="58">
        <v>57</v>
      </c>
      <c r="G46" s="16" t="s">
        <v>1393</v>
      </c>
      <c r="H46" s="53">
        <f t="shared" ca="1" si="162"/>
        <v>0.8</v>
      </c>
      <c r="I46" s="35">
        <f t="shared" ca="1" si="163"/>
        <v>1</v>
      </c>
      <c r="J46" s="35">
        <f t="shared" ca="1" si="164"/>
        <v>11</v>
      </c>
      <c r="K46" s="49">
        <f t="shared" ca="1" si="165"/>
        <v>5</v>
      </c>
      <c r="L46" s="16">
        <v>205</v>
      </c>
      <c r="M46" s="12">
        <v>412</v>
      </c>
      <c r="N46" s="12">
        <v>412</v>
      </c>
      <c r="O46" s="4">
        <v>305</v>
      </c>
      <c r="P46" s="4">
        <v>305</v>
      </c>
      <c r="Q46" s="4">
        <v>305</v>
      </c>
      <c r="R46" s="4">
        <v>305</v>
      </c>
      <c r="S46" s="4">
        <v>305</v>
      </c>
      <c r="T46" s="4">
        <v>305</v>
      </c>
      <c r="V46" s="4">
        <v>305</v>
      </c>
      <c r="W46" s="4">
        <v>305</v>
      </c>
      <c r="X46" s="4">
        <v>305</v>
      </c>
      <c r="Y46" s="4">
        <v>305</v>
      </c>
      <c r="Z46" s="4">
        <v>305</v>
      </c>
      <c r="BA46" s="16">
        <v>1</v>
      </c>
      <c r="BB46" s="16">
        <v>1</v>
      </c>
      <c r="BC46" s="16"/>
      <c r="BD46" s="16"/>
      <c r="BE46" s="16"/>
      <c r="BF46" s="16">
        <v>1</v>
      </c>
      <c r="BG46" s="16"/>
      <c r="BH46" s="16"/>
      <c r="BI46" s="16"/>
      <c r="BJ46" s="16"/>
      <c r="BK46" s="16"/>
      <c r="BL46" s="16"/>
      <c r="BM46" s="16">
        <v>1</v>
      </c>
      <c r="BN46" s="16">
        <v>1</v>
      </c>
      <c r="BO46" s="16"/>
      <c r="BP46" s="16">
        <v>1</v>
      </c>
      <c r="BQ46" s="16">
        <v>1</v>
      </c>
      <c r="BR46" s="16">
        <v>1</v>
      </c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>
        <v>1</v>
      </c>
      <c r="DL46" s="16">
        <v>1</v>
      </c>
      <c r="DM46" s="16"/>
      <c r="DN46" s="16">
        <v>1</v>
      </c>
      <c r="DO46" s="16">
        <v>1</v>
      </c>
      <c r="DP46" s="16">
        <v>1</v>
      </c>
      <c r="DQ46" s="16"/>
      <c r="DR46" s="16">
        <v>1</v>
      </c>
      <c r="DS46" s="16">
        <v>1</v>
      </c>
      <c r="DT46" s="16"/>
      <c r="DU46" s="16"/>
      <c r="DV46" s="16">
        <v>1</v>
      </c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>
        <v>1</v>
      </c>
      <c r="FV46" s="16">
        <v>1</v>
      </c>
      <c r="FW46" s="16">
        <v>1</v>
      </c>
      <c r="FX46" s="16">
        <v>1</v>
      </c>
      <c r="FY46" s="16">
        <v>1</v>
      </c>
      <c r="FZ46" s="16">
        <v>1</v>
      </c>
      <c r="GA46" s="16">
        <v>1</v>
      </c>
      <c r="GB46" s="16">
        <v>1</v>
      </c>
      <c r="GC46" s="16"/>
      <c r="GD46" s="16">
        <v>1</v>
      </c>
      <c r="GE46" s="16">
        <v>1</v>
      </c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>
        <v>1</v>
      </c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>
        <v>1</v>
      </c>
      <c r="KP46" s="16">
        <v>1</v>
      </c>
      <c r="KQ46" s="16"/>
      <c r="KR46" s="16">
        <v>1</v>
      </c>
      <c r="KS46" s="16">
        <v>1</v>
      </c>
      <c r="KT46" s="16">
        <v>1</v>
      </c>
      <c r="KU46" s="16"/>
      <c r="KV46" s="16">
        <v>1</v>
      </c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6"/>
      <c r="LU46" s="16"/>
      <c r="LV46" s="16"/>
      <c r="LW46" s="16"/>
      <c r="LX46" s="16"/>
      <c r="LY46" s="16"/>
      <c r="LZ46" s="16"/>
      <c r="MA46" s="16"/>
      <c r="MB46" s="16"/>
      <c r="MC46" s="16"/>
      <c r="MD46" s="16"/>
      <c r="ME46" s="16"/>
      <c r="MF46" s="16"/>
      <c r="MG46" s="16"/>
      <c r="MH46" s="16"/>
      <c r="MI46" s="16"/>
      <c r="MJ46" s="16"/>
      <c r="MK46" s="16"/>
      <c r="ML46" s="16"/>
      <c r="MM46" s="16"/>
      <c r="MN46" s="16"/>
      <c r="MO46" s="16"/>
      <c r="MP46" s="16"/>
      <c r="MQ46" s="16"/>
      <c r="MR46" s="16"/>
      <c r="MS46" s="16"/>
      <c r="MT46" s="16"/>
      <c r="MU46" s="16"/>
      <c r="MV46" s="16"/>
      <c r="MW46" s="16"/>
      <c r="MX46" s="16"/>
      <c r="MY46" s="16">
        <v>1</v>
      </c>
      <c r="MZ46" s="16">
        <v>1</v>
      </c>
      <c r="NA46" s="16">
        <v>1</v>
      </c>
      <c r="NB46" s="16">
        <v>1</v>
      </c>
      <c r="NC46" s="16">
        <v>1</v>
      </c>
      <c r="ND46" s="16">
        <v>1</v>
      </c>
      <c r="NE46" s="16">
        <v>1</v>
      </c>
      <c r="NF46" s="16">
        <v>1</v>
      </c>
      <c r="NG46" s="16"/>
      <c r="NH46" s="16"/>
      <c r="NI46" s="16"/>
      <c r="NJ46" s="16"/>
      <c r="NK46" s="16"/>
      <c r="NL46" s="16">
        <v>1</v>
      </c>
      <c r="NM46" s="16"/>
      <c r="NN46" s="16"/>
      <c r="NO46" s="16"/>
      <c r="NP46" s="16"/>
      <c r="NQ46" s="16"/>
      <c r="NR46" s="16"/>
      <c r="NS46" s="16"/>
      <c r="NT46" s="16"/>
      <c r="NU46" s="16"/>
      <c r="NV46" s="16"/>
      <c r="NW46" s="16"/>
      <c r="NX46" s="16"/>
      <c r="NY46" s="16"/>
      <c r="NZ46" s="16"/>
      <c r="OA46" s="16"/>
      <c r="OB46" s="16"/>
      <c r="OC46" s="16"/>
      <c r="OD46" s="16"/>
      <c r="OE46" s="16"/>
      <c r="OF46" s="16"/>
      <c r="OG46" s="16"/>
      <c r="OH46" s="16"/>
      <c r="OI46" s="16"/>
      <c r="OJ46" s="16"/>
      <c r="OK46" s="16"/>
      <c r="OL46" s="16"/>
      <c r="OM46" s="16"/>
      <c r="ON46" s="16"/>
      <c r="OO46" s="16"/>
      <c r="OP46" s="16"/>
      <c r="OQ46" s="16"/>
      <c r="OR46" s="16"/>
      <c r="OS46" s="16"/>
      <c r="OT46" s="16"/>
      <c r="OU46" s="16"/>
      <c r="OV46" s="16"/>
      <c r="OW46" s="16"/>
      <c r="OX46" s="16"/>
      <c r="OY46" s="16"/>
      <c r="OZ46" s="16"/>
      <c r="PA46" s="16"/>
      <c r="PB46" s="16"/>
      <c r="PC46" s="16"/>
      <c r="PD46" s="16"/>
      <c r="PE46" s="16"/>
      <c r="PF46" s="16"/>
      <c r="PG46" s="16"/>
      <c r="PH46" s="16"/>
      <c r="PI46" s="16" t="s">
        <v>2961</v>
      </c>
      <c r="PJ46" s="16"/>
      <c r="PK46" s="16"/>
      <c r="PL46" s="16"/>
      <c r="PM46" s="16"/>
      <c r="PN46" s="16"/>
      <c r="PO46" s="16"/>
      <c r="PP46" s="16"/>
      <c r="PQ46" s="16"/>
      <c r="PR46" s="16"/>
      <c r="PS46" s="16"/>
      <c r="PT46" s="16"/>
      <c r="PU46" s="16"/>
      <c r="PV46" s="16"/>
      <c r="PW46" s="16"/>
      <c r="PX46" s="16"/>
      <c r="PY46" s="16"/>
      <c r="PZ46" s="16"/>
      <c r="QA46" s="16"/>
      <c r="QB46" s="16"/>
      <c r="QC46" s="16"/>
      <c r="QD46" s="16"/>
      <c r="QE46" s="16"/>
      <c r="QF46" s="16"/>
      <c r="QG46" s="16"/>
      <c r="QH46" s="16"/>
      <c r="QI46" s="16"/>
      <c r="QJ46" s="16"/>
      <c r="QK46" s="16"/>
      <c r="QL46" s="16"/>
      <c r="QM46" s="16"/>
      <c r="QN46" s="16"/>
      <c r="QO46" s="16"/>
      <c r="QP46" s="16"/>
      <c r="QQ46" s="16"/>
      <c r="QR46" s="16"/>
      <c r="QS46" s="16"/>
      <c r="QT46" s="16"/>
      <c r="QU46" s="16"/>
      <c r="QV46" s="16"/>
      <c r="QW46" s="16"/>
      <c r="QX46" s="16"/>
      <c r="QY46" s="16"/>
      <c r="QZ46" s="16"/>
      <c r="RA46" s="16"/>
      <c r="RB46" s="16"/>
      <c r="RC46" s="16"/>
      <c r="RD46" s="16"/>
      <c r="RE46" s="16"/>
      <c r="RF46" s="16"/>
      <c r="RG46" s="16"/>
      <c r="RH46" s="16"/>
      <c r="RI46" s="16"/>
      <c r="RJ46" s="16"/>
      <c r="RK46" s="16"/>
      <c r="RL46" s="16"/>
      <c r="RM46" s="16"/>
      <c r="RN46" s="16"/>
      <c r="RO46" s="16"/>
      <c r="RP46" s="16"/>
      <c r="RQ46" s="16"/>
      <c r="RR46" s="16"/>
      <c r="RS46" s="16">
        <v>1</v>
      </c>
      <c r="RT46" s="16"/>
      <c r="RU46" s="16">
        <v>1</v>
      </c>
      <c r="RV46" s="16">
        <v>1</v>
      </c>
      <c r="RW46" s="16"/>
      <c r="RX46" s="16">
        <v>1</v>
      </c>
      <c r="RY46" s="16">
        <v>1</v>
      </c>
      <c r="RZ46" s="16"/>
      <c r="SA46" s="16">
        <v>1</v>
      </c>
      <c r="SB46" s="16"/>
      <c r="SC46" s="16"/>
      <c r="SD46" s="16">
        <v>1</v>
      </c>
      <c r="SE46" s="16"/>
      <c r="SF46" s="16"/>
      <c r="SG46" s="16"/>
      <c r="SH46" s="16"/>
      <c r="SI46" s="16"/>
      <c r="SJ46" s="16"/>
      <c r="SK46" s="16"/>
      <c r="SL46" s="16"/>
      <c r="SM46" s="16"/>
      <c r="SN46" s="16"/>
      <c r="SO46" s="16"/>
      <c r="SP46" s="16"/>
      <c r="SQ46" s="16"/>
      <c r="SR46" s="16"/>
      <c r="SS46" s="16"/>
      <c r="ST46" s="16"/>
      <c r="SU46" s="16"/>
      <c r="SV46" s="16"/>
      <c r="SW46" s="16"/>
      <c r="SX46" s="16"/>
      <c r="SY46" s="16"/>
      <c r="SZ46" s="16"/>
      <c r="TA46" s="16"/>
      <c r="TB46" s="16"/>
      <c r="TC46" s="16"/>
      <c r="TD46" s="16"/>
      <c r="TE46" s="16"/>
      <c r="TF46" s="16"/>
      <c r="TG46" s="16"/>
      <c r="TH46" s="16"/>
      <c r="TI46" s="16"/>
      <c r="TJ46" s="16"/>
      <c r="TK46" s="16"/>
      <c r="TL46" s="16"/>
      <c r="TM46" s="16"/>
      <c r="TN46" s="16"/>
      <c r="TO46" s="16"/>
      <c r="TP46" s="16"/>
      <c r="TQ46" s="16"/>
      <c r="TR46" s="16"/>
      <c r="TS46" s="16"/>
      <c r="TT46" s="16"/>
      <c r="TU46" s="16"/>
      <c r="TV46" s="16"/>
      <c r="TW46" s="16"/>
      <c r="TX46" s="16"/>
      <c r="TY46" s="16"/>
      <c r="TZ46" s="16"/>
      <c r="UA46" s="16"/>
      <c r="UB46" s="16"/>
      <c r="UC46" s="16"/>
      <c r="UD46" s="16"/>
      <c r="UE46" s="16"/>
      <c r="UF46" s="16"/>
      <c r="UG46" s="16"/>
      <c r="UH46" s="16"/>
      <c r="UI46" s="16"/>
      <c r="UJ46" s="16"/>
      <c r="UK46" s="16"/>
      <c r="UL46" s="16"/>
      <c r="UM46" s="16"/>
      <c r="UN46" s="16"/>
      <c r="UO46" s="16"/>
      <c r="UP46" s="16"/>
      <c r="UQ46" s="16"/>
      <c r="UR46" s="16"/>
      <c r="US46" s="16"/>
      <c r="UT46" s="16"/>
      <c r="UU46" s="16"/>
      <c r="UV46" s="16"/>
      <c r="UW46" s="16"/>
      <c r="UX46" s="16"/>
      <c r="UY46" s="16"/>
      <c r="UZ46" s="16"/>
      <c r="VA46" s="16"/>
      <c r="VB46" s="16"/>
      <c r="VC46" s="16"/>
      <c r="VD46" s="16"/>
      <c r="VE46" s="16"/>
      <c r="VF46" s="16"/>
      <c r="VG46" s="16"/>
      <c r="VH46" s="16"/>
      <c r="VI46" s="16"/>
      <c r="VJ46" s="16"/>
      <c r="VK46" s="16"/>
      <c r="VL46" s="16"/>
      <c r="VM46" s="16"/>
      <c r="VN46" s="16"/>
      <c r="VO46" s="16"/>
      <c r="VP46" s="16"/>
      <c r="VQ46" s="16"/>
      <c r="VR46" s="16"/>
      <c r="VS46" s="16"/>
      <c r="VT46" s="16"/>
      <c r="VU46" s="16"/>
      <c r="VV46" s="16"/>
      <c r="VW46" s="16"/>
      <c r="VX46" s="16"/>
      <c r="VY46" s="16"/>
      <c r="VZ46" s="16"/>
      <c r="WA46" s="16"/>
      <c r="WB46" s="16"/>
      <c r="WC46" s="16"/>
      <c r="WD46" s="16"/>
      <c r="WE46" s="16"/>
      <c r="WF46" s="16"/>
      <c r="WG46" s="16"/>
      <c r="WH46" s="16"/>
      <c r="WI46" s="16"/>
      <c r="WJ46" s="16"/>
      <c r="WK46" s="16"/>
      <c r="WL46" s="16"/>
      <c r="WM46" s="16">
        <v>1</v>
      </c>
      <c r="WN46" s="16"/>
      <c r="WO46" s="16"/>
      <c r="WP46" s="16"/>
      <c r="WQ46" s="16"/>
      <c r="WR46" s="16"/>
      <c r="WS46" s="16"/>
      <c r="WT46" s="16"/>
      <c r="WU46" s="16">
        <v>1</v>
      </c>
      <c r="WV46" s="16"/>
      <c r="WW46" s="16"/>
      <c r="WX46" s="16"/>
      <c r="WY46" s="16"/>
      <c r="WZ46" s="16"/>
      <c r="XA46" s="16"/>
      <c r="XB46" s="16"/>
      <c r="XC46" s="16"/>
      <c r="XD46" s="16"/>
      <c r="XE46" s="16"/>
      <c r="XF46" s="16"/>
      <c r="XG46" s="16"/>
      <c r="XH46" s="16"/>
      <c r="XI46" s="16"/>
      <c r="XJ46" s="16"/>
      <c r="XK46" s="16"/>
      <c r="XL46" s="16"/>
      <c r="XM46" s="16"/>
      <c r="XN46" s="16"/>
      <c r="XO46" s="16"/>
      <c r="XP46" s="16"/>
      <c r="XQ46" s="16"/>
      <c r="XR46" s="16"/>
      <c r="XS46" s="16"/>
      <c r="XT46" s="16"/>
      <c r="XU46" s="16"/>
      <c r="XV46" s="16"/>
      <c r="XW46" s="16"/>
      <c r="XX46" s="16"/>
      <c r="XY46" s="16"/>
      <c r="XZ46" s="16"/>
      <c r="YA46" s="16"/>
      <c r="YB46" s="16"/>
      <c r="YC46" s="16"/>
      <c r="YD46" s="16"/>
      <c r="YE46" s="16"/>
      <c r="YF46" s="16"/>
      <c r="YG46" s="16"/>
      <c r="YH46" s="16"/>
      <c r="YI46" s="16"/>
      <c r="YJ46" s="16"/>
      <c r="YK46" s="16"/>
      <c r="YL46" s="16"/>
      <c r="YM46" s="16"/>
      <c r="YN46" s="16"/>
      <c r="YO46" s="16"/>
      <c r="YP46" s="16"/>
      <c r="YQ46" s="16"/>
      <c r="YR46" s="16"/>
      <c r="YS46" s="16"/>
      <c r="YT46" s="16"/>
      <c r="YU46" s="16"/>
      <c r="YV46" s="16"/>
      <c r="YW46" s="16">
        <v>1</v>
      </c>
      <c r="YX46" s="16">
        <v>1</v>
      </c>
      <c r="YY46" s="16"/>
      <c r="YZ46" s="16"/>
      <c r="ZA46" s="16"/>
      <c r="ZB46" s="16">
        <v>1</v>
      </c>
      <c r="ZC46" s="16"/>
      <c r="ZD46" s="16"/>
      <c r="ZE46" s="16"/>
      <c r="ZF46" s="16"/>
      <c r="ZG46" s="16"/>
      <c r="ZH46" s="16"/>
      <c r="ZI46" s="16"/>
      <c r="ZJ46" s="16"/>
      <c r="ZK46" s="16"/>
      <c r="ZL46" s="16"/>
      <c r="ZM46" s="16"/>
      <c r="ZN46" s="16"/>
      <c r="ZO46" s="16"/>
      <c r="ZP46" s="16"/>
      <c r="ZQ46" s="16"/>
      <c r="ZR46" s="16"/>
      <c r="ZS46" s="16"/>
      <c r="ZT46" s="16"/>
      <c r="ZU46" s="16"/>
      <c r="ZV46" s="16"/>
      <c r="ZW46" s="16"/>
      <c r="ZX46" s="16"/>
      <c r="ZY46" s="16"/>
      <c r="ZZ46" s="16"/>
      <c r="AAA46" s="16"/>
      <c r="AAB46" s="16"/>
      <c r="AAC46" s="16"/>
      <c r="AAD46" s="16"/>
      <c r="AAE46" s="16"/>
      <c r="AAF46" s="16"/>
      <c r="AAG46" s="16"/>
      <c r="AAH46" s="16"/>
      <c r="AAI46" s="16"/>
      <c r="AAJ46" s="16"/>
      <c r="AAK46" s="16"/>
      <c r="AAL46" s="16"/>
      <c r="AAM46" s="16"/>
      <c r="AAN46" s="16"/>
      <c r="AAO46" s="16"/>
      <c r="AAP46" s="16"/>
      <c r="AAQ46" s="16"/>
      <c r="AAR46" s="16"/>
      <c r="AAS46" s="16"/>
      <c r="AAT46" s="16"/>
      <c r="AAU46" s="16"/>
      <c r="AAV46" s="16"/>
      <c r="AAW46" s="16"/>
      <c r="AAX46" s="16"/>
      <c r="AAY46" s="16"/>
      <c r="AAZ46" s="16"/>
      <c r="ABA46" s="16"/>
      <c r="ABB46" s="16"/>
      <c r="ABC46" s="16"/>
      <c r="ABD46" s="16"/>
      <c r="ABE46" s="16"/>
      <c r="ABF46" s="16"/>
      <c r="ABG46" s="16">
        <v>1</v>
      </c>
      <c r="ABH46" s="16"/>
      <c r="ABI46" s="16"/>
      <c r="ABJ46" s="16"/>
      <c r="ABK46" s="16"/>
      <c r="ABL46" s="16"/>
      <c r="ABM46" s="16">
        <v>1</v>
      </c>
      <c r="ABN46" s="16"/>
      <c r="ABO46" s="16"/>
      <c r="ABP46" s="16"/>
      <c r="ABQ46" s="16"/>
      <c r="ABR46" s="16"/>
      <c r="ABS46" s="16"/>
      <c r="ABT46" s="16"/>
      <c r="ABU46" s="16"/>
      <c r="ABV46" s="16"/>
      <c r="ABW46" s="16"/>
      <c r="ABX46" s="16"/>
      <c r="ABY46" s="16"/>
      <c r="ABZ46" s="16"/>
      <c r="ACA46" s="16"/>
      <c r="ACB46" s="16"/>
      <c r="ACC46" s="16"/>
      <c r="ACD46" s="16"/>
      <c r="ACE46" s="16"/>
      <c r="ACF46" s="16"/>
      <c r="ACG46" s="16"/>
      <c r="ACH46" s="16"/>
      <c r="ACI46" s="16"/>
      <c r="ACJ46" s="16"/>
      <c r="ACK46" s="16"/>
      <c r="ACL46" s="16"/>
      <c r="ACM46" s="16"/>
      <c r="ACN46" s="16"/>
      <c r="ACO46" s="16"/>
      <c r="ACP46" s="16"/>
      <c r="ACQ46" s="16"/>
      <c r="ACR46" s="16"/>
      <c r="ACS46" s="16"/>
      <c r="ACT46" s="16"/>
      <c r="ACU46" s="16"/>
      <c r="ACV46" s="16"/>
      <c r="ACW46" s="16"/>
      <c r="ACX46" s="16"/>
      <c r="ACY46" s="16"/>
      <c r="ACZ46" s="16"/>
      <c r="ADA46" s="16"/>
      <c r="ADB46" s="16"/>
      <c r="ADC46" s="16"/>
      <c r="ADD46" s="16"/>
      <c r="ADE46" s="16"/>
      <c r="ADF46" s="16"/>
      <c r="ADG46" s="16"/>
      <c r="ADH46" s="16"/>
      <c r="ADI46" s="16"/>
      <c r="ADJ46" s="16"/>
      <c r="ADK46" s="16"/>
      <c r="ADL46" s="16"/>
      <c r="ADM46" s="16"/>
      <c r="ADN46" s="16"/>
      <c r="ADO46" s="16"/>
      <c r="ADP46" s="16"/>
      <c r="ADQ46" s="16">
        <v>1</v>
      </c>
      <c r="ADR46" s="16">
        <v>1</v>
      </c>
      <c r="ADS46" s="16"/>
      <c r="ADT46" s="16">
        <v>1</v>
      </c>
      <c r="ADU46" s="16">
        <v>1</v>
      </c>
      <c r="ADV46" s="16">
        <v>1</v>
      </c>
      <c r="ADW46" s="16">
        <v>1</v>
      </c>
      <c r="ADX46" s="16">
        <v>1</v>
      </c>
      <c r="ADY46" s="16">
        <v>1</v>
      </c>
      <c r="ADZ46" s="16"/>
      <c r="AEA46" s="16">
        <v>1</v>
      </c>
      <c r="AEB46" s="16">
        <v>1</v>
      </c>
      <c r="AEC46" s="16"/>
      <c r="AED46" s="16"/>
      <c r="AEE46" s="16"/>
      <c r="AEF46" s="16"/>
      <c r="AEG46" s="16"/>
      <c r="AEH46" s="16"/>
      <c r="AEI46" s="16"/>
      <c r="AEJ46" s="16"/>
      <c r="AEK46" s="16"/>
      <c r="AEL46" s="16"/>
      <c r="AEM46" s="16"/>
      <c r="AEN46" s="16"/>
      <c r="AEO46" s="16"/>
      <c r="AEP46" s="16"/>
      <c r="AEQ46" s="16"/>
      <c r="AER46" s="16"/>
      <c r="AES46" s="16"/>
      <c r="AET46" s="16"/>
      <c r="AEU46" s="16"/>
      <c r="AEV46" s="16"/>
      <c r="AEW46" s="16"/>
      <c r="AEX46" s="16"/>
      <c r="AEY46" s="16"/>
      <c r="AEZ46" s="16"/>
      <c r="AFA46" s="16"/>
      <c r="AFB46" s="16"/>
      <c r="AFC46" s="16"/>
      <c r="AFD46" s="16"/>
      <c r="AFE46" s="16"/>
      <c r="AFF46" s="16"/>
      <c r="AFG46" s="16"/>
      <c r="AFH46" s="16"/>
      <c r="AFI46" s="16"/>
      <c r="AFJ46" s="16"/>
      <c r="AFK46" s="16"/>
      <c r="AFL46" s="16"/>
      <c r="AFM46" s="16"/>
      <c r="AFN46" s="16"/>
      <c r="AFO46" s="16"/>
      <c r="AFP46" s="16"/>
      <c r="AFQ46" s="16"/>
      <c r="AFR46" s="16"/>
      <c r="AFS46" s="16"/>
      <c r="AFT46" s="16"/>
      <c r="AFU46" s="16"/>
      <c r="AFV46" s="16"/>
      <c r="AFW46" s="16"/>
      <c r="AFX46" s="16"/>
      <c r="AFY46" s="16"/>
      <c r="AFZ46" s="16"/>
      <c r="AGA46" s="16" t="s">
        <v>2961</v>
      </c>
      <c r="AGB46" s="16"/>
      <c r="AGC46" s="16"/>
      <c r="AGD46" s="16"/>
      <c r="AGE46" s="16"/>
      <c r="AGF46" s="16"/>
      <c r="AGG46" s="16"/>
      <c r="AGH46" s="16"/>
      <c r="AGI46" s="16"/>
      <c r="AGJ46" s="16"/>
      <c r="AGK46" s="16"/>
      <c r="AGL46" s="16"/>
      <c r="AGM46" s="16"/>
      <c r="AGN46" s="16"/>
      <c r="AGO46" s="16"/>
      <c r="AGP46" s="16"/>
      <c r="AGQ46" s="16"/>
      <c r="AGR46" s="16"/>
      <c r="AGS46" s="16"/>
      <c r="AGT46" s="16"/>
      <c r="AGU46" s="16"/>
      <c r="AGV46" s="16"/>
      <c r="AGW46" s="16"/>
      <c r="AGX46" s="16"/>
      <c r="AGY46" s="16"/>
      <c r="AGZ46" s="16"/>
      <c r="AHA46" s="16"/>
      <c r="AHB46" s="16"/>
      <c r="AHC46" s="16"/>
      <c r="AHD46" s="16"/>
      <c r="AHE46" s="16"/>
      <c r="AHF46" s="16"/>
      <c r="AHG46" s="16"/>
      <c r="AHH46" s="16"/>
      <c r="AHI46" s="16"/>
      <c r="AHJ46" s="16"/>
      <c r="AHK46" s="16"/>
      <c r="AHL46" s="16"/>
      <c r="AHM46" s="16"/>
      <c r="AHN46" s="16"/>
      <c r="AHO46" s="16"/>
      <c r="AHP46" s="16"/>
      <c r="AHQ46" s="16"/>
      <c r="AHR46" s="16"/>
      <c r="AHS46" s="16"/>
      <c r="AHT46" s="16"/>
      <c r="AHU46" s="16"/>
      <c r="AHV46" s="16"/>
      <c r="AHW46" s="16"/>
      <c r="AHX46" s="16"/>
      <c r="AHY46" s="16"/>
      <c r="AHZ46" s="16"/>
      <c r="AIA46" s="16"/>
      <c r="AIB46" s="16"/>
      <c r="AIC46" s="16"/>
      <c r="AID46" s="16"/>
      <c r="AIE46" s="16"/>
      <c r="AIF46" s="16"/>
      <c r="AIG46" s="16"/>
      <c r="AIH46" s="16"/>
      <c r="AII46" s="16"/>
      <c r="AIJ46" s="16"/>
      <c r="AIK46" s="16"/>
      <c r="AIL46" s="16"/>
      <c r="AIM46" s="16"/>
      <c r="AIN46" s="16"/>
      <c r="AIO46" s="16"/>
      <c r="AIP46" s="16"/>
      <c r="AIQ46" s="16"/>
      <c r="AIR46" s="16"/>
      <c r="AIS46" s="16"/>
      <c r="AIT46" s="16"/>
      <c r="AIU46" s="16"/>
      <c r="AIV46" s="16"/>
      <c r="AIW46" s="16"/>
      <c r="AIX46" s="16"/>
      <c r="AIY46" s="16"/>
      <c r="AIZ46" s="16"/>
      <c r="AJA46" s="16"/>
      <c r="AJB46" s="16"/>
      <c r="AJC46" s="16"/>
      <c r="AJD46" s="16"/>
      <c r="AJE46" s="16"/>
      <c r="AJF46" s="16"/>
      <c r="AJG46" s="16"/>
      <c r="AJH46" s="16"/>
      <c r="AJI46" s="16"/>
      <c r="AJJ46" s="16"/>
      <c r="AJK46" s="16"/>
      <c r="AJL46" s="16"/>
      <c r="AJM46" s="16"/>
      <c r="AJN46" s="16"/>
      <c r="AJO46" s="16"/>
      <c r="AJP46" s="16"/>
      <c r="AJQ46" s="16"/>
      <c r="AJR46" s="16"/>
      <c r="AJS46" s="16"/>
      <c r="AJT46" s="16"/>
      <c r="AJU46" s="16"/>
      <c r="AJV46" s="16"/>
      <c r="AJW46" s="16"/>
      <c r="AJX46" s="16"/>
      <c r="AJY46" s="16"/>
      <c r="AJZ46" s="16"/>
      <c r="AKA46" s="16"/>
      <c r="AKB46" s="16"/>
      <c r="AKC46" s="16"/>
      <c r="AKD46" s="16"/>
      <c r="AKE46" s="16"/>
      <c r="AKF46" s="16"/>
      <c r="AKG46" s="16"/>
      <c r="AKH46" s="16"/>
      <c r="AKI46" s="16"/>
      <c r="AKJ46" s="16"/>
      <c r="AKK46" s="16"/>
      <c r="AKL46" s="16"/>
      <c r="AKM46" s="16"/>
      <c r="AKN46" s="16"/>
      <c r="AKO46" s="16"/>
      <c r="AKP46" s="16"/>
      <c r="AKQ46" s="16"/>
      <c r="AKR46" s="16"/>
      <c r="AKS46" s="16"/>
      <c r="AKT46" s="16"/>
      <c r="AKU46" s="16"/>
      <c r="AKV46" s="16"/>
      <c r="AKW46" s="16"/>
      <c r="AKX46" s="16"/>
      <c r="AKY46" s="16"/>
      <c r="AKZ46" s="16"/>
      <c r="ALA46" s="16"/>
      <c r="ALB46" s="16"/>
      <c r="ALC46" s="16"/>
      <c r="ALD46" s="16"/>
      <c r="ALE46" s="16"/>
      <c r="ALF46" s="16"/>
      <c r="ALG46" s="16"/>
      <c r="ALH46" s="16"/>
      <c r="ALI46" s="16"/>
      <c r="ALJ46" s="16"/>
      <c r="ALK46" s="16"/>
      <c r="ALL46" s="16"/>
      <c r="ALM46" s="16"/>
      <c r="ALN46" s="16"/>
      <c r="ALO46" s="16"/>
      <c r="ALP46" s="16"/>
      <c r="ALQ46" s="16"/>
      <c r="ALR46" s="16"/>
      <c r="ALS46" s="16"/>
      <c r="ALT46" s="16"/>
      <c r="ALU46" s="16"/>
      <c r="ALV46" s="16"/>
      <c r="ALW46" s="16"/>
      <c r="ALX46" s="16"/>
      <c r="ALY46" s="16"/>
      <c r="ALZ46" s="16"/>
      <c r="AMA46" s="16"/>
      <c r="AMB46" s="16"/>
      <c r="AMC46" s="16"/>
      <c r="AMD46" s="16"/>
      <c r="AME46" s="16"/>
      <c r="AMF46" s="16"/>
      <c r="AMG46" s="16"/>
      <c r="AMH46" s="16"/>
      <c r="AMI46" s="16"/>
      <c r="AMJ46" s="16"/>
      <c r="AMK46" s="16"/>
      <c r="AML46" s="16"/>
      <c r="AMM46" s="16"/>
      <c r="AMN46" s="16"/>
      <c r="AMO46" s="16"/>
      <c r="AMP46" s="16"/>
      <c r="AMQ46" s="16"/>
      <c r="AMR46" s="16"/>
      <c r="AMS46" s="16"/>
      <c r="AMT46" s="16"/>
      <c r="AMU46" s="16"/>
      <c r="AMV46" s="16"/>
      <c r="AMW46" s="16"/>
      <c r="AMX46" s="16"/>
      <c r="AMY46" s="16"/>
      <c r="AMZ46" s="16"/>
      <c r="ANA46" s="16"/>
      <c r="ANB46" s="16"/>
      <c r="ANC46" s="16"/>
      <c r="AND46" s="16"/>
      <c r="ANE46" s="16"/>
      <c r="ANF46" s="16"/>
      <c r="ANG46" s="16"/>
      <c r="ANH46" s="16"/>
      <c r="ANI46" s="16"/>
      <c r="ANJ46" s="16"/>
      <c r="ANK46" s="16"/>
      <c r="ANL46" s="16"/>
      <c r="ANM46" s="16"/>
      <c r="ANN46" s="16"/>
      <c r="ANO46" s="16"/>
      <c r="ANP46" s="16"/>
      <c r="ANQ46" s="16"/>
      <c r="ANR46" s="16"/>
      <c r="ANS46" s="16"/>
      <c r="ANT46" s="16"/>
      <c r="ANU46" s="16"/>
      <c r="ANV46" s="16"/>
      <c r="ANW46" s="16"/>
      <c r="ANX46" s="16"/>
      <c r="ANY46" s="16"/>
      <c r="ANZ46" s="16"/>
      <c r="AOA46" s="16"/>
      <c r="AOB46" s="16"/>
      <c r="AOC46" s="16"/>
      <c r="AOD46" s="16"/>
      <c r="AOE46" s="16"/>
      <c r="AOF46" s="16"/>
      <c r="AOG46" s="16"/>
      <c r="AOH46" s="16"/>
      <c r="AOI46" s="16"/>
      <c r="AOJ46" s="16"/>
      <c r="AOK46" s="16"/>
      <c r="AOL46" s="16"/>
      <c r="AOM46" s="16"/>
      <c r="AON46" s="16"/>
      <c r="AOO46" s="16"/>
      <c r="AOP46" s="16"/>
      <c r="AOQ46" s="16"/>
      <c r="AOR46" s="16"/>
      <c r="AOS46" s="16"/>
      <c r="AOT46" s="16"/>
      <c r="AOU46" s="16"/>
      <c r="AOV46" s="16"/>
      <c r="AOW46" s="16"/>
      <c r="AOX46" s="16"/>
      <c r="AOY46" s="16"/>
      <c r="AOZ46" s="16"/>
      <c r="APA46" s="16"/>
      <c r="APB46" s="16"/>
      <c r="APC46" s="16"/>
      <c r="APD46" s="16"/>
      <c r="APE46" s="16"/>
      <c r="APF46" s="16"/>
      <c r="APG46" s="16"/>
      <c r="APH46" s="16"/>
      <c r="API46" s="16"/>
      <c r="APJ46" s="16"/>
      <c r="APK46" s="16"/>
      <c r="APL46" s="16"/>
      <c r="APM46" s="16"/>
      <c r="APN46" s="16"/>
      <c r="APO46" s="16"/>
      <c r="APP46" s="16"/>
      <c r="APQ46" s="16"/>
      <c r="APR46" s="16"/>
      <c r="APS46" s="16"/>
      <c r="APT46" s="16"/>
      <c r="APU46" s="16"/>
      <c r="APV46" s="16"/>
      <c r="APW46" s="16"/>
      <c r="APX46" s="16"/>
      <c r="APY46" s="16"/>
      <c r="APZ46" s="16"/>
      <c r="AQA46" s="16"/>
      <c r="AQB46" s="16"/>
      <c r="AQC46" s="16"/>
      <c r="AQD46" s="16"/>
      <c r="AQE46" s="16"/>
      <c r="AQF46" s="16"/>
      <c r="AQG46" s="16"/>
      <c r="AQH46" s="16"/>
      <c r="AQI46" s="16"/>
      <c r="AQJ46" s="16"/>
      <c r="AQK46" s="16"/>
      <c r="AQL46" s="16"/>
      <c r="AQM46" s="16"/>
      <c r="AQN46" s="16"/>
      <c r="AQO46" s="16"/>
      <c r="AQP46" s="16"/>
      <c r="AQQ46" s="16"/>
      <c r="AQR46" s="16"/>
      <c r="AQS46" s="16"/>
      <c r="AQT46" s="16"/>
      <c r="AQU46" s="16"/>
      <c r="AQV46" s="16"/>
      <c r="AQW46" s="16"/>
      <c r="AQX46" s="16"/>
      <c r="AQY46" s="16"/>
      <c r="AQZ46" s="16"/>
      <c r="ARA46" s="16"/>
      <c r="ARB46" s="16"/>
      <c r="ARC46" s="16"/>
      <c r="ARD46" s="16"/>
      <c r="ARE46" s="16"/>
      <c r="ARF46" s="16"/>
      <c r="ARG46" s="16"/>
      <c r="ARH46" s="16"/>
      <c r="ARI46" s="16"/>
      <c r="ARJ46" s="16"/>
      <c r="ARK46" s="16"/>
      <c r="ARL46" s="16"/>
      <c r="ARM46" s="16"/>
      <c r="ARN46" s="16"/>
      <c r="ARO46" s="16"/>
      <c r="ARP46" s="16"/>
      <c r="ARQ46" s="16"/>
      <c r="ARR46" s="16"/>
      <c r="ARS46" s="16"/>
      <c r="ART46" s="16"/>
      <c r="ARU46" s="16"/>
      <c r="ARV46" s="16"/>
      <c r="ARW46" s="16"/>
      <c r="ARX46" s="16"/>
      <c r="ARY46" s="16"/>
      <c r="ARZ46" s="16"/>
      <c r="ASA46" s="16"/>
      <c r="ASB46" s="16"/>
      <c r="ASC46" s="16"/>
      <c r="ASD46" s="16"/>
      <c r="ASE46" s="16"/>
      <c r="ASF46" s="16"/>
      <c r="ASG46" s="16"/>
      <c r="ASH46" s="16"/>
      <c r="ASI46" s="16"/>
      <c r="ASJ46" s="16"/>
      <c r="ASK46" s="16"/>
      <c r="ASL46" s="16"/>
      <c r="ASM46" s="16"/>
      <c r="ASN46" s="16"/>
      <c r="ASO46" s="16"/>
      <c r="ASP46" s="16"/>
      <c r="ASQ46" s="16"/>
      <c r="ASR46" s="16"/>
      <c r="ASS46" s="16"/>
      <c r="AST46" s="16"/>
      <c r="ASU46" s="16"/>
      <c r="ASV46" s="16"/>
      <c r="ASW46" s="16"/>
      <c r="ASX46" s="16"/>
      <c r="ASY46" s="16"/>
      <c r="ASZ46" s="16"/>
      <c r="ATA46" s="16"/>
      <c r="ATB46" s="16"/>
      <c r="ATC46" s="16"/>
      <c r="ATD46" s="16"/>
      <c r="ATE46" s="16"/>
      <c r="ATF46" s="16"/>
      <c r="ATG46" s="16"/>
      <c r="ATH46" s="16"/>
      <c r="ATI46" s="16"/>
      <c r="ATJ46" s="16"/>
      <c r="ATK46" s="16"/>
      <c r="ATL46" s="16"/>
      <c r="ATM46" s="16"/>
      <c r="ATN46" s="16"/>
      <c r="ATO46" s="16"/>
      <c r="ATP46" s="16"/>
      <c r="ATQ46" s="16"/>
      <c r="ATR46" s="16"/>
      <c r="ATS46" s="16"/>
      <c r="ATT46" s="16"/>
      <c r="ATU46" s="16"/>
      <c r="ATV46" s="16"/>
      <c r="ATW46" s="16"/>
      <c r="ATX46" s="16"/>
      <c r="ATY46" s="16"/>
      <c r="ATZ46" s="16"/>
      <c r="AUA46" s="16"/>
      <c r="AUB46" s="16"/>
      <c r="AUC46" s="16"/>
      <c r="AUD46" s="16"/>
      <c r="AUE46" s="16"/>
      <c r="AUF46" s="16"/>
      <c r="AUG46" s="16"/>
      <c r="AUH46" s="16"/>
      <c r="AUI46" s="16"/>
      <c r="AUJ46" s="16"/>
      <c r="AUK46" s="16"/>
      <c r="AUL46" s="16"/>
      <c r="AUM46" s="16"/>
      <c r="AUN46" s="16"/>
      <c r="AUO46" s="16"/>
      <c r="AUP46" s="16"/>
      <c r="AUQ46" s="16"/>
      <c r="AUR46" s="16"/>
      <c r="AUS46" s="16"/>
      <c r="AUT46" s="16"/>
      <c r="AUU46" s="16"/>
      <c r="AUV46" s="16"/>
      <c r="AUW46" s="16"/>
      <c r="AUX46" s="16"/>
      <c r="AUY46" s="16"/>
      <c r="AUZ46" s="16"/>
      <c r="AVA46" s="16"/>
      <c r="AVB46" s="16"/>
      <c r="AVC46" s="16"/>
      <c r="AVD46" s="16"/>
      <c r="AVE46" s="16"/>
      <c r="AVF46" s="16"/>
      <c r="AVG46" s="16"/>
      <c r="AVH46" s="16"/>
      <c r="AVI46" s="16"/>
      <c r="AVJ46" s="16"/>
      <c r="AVK46" s="16"/>
      <c r="AVL46" s="16"/>
      <c r="AVM46" s="16"/>
      <c r="AVN46" s="16"/>
      <c r="AVO46" s="16"/>
      <c r="AVP46" s="16"/>
      <c r="AVQ46" s="16"/>
      <c r="AVR46" s="16"/>
      <c r="AVS46" s="16"/>
      <c r="AVT46" s="16"/>
      <c r="AVU46" s="16"/>
      <c r="AVV46" s="16"/>
      <c r="AVW46" s="16"/>
      <c r="AVX46" s="16"/>
      <c r="AVY46" s="16"/>
      <c r="AVZ46" s="16"/>
      <c r="AWA46" s="16"/>
      <c r="AWB46" s="16"/>
      <c r="AWC46" s="16"/>
      <c r="AWD46" s="16"/>
      <c r="AWE46" s="16"/>
      <c r="AWF46" s="16"/>
      <c r="AWG46" s="16"/>
      <c r="AWH46" s="16"/>
      <c r="AWI46" s="16"/>
      <c r="AWJ46" s="16"/>
      <c r="AWK46" s="16"/>
      <c r="AWL46" s="16"/>
      <c r="AWM46" s="16"/>
      <c r="AWN46" s="16"/>
      <c r="AWO46" s="16"/>
      <c r="AWP46" s="16"/>
      <c r="AWQ46" s="16"/>
      <c r="AWR46" s="16"/>
      <c r="AWS46" s="16"/>
      <c r="AWT46" s="16"/>
      <c r="AWU46" s="16"/>
      <c r="AWV46" s="16"/>
      <c r="AWW46" s="16"/>
      <c r="AWX46" s="16"/>
      <c r="AWY46" s="16"/>
      <c r="AWZ46" s="16"/>
      <c r="AXA46" s="16"/>
      <c r="AXB46" s="16"/>
      <c r="AXC46" s="16"/>
      <c r="AXD46" s="16"/>
      <c r="AXE46" s="16"/>
      <c r="AXF46" s="16"/>
      <c r="AXG46" s="16"/>
      <c r="AXH46" s="16"/>
      <c r="AXI46" s="16"/>
      <c r="AXJ46" s="16"/>
      <c r="AXK46" s="16"/>
      <c r="AXL46" s="16"/>
      <c r="AXM46" s="16"/>
      <c r="AXN46" s="16"/>
      <c r="AXO46" s="16"/>
      <c r="AXP46" s="16"/>
      <c r="AXQ46" s="16"/>
      <c r="AXR46" s="16"/>
      <c r="AXS46" s="16"/>
      <c r="AXT46" s="16"/>
      <c r="AXU46" s="16"/>
      <c r="AXV46" s="16"/>
      <c r="AXW46" s="16"/>
      <c r="AXX46" s="16"/>
      <c r="AXY46" s="16"/>
      <c r="AXZ46" s="16"/>
      <c r="AYA46" s="16"/>
      <c r="AYB46" s="16"/>
      <c r="AYC46" s="16"/>
      <c r="AYD46" s="16"/>
      <c r="AYE46" s="16"/>
      <c r="AYF46" s="16"/>
      <c r="AYG46" s="16"/>
      <c r="AYH46" s="16"/>
      <c r="AYI46" s="16"/>
      <c r="AYJ46" s="16"/>
      <c r="AYK46" s="16"/>
      <c r="AYL46" s="16"/>
      <c r="AYM46" s="16"/>
      <c r="AYN46" s="16"/>
      <c r="AYO46" s="16"/>
      <c r="AYP46" s="16"/>
      <c r="AYQ46" s="16"/>
      <c r="AYR46" s="16"/>
      <c r="AYS46" s="16"/>
      <c r="AYT46" s="16"/>
      <c r="AYU46" s="16"/>
      <c r="AYV46" s="16"/>
      <c r="AYW46" s="16"/>
      <c r="AYX46" s="16"/>
      <c r="AYY46" s="16"/>
      <c r="AYZ46" s="16"/>
      <c r="AZA46" s="16"/>
      <c r="AZB46" s="16"/>
      <c r="AZC46" s="16"/>
      <c r="AZD46" s="16"/>
      <c r="AZE46" s="16"/>
      <c r="AZF46" s="16"/>
      <c r="AZG46" s="16"/>
      <c r="AZH46" s="16"/>
      <c r="AZI46" s="16"/>
      <c r="AZJ46" s="16"/>
      <c r="AZK46" s="16"/>
      <c r="AZL46" s="16"/>
      <c r="AZM46" s="16"/>
      <c r="AZN46" s="16"/>
      <c r="AZO46" s="16"/>
      <c r="AZP46" s="16"/>
      <c r="AZQ46" s="16"/>
      <c r="AZR46" s="16"/>
      <c r="AZS46" s="16"/>
      <c r="AZT46" s="16"/>
      <c r="AZU46" s="16"/>
      <c r="AZV46" s="16"/>
      <c r="AZW46" s="16"/>
      <c r="AZX46" s="16"/>
      <c r="AZY46" s="16"/>
      <c r="AZZ46" s="16"/>
      <c r="BAA46" s="16"/>
      <c r="BAB46" s="16"/>
      <c r="BAC46" s="16"/>
      <c r="BAD46" s="16"/>
      <c r="BAE46" s="16"/>
      <c r="BAF46" s="16"/>
      <c r="BAG46" s="16"/>
      <c r="BAH46" s="16"/>
      <c r="BAI46" s="16"/>
      <c r="BAJ46" s="16"/>
      <c r="BAK46" s="16"/>
      <c r="BAL46" s="16"/>
      <c r="BAM46" s="16"/>
      <c r="BAN46" s="16"/>
      <c r="BAO46" s="16"/>
      <c r="BAP46" s="16"/>
      <c r="BAQ46" s="16"/>
      <c r="BAR46" s="16"/>
      <c r="BAS46" s="16"/>
      <c r="BAT46" s="16"/>
      <c r="BAU46" s="16"/>
      <c r="BAV46" s="16"/>
      <c r="BAW46" s="16"/>
      <c r="BAX46" s="16"/>
      <c r="BAY46" s="16"/>
      <c r="BAZ46" s="16"/>
      <c r="BBA46" s="16"/>
      <c r="BBB46" s="16"/>
      <c r="BBC46" s="16"/>
      <c r="BBD46" s="16"/>
      <c r="BBE46" s="16"/>
      <c r="BBF46" s="16"/>
      <c r="BBG46" s="16"/>
      <c r="BBH46" s="16"/>
      <c r="BBI46" s="16"/>
      <c r="BBJ46" s="16"/>
      <c r="BBK46" s="16"/>
      <c r="BBL46" s="16"/>
      <c r="BBM46" s="16"/>
      <c r="BBN46" s="16"/>
      <c r="BBO46" s="16"/>
      <c r="BBP46" s="16"/>
      <c r="BBQ46" s="16"/>
      <c r="BBR46" s="16"/>
      <c r="BBS46" s="16"/>
      <c r="BBT46" s="16"/>
      <c r="BBU46" s="16"/>
      <c r="BBV46" s="16"/>
      <c r="BBW46" s="16"/>
      <c r="BBX46" s="16"/>
      <c r="BBY46" s="16"/>
      <c r="BBZ46" s="16"/>
      <c r="BCA46" s="16"/>
      <c r="BCB46" s="16"/>
      <c r="BCC46" s="16"/>
      <c r="BCD46" s="16"/>
      <c r="BCE46" s="16"/>
      <c r="BCF46" s="16"/>
      <c r="BCG46" s="16"/>
      <c r="BCH46" s="16"/>
      <c r="BCI46" s="16"/>
      <c r="BCJ46" s="16"/>
      <c r="BCK46" s="16"/>
      <c r="BCL46" s="16"/>
      <c r="BCM46" s="16"/>
      <c r="BCN46" s="16"/>
      <c r="BCO46" s="16"/>
      <c r="BCP46" s="16"/>
      <c r="BCQ46" s="16"/>
      <c r="BCR46" s="16"/>
      <c r="BCS46" s="16"/>
      <c r="BCT46" s="16"/>
      <c r="BCU46" s="16"/>
      <c r="BCV46" s="16"/>
      <c r="BCW46" s="16"/>
      <c r="BCX46" s="16"/>
      <c r="BCY46" s="16"/>
      <c r="BCZ46" s="16"/>
      <c r="BDA46" s="16"/>
      <c r="BDB46" s="16"/>
      <c r="BDC46" s="16"/>
      <c r="BDD46" s="16"/>
      <c r="BDE46" s="16"/>
      <c r="BDF46" s="16"/>
      <c r="BDG46" s="16"/>
      <c r="BDH46" s="16"/>
      <c r="BDI46" s="16"/>
      <c r="BDJ46" s="16"/>
      <c r="BDK46" s="16"/>
      <c r="BDL46" s="16"/>
      <c r="BDM46" s="16"/>
      <c r="BDN46" s="16"/>
      <c r="BDO46" s="16"/>
      <c r="BDP46" s="16"/>
      <c r="BDQ46" s="16"/>
      <c r="BDR46" s="16"/>
      <c r="BDS46" s="16"/>
      <c r="BDT46" s="16"/>
      <c r="BDU46" s="16"/>
      <c r="BDV46" s="16"/>
      <c r="BDW46" s="16"/>
      <c r="BDX46" s="16"/>
      <c r="BDY46" s="16"/>
      <c r="BDZ46" s="16"/>
      <c r="BEA46" s="16"/>
      <c r="BEB46" s="16"/>
      <c r="BEC46" s="16"/>
      <c r="BED46" s="16"/>
      <c r="BEE46" s="16"/>
      <c r="BEF46" s="16"/>
      <c r="BEG46" s="16"/>
      <c r="BEH46" s="16"/>
      <c r="BEI46" s="16"/>
      <c r="BEJ46" s="16"/>
      <c r="BEK46" s="16"/>
      <c r="BEL46" s="16"/>
      <c r="BEM46" s="16"/>
      <c r="BEN46" s="16"/>
      <c r="BEO46" s="16"/>
      <c r="BEP46" s="16"/>
      <c r="BEQ46" s="16"/>
      <c r="BER46" s="16"/>
      <c r="BES46" s="16"/>
      <c r="BET46" s="16"/>
      <c r="BEU46" s="16"/>
      <c r="BEV46" s="16"/>
      <c r="BEW46" s="16"/>
      <c r="BEX46" s="16"/>
      <c r="BEY46" s="16"/>
      <c r="BEZ46" s="16"/>
      <c r="BFA46" s="16"/>
      <c r="BFB46" s="16"/>
      <c r="BFC46" s="16"/>
      <c r="BFD46" s="16"/>
      <c r="BFE46" s="16"/>
      <c r="BFF46" s="16"/>
      <c r="BFG46" s="16"/>
      <c r="BFH46" s="16"/>
      <c r="BFI46" s="16"/>
      <c r="BFJ46" s="16"/>
      <c r="BFK46" s="16"/>
      <c r="BFL46" s="16"/>
      <c r="BFM46" s="16"/>
      <c r="BFN46" s="16"/>
      <c r="BFO46" s="16"/>
      <c r="BFP46" s="16"/>
      <c r="BFQ46" s="16"/>
      <c r="BFR46" s="16"/>
      <c r="BFS46" s="16"/>
      <c r="BFT46" s="16"/>
      <c r="BFU46" s="16"/>
      <c r="BFV46" s="16"/>
      <c r="BFW46" s="16"/>
      <c r="BFX46" s="16"/>
      <c r="BFY46" s="16"/>
      <c r="BFZ46" s="16"/>
      <c r="BGA46" s="16"/>
      <c r="BGB46" s="16"/>
      <c r="BGC46" s="16"/>
      <c r="BGD46" s="16"/>
      <c r="BGE46" s="16"/>
      <c r="BGF46" s="16"/>
      <c r="BGG46" s="16"/>
      <c r="BGH46" s="16"/>
      <c r="BGI46" s="16"/>
      <c r="BGJ46" s="16"/>
      <c r="BGK46" s="16"/>
      <c r="BGL46" s="16"/>
      <c r="BGM46" s="16"/>
      <c r="BGN46" s="16"/>
      <c r="BGO46" s="16"/>
      <c r="BGP46" s="16"/>
      <c r="BGQ46" s="16"/>
      <c r="BGR46" s="16"/>
      <c r="BGS46" s="16"/>
      <c r="BGT46" s="16"/>
      <c r="BGU46" s="16"/>
      <c r="BGV46" s="16"/>
      <c r="BGW46" s="16"/>
      <c r="BGX46" s="16"/>
      <c r="BGY46" s="16"/>
      <c r="BGZ46" s="16"/>
      <c r="BHA46" s="16"/>
      <c r="BHB46" s="16"/>
      <c r="BHC46" s="16"/>
      <c r="BHD46" s="16"/>
      <c r="BHE46" s="16"/>
      <c r="BHF46" s="16"/>
      <c r="BHG46" s="16"/>
      <c r="BHH46" s="16"/>
      <c r="BHI46" s="16"/>
      <c r="BHJ46" s="16"/>
      <c r="BHK46" s="16"/>
      <c r="BHL46" s="16"/>
      <c r="BHM46" s="16"/>
      <c r="BHN46" s="16"/>
      <c r="BHO46" s="16"/>
      <c r="BHP46" s="16"/>
      <c r="BHQ46" s="16"/>
      <c r="BHR46" s="16"/>
      <c r="BHS46" s="16"/>
      <c r="BHT46" s="16"/>
      <c r="BHU46" s="16"/>
      <c r="BHV46" s="16"/>
      <c r="BHW46" s="16"/>
      <c r="BHX46" s="16"/>
      <c r="BHY46" s="16"/>
      <c r="BHZ46" s="16"/>
      <c r="BIA46" s="16"/>
      <c r="BIB46" s="16"/>
      <c r="BIC46" s="16"/>
      <c r="BID46" s="16"/>
      <c r="BIE46" s="16"/>
      <c r="BIF46" s="16"/>
      <c r="BIG46" s="16"/>
      <c r="BIH46" s="16"/>
      <c r="BII46" s="16"/>
      <c r="BIJ46" s="16"/>
      <c r="BIK46" s="16"/>
      <c r="BIL46" s="16"/>
      <c r="BIM46" s="16"/>
      <c r="BIN46" s="16"/>
      <c r="BIO46" s="16"/>
      <c r="BIP46" s="16"/>
      <c r="BIQ46" s="16"/>
      <c r="BIR46" s="16"/>
      <c r="BIS46" s="16"/>
      <c r="BIT46" s="16"/>
      <c r="BIU46" s="16"/>
      <c r="BIV46" s="16"/>
      <c r="BIW46" s="16"/>
      <c r="BIX46" s="16"/>
      <c r="BIY46" s="16"/>
      <c r="BIZ46" s="16"/>
      <c r="BJA46" s="16"/>
      <c r="BJB46" s="16"/>
      <c r="BJC46" s="16"/>
      <c r="BJD46" s="16"/>
      <c r="BJE46" s="16"/>
      <c r="BJF46" s="16"/>
      <c r="BJG46" s="16"/>
      <c r="BJH46" s="16"/>
      <c r="BJI46" s="16"/>
      <c r="BJJ46" s="16"/>
      <c r="BJK46" s="16"/>
      <c r="BJL46" s="16"/>
      <c r="BJM46" s="16"/>
      <c r="BJN46" s="16"/>
      <c r="BJO46" s="16"/>
      <c r="BJP46" s="16"/>
      <c r="BJQ46" s="16"/>
      <c r="BJR46" s="16"/>
      <c r="BJS46" s="16"/>
      <c r="BJT46" s="16"/>
      <c r="BJU46" s="16"/>
      <c r="BJV46" s="16"/>
      <c r="BJW46" s="16"/>
      <c r="BJX46" s="16"/>
      <c r="BJY46" s="16"/>
      <c r="BJZ46" s="16"/>
      <c r="BKA46" s="16"/>
      <c r="BKB46" s="16"/>
      <c r="BKC46" s="16"/>
      <c r="BKD46" s="16"/>
      <c r="BKE46" s="16"/>
      <c r="BKF46" s="16"/>
      <c r="BKG46" s="16"/>
      <c r="BKH46" s="16"/>
      <c r="BKI46" s="16"/>
      <c r="BKJ46" s="16"/>
      <c r="BKK46" s="16"/>
      <c r="BKL46" s="16"/>
      <c r="BKM46" s="16"/>
      <c r="BKN46" s="16"/>
      <c r="BKO46" s="16"/>
      <c r="BKP46" s="16"/>
      <c r="BKQ46" s="16"/>
      <c r="BKR46" s="16"/>
      <c r="BKS46" s="16"/>
      <c r="BKT46" s="16"/>
      <c r="BKU46" s="16"/>
      <c r="BKV46" s="16"/>
      <c r="BKW46" s="16"/>
      <c r="BKX46" s="16"/>
      <c r="BKY46" s="16"/>
      <c r="BKZ46" s="16"/>
      <c r="BLA46" s="16"/>
      <c r="BLB46" s="16"/>
      <c r="BLC46" s="16"/>
      <c r="BLD46" s="16"/>
      <c r="BLE46" s="16"/>
      <c r="BLF46" s="16"/>
      <c r="BLG46" s="16"/>
      <c r="BLH46" s="16"/>
      <c r="BLI46" s="16"/>
      <c r="BLJ46" s="16"/>
      <c r="BLK46" s="16"/>
      <c r="BLL46" s="16"/>
      <c r="BLM46" s="16"/>
      <c r="BLN46" s="16"/>
      <c r="BLO46" s="16"/>
      <c r="BLP46" s="16"/>
      <c r="BLQ46" s="16"/>
      <c r="BLR46" s="16"/>
      <c r="BLS46" s="16"/>
      <c r="BLT46" s="16"/>
      <c r="BLU46" s="16"/>
      <c r="BLV46" s="16"/>
      <c r="BLW46" s="16"/>
      <c r="BLX46" s="16"/>
      <c r="BLY46" s="16"/>
      <c r="BLZ46" s="16"/>
      <c r="BMA46" s="16"/>
      <c r="BMB46" s="16"/>
      <c r="BMC46" s="16"/>
      <c r="BMD46" s="16"/>
      <c r="BME46" s="16"/>
      <c r="BMF46" s="16"/>
      <c r="BMG46" s="16"/>
      <c r="BMH46" s="16"/>
      <c r="BMI46" s="16"/>
      <c r="BMJ46" s="16"/>
      <c r="BMK46" s="16"/>
      <c r="BML46" s="16"/>
      <c r="BMM46" s="16"/>
      <c r="BMN46" s="16"/>
      <c r="BMO46" s="16"/>
      <c r="BMP46" s="16"/>
      <c r="BMQ46" s="16"/>
      <c r="BMR46" s="16"/>
      <c r="BMS46" s="16"/>
      <c r="BMT46" s="16"/>
      <c r="BMU46" s="16"/>
      <c r="BMV46" s="16"/>
      <c r="BMW46" s="16"/>
      <c r="BMX46" s="16"/>
      <c r="BMY46" s="16"/>
      <c r="BMZ46" s="16"/>
      <c r="BNA46" s="16"/>
      <c r="BNB46" s="16"/>
      <c r="BNC46" s="16"/>
      <c r="BND46" s="16"/>
      <c r="BNE46" s="16"/>
      <c r="BNF46" s="16"/>
      <c r="BNG46" s="16"/>
      <c r="BNH46" s="16"/>
      <c r="BNI46" s="16"/>
      <c r="BNJ46" s="16"/>
      <c r="BNK46" s="16"/>
      <c r="BNL46" s="16"/>
      <c r="BNM46" s="16"/>
      <c r="BNN46" s="16"/>
      <c r="BNO46" s="16"/>
      <c r="BNP46" s="16"/>
      <c r="BNQ46" s="16"/>
      <c r="BNR46" s="16"/>
      <c r="BNS46" s="16"/>
      <c r="BNT46" s="16"/>
      <c r="BNU46" s="16"/>
      <c r="BNV46" s="16"/>
      <c r="BNW46" s="16"/>
      <c r="BNX46" s="16"/>
      <c r="BNY46" s="16"/>
      <c r="BNZ46" s="16"/>
      <c r="BOA46" s="16"/>
      <c r="BOB46" s="16"/>
      <c r="BOC46" s="16"/>
      <c r="BOD46" s="16"/>
      <c r="BOE46" s="16"/>
      <c r="BOF46" s="16"/>
      <c r="BOG46" s="16"/>
      <c r="BOH46" s="16"/>
      <c r="BOI46" s="16"/>
      <c r="BOJ46" s="16"/>
      <c r="BOK46" s="16"/>
      <c r="BOL46" s="16"/>
      <c r="BOM46" s="16"/>
      <c r="BON46" s="16"/>
      <c r="BOO46" s="16"/>
      <c r="BOP46" s="16"/>
      <c r="BOQ46" s="16"/>
      <c r="BOR46" s="16"/>
      <c r="BOS46" s="16"/>
      <c r="BOT46" s="16"/>
      <c r="BOU46" s="16"/>
      <c r="BOV46" s="16"/>
      <c r="BOW46" s="16"/>
      <c r="BOX46" s="16"/>
      <c r="BOY46" s="16"/>
      <c r="BOZ46" s="16"/>
      <c r="BPA46" s="16"/>
      <c r="BPB46" s="16"/>
      <c r="BPC46" s="16"/>
      <c r="BPD46" s="16"/>
      <c r="BPE46" s="16"/>
      <c r="BPF46" s="16"/>
      <c r="BPG46" s="16"/>
      <c r="BPH46" s="16"/>
      <c r="BPI46" s="16"/>
      <c r="BPJ46" s="16"/>
      <c r="BPK46" s="16"/>
      <c r="BPL46" s="16"/>
      <c r="BPM46" s="16"/>
      <c r="BPN46" s="16"/>
      <c r="BPO46" s="16"/>
      <c r="BPP46" s="16"/>
      <c r="BPQ46" s="16"/>
      <c r="BPR46" s="16"/>
      <c r="BPS46" s="16"/>
      <c r="BPT46" s="16"/>
      <c r="BPU46" s="16"/>
      <c r="BPV46" s="16"/>
      <c r="BPW46" s="16"/>
      <c r="BPX46" s="16"/>
      <c r="BPY46" s="16"/>
      <c r="BPZ46" s="16"/>
      <c r="BQA46" s="16"/>
      <c r="BQB46" s="16"/>
      <c r="BQC46" s="16"/>
      <c r="BQD46" s="16"/>
      <c r="BQE46" s="16"/>
      <c r="BQF46" s="16"/>
      <c r="BQG46" s="16"/>
      <c r="BQH46" s="16"/>
      <c r="BQI46" s="16"/>
      <c r="BQJ46" s="16"/>
      <c r="BQK46" s="16"/>
      <c r="BQL46" s="16"/>
      <c r="BQM46" s="16"/>
      <c r="BQN46" s="16"/>
      <c r="BQO46" s="16"/>
      <c r="BQP46" s="16"/>
      <c r="BQQ46" s="16"/>
      <c r="BQR46" s="16"/>
      <c r="BQS46" s="16"/>
      <c r="BQT46" s="16"/>
      <c r="BQU46" s="16"/>
      <c r="BQV46" s="16"/>
      <c r="BQW46" s="16"/>
      <c r="BQX46" s="16"/>
      <c r="BQY46" s="16"/>
      <c r="BQZ46" s="16"/>
      <c r="BRA46" s="16"/>
      <c r="BRB46" s="16"/>
      <c r="BRC46" s="16"/>
      <c r="BRD46" s="16"/>
      <c r="BRE46" s="16"/>
      <c r="BRF46" s="16"/>
      <c r="BRG46" s="16"/>
      <c r="BRH46" s="16"/>
      <c r="BRI46" s="16"/>
      <c r="BRJ46" s="16"/>
      <c r="BRK46" s="16"/>
      <c r="BRL46" s="16"/>
      <c r="BRM46" s="16"/>
      <c r="BRN46" s="16"/>
      <c r="BRO46" s="16"/>
      <c r="BRP46" s="16"/>
      <c r="BRQ46" s="16"/>
      <c r="BRR46" s="16"/>
      <c r="BRS46" s="16"/>
      <c r="BRT46" s="16"/>
      <c r="BRU46" s="16"/>
      <c r="BRV46" s="16"/>
      <c r="BRW46" s="16"/>
      <c r="BRX46" s="16"/>
      <c r="BRY46" s="16"/>
      <c r="BRZ46" s="16"/>
      <c r="BSA46" s="16"/>
      <c r="BSB46" s="16"/>
      <c r="BSC46" s="16"/>
      <c r="BSD46" s="16"/>
      <c r="BSE46" s="16"/>
      <c r="BSF46" s="16"/>
      <c r="BSG46" s="16"/>
      <c r="BSH46" s="16"/>
      <c r="BSI46" s="16"/>
      <c r="BSJ46" s="16"/>
      <c r="BSK46" s="16"/>
      <c r="BSL46" s="16"/>
      <c r="BSM46" s="16"/>
      <c r="BSN46" s="16"/>
      <c r="BSO46" s="16"/>
      <c r="BSP46" s="16"/>
      <c r="BSQ46" s="16"/>
      <c r="BSR46" s="16"/>
      <c r="BSS46" s="16"/>
      <c r="BST46" s="16"/>
      <c r="BSU46" s="16"/>
      <c r="BSV46" s="16"/>
      <c r="BSW46" s="16"/>
      <c r="BSX46" s="16"/>
      <c r="BSY46" s="16"/>
      <c r="BSZ46" s="16"/>
      <c r="BTA46" s="16"/>
      <c r="BTB46" s="16"/>
      <c r="BTC46" s="16"/>
      <c r="BTD46" s="16"/>
      <c r="BTE46" s="16"/>
      <c r="BTF46" s="16"/>
      <c r="BTG46" s="16"/>
      <c r="BTH46" s="16"/>
      <c r="BTI46" s="16"/>
      <c r="BTJ46" s="16"/>
      <c r="BTK46" s="16"/>
      <c r="BTL46" s="16"/>
      <c r="BTM46" s="16"/>
      <c r="BTN46" s="16"/>
      <c r="BTO46" s="16"/>
      <c r="BTP46" s="16"/>
      <c r="BTQ46" s="16"/>
      <c r="BTR46" s="16"/>
      <c r="BTS46" s="16"/>
      <c r="BTT46" s="16"/>
      <c r="BTU46" s="16"/>
      <c r="BTV46" s="16"/>
      <c r="BTW46" s="16"/>
      <c r="BTX46" s="16"/>
      <c r="BTY46" s="16"/>
      <c r="BTZ46" s="16"/>
      <c r="BUA46" s="16"/>
      <c r="BUB46" s="16"/>
      <c r="BUC46" s="16"/>
      <c r="BUD46" s="16"/>
      <c r="BUE46" s="16"/>
      <c r="BUF46" s="16"/>
      <c r="BUG46" s="16"/>
      <c r="BUH46" s="16"/>
      <c r="BUI46" s="16"/>
      <c r="BUJ46" s="16"/>
      <c r="BUK46" s="16"/>
      <c r="BUL46" s="16"/>
      <c r="BUM46" s="16"/>
      <c r="BUN46" s="16"/>
      <c r="BUO46" s="16"/>
      <c r="BUP46" s="16"/>
      <c r="BUQ46" s="16"/>
      <c r="BUR46" s="16"/>
      <c r="BUS46" s="16"/>
      <c r="BUT46" s="16"/>
      <c r="BUU46" s="16"/>
      <c r="BUV46" s="16"/>
      <c r="BUW46" s="16"/>
      <c r="BUX46" s="16"/>
      <c r="BUY46" s="16"/>
      <c r="BUZ46" s="16"/>
      <c r="BVA46" s="16"/>
      <c r="BVB46" s="16"/>
      <c r="BVC46" s="16"/>
      <c r="BVD46" s="16"/>
      <c r="BVE46" s="16"/>
      <c r="BVF46" s="16"/>
      <c r="BVG46" s="16"/>
      <c r="BVH46" s="16"/>
      <c r="BVI46" s="16"/>
      <c r="BVJ46" s="16"/>
      <c r="BVK46" s="16"/>
      <c r="BVL46" s="16"/>
      <c r="BVM46" s="16"/>
      <c r="BVN46" s="16"/>
      <c r="BVO46" s="16"/>
      <c r="BVP46" s="16"/>
      <c r="BVQ46" s="16"/>
      <c r="BVR46" s="16"/>
      <c r="BVS46" s="16"/>
      <c r="BVT46" s="16"/>
      <c r="BVU46" s="16"/>
      <c r="BVV46" s="16"/>
      <c r="BVW46" s="16"/>
      <c r="BVX46" s="16"/>
      <c r="BVY46" s="16"/>
      <c r="BVZ46" s="16"/>
      <c r="BWA46" s="16"/>
      <c r="BWB46" s="16"/>
      <c r="BWC46" s="16"/>
      <c r="BWD46" s="16"/>
      <c r="BWE46" s="16"/>
      <c r="BWF46" s="16"/>
      <c r="BWG46" s="16"/>
      <c r="BWH46" s="16"/>
      <c r="BWI46" s="16"/>
      <c r="BWJ46" s="16"/>
      <c r="BWK46" s="16"/>
      <c r="BWL46" s="16"/>
      <c r="BWM46" s="16"/>
      <c r="BWN46" s="16"/>
      <c r="BWO46" s="16"/>
      <c r="BWP46" s="16"/>
      <c r="BWQ46" s="16"/>
      <c r="BWR46" s="16"/>
      <c r="BWS46" s="16"/>
      <c r="BWT46" s="16"/>
      <c r="BWU46" s="16"/>
      <c r="BWV46" s="16"/>
      <c r="BWW46" s="16"/>
      <c r="BWX46" s="16"/>
      <c r="BWY46" s="16"/>
      <c r="BWZ46" s="16"/>
      <c r="BXA46" s="16"/>
      <c r="BXB46" s="16"/>
      <c r="BXC46" s="16"/>
      <c r="BXD46" s="16"/>
      <c r="BXE46" s="16"/>
      <c r="BXF46" s="16"/>
      <c r="BXG46" s="16"/>
      <c r="BXH46" s="16"/>
      <c r="BXI46" s="16"/>
      <c r="BXJ46" s="16"/>
      <c r="BXK46" s="16"/>
      <c r="BXL46" s="16"/>
      <c r="BXM46" s="16"/>
      <c r="BXN46" s="16"/>
      <c r="BXO46" s="16"/>
      <c r="BXP46" s="16"/>
      <c r="BXQ46" s="16"/>
      <c r="BXR46" s="16"/>
      <c r="BXS46" s="16"/>
      <c r="BXT46" s="16"/>
      <c r="BXU46" s="16"/>
      <c r="BXV46" s="16"/>
      <c r="BXW46" s="16"/>
      <c r="BXX46" s="16"/>
      <c r="BXY46" s="16"/>
      <c r="BXZ46" s="16"/>
      <c r="BYA46" s="16"/>
      <c r="BYB46" s="16"/>
      <c r="BYC46" s="16"/>
      <c r="BYD46" s="16"/>
      <c r="BYE46" s="16"/>
      <c r="BYF46" s="16"/>
      <c r="BYG46" s="16"/>
      <c r="BYH46" s="16"/>
      <c r="BYI46" s="16"/>
      <c r="BYJ46" s="16"/>
      <c r="BYK46" s="16"/>
      <c r="BYL46" s="16"/>
      <c r="BYM46" s="16"/>
      <c r="BYN46" s="16"/>
      <c r="BYO46" s="16"/>
      <c r="BYP46" s="16"/>
      <c r="BYQ46" s="16"/>
      <c r="BYR46" s="16"/>
      <c r="BYS46" s="16"/>
      <c r="BYT46" s="16"/>
      <c r="BYU46" s="16"/>
      <c r="BYV46" s="16"/>
      <c r="BYW46" s="16"/>
      <c r="BYX46" s="16"/>
      <c r="BYY46" s="16"/>
      <c r="BYZ46" s="16"/>
      <c r="BZA46" s="16"/>
      <c r="BZB46" s="16"/>
      <c r="BZC46" s="16"/>
      <c r="BZD46" s="16"/>
      <c r="BZE46" s="16"/>
      <c r="BZF46" s="16"/>
      <c r="BZG46" s="16"/>
      <c r="BZH46" s="16"/>
      <c r="BZI46" s="16"/>
      <c r="BZJ46" s="16"/>
      <c r="BZK46" s="16"/>
      <c r="BZL46" s="16"/>
      <c r="BZM46" s="16"/>
      <c r="BZN46" s="16"/>
      <c r="BZO46" s="16"/>
      <c r="BZP46" s="16"/>
      <c r="BZQ46" s="16"/>
      <c r="BZR46" s="16"/>
      <c r="BZS46" s="16"/>
      <c r="BZT46" s="16"/>
      <c r="BZU46" s="16"/>
      <c r="BZV46" s="16"/>
      <c r="BZW46" s="16"/>
      <c r="BZX46" s="16"/>
      <c r="BZY46" s="16"/>
      <c r="BZZ46" s="16"/>
      <c r="CAA46" s="16"/>
      <c r="CAB46" s="16"/>
      <c r="CAC46" s="16"/>
      <c r="CAD46" s="16"/>
      <c r="CAE46" s="16"/>
      <c r="CAF46" s="16"/>
      <c r="CAG46" s="16"/>
      <c r="CAH46" s="16"/>
      <c r="CAI46" s="16"/>
      <c r="CAJ46" s="16"/>
      <c r="CAK46" s="16"/>
      <c r="CAL46" s="16"/>
      <c r="CAM46" s="16"/>
      <c r="CAN46" s="16"/>
      <c r="CAO46" s="16"/>
      <c r="CAP46" s="16"/>
      <c r="CAQ46" s="16"/>
      <c r="CAR46" s="16"/>
      <c r="CAS46" s="16"/>
      <c r="CAT46" s="16"/>
      <c r="CAU46" s="16"/>
      <c r="CAV46" s="16"/>
      <c r="CAW46" s="16"/>
      <c r="CAX46" s="16"/>
      <c r="CAY46" s="16"/>
      <c r="CAZ46" s="16"/>
      <c r="CBA46" s="16"/>
      <c r="CBB46" s="16"/>
      <c r="CBC46" s="16"/>
      <c r="CBD46" s="16"/>
      <c r="CBE46" s="16"/>
      <c r="CBF46" s="16"/>
      <c r="CBG46" s="16"/>
      <c r="CBH46" s="16"/>
      <c r="CBI46" s="16"/>
      <c r="CBJ46" s="16"/>
      <c r="CBK46" s="16"/>
      <c r="CBL46" s="16"/>
      <c r="CBM46" s="16"/>
      <c r="CBN46" s="16"/>
      <c r="CBO46" s="16"/>
      <c r="CBP46" s="16"/>
      <c r="CBQ46" s="16"/>
      <c r="CBR46" s="16"/>
      <c r="CBS46" s="16"/>
      <c r="CBT46" s="16"/>
      <c r="CBU46" s="16"/>
      <c r="CBV46" s="16"/>
      <c r="CBW46" s="16"/>
      <c r="CBX46" s="16"/>
      <c r="CBY46" s="16"/>
      <c r="CBZ46" s="16"/>
      <c r="CCA46" s="16"/>
      <c r="CCB46" s="16"/>
      <c r="CCC46" s="16"/>
      <c r="CCD46" s="16"/>
      <c r="CCE46" s="16"/>
      <c r="CCF46" s="16"/>
      <c r="CCG46" s="16"/>
      <c r="CCH46" s="16"/>
      <c r="CCI46" s="16"/>
      <c r="CCJ46" s="16"/>
      <c r="CCK46" s="16"/>
      <c r="CCL46" s="16"/>
      <c r="CCM46" s="16"/>
      <c r="CCN46" s="16"/>
      <c r="CCO46" s="16"/>
      <c r="CCP46" s="16"/>
      <c r="CCQ46" s="16"/>
      <c r="CCR46" s="16"/>
      <c r="CCS46" s="16"/>
      <c r="CCT46" s="16"/>
      <c r="CCU46" s="16"/>
      <c r="CCV46" s="16"/>
      <c r="CCW46" s="16"/>
      <c r="CCX46" s="16"/>
      <c r="CCY46" s="16"/>
      <c r="CCZ46" s="16"/>
      <c r="CDA46" s="16"/>
      <c r="CDB46" s="16"/>
      <c r="CDC46" s="16"/>
      <c r="CDD46" s="16"/>
      <c r="CDE46" s="16"/>
      <c r="CDF46" s="16"/>
      <c r="CDG46" s="16"/>
      <c r="CDH46" s="16"/>
      <c r="CDI46" s="16"/>
      <c r="CDJ46" s="16"/>
      <c r="CDK46" s="16"/>
      <c r="CDL46" s="16"/>
      <c r="CDM46" s="16"/>
      <c r="CDN46" s="16"/>
      <c r="CDO46" s="16"/>
      <c r="CDP46" s="16"/>
      <c r="CDQ46" s="16"/>
      <c r="CDR46" s="16"/>
      <c r="CDS46" s="16"/>
      <c r="CDT46" s="16"/>
      <c r="CDU46" s="16"/>
      <c r="CDV46" s="16"/>
      <c r="CDW46" s="16"/>
      <c r="CDX46" s="16"/>
      <c r="CDY46" s="16"/>
      <c r="CDZ46" s="16"/>
      <c r="CEA46" s="16"/>
      <c r="CEB46" s="16"/>
      <c r="CEC46" s="16"/>
      <c r="CED46" s="16"/>
      <c r="CEE46" s="16"/>
      <c r="CEF46" s="16"/>
      <c r="CEG46" s="16"/>
      <c r="CEH46" s="16"/>
      <c r="CEI46" s="16"/>
      <c r="CEJ46" s="16"/>
      <c r="CEK46" s="16"/>
      <c r="CEL46" s="16"/>
      <c r="CEM46" s="16"/>
      <c r="CEN46" s="16"/>
      <c r="CEO46" s="16"/>
      <c r="CEP46" s="16"/>
      <c r="CEQ46" s="16"/>
      <c r="CER46" s="16"/>
      <c r="CES46" s="16"/>
      <c r="CET46" s="16"/>
      <c r="CEU46" s="16"/>
      <c r="CEV46" s="16"/>
      <c r="CEW46" s="16"/>
      <c r="CEX46" s="16"/>
      <c r="CEY46" s="16"/>
      <c r="CEZ46" s="16"/>
      <c r="CFA46" s="16"/>
      <c r="CFB46" s="16"/>
      <c r="CFC46" s="16"/>
      <c r="CFD46" s="16"/>
      <c r="CFE46" s="16"/>
      <c r="CFF46" s="16"/>
      <c r="CFG46" s="16"/>
      <c r="CFH46" s="16"/>
      <c r="CFI46" s="16"/>
      <c r="CFJ46" s="16"/>
      <c r="CFK46" s="16"/>
      <c r="CFL46" s="16"/>
      <c r="CFM46" s="16"/>
      <c r="CFN46" s="16"/>
      <c r="CFO46" s="16"/>
      <c r="CFP46" s="16"/>
      <c r="CFQ46" s="16"/>
      <c r="CFR46" s="16"/>
      <c r="CFS46" s="16"/>
      <c r="CFT46" s="16"/>
      <c r="CFU46" s="16"/>
      <c r="CFV46" s="16"/>
      <c r="CFW46" s="16"/>
      <c r="CFX46" s="16"/>
      <c r="CFY46" s="16"/>
      <c r="CFZ46" s="16"/>
      <c r="CGA46" s="16"/>
      <c r="CGB46" s="16"/>
      <c r="CGC46" s="16"/>
      <c r="CGD46" s="16"/>
      <c r="CGE46" s="16"/>
      <c r="CGF46" s="16"/>
      <c r="CGG46" s="16"/>
      <c r="CGH46" s="16"/>
      <c r="CGI46" s="16"/>
      <c r="CGJ46" s="16"/>
      <c r="CGK46" s="16"/>
      <c r="CGL46" s="16"/>
      <c r="CGM46" s="16"/>
      <c r="CGN46" s="16"/>
      <c r="CGO46" s="16"/>
      <c r="CGP46" s="16"/>
      <c r="CGQ46" s="16"/>
      <c r="CGR46" s="16"/>
      <c r="CGS46" s="16"/>
      <c r="CGT46" s="16"/>
      <c r="CGU46" s="16"/>
      <c r="CGV46" s="16"/>
      <c r="CGW46" s="16"/>
      <c r="CGX46" s="16"/>
      <c r="CGY46" s="16"/>
      <c r="CGZ46" s="16"/>
      <c r="CHA46" s="16"/>
      <c r="CHB46" s="16"/>
      <c r="CHC46" s="16"/>
      <c r="CHD46" s="16"/>
      <c r="CHE46" s="16"/>
      <c r="CHF46" s="16"/>
      <c r="CHG46" s="16"/>
      <c r="CHH46" s="16"/>
      <c r="CHI46" s="16"/>
      <c r="CHJ46" s="16"/>
      <c r="CHK46" s="16"/>
      <c r="CHL46" s="16"/>
      <c r="CHM46" s="16"/>
      <c r="CHN46" s="16"/>
      <c r="CHO46" s="16"/>
      <c r="CHP46" s="16"/>
      <c r="CHQ46" s="16"/>
      <c r="CHR46" s="16"/>
      <c r="CHS46" s="16"/>
      <c r="CHT46" s="16"/>
      <c r="CHU46" s="16"/>
      <c r="CHV46" s="16"/>
      <c r="CHW46" s="16"/>
      <c r="CHX46" s="16"/>
      <c r="CHY46" s="16"/>
      <c r="CHZ46" s="16"/>
      <c r="CIA46" s="16"/>
      <c r="CIB46" s="16"/>
      <c r="CIC46" s="16"/>
      <c r="CID46" s="16"/>
      <c r="CIE46" s="16"/>
      <c r="CIF46" s="16"/>
      <c r="CIG46" s="16"/>
      <c r="CIH46" s="16"/>
      <c r="CII46" s="16"/>
      <c r="CIJ46" s="16"/>
      <c r="CIK46" s="16"/>
      <c r="CIL46" s="16"/>
      <c r="CIM46" s="16"/>
      <c r="CIN46" s="16"/>
      <c r="CIO46" s="16"/>
      <c r="CIP46" s="16"/>
      <c r="CIQ46" s="16"/>
      <c r="CIR46" s="16"/>
      <c r="CIS46" s="16"/>
      <c r="CIT46" s="16"/>
      <c r="CIU46" s="16"/>
      <c r="CIV46" s="16"/>
      <c r="CIW46" s="16"/>
      <c r="CIX46" s="16"/>
      <c r="CIY46" s="16"/>
      <c r="CIZ46" s="16"/>
      <c r="CJA46" s="16"/>
      <c r="CJB46" s="16"/>
      <c r="CJC46" s="16"/>
      <c r="CJD46" s="16"/>
      <c r="CJE46" s="16"/>
      <c r="CJF46" s="16"/>
      <c r="CJG46" s="16"/>
      <c r="CJH46" s="16"/>
      <c r="CJI46" s="16"/>
      <c r="CJJ46" s="16"/>
      <c r="CJK46" s="16"/>
      <c r="CJL46" s="16"/>
      <c r="CJM46" s="16"/>
      <c r="CJN46" s="16"/>
      <c r="CJO46" s="16"/>
      <c r="CJP46" s="16"/>
      <c r="CJQ46" s="16"/>
      <c r="CJR46" s="16"/>
      <c r="CJS46" s="16"/>
      <c r="CJT46" s="16"/>
      <c r="CJU46" s="16"/>
      <c r="CJV46" s="16"/>
      <c r="CJW46" s="16"/>
      <c r="CJX46" s="16"/>
      <c r="CJY46" s="16"/>
      <c r="CJZ46" s="16"/>
      <c r="CKA46" s="16"/>
      <c r="CKB46" s="16"/>
      <c r="CKC46" s="16"/>
      <c r="CKD46" s="16"/>
      <c r="CKE46" s="16"/>
      <c r="CKF46" s="16"/>
      <c r="CKG46" s="16"/>
      <c r="CKH46" s="16"/>
      <c r="CKI46" s="16"/>
      <c r="CKJ46" s="16"/>
      <c r="CKK46" s="16"/>
      <c r="CKL46" s="16"/>
      <c r="CKM46" s="16"/>
      <c r="CKN46" s="16"/>
      <c r="CKO46" s="16"/>
      <c r="CKP46" s="16"/>
      <c r="CKQ46" s="16"/>
      <c r="CKR46" s="16"/>
      <c r="CKS46" s="16"/>
      <c r="CKT46" s="16"/>
      <c r="CKU46" s="16"/>
      <c r="CKV46" s="16"/>
      <c r="CKW46" s="16"/>
      <c r="CKX46" s="16"/>
      <c r="CKY46" s="16"/>
      <c r="CKZ46" s="16"/>
      <c r="CLA46" s="16"/>
      <c r="CLB46" s="16"/>
      <c r="CLC46" s="16"/>
      <c r="CLD46" s="16"/>
      <c r="CLE46" s="16"/>
      <c r="CLF46" s="16"/>
      <c r="CLG46" s="16"/>
      <c r="CLH46" s="16"/>
      <c r="CLI46" s="16"/>
      <c r="CLJ46" s="16"/>
      <c r="CLK46" s="16"/>
      <c r="CLL46" s="16"/>
      <c r="CLM46" s="16"/>
      <c r="CLN46" s="16"/>
      <c r="CLO46" s="16"/>
      <c r="CLP46" s="16"/>
      <c r="CLQ46" s="16"/>
      <c r="CLR46" s="16"/>
      <c r="CLS46" s="16"/>
      <c r="CLT46" s="16"/>
      <c r="CLU46" s="16"/>
      <c r="CLV46" s="16"/>
      <c r="CLW46" s="16"/>
      <c r="CLX46" s="16"/>
      <c r="CLY46" s="16"/>
      <c r="CLZ46" s="16"/>
      <c r="CMA46" s="16"/>
      <c r="CMB46" s="16"/>
      <c r="CMC46" s="16"/>
      <c r="CMD46" s="16"/>
      <c r="CME46" s="16"/>
      <c r="CMF46" s="16"/>
      <c r="CMG46" s="16"/>
      <c r="CMH46" s="16"/>
      <c r="CMI46" s="16"/>
      <c r="CMJ46" s="16"/>
      <c r="CMK46" s="16"/>
      <c r="CML46" s="16"/>
      <c r="CMM46" s="16"/>
      <c r="CMN46" s="16"/>
      <c r="CMO46" s="16"/>
      <c r="CMP46" s="16"/>
      <c r="CMQ46" s="16"/>
      <c r="CMR46" s="16"/>
      <c r="CMS46" s="16"/>
      <c r="CMT46" s="16"/>
      <c r="CMU46" s="16"/>
      <c r="CMV46" s="16"/>
      <c r="CMW46" s="16"/>
      <c r="CMX46" s="16"/>
      <c r="CMY46" s="16"/>
      <c r="CMZ46" s="16"/>
      <c r="CNA46" s="16"/>
      <c r="CNB46" s="16"/>
      <c r="CNC46" s="16"/>
      <c r="CND46" s="16"/>
      <c r="CNE46" s="16"/>
      <c r="CNF46" s="16"/>
      <c r="CNG46" s="16"/>
      <c r="CNH46" s="16"/>
      <c r="CNI46" s="16"/>
      <c r="CNJ46" s="16"/>
      <c r="CNK46" s="16"/>
      <c r="CNL46" s="16"/>
      <c r="CNM46" s="16"/>
      <c r="CNN46" s="16"/>
      <c r="CNO46" s="16"/>
      <c r="CNP46" s="16"/>
      <c r="CNQ46" s="16"/>
      <c r="CNR46" s="16"/>
      <c r="CNS46" s="16"/>
      <c r="CNT46" s="16"/>
      <c r="CNU46" s="16"/>
      <c r="CNV46" s="16"/>
      <c r="CNW46" s="16"/>
      <c r="CNX46" s="16"/>
      <c r="CNY46" s="16"/>
      <c r="CNZ46" s="16"/>
      <c r="COA46" s="16"/>
      <c r="COB46" s="16"/>
      <c r="COC46" s="16"/>
      <c r="COD46" s="16"/>
      <c r="COE46" s="16"/>
      <c r="COF46" s="16"/>
      <c r="COG46" s="16"/>
      <c r="COH46" s="16"/>
      <c r="COI46" s="16"/>
      <c r="COJ46" s="16"/>
      <c r="COK46" s="16"/>
      <c r="COL46" s="16"/>
      <c r="COM46" s="16"/>
      <c r="CON46" s="16"/>
      <c r="COO46" s="16"/>
      <c r="COP46" s="16"/>
      <c r="COQ46" s="16"/>
      <c r="COR46" s="16"/>
      <c r="COS46" s="16"/>
      <c r="COT46" s="16"/>
      <c r="COU46" s="16"/>
      <c r="COV46" s="16"/>
      <c r="COW46" s="16"/>
      <c r="COX46" s="16"/>
      <c r="COY46" s="16"/>
      <c r="COZ46" s="16"/>
      <c r="CPA46" s="16"/>
      <c r="CPB46" s="16"/>
      <c r="CPC46" s="16"/>
      <c r="CPD46" s="16"/>
      <c r="CPE46" s="16"/>
      <c r="CPF46" s="16"/>
      <c r="CPG46" s="16"/>
      <c r="CPH46" s="16"/>
      <c r="CPI46" s="16"/>
      <c r="CPJ46" s="16"/>
      <c r="CPK46" s="16"/>
      <c r="CPL46" s="16"/>
      <c r="CPM46" s="16"/>
      <c r="CPN46" s="16"/>
      <c r="CPO46" s="16"/>
      <c r="CPP46" s="16"/>
      <c r="CPQ46" s="16"/>
      <c r="CPR46" s="16"/>
      <c r="CPS46" s="16"/>
      <c r="CPT46" s="16"/>
      <c r="CPU46" s="16"/>
      <c r="CPV46" s="16"/>
      <c r="CPW46" s="16"/>
      <c r="CPX46" s="16"/>
      <c r="CPY46" s="16"/>
      <c r="CPZ46" s="16"/>
      <c r="CQA46" s="16"/>
      <c r="CQB46" s="16"/>
      <c r="CQC46" s="16"/>
      <c r="CQD46" s="16"/>
      <c r="CQE46" s="16"/>
      <c r="CQF46" s="16"/>
      <c r="CQG46" s="16"/>
      <c r="CQH46" s="16"/>
      <c r="CQI46" s="16"/>
      <c r="CQJ46" s="16"/>
      <c r="CQK46" s="16"/>
      <c r="CQL46" s="16"/>
      <c r="CQM46" s="16"/>
      <c r="CQN46" s="16"/>
      <c r="CQO46" s="16"/>
      <c r="CQP46" s="16"/>
      <c r="CQQ46" s="16"/>
      <c r="CQR46" s="16"/>
      <c r="CQS46" s="16"/>
      <c r="CQT46" s="16"/>
      <c r="CQU46" s="16"/>
      <c r="CQV46" s="16"/>
      <c r="CQW46" s="16"/>
      <c r="CQX46" s="16"/>
      <c r="CQY46" s="16"/>
      <c r="CQZ46" s="16"/>
      <c r="CRA46" s="16"/>
      <c r="CRB46" s="16"/>
      <c r="CRC46" s="16"/>
      <c r="CRD46" s="16"/>
      <c r="CRE46" s="16"/>
      <c r="CRF46" s="16"/>
      <c r="CRG46" s="16"/>
      <c r="CRH46" s="16"/>
      <c r="CRI46" s="16"/>
      <c r="CRJ46" s="16"/>
      <c r="CRK46" s="16"/>
      <c r="CRL46" s="16"/>
      <c r="CRM46" s="16"/>
      <c r="CRN46" s="16"/>
      <c r="CRO46" s="16"/>
      <c r="CRP46" s="16"/>
      <c r="CRQ46" s="16"/>
      <c r="CRR46" s="16"/>
      <c r="CRS46" s="16"/>
      <c r="CRT46" s="16"/>
      <c r="CRU46" s="16"/>
      <c r="CRV46" s="16"/>
      <c r="CRW46" s="16"/>
      <c r="CRX46" s="16"/>
      <c r="CRY46" s="16"/>
      <c r="CRZ46" s="16"/>
      <c r="CSA46" s="16"/>
      <c r="CSB46" s="16"/>
      <c r="CSC46" s="16"/>
      <c r="CSD46" s="16"/>
      <c r="CSE46" s="16"/>
      <c r="CSF46" s="16"/>
      <c r="CSG46" s="16"/>
      <c r="CSH46" s="16"/>
      <c r="CSI46" s="16"/>
      <c r="CSJ46" s="16"/>
      <c r="CSK46" s="54" t="str">
        <f t="shared" si="166"/>
        <v>X</v>
      </c>
      <c r="CSL46" s="35">
        <f t="shared" ref="CSL46:CSU55" ca="1" si="209">IF(SUM(OFFSET($BA46:$DJ46,0,62*(CSL$1-1),,62))&gt;0,1,"")</f>
        <v>1</v>
      </c>
      <c r="CSM46" s="35">
        <f t="shared" ca="1" si="209"/>
        <v>1</v>
      </c>
      <c r="CSN46" s="35">
        <f t="shared" ca="1" si="209"/>
        <v>1</v>
      </c>
      <c r="CSO46" s="35">
        <f t="shared" ca="1" si="209"/>
        <v>1</v>
      </c>
      <c r="CSP46" s="35">
        <f t="shared" ca="1" si="209"/>
        <v>1</v>
      </c>
      <c r="CSQ46" s="72">
        <f t="shared" ca="1" si="209"/>
        <v>1</v>
      </c>
      <c r="CSR46" s="35" t="str">
        <f t="shared" ca="1" si="209"/>
        <v/>
      </c>
      <c r="CSS46" s="35">
        <f t="shared" ca="1" si="209"/>
        <v>1</v>
      </c>
      <c r="CST46" s="35" t="str">
        <f t="shared" ca="1" si="209"/>
        <v/>
      </c>
      <c r="CSU46" s="35">
        <f t="shared" ca="1" si="209"/>
        <v>1</v>
      </c>
      <c r="CSV46" s="35">
        <f t="shared" ref="CSV46:CTE55" ca="1" si="210">IF(SUM(OFFSET($BA46:$DJ46,0,62*(CSV$1-1),,62))&gt;0,1,"")</f>
        <v>1</v>
      </c>
      <c r="CSW46" s="35">
        <f t="shared" ca="1" si="210"/>
        <v>1</v>
      </c>
      <c r="CSX46" s="35">
        <f t="shared" ca="1" si="210"/>
        <v>1</v>
      </c>
      <c r="CSY46" s="35" t="str">
        <f t="shared" ca="1" si="210"/>
        <v/>
      </c>
      <c r="CSZ46" s="35" t="str">
        <f t="shared" ca="1" si="210"/>
        <v/>
      </c>
      <c r="CTA46" s="35" t="str">
        <f t="shared" ca="1" si="210"/>
        <v/>
      </c>
      <c r="CTB46" s="35" t="str">
        <f t="shared" ca="1" si="210"/>
        <v/>
      </c>
      <c r="CTC46" s="35" t="str">
        <f t="shared" ca="1" si="210"/>
        <v/>
      </c>
      <c r="CTD46" s="35" t="str">
        <f t="shared" ca="1" si="210"/>
        <v/>
      </c>
      <c r="CTE46" s="35" t="str">
        <f t="shared" ca="1" si="210"/>
        <v/>
      </c>
      <c r="CTF46" s="35" t="str">
        <f t="shared" ref="CTF46:CTO55" ca="1" si="211">IF(SUM(OFFSET($BA46:$DJ46,0,62*(CTF$1-1),,62))&gt;0,1,"")</f>
        <v/>
      </c>
      <c r="CTG46" s="35" t="str">
        <f t="shared" ca="1" si="211"/>
        <v/>
      </c>
      <c r="CTH46" s="35" t="str">
        <f t="shared" ca="1" si="211"/>
        <v/>
      </c>
      <c r="CTI46" s="35" t="str">
        <f t="shared" ca="1" si="211"/>
        <v/>
      </c>
      <c r="CTJ46" s="35" t="str">
        <f t="shared" ca="1" si="211"/>
        <v/>
      </c>
      <c r="CTK46" s="35" t="str">
        <f t="shared" ca="1" si="211"/>
        <v/>
      </c>
      <c r="CTL46" s="35" t="str">
        <f t="shared" ca="1" si="211"/>
        <v/>
      </c>
      <c r="CTM46" s="35" t="str">
        <f t="shared" ca="1" si="211"/>
        <v/>
      </c>
      <c r="CTN46" s="35" t="str">
        <f t="shared" ca="1" si="211"/>
        <v/>
      </c>
      <c r="CTO46" s="35" t="str">
        <f t="shared" ca="1" si="211"/>
        <v/>
      </c>
      <c r="CTP46" s="35" t="str">
        <f t="shared" ref="CTP46:CTY55" ca="1" si="212">IF(SUM(OFFSET($BA46:$DJ46,0,62*(CTP$1-1),,62))&gt;0,1,"")</f>
        <v/>
      </c>
      <c r="CTQ46" s="35" t="str">
        <f t="shared" ca="1" si="212"/>
        <v/>
      </c>
      <c r="CTR46" s="35" t="str">
        <f t="shared" ca="1" si="212"/>
        <v/>
      </c>
      <c r="CTS46" s="35" t="str">
        <f t="shared" ca="1" si="212"/>
        <v/>
      </c>
      <c r="CTT46" s="35" t="str">
        <f t="shared" ca="1" si="212"/>
        <v/>
      </c>
      <c r="CTU46" s="35" t="str">
        <f t="shared" ca="1" si="212"/>
        <v/>
      </c>
      <c r="CTV46" s="35" t="str">
        <f t="shared" ca="1" si="212"/>
        <v/>
      </c>
      <c r="CTW46" s="35" t="str">
        <f t="shared" ca="1" si="212"/>
        <v/>
      </c>
      <c r="CTX46" s="35" t="str">
        <f t="shared" ca="1" si="212"/>
        <v/>
      </c>
      <c r="CTY46" s="35" t="str">
        <f t="shared" ca="1" si="212"/>
        <v/>
      </c>
      <c r="CTZ46" s="56" t="str">
        <f t="shared" si="167"/>
        <v>X</v>
      </c>
      <c r="CUA46" s="58">
        <f t="shared" ca="1" si="168"/>
        <v>7</v>
      </c>
      <c r="CUB46" s="16">
        <f t="shared" ca="1" si="169"/>
        <v>7</v>
      </c>
      <c r="CUC46" s="16">
        <f t="shared" ca="1" si="170"/>
        <v>9</v>
      </c>
      <c r="CUD46" s="16">
        <f t="shared" ca="1" si="171"/>
        <v>0</v>
      </c>
      <c r="CUE46" s="16">
        <f t="shared" ca="1" si="172"/>
        <v>5</v>
      </c>
      <c r="CUF46" s="16">
        <f t="shared" ca="1" si="173"/>
        <v>8</v>
      </c>
      <c r="CUG46" s="16" t="str">
        <f t="shared" ca="1" si="174"/>
        <v/>
      </c>
      <c r="CUH46" s="16">
        <f t="shared" ca="1" si="175"/>
        <v>6</v>
      </c>
      <c r="CUI46" s="16" t="str">
        <f t="shared" ca="1" si="176"/>
        <v/>
      </c>
      <c r="CUJ46" s="16">
        <f t="shared" ca="1" si="177"/>
        <v>1</v>
      </c>
      <c r="CUK46" s="16">
        <f t="shared" ca="1" si="178"/>
        <v>2</v>
      </c>
      <c r="CUL46" s="16">
        <f t="shared" ca="1" si="179"/>
        <v>1</v>
      </c>
      <c r="CUM46" s="16">
        <f t="shared" ca="1" si="180"/>
        <v>9</v>
      </c>
      <c r="CUN46" s="16" t="str">
        <f t="shared" ca="1" si="181"/>
        <v/>
      </c>
      <c r="CUO46" s="16" t="str">
        <f t="shared" ca="1" si="182"/>
        <v/>
      </c>
      <c r="CUP46" s="16" t="str">
        <f t="shared" ca="1" si="183"/>
        <v/>
      </c>
      <c r="CUQ46" s="16" t="str">
        <f t="shared" ca="1" si="184"/>
        <v/>
      </c>
      <c r="CUR46" s="16" t="str">
        <f t="shared" ca="1" si="185"/>
        <v/>
      </c>
      <c r="CUS46" s="16" t="str">
        <f t="shared" ca="1" si="186"/>
        <v/>
      </c>
      <c r="CUT46" s="16" t="str">
        <f t="shared" ca="1" si="187"/>
        <v/>
      </c>
      <c r="CUU46" s="16" t="str">
        <f t="shared" ca="1" si="188"/>
        <v/>
      </c>
      <c r="CUV46" s="16" t="str">
        <f t="shared" ca="1" si="189"/>
        <v/>
      </c>
      <c r="CUW46" s="16" t="str">
        <f t="shared" ca="1" si="190"/>
        <v/>
      </c>
      <c r="CUX46" s="16" t="str">
        <f t="shared" ca="1" si="191"/>
        <v/>
      </c>
      <c r="CUY46" s="16" t="str">
        <f t="shared" ca="1" si="192"/>
        <v/>
      </c>
      <c r="CUZ46" s="16" t="str">
        <f t="shared" ca="1" si="193"/>
        <v/>
      </c>
      <c r="CVA46" s="16" t="str">
        <f t="shared" ca="1" si="194"/>
        <v/>
      </c>
      <c r="CVB46" s="16" t="str">
        <f t="shared" ca="1" si="195"/>
        <v/>
      </c>
      <c r="CVC46" s="16" t="str">
        <f t="shared" ca="1" si="196"/>
        <v/>
      </c>
      <c r="CVD46" s="16" t="str">
        <f t="shared" ca="1" si="197"/>
        <v/>
      </c>
      <c r="CVE46" s="16" t="str">
        <f t="shared" ca="1" si="198"/>
        <v/>
      </c>
      <c r="CVF46" s="16" t="str">
        <f t="shared" ca="1" si="199"/>
        <v/>
      </c>
      <c r="CVG46" s="16" t="str">
        <f t="shared" ca="1" si="200"/>
        <v/>
      </c>
      <c r="CVH46" s="16" t="str">
        <f t="shared" ca="1" si="201"/>
        <v/>
      </c>
      <c r="CVI46" s="16" t="str">
        <f t="shared" ca="1" si="202"/>
        <v/>
      </c>
      <c r="CVJ46" s="16" t="str">
        <f t="shared" ca="1" si="203"/>
        <v/>
      </c>
      <c r="CVK46" s="16" t="str">
        <f t="shared" ca="1" si="204"/>
        <v/>
      </c>
      <c r="CVL46" s="16" t="str">
        <f t="shared" ca="1" si="205"/>
        <v/>
      </c>
      <c r="CVM46" s="16" t="str">
        <f t="shared" ca="1" si="206"/>
        <v/>
      </c>
      <c r="CVN46" s="16" t="str">
        <f t="shared" ca="1" si="207"/>
        <v/>
      </c>
      <c r="CVO46" s="58" t="str">
        <f t="shared" si="208"/>
        <v>ильинвладислав</v>
      </c>
      <c r="CVP46" s="58" t="str">
        <f>IFERROR(VLOOKUP(CVO46,'Внешние данные'!A:Z,4,FALSE),"")</f>
        <v/>
      </c>
    </row>
    <row r="47" spans="1:2616" ht="13.8" x14ac:dyDescent="0.25">
      <c r="A47" s="2" t="s">
        <v>2380</v>
      </c>
      <c r="B47" s="2" t="s">
        <v>2461</v>
      </c>
      <c r="C47" s="57" t="s">
        <v>2427</v>
      </c>
      <c r="D47" s="35">
        <v>6</v>
      </c>
      <c r="E47" s="58">
        <v>179</v>
      </c>
      <c r="G47" s="16" t="s">
        <v>1393</v>
      </c>
      <c r="H47" s="53">
        <f t="shared" ca="1" si="162"/>
        <v>0.77777777777777779</v>
      </c>
      <c r="I47" s="35">
        <f t="shared" ca="1" si="163"/>
        <v>0</v>
      </c>
      <c r="J47" s="35">
        <f t="shared" ca="1" si="164"/>
        <v>6</v>
      </c>
      <c r="K47" s="49">
        <f t="shared" ca="1" si="165"/>
        <v>8.8333333333333339</v>
      </c>
      <c r="L47" s="16">
        <v>305</v>
      </c>
      <c r="M47" s="12"/>
      <c r="N47" s="12"/>
      <c r="S47" s="4">
        <v>425</v>
      </c>
      <c r="T47" s="4">
        <v>425</v>
      </c>
      <c r="V47" s="4">
        <v>203</v>
      </c>
      <c r="W47" s="4">
        <v>203</v>
      </c>
      <c r="X47" s="4">
        <v>203</v>
      </c>
      <c r="Y47" s="4">
        <v>203</v>
      </c>
      <c r="Z47" s="4">
        <v>203</v>
      </c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  <c r="KR47" s="16"/>
      <c r="KS47" s="16"/>
      <c r="KT47" s="16"/>
      <c r="KU47" s="16"/>
      <c r="KV47" s="16"/>
      <c r="KW47" s="16"/>
      <c r="KX47" s="16"/>
      <c r="KY47" s="16"/>
      <c r="KZ47" s="16"/>
      <c r="LA47" s="16"/>
      <c r="LB47" s="16"/>
      <c r="LC47" s="16"/>
      <c r="LD47" s="16"/>
      <c r="LE47" s="16"/>
      <c r="LF47" s="16"/>
      <c r="LG47" s="16"/>
      <c r="LH47" s="16"/>
      <c r="LI47" s="16"/>
      <c r="LJ47" s="16"/>
      <c r="LK47" s="16"/>
      <c r="LL47" s="16"/>
      <c r="LM47" s="16"/>
      <c r="LN47" s="16"/>
      <c r="LO47" s="16"/>
      <c r="LP47" s="16"/>
      <c r="LQ47" s="16"/>
      <c r="LR47" s="16"/>
      <c r="LS47" s="16"/>
      <c r="LT47" s="16"/>
      <c r="LU47" s="16"/>
      <c r="LV47" s="16"/>
      <c r="LW47" s="16"/>
      <c r="LX47" s="16"/>
      <c r="LY47" s="16"/>
      <c r="LZ47" s="16"/>
      <c r="MA47" s="16"/>
      <c r="MB47" s="16"/>
      <c r="MC47" s="16"/>
      <c r="MD47" s="16"/>
      <c r="ME47" s="16"/>
      <c r="MF47" s="16"/>
      <c r="MG47" s="16"/>
      <c r="MH47" s="16"/>
      <c r="MI47" s="16"/>
      <c r="MJ47" s="16"/>
      <c r="MK47" s="16"/>
      <c r="ML47" s="16"/>
      <c r="MM47" s="16"/>
      <c r="MN47" s="16"/>
      <c r="MO47" s="16"/>
      <c r="MP47" s="16"/>
      <c r="MQ47" s="16"/>
      <c r="MR47" s="16"/>
      <c r="MS47" s="16"/>
      <c r="MT47" s="16"/>
      <c r="MU47" s="16"/>
      <c r="MV47" s="16"/>
      <c r="MW47" s="16"/>
      <c r="MX47" s="16"/>
      <c r="MY47" s="16"/>
      <c r="MZ47" s="16"/>
      <c r="NA47" s="16"/>
      <c r="NB47" s="16"/>
      <c r="NC47" s="16"/>
      <c r="ND47" s="16"/>
      <c r="NE47" s="16"/>
      <c r="NF47" s="16"/>
      <c r="NG47" s="16"/>
      <c r="NH47" s="16"/>
      <c r="NI47" s="16"/>
      <c r="NJ47" s="16"/>
      <c r="NK47" s="16"/>
      <c r="NL47" s="16"/>
      <c r="NM47" s="16"/>
      <c r="NN47" s="16"/>
      <c r="NO47" s="16"/>
      <c r="NP47" s="16"/>
      <c r="NQ47" s="16"/>
      <c r="NR47" s="16"/>
      <c r="NS47" s="16"/>
      <c r="NT47" s="16"/>
      <c r="NU47" s="16"/>
      <c r="NV47" s="16"/>
      <c r="NW47" s="16"/>
      <c r="NX47" s="16"/>
      <c r="NY47" s="16"/>
      <c r="NZ47" s="16"/>
      <c r="OA47" s="16"/>
      <c r="OB47" s="16"/>
      <c r="OC47" s="16"/>
      <c r="OD47" s="16"/>
      <c r="OE47" s="16"/>
      <c r="OF47" s="16"/>
      <c r="OG47" s="16"/>
      <c r="OH47" s="16"/>
      <c r="OI47" s="16"/>
      <c r="OJ47" s="16"/>
      <c r="OK47" s="16"/>
      <c r="OL47" s="16"/>
      <c r="OM47" s="16"/>
      <c r="ON47" s="16"/>
      <c r="OO47" s="16"/>
      <c r="OP47" s="16"/>
      <c r="OQ47" s="16"/>
      <c r="OR47" s="16"/>
      <c r="OS47" s="16"/>
      <c r="OT47" s="16"/>
      <c r="OU47" s="16"/>
      <c r="OV47" s="16"/>
      <c r="OW47" s="16"/>
      <c r="OX47" s="16"/>
      <c r="OY47" s="16"/>
      <c r="OZ47" s="16"/>
      <c r="PA47" s="16"/>
      <c r="PB47" s="16"/>
      <c r="PC47" s="16"/>
      <c r="PD47" s="16"/>
      <c r="PE47" s="16"/>
      <c r="PF47" s="16"/>
      <c r="PG47" s="16"/>
      <c r="PH47" s="16"/>
      <c r="PI47" s="16">
        <v>1</v>
      </c>
      <c r="PJ47" s="16">
        <v>1</v>
      </c>
      <c r="PK47" s="16">
        <v>1</v>
      </c>
      <c r="PL47" s="16"/>
      <c r="PM47" s="16">
        <v>1</v>
      </c>
      <c r="PN47" s="16">
        <v>1</v>
      </c>
      <c r="PO47" s="16">
        <v>1</v>
      </c>
      <c r="PP47" s="16">
        <v>1</v>
      </c>
      <c r="PQ47" s="16"/>
      <c r="PR47" s="16"/>
      <c r="PS47" s="16"/>
      <c r="PT47" s="16"/>
      <c r="PU47" s="16"/>
      <c r="PV47" s="16"/>
      <c r="PW47" s="16"/>
      <c r="PX47" s="16"/>
      <c r="PY47" s="16"/>
      <c r="PZ47" s="16"/>
      <c r="QA47" s="16"/>
      <c r="QB47" s="16"/>
      <c r="QC47" s="16"/>
      <c r="QD47" s="16"/>
      <c r="QE47" s="16"/>
      <c r="QF47" s="16"/>
      <c r="QG47" s="16"/>
      <c r="QH47" s="16"/>
      <c r="QI47" s="16"/>
      <c r="QJ47" s="16"/>
      <c r="QK47" s="16"/>
      <c r="QL47" s="16"/>
      <c r="QM47" s="16"/>
      <c r="QN47" s="16"/>
      <c r="QO47" s="16"/>
      <c r="QP47" s="16"/>
      <c r="QQ47" s="16"/>
      <c r="QR47" s="16"/>
      <c r="QS47" s="16"/>
      <c r="QT47" s="16"/>
      <c r="QU47" s="16"/>
      <c r="QV47" s="16"/>
      <c r="QW47" s="16"/>
      <c r="QX47" s="16"/>
      <c r="QY47" s="16"/>
      <c r="QZ47" s="16"/>
      <c r="RA47" s="16"/>
      <c r="RB47" s="16"/>
      <c r="RC47" s="16"/>
      <c r="RD47" s="16"/>
      <c r="RE47" s="16"/>
      <c r="RF47" s="16"/>
      <c r="RG47" s="16"/>
      <c r="RH47" s="16"/>
      <c r="RI47" s="16"/>
      <c r="RJ47" s="16"/>
      <c r="RK47" s="16"/>
      <c r="RL47" s="16"/>
      <c r="RM47" s="16"/>
      <c r="RN47" s="16"/>
      <c r="RO47" s="16"/>
      <c r="RP47" s="16"/>
      <c r="RQ47" s="16"/>
      <c r="RR47" s="16"/>
      <c r="RS47" s="16">
        <v>1</v>
      </c>
      <c r="RT47" s="16">
        <v>1</v>
      </c>
      <c r="RU47" s="16">
        <v>1</v>
      </c>
      <c r="RV47" s="16">
        <v>1</v>
      </c>
      <c r="RW47" s="16">
        <v>1</v>
      </c>
      <c r="RX47" s="16">
        <v>1</v>
      </c>
      <c r="RY47" s="16">
        <v>1</v>
      </c>
      <c r="RZ47" s="16">
        <v>1</v>
      </c>
      <c r="SA47" s="16"/>
      <c r="SB47" s="16">
        <v>1</v>
      </c>
      <c r="SC47" s="16"/>
      <c r="SD47" s="16">
        <v>1</v>
      </c>
      <c r="SE47" s="16"/>
      <c r="SF47" s="16"/>
      <c r="SG47" s="16"/>
      <c r="SH47" s="16"/>
      <c r="SI47" s="16"/>
      <c r="SJ47" s="16"/>
      <c r="SK47" s="16"/>
      <c r="SL47" s="16"/>
      <c r="SM47" s="16"/>
      <c r="SN47" s="16"/>
      <c r="SO47" s="16"/>
      <c r="SP47" s="16"/>
      <c r="SQ47" s="16"/>
      <c r="SR47" s="16"/>
      <c r="SS47" s="16"/>
      <c r="ST47" s="16"/>
      <c r="SU47" s="16"/>
      <c r="SV47" s="16"/>
      <c r="SW47" s="16"/>
      <c r="SX47" s="16"/>
      <c r="SY47" s="16"/>
      <c r="SZ47" s="16"/>
      <c r="TA47" s="16"/>
      <c r="TB47" s="16"/>
      <c r="TC47" s="16"/>
      <c r="TD47" s="16"/>
      <c r="TE47" s="16"/>
      <c r="TF47" s="16"/>
      <c r="TG47" s="16"/>
      <c r="TH47" s="16"/>
      <c r="TI47" s="16"/>
      <c r="TJ47" s="16"/>
      <c r="TK47" s="16"/>
      <c r="TL47" s="16"/>
      <c r="TM47" s="16"/>
      <c r="TN47" s="16"/>
      <c r="TO47" s="16"/>
      <c r="TP47" s="16"/>
      <c r="TQ47" s="16"/>
      <c r="TR47" s="16"/>
      <c r="TS47" s="16"/>
      <c r="TT47" s="16"/>
      <c r="TU47" s="16"/>
      <c r="TV47" s="16"/>
      <c r="TW47" s="16"/>
      <c r="TX47" s="16"/>
      <c r="TY47" s="16"/>
      <c r="TZ47" s="16"/>
      <c r="UA47" s="16"/>
      <c r="UB47" s="16"/>
      <c r="UC47" s="16"/>
      <c r="UD47" s="16"/>
      <c r="UE47" s="16"/>
      <c r="UF47" s="16"/>
      <c r="UG47" s="16"/>
      <c r="UH47" s="16"/>
      <c r="UI47" s="16"/>
      <c r="UJ47" s="16"/>
      <c r="UK47" s="16"/>
      <c r="UL47" s="16"/>
      <c r="UM47" s="16"/>
      <c r="UN47" s="16"/>
      <c r="UO47" s="16"/>
      <c r="UP47" s="16"/>
      <c r="UQ47" s="16"/>
      <c r="UR47" s="16"/>
      <c r="US47" s="16"/>
      <c r="UT47" s="16"/>
      <c r="UU47" s="16"/>
      <c r="UV47" s="16"/>
      <c r="UW47" s="16"/>
      <c r="UX47" s="16"/>
      <c r="UY47" s="16"/>
      <c r="UZ47" s="16"/>
      <c r="VA47" s="16"/>
      <c r="VB47" s="16"/>
      <c r="VC47" s="16"/>
      <c r="VD47" s="16"/>
      <c r="VE47" s="16"/>
      <c r="VF47" s="16"/>
      <c r="VG47" s="16"/>
      <c r="VH47" s="16"/>
      <c r="VI47" s="16"/>
      <c r="VJ47" s="16"/>
      <c r="VK47" s="16"/>
      <c r="VL47" s="16"/>
      <c r="VM47" s="16"/>
      <c r="VN47" s="16"/>
      <c r="VO47" s="16"/>
      <c r="VP47" s="16"/>
      <c r="VQ47" s="16"/>
      <c r="VR47" s="16"/>
      <c r="VS47" s="16"/>
      <c r="VT47" s="16"/>
      <c r="VU47" s="16"/>
      <c r="VV47" s="16"/>
      <c r="VW47" s="16"/>
      <c r="VX47" s="16"/>
      <c r="VY47" s="16"/>
      <c r="VZ47" s="16"/>
      <c r="WA47" s="16"/>
      <c r="WB47" s="16"/>
      <c r="WC47" s="16"/>
      <c r="WD47" s="16"/>
      <c r="WE47" s="16"/>
      <c r="WF47" s="16"/>
      <c r="WG47" s="16"/>
      <c r="WH47" s="16"/>
      <c r="WI47" s="16"/>
      <c r="WJ47" s="16"/>
      <c r="WK47" s="16"/>
      <c r="WL47" s="16"/>
      <c r="WM47" s="16">
        <v>1</v>
      </c>
      <c r="WN47" s="16">
        <v>1</v>
      </c>
      <c r="WO47" s="16">
        <v>1</v>
      </c>
      <c r="WP47" s="16"/>
      <c r="WQ47" s="16"/>
      <c r="WR47" s="16"/>
      <c r="WS47" s="16"/>
      <c r="WT47" s="16">
        <v>1</v>
      </c>
      <c r="WU47" s="16">
        <v>1</v>
      </c>
      <c r="WV47" s="16"/>
      <c r="WW47" s="16">
        <v>1</v>
      </c>
      <c r="WX47" s="16">
        <v>1</v>
      </c>
      <c r="WY47" s="16"/>
      <c r="WZ47" s="16"/>
      <c r="XA47" s="16"/>
      <c r="XB47" s="16">
        <v>1</v>
      </c>
      <c r="XC47" s="16"/>
      <c r="XD47" s="16"/>
      <c r="XE47" s="16"/>
      <c r="XF47" s="16"/>
      <c r="XG47" s="16"/>
      <c r="XH47" s="16"/>
      <c r="XI47" s="16"/>
      <c r="XJ47" s="16"/>
      <c r="XK47" s="16"/>
      <c r="XL47" s="16"/>
      <c r="XM47" s="16"/>
      <c r="XN47" s="16"/>
      <c r="XO47" s="16"/>
      <c r="XP47" s="16"/>
      <c r="XQ47" s="16"/>
      <c r="XR47" s="16"/>
      <c r="XS47" s="16"/>
      <c r="XT47" s="16"/>
      <c r="XU47" s="16"/>
      <c r="XV47" s="16"/>
      <c r="XW47" s="16"/>
      <c r="XX47" s="16"/>
      <c r="XY47" s="16"/>
      <c r="XZ47" s="16"/>
      <c r="YA47" s="16"/>
      <c r="YB47" s="16"/>
      <c r="YC47" s="16"/>
      <c r="YD47" s="16"/>
      <c r="YE47" s="16"/>
      <c r="YF47" s="16"/>
      <c r="YG47" s="16"/>
      <c r="YH47" s="16"/>
      <c r="YI47" s="16"/>
      <c r="YJ47" s="16"/>
      <c r="YK47" s="16"/>
      <c r="YL47" s="16"/>
      <c r="YM47" s="16"/>
      <c r="YN47" s="16"/>
      <c r="YO47" s="16"/>
      <c r="YP47" s="16"/>
      <c r="YQ47" s="16"/>
      <c r="YR47" s="16"/>
      <c r="YS47" s="16"/>
      <c r="YT47" s="16"/>
      <c r="YU47" s="16"/>
      <c r="YV47" s="16"/>
      <c r="YW47" s="16">
        <v>1</v>
      </c>
      <c r="YX47" s="16">
        <v>1</v>
      </c>
      <c r="YY47" s="16">
        <v>1</v>
      </c>
      <c r="YZ47" s="16">
        <v>1</v>
      </c>
      <c r="ZA47" s="16"/>
      <c r="ZB47" s="16">
        <v>1</v>
      </c>
      <c r="ZC47" s="16">
        <v>1</v>
      </c>
      <c r="ZD47" s="16">
        <v>1</v>
      </c>
      <c r="ZE47" s="16">
        <v>1</v>
      </c>
      <c r="ZF47" s="16"/>
      <c r="ZG47" s="16"/>
      <c r="ZH47" s="16"/>
      <c r="ZI47" s="16"/>
      <c r="ZJ47" s="16"/>
      <c r="ZK47" s="16">
        <v>1</v>
      </c>
      <c r="ZL47" s="16"/>
      <c r="ZM47" s="16">
        <v>1</v>
      </c>
      <c r="ZN47" s="16"/>
      <c r="ZO47" s="16"/>
      <c r="ZP47" s="16"/>
      <c r="ZQ47" s="16"/>
      <c r="ZR47" s="16"/>
      <c r="ZS47" s="16"/>
      <c r="ZT47" s="16"/>
      <c r="ZU47" s="16"/>
      <c r="ZV47" s="16"/>
      <c r="ZW47" s="16"/>
      <c r="ZX47" s="16"/>
      <c r="ZY47" s="16"/>
      <c r="ZZ47" s="16"/>
      <c r="AAA47" s="16"/>
      <c r="AAB47" s="16"/>
      <c r="AAC47" s="16"/>
      <c r="AAD47" s="16"/>
      <c r="AAE47" s="16"/>
      <c r="AAF47" s="16"/>
      <c r="AAG47" s="16"/>
      <c r="AAH47" s="16"/>
      <c r="AAI47" s="16"/>
      <c r="AAJ47" s="16"/>
      <c r="AAK47" s="16"/>
      <c r="AAL47" s="16"/>
      <c r="AAM47" s="16"/>
      <c r="AAN47" s="16"/>
      <c r="AAO47" s="16"/>
      <c r="AAP47" s="16"/>
      <c r="AAQ47" s="16"/>
      <c r="AAR47" s="16"/>
      <c r="AAS47" s="16"/>
      <c r="AAT47" s="16"/>
      <c r="AAU47" s="16"/>
      <c r="AAV47" s="16"/>
      <c r="AAW47" s="16"/>
      <c r="AAX47" s="16"/>
      <c r="AAY47" s="16"/>
      <c r="AAZ47" s="16"/>
      <c r="ABA47" s="16"/>
      <c r="ABB47" s="16"/>
      <c r="ABC47" s="16"/>
      <c r="ABD47" s="16"/>
      <c r="ABE47" s="16"/>
      <c r="ABF47" s="16"/>
      <c r="ABG47" s="16">
        <v>1</v>
      </c>
      <c r="ABH47" s="16">
        <v>1</v>
      </c>
      <c r="ABI47" s="16">
        <v>1</v>
      </c>
      <c r="ABJ47" s="16">
        <v>1</v>
      </c>
      <c r="ABK47" s="16"/>
      <c r="ABL47" s="16"/>
      <c r="ABM47" s="16">
        <v>1</v>
      </c>
      <c r="ABN47" s="16">
        <v>1</v>
      </c>
      <c r="ABO47" s="16">
        <v>1</v>
      </c>
      <c r="ABP47" s="16"/>
      <c r="ABQ47" s="16"/>
      <c r="ABR47" s="16"/>
      <c r="ABS47" s="16">
        <v>1</v>
      </c>
      <c r="ABT47" s="16">
        <v>1</v>
      </c>
      <c r="ABU47" s="16">
        <v>1</v>
      </c>
      <c r="ABV47" s="16"/>
      <c r="ABW47" s="16"/>
      <c r="ABX47" s="16">
        <v>1</v>
      </c>
      <c r="ABY47" s="16"/>
      <c r="ABZ47" s="16"/>
      <c r="ACA47" s="16"/>
      <c r="ACB47" s="16"/>
      <c r="ACC47" s="16"/>
      <c r="ACD47" s="16"/>
      <c r="ACE47" s="16"/>
      <c r="ACF47" s="16"/>
      <c r="ACG47" s="16"/>
      <c r="ACH47" s="16"/>
      <c r="ACI47" s="16"/>
      <c r="ACJ47" s="16"/>
      <c r="ACK47" s="16"/>
      <c r="ACL47" s="16"/>
      <c r="ACM47" s="16"/>
      <c r="ACN47" s="16"/>
      <c r="ACO47" s="16"/>
      <c r="ACP47" s="16"/>
      <c r="ACQ47" s="16"/>
      <c r="ACR47" s="16"/>
      <c r="ACS47" s="16"/>
      <c r="ACT47" s="16"/>
      <c r="ACU47" s="16"/>
      <c r="ACV47" s="16"/>
      <c r="ACW47" s="16"/>
      <c r="ACX47" s="16"/>
      <c r="ACY47" s="16"/>
      <c r="ACZ47" s="16"/>
      <c r="ADA47" s="16"/>
      <c r="ADB47" s="16"/>
      <c r="ADC47" s="16"/>
      <c r="ADD47" s="16"/>
      <c r="ADE47" s="16"/>
      <c r="ADF47" s="16"/>
      <c r="ADG47" s="16"/>
      <c r="ADH47" s="16"/>
      <c r="ADI47" s="16"/>
      <c r="ADJ47" s="16"/>
      <c r="ADK47" s="16"/>
      <c r="ADL47" s="16"/>
      <c r="ADM47" s="16"/>
      <c r="ADN47" s="16"/>
      <c r="ADO47" s="16"/>
      <c r="ADP47" s="16"/>
      <c r="ADQ47" s="16" t="s">
        <v>2961</v>
      </c>
      <c r="ADR47" s="16"/>
      <c r="ADS47" s="16"/>
      <c r="ADT47" s="16"/>
      <c r="ADU47" s="16"/>
      <c r="ADV47" s="16"/>
      <c r="ADW47" s="16"/>
      <c r="ADX47" s="16"/>
      <c r="ADY47" s="16"/>
      <c r="ADZ47" s="16"/>
      <c r="AEA47" s="16"/>
      <c r="AEB47" s="16"/>
      <c r="AEC47" s="16"/>
      <c r="AED47" s="16"/>
      <c r="AEE47" s="16"/>
      <c r="AEF47" s="16"/>
      <c r="AEG47" s="16"/>
      <c r="AEH47" s="16"/>
      <c r="AEI47" s="16"/>
      <c r="AEJ47" s="16"/>
      <c r="AEK47" s="16"/>
      <c r="AEL47" s="16"/>
      <c r="AEM47" s="16"/>
      <c r="AEN47" s="16"/>
      <c r="AEO47" s="16"/>
      <c r="AEP47" s="16"/>
      <c r="AEQ47" s="16"/>
      <c r="AER47" s="16"/>
      <c r="AES47" s="16"/>
      <c r="AET47" s="16"/>
      <c r="AEU47" s="16"/>
      <c r="AEV47" s="16"/>
      <c r="AEW47" s="16"/>
      <c r="AEX47" s="16"/>
      <c r="AEY47" s="16"/>
      <c r="AEZ47" s="16"/>
      <c r="AFA47" s="16"/>
      <c r="AFB47" s="16"/>
      <c r="AFC47" s="16"/>
      <c r="AFD47" s="16"/>
      <c r="AFE47" s="16"/>
      <c r="AFF47" s="16"/>
      <c r="AFG47" s="16"/>
      <c r="AFH47" s="16"/>
      <c r="AFI47" s="16"/>
      <c r="AFJ47" s="16"/>
      <c r="AFK47" s="16"/>
      <c r="AFL47" s="16"/>
      <c r="AFM47" s="16"/>
      <c r="AFN47" s="16"/>
      <c r="AFO47" s="16"/>
      <c r="AFP47" s="16"/>
      <c r="AFQ47" s="16"/>
      <c r="AFR47" s="16"/>
      <c r="AFS47" s="16"/>
      <c r="AFT47" s="16"/>
      <c r="AFU47" s="16"/>
      <c r="AFV47" s="16"/>
      <c r="AFW47" s="16"/>
      <c r="AFX47" s="16"/>
      <c r="AFY47" s="16"/>
      <c r="AFZ47" s="16"/>
      <c r="AGA47" s="16">
        <v>1</v>
      </c>
      <c r="AGB47" s="16">
        <v>1</v>
      </c>
      <c r="AGC47" s="16">
        <v>1</v>
      </c>
      <c r="AGD47" s="16"/>
      <c r="AGE47" s="16">
        <v>1</v>
      </c>
      <c r="AGF47" s="16">
        <v>1</v>
      </c>
      <c r="AGG47" s="16">
        <v>1</v>
      </c>
      <c r="AGH47" s="16">
        <v>1</v>
      </c>
      <c r="AGI47" s="16">
        <v>1</v>
      </c>
      <c r="AGJ47" s="16">
        <v>1</v>
      </c>
      <c r="AGK47" s="16">
        <v>1</v>
      </c>
      <c r="AGL47" s="16">
        <v>1</v>
      </c>
      <c r="AGM47" s="16">
        <v>1</v>
      </c>
      <c r="AGN47" s="16">
        <v>1</v>
      </c>
      <c r="AGO47" s="16"/>
      <c r="AGP47" s="16"/>
      <c r="AGQ47" s="16"/>
      <c r="AGR47" s="16"/>
      <c r="AGS47" s="16"/>
      <c r="AGT47" s="16"/>
      <c r="AGU47" s="16"/>
      <c r="AGV47" s="16"/>
      <c r="AGW47" s="16"/>
      <c r="AGX47" s="16"/>
      <c r="AGY47" s="16"/>
      <c r="AGZ47" s="16"/>
      <c r="AHA47" s="16"/>
      <c r="AHB47" s="16"/>
      <c r="AHC47" s="16"/>
      <c r="AHD47" s="16"/>
      <c r="AHE47" s="16"/>
      <c r="AHF47" s="16"/>
      <c r="AHG47" s="16"/>
      <c r="AHH47" s="16"/>
      <c r="AHI47" s="16"/>
      <c r="AHJ47" s="16"/>
      <c r="AHK47" s="16"/>
      <c r="AHL47" s="16"/>
      <c r="AHM47" s="16"/>
      <c r="AHN47" s="16"/>
      <c r="AHO47" s="16"/>
      <c r="AHP47" s="16"/>
      <c r="AHQ47" s="16"/>
      <c r="AHR47" s="16"/>
      <c r="AHS47" s="16"/>
      <c r="AHT47" s="16"/>
      <c r="AHU47" s="16"/>
      <c r="AHV47" s="16"/>
      <c r="AHW47" s="16"/>
      <c r="AHX47" s="16"/>
      <c r="AHY47" s="16"/>
      <c r="AHZ47" s="16"/>
      <c r="AIA47" s="16"/>
      <c r="AIB47" s="16"/>
      <c r="AIC47" s="16"/>
      <c r="AID47" s="16"/>
      <c r="AIE47" s="16"/>
      <c r="AIF47" s="16"/>
      <c r="AIG47" s="16"/>
      <c r="AIH47" s="16"/>
      <c r="AII47" s="16"/>
      <c r="AIJ47" s="16"/>
      <c r="AIK47" s="16"/>
      <c r="AIL47" s="16"/>
      <c r="AIM47" s="16"/>
      <c r="AIN47" s="16"/>
      <c r="AIO47" s="16"/>
      <c r="AIP47" s="16"/>
      <c r="AIQ47" s="16"/>
      <c r="AIR47" s="16"/>
      <c r="AIS47" s="16"/>
      <c r="AIT47" s="16"/>
      <c r="AIU47" s="16"/>
      <c r="AIV47" s="16"/>
      <c r="AIW47" s="16"/>
      <c r="AIX47" s="16"/>
      <c r="AIY47" s="16"/>
      <c r="AIZ47" s="16"/>
      <c r="AJA47" s="16"/>
      <c r="AJB47" s="16"/>
      <c r="AJC47" s="16"/>
      <c r="AJD47" s="16"/>
      <c r="AJE47" s="16"/>
      <c r="AJF47" s="16"/>
      <c r="AJG47" s="16"/>
      <c r="AJH47" s="16"/>
      <c r="AJI47" s="16"/>
      <c r="AJJ47" s="16"/>
      <c r="AJK47" s="16"/>
      <c r="AJL47" s="16"/>
      <c r="AJM47" s="16"/>
      <c r="AJN47" s="16"/>
      <c r="AJO47" s="16"/>
      <c r="AJP47" s="16"/>
      <c r="AJQ47" s="16"/>
      <c r="AJR47" s="16"/>
      <c r="AJS47" s="16"/>
      <c r="AJT47" s="16"/>
      <c r="AJU47" s="16"/>
      <c r="AJV47" s="16"/>
      <c r="AJW47" s="16"/>
      <c r="AJX47" s="16"/>
      <c r="AJY47" s="16"/>
      <c r="AJZ47" s="16"/>
      <c r="AKA47" s="16"/>
      <c r="AKB47" s="16"/>
      <c r="AKC47" s="16"/>
      <c r="AKD47" s="16"/>
      <c r="AKE47" s="16"/>
      <c r="AKF47" s="16"/>
      <c r="AKG47" s="16"/>
      <c r="AKH47" s="16"/>
      <c r="AKI47" s="16"/>
      <c r="AKJ47" s="16"/>
      <c r="AKK47" s="16"/>
      <c r="AKL47" s="16"/>
      <c r="AKM47" s="16"/>
      <c r="AKN47" s="16"/>
      <c r="AKO47" s="16"/>
      <c r="AKP47" s="16"/>
      <c r="AKQ47" s="16"/>
      <c r="AKR47" s="16"/>
      <c r="AKS47" s="16"/>
      <c r="AKT47" s="16"/>
      <c r="AKU47" s="16"/>
      <c r="AKV47" s="16"/>
      <c r="AKW47" s="16"/>
      <c r="AKX47" s="16"/>
      <c r="AKY47" s="16"/>
      <c r="AKZ47" s="16"/>
      <c r="ALA47" s="16"/>
      <c r="ALB47" s="16"/>
      <c r="ALC47" s="16"/>
      <c r="ALD47" s="16"/>
      <c r="ALE47" s="16"/>
      <c r="ALF47" s="16"/>
      <c r="ALG47" s="16"/>
      <c r="ALH47" s="16"/>
      <c r="ALI47" s="16"/>
      <c r="ALJ47" s="16"/>
      <c r="ALK47" s="16"/>
      <c r="ALL47" s="16"/>
      <c r="ALM47" s="16"/>
      <c r="ALN47" s="16"/>
      <c r="ALO47" s="16"/>
      <c r="ALP47" s="16"/>
      <c r="ALQ47" s="16"/>
      <c r="ALR47" s="16"/>
      <c r="ALS47" s="16"/>
      <c r="ALT47" s="16"/>
      <c r="ALU47" s="16"/>
      <c r="ALV47" s="16"/>
      <c r="ALW47" s="16"/>
      <c r="ALX47" s="16"/>
      <c r="ALY47" s="16"/>
      <c r="ALZ47" s="16"/>
      <c r="AMA47" s="16"/>
      <c r="AMB47" s="16"/>
      <c r="AMC47" s="16"/>
      <c r="AMD47" s="16"/>
      <c r="AME47" s="16"/>
      <c r="AMF47" s="16"/>
      <c r="AMG47" s="16"/>
      <c r="AMH47" s="16"/>
      <c r="AMI47" s="16"/>
      <c r="AMJ47" s="16"/>
      <c r="AMK47" s="16"/>
      <c r="AML47" s="16"/>
      <c r="AMM47" s="16"/>
      <c r="AMN47" s="16"/>
      <c r="AMO47" s="16"/>
      <c r="AMP47" s="16"/>
      <c r="AMQ47" s="16"/>
      <c r="AMR47" s="16"/>
      <c r="AMS47" s="16"/>
      <c r="AMT47" s="16"/>
      <c r="AMU47" s="16"/>
      <c r="AMV47" s="16"/>
      <c r="AMW47" s="16"/>
      <c r="AMX47" s="16"/>
      <c r="AMY47" s="16"/>
      <c r="AMZ47" s="16"/>
      <c r="ANA47" s="16"/>
      <c r="ANB47" s="16"/>
      <c r="ANC47" s="16"/>
      <c r="AND47" s="16"/>
      <c r="ANE47" s="16"/>
      <c r="ANF47" s="16"/>
      <c r="ANG47" s="16"/>
      <c r="ANH47" s="16"/>
      <c r="ANI47" s="16"/>
      <c r="ANJ47" s="16"/>
      <c r="ANK47" s="16"/>
      <c r="ANL47" s="16"/>
      <c r="ANM47" s="16"/>
      <c r="ANN47" s="16"/>
      <c r="ANO47" s="16"/>
      <c r="ANP47" s="16"/>
      <c r="ANQ47" s="16"/>
      <c r="ANR47" s="16"/>
      <c r="ANS47" s="16"/>
      <c r="ANT47" s="16"/>
      <c r="ANU47" s="16"/>
      <c r="ANV47" s="16"/>
      <c r="ANW47" s="16"/>
      <c r="ANX47" s="16"/>
      <c r="ANY47" s="16"/>
      <c r="ANZ47" s="16"/>
      <c r="AOA47" s="16"/>
      <c r="AOB47" s="16"/>
      <c r="AOC47" s="16"/>
      <c r="AOD47" s="16"/>
      <c r="AOE47" s="16"/>
      <c r="AOF47" s="16"/>
      <c r="AOG47" s="16"/>
      <c r="AOH47" s="16"/>
      <c r="AOI47" s="16"/>
      <c r="AOJ47" s="16"/>
      <c r="AOK47" s="16"/>
      <c r="AOL47" s="16"/>
      <c r="AOM47" s="16"/>
      <c r="AON47" s="16"/>
      <c r="AOO47" s="16"/>
      <c r="AOP47" s="16"/>
      <c r="AOQ47" s="16"/>
      <c r="AOR47" s="16"/>
      <c r="AOS47" s="16"/>
      <c r="AOT47" s="16"/>
      <c r="AOU47" s="16"/>
      <c r="AOV47" s="16"/>
      <c r="AOW47" s="16"/>
      <c r="AOX47" s="16"/>
      <c r="AOY47" s="16"/>
      <c r="AOZ47" s="16"/>
      <c r="APA47" s="16"/>
      <c r="APB47" s="16"/>
      <c r="APC47" s="16"/>
      <c r="APD47" s="16"/>
      <c r="APE47" s="16"/>
      <c r="APF47" s="16"/>
      <c r="APG47" s="16"/>
      <c r="APH47" s="16"/>
      <c r="API47" s="16"/>
      <c r="APJ47" s="16"/>
      <c r="APK47" s="16"/>
      <c r="APL47" s="16"/>
      <c r="APM47" s="16"/>
      <c r="APN47" s="16"/>
      <c r="APO47" s="16"/>
      <c r="APP47" s="16"/>
      <c r="APQ47" s="16"/>
      <c r="APR47" s="16"/>
      <c r="APS47" s="16"/>
      <c r="APT47" s="16"/>
      <c r="APU47" s="16"/>
      <c r="APV47" s="16"/>
      <c r="APW47" s="16"/>
      <c r="APX47" s="16"/>
      <c r="APY47" s="16"/>
      <c r="APZ47" s="16"/>
      <c r="AQA47" s="16"/>
      <c r="AQB47" s="16"/>
      <c r="AQC47" s="16"/>
      <c r="AQD47" s="16"/>
      <c r="AQE47" s="16"/>
      <c r="AQF47" s="16"/>
      <c r="AQG47" s="16"/>
      <c r="AQH47" s="16"/>
      <c r="AQI47" s="16"/>
      <c r="AQJ47" s="16"/>
      <c r="AQK47" s="16"/>
      <c r="AQL47" s="16"/>
      <c r="AQM47" s="16"/>
      <c r="AQN47" s="16"/>
      <c r="AQO47" s="16"/>
      <c r="AQP47" s="16"/>
      <c r="AQQ47" s="16"/>
      <c r="AQR47" s="16"/>
      <c r="AQS47" s="16"/>
      <c r="AQT47" s="16"/>
      <c r="AQU47" s="16"/>
      <c r="AQV47" s="16"/>
      <c r="AQW47" s="16"/>
      <c r="AQX47" s="16"/>
      <c r="AQY47" s="16"/>
      <c r="AQZ47" s="16"/>
      <c r="ARA47" s="16"/>
      <c r="ARB47" s="16"/>
      <c r="ARC47" s="16"/>
      <c r="ARD47" s="16"/>
      <c r="ARE47" s="16"/>
      <c r="ARF47" s="16"/>
      <c r="ARG47" s="16"/>
      <c r="ARH47" s="16"/>
      <c r="ARI47" s="16"/>
      <c r="ARJ47" s="16"/>
      <c r="ARK47" s="16"/>
      <c r="ARL47" s="16"/>
      <c r="ARM47" s="16"/>
      <c r="ARN47" s="16"/>
      <c r="ARO47" s="16"/>
      <c r="ARP47" s="16"/>
      <c r="ARQ47" s="16"/>
      <c r="ARR47" s="16"/>
      <c r="ARS47" s="16"/>
      <c r="ART47" s="16"/>
      <c r="ARU47" s="16"/>
      <c r="ARV47" s="16"/>
      <c r="ARW47" s="16"/>
      <c r="ARX47" s="16"/>
      <c r="ARY47" s="16"/>
      <c r="ARZ47" s="16"/>
      <c r="ASA47" s="16"/>
      <c r="ASB47" s="16"/>
      <c r="ASC47" s="16"/>
      <c r="ASD47" s="16"/>
      <c r="ASE47" s="16"/>
      <c r="ASF47" s="16"/>
      <c r="ASG47" s="16"/>
      <c r="ASH47" s="16"/>
      <c r="ASI47" s="16"/>
      <c r="ASJ47" s="16"/>
      <c r="ASK47" s="16"/>
      <c r="ASL47" s="16"/>
      <c r="ASM47" s="16"/>
      <c r="ASN47" s="16"/>
      <c r="ASO47" s="16"/>
      <c r="ASP47" s="16"/>
      <c r="ASQ47" s="16"/>
      <c r="ASR47" s="16"/>
      <c r="ASS47" s="16"/>
      <c r="AST47" s="16"/>
      <c r="ASU47" s="16"/>
      <c r="ASV47" s="16"/>
      <c r="ASW47" s="16"/>
      <c r="ASX47" s="16"/>
      <c r="ASY47" s="16"/>
      <c r="ASZ47" s="16"/>
      <c r="ATA47" s="16"/>
      <c r="ATB47" s="16"/>
      <c r="ATC47" s="16"/>
      <c r="ATD47" s="16"/>
      <c r="ATE47" s="16"/>
      <c r="ATF47" s="16"/>
      <c r="ATG47" s="16"/>
      <c r="ATH47" s="16"/>
      <c r="ATI47" s="16"/>
      <c r="ATJ47" s="16"/>
      <c r="ATK47" s="16"/>
      <c r="ATL47" s="16"/>
      <c r="ATM47" s="16"/>
      <c r="ATN47" s="16"/>
      <c r="ATO47" s="16"/>
      <c r="ATP47" s="16"/>
      <c r="ATQ47" s="16"/>
      <c r="ATR47" s="16"/>
      <c r="ATS47" s="16"/>
      <c r="ATT47" s="16"/>
      <c r="ATU47" s="16"/>
      <c r="ATV47" s="16"/>
      <c r="ATW47" s="16"/>
      <c r="ATX47" s="16"/>
      <c r="ATY47" s="16"/>
      <c r="ATZ47" s="16"/>
      <c r="AUA47" s="16"/>
      <c r="AUB47" s="16"/>
      <c r="AUC47" s="16"/>
      <c r="AUD47" s="16"/>
      <c r="AUE47" s="16"/>
      <c r="AUF47" s="16"/>
      <c r="AUG47" s="16"/>
      <c r="AUH47" s="16"/>
      <c r="AUI47" s="16"/>
      <c r="AUJ47" s="16"/>
      <c r="AUK47" s="16"/>
      <c r="AUL47" s="16"/>
      <c r="AUM47" s="16"/>
      <c r="AUN47" s="16"/>
      <c r="AUO47" s="16"/>
      <c r="AUP47" s="16"/>
      <c r="AUQ47" s="16"/>
      <c r="AUR47" s="16"/>
      <c r="AUS47" s="16"/>
      <c r="AUT47" s="16"/>
      <c r="AUU47" s="16"/>
      <c r="AUV47" s="16"/>
      <c r="AUW47" s="16"/>
      <c r="AUX47" s="16"/>
      <c r="AUY47" s="16"/>
      <c r="AUZ47" s="16"/>
      <c r="AVA47" s="16"/>
      <c r="AVB47" s="16"/>
      <c r="AVC47" s="16"/>
      <c r="AVD47" s="16"/>
      <c r="AVE47" s="16"/>
      <c r="AVF47" s="16"/>
      <c r="AVG47" s="16"/>
      <c r="AVH47" s="16"/>
      <c r="AVI47" s="16"/>
      <c r="AVJ47" s="16"/>
      <c r="AVK47" s="16"/>
      <c r="AVL47" s="16"/>
      <c r="AVM47" s="16"/>
      <c r="AVN47" s="16"/>
      <c r="AVO47" s="16"/>
      <c r="AVP47" s="16"/>
      <c r="AVQ47" s="16"/>
      <c r="AVR47" s="16"/>
      <c r="AVS47" s="16"/>
      <c r="AVT47" s="16"/>
      <c r="AVU47" s="16"/>
      <c r="AVV47" s="16"/>
      <c r="AVW47" s="16"/>
      <c r="AVX47" s="16"/>
      <c r="AVY47" s="16"/>
      <c r="AVZ47" s="16"/>
      <c r="AWA47" s="16"/>
      <c r="AWB47" s="16"/>
      <c r="AWC47" s="16"/>
      <c r="AWD47" s="16"/>
      <c r="AWE47" s="16"/>
      <c r="AWF47" s="16"/>
      <c r="AWG47" s="16"/>
      <c r="AWH47" s="16"/>
      <c r="AWI47" s="16"/>
      <c r="AWJ47" s="16"/>
      <c r="AWK47" s="16"/>
      <c r="AWL47" s="16"/>
      <c r="AWM47" s="16"/>
      <c r="AWN47" s="16"/>
      <c r="AWO47" s="16"/>
      <c r="AWP47" s="16"/>
      <c r="AWQ47" s="16"/>
      <c r="AWR47" s="16"/>
      <c r="AWS47" s="16"/>
      <c r="AWT47" s="16"/>
      <c r="AWU47" s="16"/>
      <c r="AWV47" s="16"/>
      <c r="AWW47" s="16"/>
      <c r="AWX47" s="16"/>
      <c r="AWY47" s="16"/>
      <c r="AWZ47" s="16"/>
      <c r="AXA47" s="16"/>
      <c r="AXB47" s="16"/>
      <c r="AXC47" s="16"/>
      <c r="AXD47" s="16"/>
      <c r="AXE47" s="16"/>
      <c r="AXF47" s="16"/>
      <c r="AXG47" s="16"/>
      <c r="AXH47" s="16"/>
      <c r="AXI47" s="16"/>
      <c r="AXJ47" s="16"/>
      <c r="AXK47" s="16"/>
      <c r="AXL47" s="16"/>
      <c r="AXM47" s="16"/>
      <c r="AXN47" s="16"/>
      <c r="AXO47" s="16"/>
      <c r="AXP47" s="16"/>
      <c r="AXQ47" s="16"/>
      <c r="AXR47" s="16"/>
      <c r="AXS47" s="16"/>
      <c r="AXT47" s="16"/>
      <c r="AXU47" s="16"/>
      <c r="AXV47" s="16"/>
      <c r="AXW47" s="16"/>
      <c r="AXX47" s="16"/>
      <c r="AXY47" s="16"/>
      <c r="AXZ47" s="16"/>
      <c r="AYA47" s="16"/>
      <c r="AYB47" s="16"/>
      <c r="AYC47" s="16"/>
      <c r="AYD47" s="16"/>
      <c r="AYE47" s="16"/>
      <c r="AYF47" s="16"/>
      <c r="AYG47" s="16"/>
      <c r="AYH47" s="16"/>
      <c r="AYI47" s="16"/>
      <c r="AYJ47" s="16"/>
      <c r="AYK47" s="16"/>
      <c r="AYL47" s="16"/>
      <c r="AYM47" s="16"/>
      <c r="AYN47" s="16"/>
      <c r="AYO47" s="16"/>
      <c r="AYP47" s="16"/>
      <c r="AYQ47" s="16"/>
      <c r="AYR47" s="16"/>
      <c r="AYS47" s="16"/>
      <c r="AYT47" s="16"/>
      <c r="AYU47" s="16"/>
      <c r="AYV47" s="16"/>
      <c r="AYW47" s="16"/>
      <c r="AYX47" s="16"/>
      <c r="AYY47" s="16"/>
      <c r="AYZ47" s="16"/>
      <c r="AZA47" s="16"/>
      <c r="AZB47" s="16"/>
      <c r="AZC47" s="16"/>
      <c r="AZD47" s="16"/>
      <c r="AZE47" s="16"/>
      <c r="AZF47" s="16"/>
      <c r="AZG47" s="16"/>
      <c r="AZH47" s="16"/>
      <c r="AZI47" s="16"/>
      <c r="AZJ47" s="16"/>
      <c r="AZK47" s="16"/>
      <c r="AZL47" s="16"/>
      <c r="AZM47" s="16"/>
      <c r="AZN47" s="16"/>
      <c r="AZO47" s="16"/>
      <c r="AZP47" s="16"/>
      <c r="AZQ47" s="16"/>
      <c r="AZR47" s="16"/>
      <c r="AZS47" s="16"/>
      <c r="AZT47" s="16"/>
      <c r="AZU47" s="16"/>
      <c r="AZV47" s="16"/>
      <c r="AZW47" s="16"/>
      <c r="AZX47" s="16"/>
      <c r="AZY47" s="16"/>
      <c r="AZZ47" s="16"/>
      <c r="BAA47" s="16"/>
      <c r="BAB47" s="16"/>
      <c r="BAC47" s="16"/>
      <c r="BAD47" s="16"/>
      <c r="BAE47" s="16"/>
      <c r="BAF47" s="16"/>
      <c r="BAG47" s="16"/>
      <c r="BAH47" s="16"/>
      <c r="BAI47" s="16"/>
      <c r="BAJ47" s="16"/>
      <c r="BAK47" s="16"/>
      <c r="BAL47" s="16"/>
      <c r="BAM47" s="16"/>
      <c r="BAN47" s="16"/>
      <c r="BAO47" s="16"/>
      <c r="BAP47" s="16"/>
      <c r="BAQ47" s="16"/>
      <c r="BAR47" s="16"/>
      <c r="BAS47" s="16"/>
      <c r="BAT47" s="16"/>
      <c r="BAU47" s="16"/>
      <c r="BAV47" s="16"/>
      <c r="BAW47" s="16"/>
      <c r="BAX47" s="16"/>
      <c r="BAY47" s="16"/>
      <c r="BAZ47" s="16"/>
      <c r="BBA47" s="16"/>
      <c r="BBB47" s="16"/>
      <c r="BBC47" s="16"/>
      <c r="BBD47" s="16"/>
      <c r="BBE47" s="16"/>
      <c r="BBF47" s="16"/>
      <c r="BBG47" s="16"/>
      <c r="BBH47" s="16"/>
      <c r="BBI47" s="16"/>
      <c r="BBJ47" s="16"/>
      <c r="BBK47" s="16"/>
      <c r="BBL47" s="16"/>
      <c r="BBM47" s="16"/>
      <c r="BBN47" s="16"/>
      <c r="BBO47" s="16"/>
      <c r="BBP47" s="16"/>
      <c r="BBQ47" s="16"/>
      <c r="BBR47" s="16"/>
      <c r="BBS47" s="16"/>
      <c r="BBT47" s="16"/>
      <c r="BBU47" s="16"/>
      <c r="BBV47" s="16"/>
      <c r="BBW47" s="16"/>
      <c r="BBX47" s="16"/>
      <c r="BBY47" s="16"/>
      <c r="BBZ47" s="16"/>
      <c r="BCA47" s="16"/>
      <c r="BCB47" s="16"/>
      <c r="BCC47" s="16"/>
      <c r="BCD47" s="16"/>
      <c r="BCE47" s="16"/>
      <c r="BCF47" s="16"/>
      <c r="BCG47" s="16"/>
      <c r="BCH47" s="16"/>
      <c r="BCI47" s="16"/>
      <c r="BCJ47" s="16"/>
      <c r="BCK47" s="16"/>
      <c r="BCL47" s="16"/>
      <c r="BCM47" s="16"/>
      <c r="BCN47" s="16"/>
      <c r="BCO47" s="16"/>
      <c r="BCP47" s="16"/>
      <c r="BCQ47" s="16"/>
      <c r="BCR47" s="16"/>
      <c r="BCS47" s="16"/>
      <c r="BCT47" s="16"/>
      <c r="BCU47" s="16"/>
      <c r="BCV47" s="16"/>
      <c r="BCW47" s="16"/>
      <c r="BCX47" s="16"/>
      <c r="BCY47" s="16"/>
      <c r="BCZ47" s="16"/>
      <c r="BDA47" s="16"/>
      <c r="BDB47" s="16"/>
      <c r="BDC47" s="16"/>
      <c r="BDD47" s="16"/>
      <c r="BDE47" s="16"/>
      <c r="BDF47" s="16"/>
      <c r="BDG47" s="16"/>
      <c r="BDH47" s="16"/>
      <c r="BDI47" s="16"/>
      <c r="BDJ47" s="16"/>
      <c r="BDK47" s="16"/>
      <c r="BDL47" s="16"/>
      <c r="BDM47" s="16"/>
      <c r="BDN47" s="16"/>
      <c r="BDO47" s="16"/>
      <c r="BDP47" s="16"/>
      <c r="BDQ47" s="16"/>
      <c r="BDR47" s="16"/>
      <c r="BDS47" s="16"/>
      <c r="BDT47" s="16"/>
      <c r="BDU47" s="16"/>
      <c r="BDV47" s="16"/>
      <c r="BDW47" s="16"/>
      <c r="BDX47" s="16"/>
      <c r="BDY47" s="16"/>
      <c r="BDZ47" s="16"/>
      <c r="BEA47" s="16"/>
      <c r="BEB47" s="16"/>
      <c r="BEC47" s="16"/>
      <c r="BED47" s="16"/>
      <c r="BEE47" s="16"/>
      <c r="BEF47" s="16"/>
      <c r="BEG47" s="16"/>
      <c r="BEH47" s="16"/>
      <c r="BEI47" s="16"/>
      <c r="BEJ47" s="16"/>
      <c r="BEK47" s="16"/>
      <c r="BEL47" s="16"/>
      <c r="BEM47" s="16"/>
      <c r="BEN47" s="16"/>
      <c r="BEO47" s="16"/>
      <c r="BEP47" s="16"/>
      <c r="BEQ47" s="16"/>
      <c r="BER47" s="16"/>
      <c r="BES47" s="16"/>
      <c r="BET47" s="16"/>
      <c r="BEU47" s="16"/>
      <c r="BEV47" s="16"/>
      <c r="BEW47" s="16"/>
      <c r="BEX47" s="16"/>
      <c r="BEY47" s="16"/>
      <c r="BEZ47" s="16"/>
      <c r="BFA47" s="16"/>
      <c r="BFB47" s="16"/>
      <c r="BFC47" s="16"/>
      <c r="BFD47" s="16"/>
      <c r="BFE47" s="16"/>
      <c r="BFF47" s="16"/>
      <c r="BFG47" s="16"/>
      <c r="BFH47" s="16"/>
      <c r="BFI47" s="16"/>
      <c r="BFJ47" s="16"/>
      <c r="BFK47" s="16"/>
      <c r="BFL47" s="16"/>
      <c r="BFM47" s="16"/>
      <c r="BFN47" s="16"/>
      <c r="BFO47" s="16"/>
      <c r="BFP47" s="16"/>
      <c r="BFQ47" s="16"/>
      <c r="BFR47" s="16"/>
      <c r="BFS47" s="16"/>
      <c r="BFT47" s="16"/>
      <c r="BFU47" s="16"/>
      <c r="BFV47" s="16"/>
      <c r="BFW47" s="16"/>
      <c r="BFX47" s="16"/>
      <c r="BFY47" s="16"/>
      <c r="BFZ47" s="16"/>
      <c r="BGA47" s="16"/>
      <c r="BGB47" s="16"/>
      <c r="BGC47" s="16"/>
      <c r="BGD47" s="16"/>
      <c r="BGE47" s="16"/>
      <c r="BGF47" s="16"/>
      <c r="BGG47" s="16"/>
      <c r="BGH47" s="16"/>
      <c r="BGI47" s="16"/>
      <c r="BGJ47" s="16"/>
      <c r="BGK47" s="16"/>
      <c r="BGL47" s="16"/>
      <c r="BGM47" s="16"/>
      <c r="BGN47" s="16"/>
      <c r="BGO47" s="16"/>
      <c r="BGP47" s="16"/>
      <c r="BGQ47" s="16"/>
      <c r="BGR47" s="16"/>
      <c r="BGS47" s="16"/>
      <c r="BGT47" s="16"/>
      <c r="BGU47" s="16"/>
      <c r="BGV47" s="16"/>
      <c r="BGW47" s="16"/>
      <c r="BGX47" s="16"/>
      <c r="BGY47" s="16"/>
      <c r="BGZ47" s="16"/>
      <c r="BHA47" s="16"/>
      <c r="BHB47" s="16"/>
      <c r="BHC47" s="16"/>
      <c r="BHD47" s="16"/>
      <c r="BHE47" s="16"/>
      <c r="BHF47" s="16"/>
      <c r="BHG47" s="16"/>
      <c r="BHH47" s="16"/>
      <c r="BHI47" s="16"/>
      <c r="BHJ47" s="16"/>
      <c r="BHK47" s="16"/>
      <c r="BHL47" s="16"/>
      <c r="BHM47" s="16"/>
      <c r="BHN47" s="16"/>
      <c r="BHO47" s="16"/>
      <c r="BHP47" s="16"/>
      <c r="BHQ47" s="16"/>
      <c r="BHR47" s="16"/>
      <c r="BHS47" s="16"/>
      <c r="BHT47" s="16"/>
      <c r="BHU47" s="16"/>
      <c r="BHV47" s="16"/>
      <c r="BHW47" s="16"/>
      <c r="BHX47" s="16"/>
      <c r="BHY47" s="16"/>
      <c r="BHZ47" s="16"/>
      <c r="BIA47" s="16"/>
      <c r="BIB47" s="16"/>
      <c r="BIC47" s="16"/>
      <c r="BID47" s="16"/>
      <c r="BIE47" s="16"/>
      <c r="BIF47" s="16"/>
      <c r="BIG47" s="16"/>
      <c r="BIH47" s="16"/>
      <c r="BII47" s="16"/>
      <c r="BIJ47" s="16"/>
      <c r="BIK47" s="16"/>
      <c r="BIL47" s="16"/>
      <c r="BIM47" s="16"/>
      <c r="BIN47" s="16"/>
      <c r="BIO47" s="16"/>
      <c r="BIP47" s="16"/>
      <c r="BIQ47" s="16"/>
      <c r="BIR47" s="16"/>
      <c r="BIS47" s="16"/>
      <c r="BIT47" s="16"/>
      <c r="BIU47" s="16"/>
      <c r="BIV47" s="16"/>
      <c r="BIW47" s="16"/>
      <c r="BIX47" s="16"/>
      <c r="BIY47" s="16"/>
      <c r="BIZ47" s="16"/>
      <c r="BJA47" s="16"/>
      <c r="BJB47" s="16"/>
      <c r="BJC47" s="16"/>
      <c r="BJD47" s="16"/>
      <c r="BJE47" s="16"/>
      <c r="BJF47" s="16"/>
      <c r="BJG47" s="16"/>
      <c r="BJH47" s="16"/>
      <c r="BJI47" s="16"/>
      <c r="BJJ47" s="16"/>
      <c r="BJK47" s="16"/>
      <c r="BJL47" s="16"/>
      <c r="BJM47" s="16"/>
      <c r="BJN47" s="16"/>
      <c r="BJO47" s="16"/>
      <c r="BJP47" s="16"/>
      <c r="BJQ47" s="16"/>
      <c r="BJR47" s="16"/>
      <c r="BJS47" s="16"/>
      <c r="BJT47" s="16"/>
      <c r="BJU47" s="16"/>
      <c r="BJV47" s="16"/>
      <c r="BJW47" s="16"/>
      <c r="BJX47" s="16"/>
      <c r="BJY47" s="16"/>
      <c r="BJZ47" s="16"/>
      <c r="BKA47" s="16"/>
      <c r="BKB47" s="16"/>
      <c r="BKC47" s="16"/>
      <c r="BKD47" s="16"/>
      <c r="BKE47" s="16"/>
      <c r="BKF47" s="16"/>
      <c r="BKG47" s="16"/>
      <c r="BKH47" s="16"/>
      <c r="BKI47" s="16"/>
      <c r="BKJ47" s="16"/>
      <c r="BKK47" s="16"/>
      <c r="BKL47" s="16"/>
      <c r="BKM47" s="16"/>
      <c r="BKN47" s="16"/>
      <c r="BKO47" s="16"/>
      <c r="BKP47" s="16"/>
      <c r="BKQ47" s="16"/>
      <c r="BKR47" s="16"/>
      <c r="BKS47" s="16"/>
      <c r="BKT47" s="16"/>
      <c r="BKU47" s="16"/>
      <c r="BKV47" s="16"/>
      <c r="BKW47" s="16"/>
      <c r="BKX47" s="16"/>
      <c r="BKY47" s="16"/>
      <c r="BKZ47" s="16"/>
      <c r="BLA47" s="16"/>
      <c r="BLB47" s="16"/>
      <c r="BLC47" s="16"/>
      <c r="BLD47" s="16"/>
      <c r="BLE47" s="16"/>
      <c r="BLF47" s="16"/>
      <c r="BLG47" s="16"/>
      <c r="BLH47" s="16"/>
      <c r="BLI47" s="16"/>
      <c r="BLJ47" s="16"/>
      <c r="BLK47" s="16"/>
      <c r="BLL47" s="16"/>
      <c r="BLM47" s="16"/>
      <c r="BLN47" s="16"/>
      <c r="BLO47" s="16"/>
      <c r="BLP47" s="16"/>
      <c r="BLQ47" s="16"/>
      <c r="BLR47" s="16"/>
      <c r="BLS47" s="16"/>
      <c r="BLT47" s="16"/>
      <c r="BLU47" s="16"/>
      <c r="BLV47" s="16"/>
      <c r="BLW47" s="16"/>
      <c r="BLX47" s="16"/>
      <c r="BLY47" s="16"/>
      <c r="BLZ47" s="16"/>
      <c r="BMA47" s="16"/>
      <c r="BMB47" s="16"/>
      <c r="BMC47" s="16"/>
      <c r="BMD47" s="16"/>
      <c r="BME47" s="16"/>
      <c r="BMF47" s="16"/>
      <c r="BMG47" s="16"/>
      <c r="BMH47" s="16"/>
      <c r="BMI47" s="16"/>
      <c r="BMJ47" s="16"/>
      <c r="BMK47" s="16"/>
      <c r="BML47" s="16"/>
      <c r="BMM47" s="16"/>
      <c r="BMN47" s="16"/>
      <c r="BMO47" s="16"/>
      <c r="BMP47" s="16"/>
      <c r="BMQ47" s="16"/>
      <c r="BMR47" s="16"/>
      <c r="BMS47" s="16"/>
      <c r="BMT47" s="16"/>
      <c r="BMU47" s="16"/>
      <c r="BMV47" s="16"/>
      <c r="BMW47" s="16"/>
      <c r="BMX47" s="16"/>
      <c r="BMY47" s="16"/>
      <c r="BMZ47" s="16"/>
      <c r="BNA47" s="16"/>
      <c r="BNB47" s="16"/>
      <c r="BNC47" s="16"/>
      <c r="BND47" s="16"/>
      <c r="BNE47" s="16"/>
      <c r="BNF47" s="16"/>
      <c r="BNG47" s="16"/>
      <c r="BNH47" s="16"/>
      <c r="BNI47" s="16"/>
      <c r="BNJ47" s="16"/>
      <c r="BNK47" s="16"/>
      <c r="BNL47" s="16"/>
      <c r="BNM47" s="16"/>
      <c r="BNN47" s="16"/>
      <c r="BNO47" s="16"/>
      <c r="BNP47" s="16"/>
      <c r="BNQ47" s="16"/>
      <c r="BNR47" s="16"/>
      <c r="BNS47" s="16"/>
      <c r="BNT47" s="16"/>
      <c r="BNU47" s="16"/>
      <c r="BNV47" s="16"/>
      <c r="BNW47" s="16"/>
      <c r="BNX47" s="16"/>
      <c r="BNY47" s="16"/>
      <c r="BNZ47" s="16"/>
      <c r="BOA47" s="16"/>
      <c r="BOB47" s="16"/>
      <c r="BOC47" s="16"/>
      <c r="BOD47" s="16"/>
      <c r="BOE47" s="16"/>
      <c r="BOF47" s="16"/>
      <c r="BOG47" s="16"/>
      <c r="BOH47" s="16"/>
      <c r="BOI47" s="16"/>
      <c r="BOJ47" s="16"/>
      <c r="BOK47" s="16"/>
      <c r="BOL47" s="16"/>
      <c r="BOM47" s="16"/>
      <c r="BON47" s="16"/>
      <c r="BOO47" s="16"/>
      <c r="BOP47" s="16"/>
      <c r="BOQ47" s="16"/>
      <c r="BOR47" s="16"/>
      <c r="BOS47" s="16"/>
      <c r="BOT47" s="16"/>
      <c r="BOU47" s="16"/>
      <c r="BOV47" s="16"/>
      <c r="BOW47" s="16"/>
      <c r="BOX47" s="16"/>
      <c r="BOY47" s="16"/>
      <c r="BOZ47" s="16"/>
      <c r="BPA47" s="16"/>
      <c r="BPB47" s="16"/>
      <c r="BPC47" s="16"/>
      <c r="BPD47" s="16"/>
      <c r="BPE47" s="16"/>
      <c r="BPF47" s="16"/>
      <c r="BPG47" s="16"/>
      <c r="BPH47" s="16"/>
      <c r="BPI47" s="16"/>
      <c r="BPJ47" s="16"/>
      <c r="BPK47" s="16"/>
      <c r="BPL47" s="16"/>
      <c r="BPM47" s="16"/>
      <c r="BPN47" s="16"/>
      <c r="BPO47" s="16"/>
      <c r="BPP47" s="16"/>
      <c r="BPQ47" s="16"/>
      <c r="BPR47" s="16"/>
      <c r="BPS47" s="16"/>
      <c r="BPT47" s="16"/>
      <c r="BPU47" s="16"/>
      <c r="BPV47" s="16"/>
      <c r="BPW47" s="16"/>
      <c r="BPX47" s="16"/>
      <c r="BPY47" s="16"/>
      <c r="BPZ47" s="16"/>
      <c r="BQA47" s="16"/>
      <c r="BQB47" s="16"/>
      <c r="BQC47" s="16"/>
      <c r="BQD47" s="16"/>
      <c r="BQE47" s="16"/>
      <c r="BQF47" s="16"/>
      <c r="BQG47" s="16"/>
      <c r="BQH47" s="16"/>
      <c r="BQI47" s="16"/>
      <c r="BQJ47" s="16"/>
      <c r="BQK47" s="16"/>
      <c r="BQL47" s="16"/>
      <c r="BQM47" s="16"/>
      <c r="BQN47" s="16"/>
      <c r="BQO47" s="16"/>
      <c r="BQP47" s="16"/>
      <c r="BQQ47" s="16"/>
      <c r="BQR47" s="16"/>
      <c r="BQS47" s="16"/>
      <c r="BQT47" s="16"/>
      <c r="BQU47" s="16"/>
      <c r="BQV47" s="16"/>
      <c r="BQW47" s="16"/>
      <c r="BQX47" s="16"/>
      <c r="BQY47" s="16"/>
      <c r="BQZ47" s="16"/>
      <c r="BRA47" s="16"/>
      <c r="BRB47" s="16"/>
      <c r="BRC47" s="16"/>
      <c r="BRD47" s="16"/>
      <c r="BRE47" s="16"/>
      <c r="BRF47" s="16"/>
      <c r="BRG47" s="16"/>
      <c r="BRH47" s="16"/>
      <c r="BRI47" s="16"/>
      <c r="BRJ47" s="16"/>
      <c r="BRK47" s="16"/>
      <c r="BRL47" s="16"/>
      <c r="BRM47" s="16"/>
      <c r="BRN47" s="16"/>
      <c r="BRO47" s="16"/>
      <c r="BRP47" s="16"/>
      <c r="BRQ47" s="16"/>
      <c r="BRR47" s="16"/>
      <c r="BRS47" s="16"/>
      <c r="BRT47" s="16"/>
      <c r="BRU47" s="16"/>
      <c r="BRV47" s="16"/>
      <c r="BRW47" s="16"/>
      <c r="BRX47" s="16"/>
      <c r="BRY47" s="16"/>
      <c r="BRZ47" s="16"/>
      <c r="BSA47" s="16"/>
      <c r="BSB47" s="16"/>
      <c r="BSC47" s="16"/>
      <c r="BSD47" s="16"/>
      <c r="BSE47" s="16"/>
      <c r="BSF47" s="16"/>
      <c r="BSG47" s="16"/>
      <c r="BSH47" s="16"/>
      <c r="BSI47" s="16"/>
      <c r="BSJ47" s="16"/>
      <c r="BSK47" s="16"/>
      <c r="BSL47" s="16"/>
      <c r="BSM47" s="16"/>
      <c r="BSN47" s="16"/>
      <c r="BSO47" s="16"/>
      <c r="BSP47" s="16"/>
      <c r="BSQ47" s="16"/>
      <c r="BSR47" s="16"/>
      <c r="BSS47" s="16"/>
      <c r="BST47" s="16"/>
      <c r="BSU47" s="16"/>
      <c r="BSV47" s="16"/>
      <c r="BSW47" s="16"/>
      <c r="BSX47" s="16"/>
      <c r="BSY47" s="16"/>
      <c r="BSZ47" s="16"/>
      <c r="BTA47" s="16"/>
      <c r="BTB47" s="16"/>
      <c r="BTC47" s="16"/>
      <c r="BTD47" s="16"/>
      <c r="BTE47" s="16"/>
      <c r="BTF47" s="16"/>
      <c r="BTG47" s="16"/>
      <c r="BTH47" s="16"/>
      <c r="BTI47" s="16"/>
      <c r="BTJ47" s="16"/>
      <c r="BTK47" s="16"/>
      <c r="BTL47" s="16"/>
      <c r="BTM47" s="16"/>
      <c r="BTN47" s="16"/>
      <c r="BTO47" s="16"/>
      <c r="BTP47" s="16"/>
      <c r="BTQ47" s="16"/>
      <c r="BTR47" s="16"/>
      <c r="BTS47" s="16"/>
      <c r="BTT47" s="16"/>
      <c r="BTU47" s="16"/>
      <c r="BTV47" s="16"/>
      <c r="BTW47" s="16"/>
      <c r="BTX47" s="16"/>
      <c r="BTY47" s="16"/>
      <c r="BTZ47" s="16"/>
      <c r="BUA47" s="16"/>
      <c r="BUB47" s="16"/>
      <c r="BUC47" s="16"/>
      <c r="BUD47" s="16"/>
      <c r="BUE47" s="16"/>
      <c r="BUF47" s="16"/>
      <c r="BUG47" s="16"/>
      <c r="BUH47" s="16"/>
      <c r="BUI47" s="16"/>
      <c r="BUJ47" s="16"/>
      <c r="BUK47" s="16"/>
      <c r="BUL47" s="16"/>
      <c r="BUM47" s="16"/>
      <c r="BUN47" s="16"/>
      <c r="BUO47" s="16"/>
      <c r="BUP47" s="16"/>
      <c r="BUQ47" s="16"/>
      <c r="BUR47" s="16"/>
      <c r="BUS47" s="16"/>
      <c r="BUT47" s="16"/>
      <c r="BUU47" s="16"/>
      <c r="BUV47" s="16"/>
      <c r="BUW47" s="16"/>
      <c r="BUX47" s="16"/>
      <c r="BUY47" s="16"/>
      <c r="BUZ47" s="16"/>
      <c r="BVA47" s="16"/>
      <c r="BVB47" s="16"/>
      <c r="BVC47" s="16"/>
      <c r="BVD47" s="16"/>
      <c r="BVE47" s="16"/>
      <c r="BVF47" s="16"/>
      <c r="BVG47" s="16"/>
      <c r="BVH47" s="16"/>
      <c r="BVI47" s="16"/>
      <c r="BVJ47" s="16"/>
      <c r="BVK47" s="16"/>
      <c r="BVL47" s="16"/>
      <c r="BVM47" s="16"/>
      <c r="BVN47" s="16"/>
      <c r="BVO47" s="16"/>
      <c r="BVP47" s="16"/>
      <c r="BVQ47" s="16"/>
      <c r="BVR47" s="16"/>
      <c r="BVS47" s="16"/>
      <c r="BVT47" s="16"/>
      <c r="BVU47" s="16"/>
      <c r="BVV47" s="16"/>
      <c r="BVW47" s="16"/>
      <c r="BVX47" s="16"/>
      <c r="BVY47" s="16"/>
      <c r="BVZ47" s="16"/>
      <c r="BWA47" s="16"/>
      <c r="BWB47" s="16"/>
      <c r="BWC47" s="16"/>
      <c r="BWD47" s="16"/>
      <c r="BWE47" s="16"/>
      <c r="BWF47" s="16"/>
      <c r="BWG47" s="16"/>
      <c r="BWH47" s="16"/>
      <c r="BWI47" s="16"/>
      <c r="BWJ47" s="16"/>
      <c r="BWK47" s="16"/>
      <c r="BWL47" s="16"/>
      <c r="BWM47" s="16"/>
      <c r="BWN47" s="16"/>
      <c r="BWO47" s="16"/>
      <c r="BWP47" s="16"/>
      <c r="BWQ47" s="16"/>
      <c r="BWR47" s="16"/>
      <c r="BWS47" s="16"/>
      <c r="BWT47" s="16"/>
      <c r="BWU47" s="16"/>
      <c r="BWV47" s="16"/>
      <c r="BWW47" s="16"/>
      <c r="BWX47" s="16"/>
      <c r="BWY47" s="16"/>
      <c r="BWZ47" s="16"/>
      <c r="BXA47" s="16"/>
      <c r="BXB47" s="16"/>
      <c r="BXC47" s="16"/>
      <c r="BXD47" s="16"/>
      <c r="BXE47" s="16"/>
      <c r="BXF47" s="16"/>
      <c r="BXG47" s="16"/>
      <c r="BXH47" s="16"/>
      <c r="BXI47" s="16"/>
      <c r="BXJ47" s="16"/>
      <c r="BXK47" s="16"/>
      <c r="BXL47" s="16"/>
      <c r="BXM47" s="16"/>
      <c r="BXN47" s="16"/>
      <c r="BXO47" s="16"/>
      <c r="BXP47" s="16"/>
      <c r="BXQ47" s="16"/>
      <c r="BXR47" s="16"/>
      <c r="BXS47" s="16"/>
      <c r="BXT47" s="16"/>
      <c r="BXU47" s="16"/>
      <c r="BXV47" s="16"/>
      <c r="BXW47" s="16"/>
      <c r="BXX47" s="16"/>
      <c r="BXY47" s="16"/>
      <c r="BXZ47" s="16"/>
      <c r="BYA47" s="16"/>
      <c r="BYB47" s="16"/>
      <c r="BYC47" s="16"/>
      <c r="BYD47" s="16"/>
      <c r="BYE47" s="16"/>
      <c r="BYF47" s="16"/>
      <c r="BYG47" s="16"/>
      <c r="BYH47" s="16"/>
      <c r="BYI47" s="16"/>
      <c r="BYJ47" s="16"/>
      <c r="BYK47" s="16"/>
      <c r="BYL47" s="16"/>
      <c r="BYM47" s="16"/>
      <c r="BYN47" s="16"/>
      <c r="BYO47" s="16"/>
      <c r="BYP47" s="16"/>
      <c r="BYQ47" s="16"/>
      <c r="BYR47" s="16"/>
      <c r="BYS47" s="16"/>
      <c r="BYT47" s="16"/>
      <c r="BYU47" s="16"/>
      <c r="BYV47" s="16"/>
      <c r="BYW47" s="16"/>
      <c r="BYX47" s="16"/>
      <c r="BYY47" s="16"/>
      <c r="BYZ47" s="16"/>
      <c r="BZA47" s="16"/>
      <c r="BZB47" s="16"/>
      <c r="BZC47" s="16"/>
      <c r="BZD47" s="16"/>
      <c r="BZE47" s="16"/>
      <c r="BZF47" s="16"/>
      <c r="BZG47" s="16"/>
      <c r="BZH47" s="16"/>
      <c r="BZI47" s="16"/>
      <c r="BZJ47" s="16"/>
      <c r="BZK47" s="16"/>
      <c r="BZL47" s="16"/>
      <c r="BZM47" s="16"/>
      <c r="BZN47" s="16"/>
      <c r="BZO47" s="16"/>
      <c r="BZP47" s="16"/>
      <c r="BZQ47" s="16"/>
      <c r="BZR47" s="16"/>
      <c r="BZS47" s="16"/>
      <c r="BZT47" s="16"/>
      <c r="BZU47" s="16"/>
      <c r="BZV47" s="16"/>
      <c r="BZW47" s="16"/>
      <c r="BZX47" s="16"/>
      <c r="BZY47" s="16"/>
      <c r="BZZ47" s="16"/>
      <c r="CAA47" s="16"/>
      <c r="CAB47" s="16"/>
      <c r="CAC47" s="16"/>
      <c r="CAD47" s="16"/>
      <c r="CAE47" s="16"/>
      <c r="CAF47" s="16"/>
      <c r="CAG47" s="16"/>
      <c r="CAH47" s="16"/>
      <c r="CAI47" s="16"/>
      <c r="CAJ47" s="16"/>
      <c r="CAK47" s="16"/>
      <c r="CAL47" s="16"/>
      <c r="CAM47" s="16"/>
      <c r="CAN47" s="16"/>
      <c r="CAO47" s="16"/>
      <c r="CAP47" s="16"/>
      <c r="CAQ47" s="16"/>
      <c r="CAR47" s="16"/>
      <c r="CAS47" s="16"/>
      <c r="CAT47" s="16"/>
      <c r="CAU47" s="16"/>
      <c r="CAV47" s="16"/>
      <c r="CAW47" s="16"/>
      <c r="CAX47" s="16"/>
      <c r="CAY47" s="16"/>
      <c r="CAZ47" s="16"/>
      <c r="CBA47" s="16"/>
      <c r="CBB47" s="16"/>
      <c r="CBC47" s="16"/>
      <c r="CBD47" s="16"/>
      <c r="CBE47" s="16"/>
      <c r="CBF47" s="16"/>
      <c r="CBG47" s="16"/>
      <c r="CBH47" s="16"/>
      <c r="CBI47" s="16"/>
      <c r="CBJ47" s="16"/>
      <c r="CBK47" s="16"/>
      <c r="CBL47" s="16"/>
      <c r="CBM47" s="16"/>
      <c r="CBN47" s="16"/>
      <c r="CBO47" s="16"/>
      <c r="CBP47" s="16"/>
      <c r="CBQ47" s="16"/>
      <c r="CBR47" s="16"/>
      <c r="CBS47" s="16"/>
      <c r="CBT47" s="16"/>
      <c r="CBU47" s="16"/>
      <c r="CBV47" s="16"/>
      <c r="CBW47" s="16"/>
      <c r="CBX47" s="16"/>
      <c r="CBY47" s="16"/>
      <c r="CBZ47" s="16"/>
      <c r="CCA47" s="16"/>
      <c r="CCB47" s="16"/>
      <c r="CCC47" s="16"/>
      <c r="CCD47" s="16"/>
      <c r="CCE47" s="16"/>
      <c r="CCF47" s="16"/>
      <c r="CCG47" s="16"/>
      <c r="CCH47" s="16"/>
      <c r="CCI47" s="16"/>
      <c r="CCJ47" s="16"/>
      <c r="CCK47" s="16"/>
      <c r="CCL47" s="16"/>
      <c r="CCM47" s="16"/>
      <c r="CCN47" s="16"/>
      <c r="CCO47" s="16"/>
      <c r="CCP47" s="16"/>
      <c r="CCQ47" s="16"/>
      <c r="CCR47" s="16"/>
      <c r="CCS47" s="16"/>
      <c r="CCT47" s="16"/>
      <c r="CCU47" s="16"/>
      <c r="CCV47" s="16"/>
      <c r="CCW47" s="16"/>
      <c r="CCX47" s="16"/>
      <c r="CCY47" s="16"/>
      <c r="CCZ47" s="16"/>
      <c r="CDA47" s="16"/>
      <c r="CDB47" s="16"/>
      <c r="CDC47" s="16"/>
      <c r="CDD47" s="16"/>
      <c r="CDE47" s="16"/>
      <c r="CDF47" s="16"/>
      <c r="CDG47" s="16"/>
      <c r="CDH47" s="16"/>
      <c r="CDI47" s="16"/>
      <c r="CDJ47" s="16"/>
      <c r="CDK47" s="16"/>
      <c r="CDL47" s="16"/>
      <c r="CDM47" s="16"/>
      <c r="CDN47" s="16"/>
      <c r="CDO47" s="16"/>
      <c r="CDP47" s="16"/>
      <c r="CDQ47" s="16"/>
      <c r="CDR47" s="16"/>
      <c r="CDS47" s="16"/>
      <c r="CDT47" s="16"/>
      <c r="CDU47" s="16"/>
      <c r="CDV47" s="16"/>
      <c r="CDW47" s="16"/>
      <c r="CDX47" s="16"/>
      <c r="CDY47" s="16"/>
      <c r="CDZ47" s="16"/>
      <c r="CEA47" s="16"/>
      <c r="CEB47" s="16"/>
      <c r="CEC47" s="16"/>
      <c r="CED47" s="16"/>
      <c r="CEE47" s="16"/>
      <c r="CEF47" s="16"/>
      <c r="CEG47" s="16"/>
      <c r="CEH47" s="16"/>
      <c r="CEI47" s="16"/>
      <c r="CEJ47" s="16"/>
      <c r="CEK47" s="16"/>
      <c r="CEL47" s="16"/>
      <c r="CEM47" s="16"/>
      <c r="CEN47" s="16"/>
      <c r="CEO47" s="16"/>
      <c r="CEP47" s="16"/>
      <c r="CEQ47" s="16"/>
      <c r="CER47" s="16"/>
      <c r="CES47" s="16"/>
      <c r="CET47" s="16"/>
      <c r="CEU47" s="16"/>
      <c r="CEV47" s="16"/>
      <c r="CEW47" s="16"/>
      <c r="CEX47" s="16"/>
      <c r="CEY47" s="16"/>
      <c r="CEZ47" s="16"/>
      <c r="CFA47" s="16"/>
      <c r="CFB47" s="16"/>
      <c r="CFC47" s="16"/>
      <c r="CFD47" s="16"/>
      <c r="CFE47" s="16"/>
      <c r="CFF47" s="16"/>
      <c r="CFG47" s="16"/>
      <c r="CFH47" s="16"/>
      <c r="CFI47" s="16"/>
      <c r="CFJ47" s="16"/>
      <c r="CFK47" s="16"/>
      <c r="CFL47" s="16"/>
      <c r="CFM47" s="16"/>
      <c r="CFN47" s="16"/>
      <c r="CFO47" s="16"/>
      <c r="CFP47" s="16"/>
      <c r="CFQ47" s="16"/>
      <c r="CFR47" s="16"/>
      <c r="CFS47" s="16"/>
      <c r="CFT47" s="16"/>
      <c r="CFU47" s="16"/>
      <c r="CFV47" s="16"/>
      <c r="CFW47" s="16"/>
      <c r="CFX47" s="16"/>
      <c r="CFY47" s="16"/>
      <c r="CFZ47" s="16"/>
      <c r="CGA47" s="16"/>
      <c r="CGB47" s="16"/>
      <c r="CGC47" s="16"/>
      <c r="CGD47" s="16"/>
      <c r="CGE47" s="16"/>
      <c r="CGF47" s="16"/>
      <c r="CGG47" s="16"/>
      <c r="CGH47" s="16"/>
      <c r="CGI47" s="16"/>
      <c r="CGJ47" s="16"/>
      <c r="CGK47" s="16"/>
      <c r="CGL47" s="16"/>
      <c r="CGM47" s="16"/>
      <c r="CGN47" s="16"/>
      <c r="CGO47" s="16"/>
      <c r="CGP47" s="16"/>
      <c r="CGQ47" s="16"/>
      <c r="CGR47" s="16"/>
      <c r="CGS47" s="16"/>
      <c r="CGT47" s="16"/>
      <c r="CGU47" s="16"/>
      <c r="CGV47" s="16"/>
      <c r="CGW47" s="16"/>
      <c r="CGX47" s="16"/>
      <c r="CGY47" s="16"/>
      <c r="CGZ47" s="16"/>
      <c r="CHA47" s="16"/>
      <c r="CHB47" s="16"/>
      <c r="CHC47" s="16"/>
      <c r="CHD47" s="16"/>
      <c r="CHE47" s="16"/>
      <c r="CHF47" s="16"/>
      <c r="CHG47" s="16"/>
      <c r="CHH47" s="16"/>
      <c r="CHI47" s="16"/>
      <c r="CHJ47" s="16"/>
      <c r="CHK47" s="16"/>
      <c r="CHL47" s="16"/>
      <c r="CHM47" s="16"/>
      <c r="CHN47" s="16"/>
      <c r="CHO47" s="16"/>
      <c r="CHP47" s="16"/>
      <c r="CHQ47" s="16"/>
      <c r="CHR47" s="16"/>
      <c r="CHS47" s="16"/>
      <c r="CHT47" s="16"/>
      <c r="CHU47" s="16"/>
      <c r="CHV47" s="16"/>
      <c r="CHW47" s="16"/>
      <c r="CHX47" s="16"/>
      <c r="CHY47" s="16"/>
      <c r="CHZ47" s="16"/>
      <c r="CIA47" s="16"/>
      <c r="CIB47" s="16"/>
      <c r="CIC47" s="16"/>
      <c r="CID47" s="16"/>
      <c r="CIE47" s="16"/>
      <c r="CIF47" s="16"/>
      <c r="CIG47" s="16"/>
      <c r="CIH47" s="16"/>
      <c r="CII47" s="16"/>
      <c r="CIJ47" s="16"/>
      <c r="CIK47" s="16"/>
      <c r="CIL47" s="16"/>
      <c r="CIM47" s="16"/>
      <c r="CIN47" s="16"/>
      <c r="CIO47" s="16"/>
      <c r="CIP47" s="16"/>
      <c r="CIQ47" s="16"/>
      <c r="CIR47" s="16"/>
      <c r="CIS47" s="16"/>
      <c r="CIT47" s="16"/>
      <c r="CIU47" s="16"/>
      <c r="CIV47" s="16"/>
      <c r="CIW47" s="16"/>
      <c r="CIX47" s="16"/>
      <c r="CIY47" s="16"/>
      <c r="CIZ47" s="16"/>
      <c r="CJA47" s="16"/>
      <c r="CJB47" s="16"/>
      <c r="CJC47" s="16"/>
      <c r="CJD47" s="16"/>
      <c r="CJE47" s="16"/>
      <c r="CJF47" s="16"/>
      <c r="CJG47" s="16"/>
      <c r="CJH47" s="16"/>
      <c r="CJI47" s="16"/>
      <c r="CJJ47" s="16"/>
      <c r="CJK47" s="16"/>
      <c r="CJL47" s="16"/>
      <c r="CJM47" s="16"/>
      <c r="CJN47" s="16"/>
      <c r="CJO47" s="16"/>
      <c r="CJP47" s="16"/>
      <c r="CJQ47" s="16"/>
      <c r="CJR47" s="16"/>
      <c r="CJS47" s="16"/>
      <c r="CJT47" s="16"/>
      <c r="CJU47" s="16"/>
      <c r="CJV47" s="16"/>
      <c r="CJW47" s="16"/>
      <c r="CJX47" s="16"/>
      <c r="CJY47" s="16"/>
      <c r="CJZ47" s="16"/>
      <c r="CKA47" s="16"/>
      <c r="CKB47" s="16"/>
      <c r="CKC47" s="16"/>
      <c r="CKD47" s="16"/>
      <c r="CKE47" s="16"/>
      <c r="CKF47" s="16"/>
      <c r="CKG47" s="16"/>
      <c r="CKH47" s="16"/>
      <c r="CKI47" s="16"/>
      <c r="CKJ47" s="16"/>
      <c r="CKK47" s="16"/>
      <c r="CKL47" s="16"/>
      <c r="CKM47" s="16"/>
      <c r="CKN47" s="16"/>
      <c r="CKO47" s="16"/>
      <c r="CKP47" s="16"/>
      <c r="CKQ47" s="16"/>
      <c r="CKR47" s="16"/>
      <c r="CKS47" s="16"/>
      <c r="CKT47" s="16"/>
      <c r="CKU47" s="16"/>
      <c r="CKV47" s="16"/>
      <c r="CKW47" s="16"/>
      <c r="CKX47" s="16"/>
      <c r="CKY47" s="16"/>
      <c r="CKZ47" s="16"/>
      <c r="CLA47" s="16"/>
      <c r="CLB47" s="16"/>
      <c r="CLC47" s="16"/>
      <c r="CLD47" s="16"/>
      <c r="CLE47" s="16"/>
      <c r="CLF47" s="16"/>
      <c r="CLG47" s="16"/>
      <c r="CLH47" s="16"/>
      <c r="CLI47" s="16"/>
      <c r="CLJ47" s="16"/>
      <c r="CLK47" s="16"/>
      <c r="CLL47" s="16"/>
      <c r="CLM47" s="16"/>
      <c r="CLN47" s="16"/>
      <c r="CLO47" s="16"/>
      <c r="CLP47" s="16"/>
      <c r="CLQ47" s="16"/>
      <c r="CLR47" s="16"/>
      <c r="CLS47" s="16"/>
      <c r="CLT47" s="16"/>
      <c r="CLU47" s="16"/>
      <c r="CLV47" s="16"/>
      <c r="CLW47" s="16"/>
      <c r="CLX47" s="16"/>
      <c r="CLY47" s="16"/>
      <c r="CLZ47" s="16"/>
      <c r="CMA47" s="16"/>
      <c r="CMB47" s="16"/>
      <c r="CMC47" s="16"/>
      <c r="CMD47" s="16"/>
      <c r="CME47" s="16"/>
      <c r="CMF47" s="16"/>
      <c r="CMG47" s="16"/>
      <c r="CMH47" s="16"/>
      <c r="CMI47" s="16"/>
      <c r="CMJ47" s="16"/>
      <c r="CMK47" s="16"/>
      <c r="CML47" s="16"/>
      <c r="CMM47" s="16"/>
      <c r="CMN47" s="16"/>
      <c r="CMO47" s="16"/>
      <c r="CMP47" s="16"/>
      <c r="CMQ47" s="16"/>
      <c r="CMR47" s="16"/>
      <c r="CMS47" s="16"/>
      <c r="CMT47" s="16"/>
      <c r="CMU47" s="16"/>
      <c r="CMV47" s="16"/>
      <c r="CMW47" s="16"/>
      <c r="CMX47" s="16"/>
      <c r="CMY47" s="16"/>
      <c r="CMZ47" s="16"/>
      <c r="CNA47" s="16"/>
      <c r="CNB47" s="16"/>
      <c r="CNC47" s="16"/>
      <c r="CND47" s="16"/>
      <c r="CNE47" s="16"/>
      <c r="CNF47" s="16"/>
      <c r="CNG47" s="16"/>
      <c r="CNH47" s="16"/>
      <c r="CNI47" s="16"/>
      <c r="CNJ47" s="16"/>
      <c r="CNK47" s="16"/>
      <c r="CNL47" s="16"/>
      <c r="CNM47" s="16"/>
      <c r="CNN47" s="16"/>
      <c r="CNO47" s="16"/>
      <c r="CNP47" s="16"/>
      <c r="CNQ47" s="16"/>
      <c r="CNR47" s="16"/>
      <c r="CNS47" s="16"/>
      <c r="CNT47" s="16"/>
      <c r="CNU47" s="16"/>
      <c r="CNV47" s="16"/>
      <c r="CNW47" s="16"/>
      <c r="CNX47" s="16"/>
      <c r="CNY47" s="16"/>
      <c r="CNZ47" s="16"/>
      <c r="COA47" s="16"/>
      <c r="COB47" s="16"/>
      <c r="COC47" s="16"/>
      <c r="COD47" s="16"/>
      <c r="COE47" s="16"/>
      <c r="COF47" s="16"/>
      <c r="COG47" s="16"/>
      <c r="COH47" s="16"/>
      <c r="COI47" s="16"/>
      <c r="COJ47" s="16"/>
      <c r="COK47" s="16"/>
      <c r="COL47" s="16"/>
      <c r="COM47" s="16"/>
      <c r="CON47" s="16"/>
      <c r="COO47" s="16"/>
      <c r="COP47" s="16"/>
      <c r="COQ47" s="16"/>
      <c r="COR47" s="16"/>
      <c r="COS47" s="16"/>
      <c r="COT47" s="16"/>
      <c r="COU47" s="16"/>
      <c r="COV47" s="16"/>
      <c r="COW47" s="16"/>
      <c r="COX47" s="16"/>
      <c r="COY47" s="16"/>
      <c r="COZ47" s="16"/>
      <c r="CPA47" s="16"/>
      <c r="CPB47" s="16"/>
      <c r="CPC47" s="16"/>
      <c r="CPD47" s="16"/>
      <c r="CPE47" s="16"/>
      <c r="CPF47" s="16"/>
      <c r="CPG47" s="16"/>
      <c r="CPH47" s="16"/>
      <c r="CPI47" s="16"/>
      <c r="CPJ47" s="16"/>
      <c r="CPK47" s="16"/>
      <c r="CPL47" s="16"/>
      <c r="CPM47" s="16"/>
      <c r="CPN47" s="16"/>
      <c r="CPO47" s="16"/>
      <c r="CPP47" s="16"/>
      <c r="CPQ47" s="16"/>
      <c r="CPR47" s="16"/>
      <c r="CPS47" s="16"/>
      <c r="CPT47" s="16"/>
      <c r="CPU47" s="16"/>
      <c r="CPV47" s="16"/>
      <c r="CPW47" s="16"/>
      <c r="CPX47" s="16"/>
      <c r="CPY47" s="16"/>
      <c r="CPZ47" s="16"/>
      <c r="CQA47" s="16"/>
      <c r="CQB47" s="16"/>
      <c r="CQC47" s="16"/>
      <c r="CQD47" s="16"/>
      <c r="CQE47" s="16"/>
      <c r="CQF47" s="16"/>
      <c r="CQG47" s="16"/>
      <c r="CQH47" s="16"/>
      <c r="CQI47" s="16"/>
      <c r="CQJ47" s="16"/>
      <c r="CQK47" s="16"/>
      <c r="CQL47" s="16"/>
      <c r="CQM47" s="16"/>
      <c r="CQN47" s="16"/>
      <c r="CQO47" s="16"/>
      <c r="CQP47" s="16"/>
      <c r="CQQ47" s="16"/>
      <c r="CQR47" s="16"/>
      <c r="CQS47" s="16"/>
      <c r="CQT47" s="16"/>
      <c r="CQU47" s="16"/>
      <c r="CQV47" s="16"/>
      <c r="CQW47" s="16"/>
      <c r="CQX47" s="16"/>
      <c r="CQY47" s="16"/>
      <c r="CQZ47" s="16"/>
      <c r="CRA47" s="16"/>
      <c r="CRB47" s="16"/>
      <c r="CRC47" s="16"/>
      <c r="CRD47" s="16"/>
      <c r="CRE47" s="16"/>
      <c r="CRF47" s="16"/>
      <c r="CRG47" s="16"/>
      <c r="CRH47" s="16"/>
      <c r="CRI47" s="16"/>
      <c r="CRJ47" s="16"/>
      <c r="CRK47" s="16"/>
      <c r="CRL47" s="16"/>
      <c r="CRM47" s="16"/>
      <c r="CRN47" s="16"/>
      <c r="CRO47" s="16"/>
      <c r="CRP47" s="16"/>
      <c r="CRQ47" s="16"/>
      <c r="CRR47" s="16"/>
      <c r="CRS47" s="16"/>
      <c r="CRT47" s="16"/>
      <c r="CRU47" s="16"/>
      <c r="CRV47" s="16"/>
      <c r="CRW47" s="16"/>
      <c r="CRX47" s="16"/>
      <c r="CRY47" s="16"/>
      <c r="CRZ47" s="16"/>
      <c r="CSA47" s="16"/>
      <c r="CSB47" s="16"/>
      <c r="CSC47" s="16"/>
      <c r="CSD47" s="16"/>
      <c r="CSE47" s="16"/>
      <c r="CSF47" s="16"/>
      <c r="CSG47" s="16"/>
      <c r="CSH47" s="16"/>
      <c r="CSI47" s="16"/>
      <c r="CSJ47" s="16"/>
      <c r="CSK47" s="54" t="str">
        <f t="shared" si="166"/>
        <v>X</v>
      </c>
      <c r="CSL47" s="35" t="str">
        <f t="shared" ca="1" si="209"/>
        <v/>
      </c>
      <c r="CSM47" s="35" t="str">
        <f t="shared" ca="1" si="209"/>
        <v/>
      </c>
      <c r="CSN47" s="35" t="str">
        <f t="shared" ca="1" si="209"/>
        <v/>
      </c>
      <c r="CSO47" s="35" t="str">
        <f t="shared" ca="1" si="209"/>
        <v/>
      </c>
      <c r="CSP47" s="35" t="str">
        <f t="shared" ca="1" si="209"/>
        <v/>
      </c>
      <c r="CSQ47" s="72" t="str">
        <f t="shared" ca="1" si="209"/>
        <v/>
      </c>
      <c r="CSR47" s="35">
        <f t="shared" ca="1" si="209"/>
        <v>1</v>
      </c>
      <c r="CSS47" s="35">
        <f t="shared" ca="1" si="209"/>
        <v>1</v>
      </c>
      <c r="CST47" s="35" t="str">
        <f t="shared" ca="1" si="209"/>
        <v/>
      </c>
      <c r="CSU47" s="35">
        <f t="shared" ca="1" si="209"/>
        <v>1</v>
      </c>
      <c r="CSV47" s="35">
        <f t="shared" ca="1" si="210"/>
        <v>1</v>
      </c>
      <c r="CSW47" s="35">
        <f t="shared" ca="1" si="210"/>
        <v>1</v>
      </c>
      <c r="CSX47" s="35" t="str">
        <f t="shared" ca="1" si="210"/>
        <v/>
      </c>
      <c r="CSY47" s="35">
        <f t="shared" ca="1" si="210"/>
        <v>1</v>
      </c>
      <c r="CSZ47" s="35" t="str">
        <f t="shared" ca="1" si="210"/>
        <v/>
      </c>
      <c r="CTA47" s="35" t="str">
        <f t="shared" ca="1" si="210"/>
        <v/>
      </c>
      <c r="CTB47" s="35" t="str">
        <f t="shared" ca="1" si="210"/>
        <v/>
      </c>
      <c r="CTC47" s="35" t="str">
        <f t="shared" ca="1" si="210"/>
        <v/>
      </c>
      <c r="CTD47" s="35" t="str">
        <f t="shared" ca="1" si="210"/>
        <v/>
      </c>
      <c r="CTE47" s="35" t="str">
        <f t="shared" ca="1" si="210"/>
        <v/>
      </c>
      <c r="CTF47" s="35" t="str">
        <f t="shared" ca="1" si="211"/>
        <v/>
      </c>
      <c r="CTG47" s="35" t="str">
        <f t="shared" ca="1" si="211"/>
        <v/>
      </c>
      <c r="CTH47" s="35" t="str">
        <f t="shared" ca="1" si="211"/>
        <v/>
      </c>
      <c r="CTI47" s="35" t="str">
        <f t="shared" ca="1" si="211"/>
        <v/>
      </c>
      <c r="CTJ47" s="35" t="str">
        <f t="shared" ca="1" si="211"/>
        <v/>
      </c>
      <c r="CTK47" s="35" t="str">
        <f t="shared" ca="1" si="211"/>
        <v/>
      </c>
      <c r="CTL47" s="35" t="str">
        <f t="shared" ca="1" si="211"/>
        <v/>
      </c>
      <c r="CTM47" s="35" t="str">
        <f t="shared" ca="1" si="211"/>
        <v/>
      </c>
      <c r="CTN47" s="35" t="str">
        <f t="shared" ca="1" si="211"/>
        <v/>
      </c>
      <c r="CTO47" s="35" t="str">
        <f t="shared" ca="1" si="211"/>
        <v/>
      </c>
      <c r="CTP47" s="35" t="str">
        <f t="shared" ca="1" si="212"/>
        <v/>
      </c>
      <c r="CTQ47" s="35" t="str">
        <f t="shared" ca="1" si="212"/>
        <v/>
      </c>
      <c r="CTR47" s="35" t="str">
        <f t="shared" ca="1" si="212"/>
        <v/>
      </c>
      <c r="CTS47" s="35" t="str">
        <f t="shared" ca="1" si="212"/>
        <v/>
      </c>
      <c r="CTT47" s="35" t="str">
        <f t="shared" ca="1" si="212"/>
        <v/>
      </c>
      <c r="CTU47" s="35" t="str">
        <f t="shared" ca="1" si="212"/>
        <v/>
      </c>
      <c r="CTV47" s="35" t="str">
        <f t="shared" ca="1" si="212"/>
        <v/>
      </c>
      <c r="CTW47" s="35" t="str">
        <f t="shared" ca="1" si="212"/>
        <v/>
      </c>
      <c r="CTX47" s="35" t="str">
        <f t="shared" ca="1" si="212"/>
        <v/>
      </c>
      <c r="CTY47" s="35" t="str">
        <f t="shared" ca="1" si="212"/>
        <v/>
      </c>
      <c r="CTZ47" s="56" t="str">
        <f t="shared" si="167"/>
        <v>X</v>
      </c>
      <c r="CUA47" s="58" t="str">
        <f t="shared" ca="1" si="168"/>
        <v/>
      </c>
      <c r="CUB47" s="16" t="str">
        <f t="shared" ca="1" si="169"/>
        <v/>
      </c>
      <c r="CUC47" s="16" t="str">
        <f t="shared" ca="1" si="170"/>
        <v/>
      </c>
      <c r="CUD47" s="16" t="str">
        <f t="shared" ca="1" si="171"/>
        <v/>
      </c>
      <c r="CUE47" s="16" t="str">
        <f t="shared" ca="1" si="172"/>
        <v/>
      </c>
      <c r="CUF47" s="16" t="str">
        <f t="shared" ca="1" si="173"/>
        <v/>
      </c>
      <c r="CUG47" s="16">
        <f t="shared" ca="1" si="174"/>
        <v>6</v>
      </c>
      <c r="CUH47" s="16">
        <f t="shared" ca="1" si="175"/>
        <v>9</v>
      </c>
      <c r="CUI47" s="16" t="str">
        <f t="shared" ca="1" si="176"/>
        <v/>
      </c>
      <c r="CUJ47" s="16">
        <f t="shared" ca="1" si="177"/>
        <v>7</v>
      </c>
      <c r="CUK47" s="16">
        <f t="shared" ca="1" si="178"/>
        <v>9</v>
      </c>
      <c r="CUL47" s="16">
        <f t="shared" ca="1" si="179"/>
        <v>10</v>
      </c>
      <c r="CUM47" s="16" t="str">
        <f t="shared" ca="1" si="180"/>
        <v/>
      </c>
      <c r="CUN47" s="16">
        <f t="shared" ca="1" si="181"/>
        <v>12</v>
      </c>
      <c r="CUO47" s="16" t="str">
        <f t="shared" ca="1" si="182"/>
        <v/>
      </c>
      <c r="CUP47" s="16" t="str">
        <f t="shared" ca="1" si="183"/>
        <v/>
      </c>
      <c r="CUQ47" s="16" t="str">
        <f t="shared" ca="1" si="184"/>
        <v/>
      </c>
      <c r="CUR47" s="16" t="str">
        <f t="shared" ca="1" si="185"/>
        <v/>
      </c>
      <c r="CUS47" s="16" t="str">
        <f t="shared" ca="1" si="186"/>
        <v/>
      </c>
      <c r="CUT47" s="16" t="str">
        <f t="shared" ca="1" si="187"/>
        <v/>
      </c>
      <c r="CUU47" s="16" t="str">
        <f t="shared" ca="1" si="188"/>
        <v/>
      </c>
      <c r="CUV47" s="16" t="str">
        <f t="shared" ca="1" si="189"/>
        <v/>
      </c>
      <c r="CUW47" s="16" t="str">
        <f t="shared" ca="1" si="190"/>
        <v/>
      </c>
      <c r="CUX47" s="16" t="str">
        <f t="shared" ca="1" si="191"/>
        <v/>
      </c>
      <c r="CUY47" s="16" t="str">
        <f t="shared" ca="1" si="192"/>
        <v/>
      </c>
      <c r="CUZ47" s="16" t="str">
        <f t="shared" ca="1" si="193"/>
        <v/>
      </c>
      <c r="CVA47" s="16" t="str">
        <f t="shared" ca="1" si="194"/>
        <v/>
      </c>
      <c r="CVB47" s="16" t="str">
        <f t="shared" ca="1" si="195"/>
        <v/>
      </c>
      <c r="CVC47" s="16" t="str">
        <f t="shared" ca="1" si="196"/>
        <v/>
      </c>
      <c r="CVD47" s="16" t="str">
        <f t="shared" ca="1" si="197"/>
        <v/>
      </c>
      <c r="CVE47" s="16" t="str">
        <f t="shared" ca="1" si="198"/>
        <v/>
      </c>
      <c r="CVF47" s="16" t="str">
        <f t="shared" ca="1" si="199"/>
        <v/>
      </c>
      <c r="CVG47" s="16" t="str">
        <f t="shared" ca="1" si="200"/>
        <v/>
      </c>
      <c r="CVH47" s="16" t="str">
        <f t="shared" ca="1" si="201"/>
        <v/>
      </c>
      <c r="CVI47" s="16" t="str">
        <f t="shared" ca="1" si="202"/>
        <v/>
      </c>
      <c r="CVJ47" s="16" t="str">
        <f t="shared" ca="1" si="203"/>
        <v/>
      </c>
      <c r="CVK47" s="16" t="str">
        <f t="shared" ca="1" si="204"/>
        <v/>
      </c>
      <c r="CVL47" s="16" t="str">
        <f t="shared" ca="1" si="205"/>
        <v/>
      </c>
      <c r="CVM47" s="16" t="str">
        <f t="shared" ca="1" si="206"/>
        <v/>
      </c>
      <c r="CVN47" s="16" t="str">
        <f t="shared" ca="1" si="207"/>
        <v/>
      </c>
      <c r="CVO47" s="58" t="str">
        <f t="shared" si="208"/>
        <v>максимовсемен</v>
      </c>
      <c r="CVP47" s="58" t="str">
        <f>IFERROR(VLOOKUP(CVO47,'Внешние данные'!A:Z,4,FALSE),"")</f>
        <v/>
      </c>
    </row>
    <row r="48" spans="1:2616" ht="13.8" x14ac:dyDescent="0.25">
      <c r="A48" s="2" t="s">
        <v>2381</v>
      </c>
      <c r="B48" s="2" t="s">
        <v>2474</v>
      </c>
      <c r="C48" s="57" t="s">
        <v>2428</v>
      </c>
      <c r="D48" s="35">
        <v>5</v>
      </c>
      <c r="E48" s="58" t="s">
        <v>2303</v>
      </c>
      <c r="G48" s="16" t="s">
        <v>1392</v>
      </c>
      <c r="H48" s="53" t="str">
        <f t="shared" ca="1" si="162"/>
        <v/>
      </c>
      <c r="I48" s="35" t="str">
        <f t="shared" ca="1" si="163"/>
        <v/>
      </c>
      <c r="J48" s="35">
        <f t="shared" ca="1" si="164"/>
        <v>0</v>
      </c>
      <c r="K48" s="49" t="str">
        <f t="shared" ca="1" si="165"/>
        <v/>
      </c>
      <c r="L48" s="16">
        <v>308</v>
      </c>
      <c r="M48" s="12"/>
      <c r="N48" s="12"/>
      <c r="P48" s="4">
        <v>435</v>
      </c>
      <c r="Q48" s="4">
        <v>435</v>
      </c>
      <c r="R48" s="4">
        <v>435</v>
      </c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  <c r="KR48" s="16"/>
      <c r="KS48" s="16"/>
      <c r="KT48" s="16"/>
      <c r="KU48" s="16"/>
      <c r="KV48" s="16"/>
      <c r="KW48" s="16"/>
      <c r="KX48" s="16"/>
      <c r="KY48" s="16"/>
      <c r="KZ48" s="16"/>
      <c r="LA48" s="16"/>
      <c r="LB48" s="16"/>
      <c r="LC48" s="16"/>
      <c r="LD48" s="16"/>
      <c r="LE48" s="16"/>
      <c r="LF48" s="16"/>
      <c r="LG48" s="16"/>
      <c r="LH48" s="16"/>
      <c r="LI48" s="16"/>
      <c r="LJ48" s="16"/>
      <c r="LK48" s="16"/>
      <c r="LL48" s="16"/>
      <c r="LM48" s="16"/>
      <c r="LN48" s="16"/>
      <c r="LO48" s="16"/>
      <c r="LP48" s="16"/>
      <c r="LQ48" s="16"/>
      <c r="LR48" s="16"/>
      <c r="LS48" s="16"/>
      <c r="LT48" s="16"/>
      <c r="LU48" s="16"/>
      <c r="LV48" s="16"/>
      <c r="LW48" s="16"/>
      <c r="LX48" s="16"/>
      <c r="LY48" s="16"/>
      <c r="LZ48" s="16"/>
      <c r="MA48" s="16"/>
      <c r="MB48" s="16"/>
      <c r="MC48" s="16"/>
      <c r="MD48" s="16"/>
      <c r="ME48" s="16"/>
      <c r="MF48" s="16"/>
      <c r="MG48" s="16"/>
      <c r="MH48" s="16"/>
      <c r="MI48" s="16"/>
      <c r="MJ48" s="16"/>
      <c r="MK48" s="16"/>
      <c r="ML48" s="16"/>
      <c r="MM48" s="16"/>
      <c r="MN48" s="16"/>
      <c r="MO48" s="16"/>
      <c r="MP48" s="16"/>
      <c r="MQ48" s="16"/>
      <c r="MR48" s="16"/>
      <c r="MS48" s="16"/>
      <c r="MT48" s="16"/>
      <c r="MU48" s="16"/>
      <c r="MV48" s="16"/>
      <c r="MW48" s="16"/>
      <c r="MX48" s="16"/>
      <c r="MY48" s="16"/>
      <c r="MZ48" s="16"/>
      <c r="NA48" s="16"/>
      <c r="NB48" s="16"/>
      <c r="NC48" s="16"/>
      <c r="ND48" s="16"/>
      <c r="NE48" s="16"/>
      <c r="NF48" s="16"/>
      <c r="NG48" s="16"/>
      <c r="NH48" s="16"/>
      <c r="NI48" s="16"/>
      <c r="NJ48" s="16"/>
      <c r="NK48" s="16"/>
      <c r="NL48" s="16"/>
      <c r="NM48" s="16"/>
      <c r="NN48" s="16"/>
      <c r="NO48" s="16"/>
      <c r="NP48" s="16"/>
      <c r="NQ48" s="16"/>
      <c r="NR48" s="16"/>
      <c r="NS48" s="16"/>
      <c r="NT48" s="16"/>
      <c r="NU48" s="16"/>
      <c r="NV48" s="16"/>
      <c r="NW48" s="16"/>
      <c r="NX48" s="16"/>
      <c r="NY48" s="16"/>
      <c r="NZ48" s="16"/>
      <c r="OA48" s="16"/>
      <c r="OB48" s="16"/>
      <c r="OC48" s="16"/>
      <c r="OD48" s="16"/>
      <c r="OE48" s="16"/>
      <c r="OF48" s="16"/>
      <c r="OG48" s="16"/>
      <c r="OH48" s="16"/>
      <c r="OI48" s="16"/>
      <c r="OJ48" s="16"/>
      <c r="OK48" s="16"/>
      <c r="OL48" s="16"/>
      <c r="OM48" s="16"/>
      <c r="ON48" s="16"/>
      <c r="OO48" s="16"/>
      <c r="OP48" s="16"/>
      <c r="OQ48" s="16"/>
      <c r="OR48" s="16"/>
      <c r="OS48" s="16"/>
      <c r="OT48" s="16"/>
      <c r="OU48" s="16"/>
      <c r="OV48" s="16"/>
      <c r="OW48" s="16"/>
      <c r="OX48" s="16"/>
      <c r="OY48" s="16"/>
      <c r="OZ48" s="16"/>
      <c r="PA48" s="16"/>
      <c r="PB48" s="16"/>
      <c r="PC48" s="16"/>
      <c r="PD48" s="16"/>
      <c r="PE48" s="16"/>
      <c r="PF48" s="16"/>
      <c r="PG48" s="16"/>
      <c r="PH48" s="16"/>
      <c r="PI48" s="16" t="s">
        <v>2961</v>
      </c>
      <c r="PJ48" s="16"/>
      <c r="PK48" s="16"/>
      <c r="PL48" s="16"/>
      <c r="PM48" s="16"/>
      <c r="PN48" s="16"/>
      <c r="PO48" s="16"/>
      <c r="PP48" s="16"/>
      <c r="PQ48" s="16"/>
      <c r="PR48" s="16"/>
      <c r="PS48" s="16"/>
      <c r="PT48" s="16"/>
      <c r="PU48" s="16"/>
      <c r="PV48" s="16"/>
      <c r="PW48" s="16"/>
      <c r="PX48" s="16"/>
      <c r="PY48" s="16"/>
      <c r="PZ48" s="16"/>
      <c r="QA48" s="16"/>
      <c r="QB48" s="16"/>
      <c r="QC48" s="16"/>
      <c r="QD48" s="16"/>
      <c r="QE48" s="16"/>
      <c r="QF48" s="16"/>
      <c r="QG48" s="16"/>
      <c r="QH48" s="16"/>
      <c r="QI48" s="16"/>
      <c r="QJ48" s="16"/>
      <c r="QK48" s="16"/>
      <c r="QL48" s="16"/>
      <c r="QM48" s="16"/>
      <c r="QN48" s="16"/>
      <c r="QO48" s="16"/>
      <c r="QP48" s="16"/>
      <c r="QQ48" s="16"/>
      <c r="QR48" s="16"/>
      <c r="QS48" s="16"/>
      <c r="QT48" s="16"/>
      <c r="QU48" s="16"/>
      <c r="QV48" s="16"/>
      <c r="QW48" s="16"/>
      <c r="QX48" s="16"/>
      <c r="QY48" s="16"/>
      <c r="QZ48" s="16"/>
      <c r="RA48" s="16"/>
      <c r="RB48" s="16"/>
      <c r="RC48" s="16"/>
      <c r="RD48" s="16"/>
      <c r="RE48" s="16"/>
      <c r="RF48" s="16"/>
      <c r="RG48" s="16"/>
      <c r="RH48" s="16"/>
      <c r="RI48" s="16"/>
      <c r="RJ48" s="16"/>
      <c r="RK48" s="16"/>
      <c r="RL48" s="16"/>
      <c r="RM48" s="16"/>
      <c r="RN48" s="16"/>
      <c r="RO48" s="16"/>
      <c r="RP48" s="16"/>
      <c r="RQ48" s="16"/>
      <c r="RR48" s="16"/>
      <c r="RS48" s="16" t="s">
        <v>2961</v>
      </c>
      <c r="RT48" s="16"/>
      <c r="RU48" s="16"/>
      <c r="RV48" s="16"/>
      <c r="RW48" s="16"/>
      <c r="RX48" s="16"/>
      <c r="RY48" s="16"/>
      <c r="RZ48" s="16"/>
      <c r="SA48" s="16"/>
      <c r="SB48" s="16"/>
      <c r="SC48" s="16"/>
      <c r="SD48" s="16"/>
      <c r="SE48" s="16"/>
      <c r="SF48" s="16"/>
      <c r="SG48" s="16"/>
      <c r="SH48" s="16"/>
      <c r="SI48" s="16"/>
      <c r="SJ48" s="16"/>
      <c r="SK48" s="16"/>
      <c r="SL48" s="16"/>
      <c r="SM48" s="16"/>
      <c r="SN48" s="16"/>
      <c r="SO48" s="16"/>
      <c r="SP48" s="16"/>
      <c r="SQ48" s="16"/>
      <c r="SR48" s="16"/>
      <c r="SS48" s="16"/>
      <c r="ST48" s="16"/>
      <c r="SU48" s="16"/>
      <c r="SV48" s="16"/>
      <c r="SW48" s="16"/>
      <c r="SX48" s="16"/>
      <c r="SY48" s="16"/>
      <c r="SZ48" s="16"/>
      <c r="TA48" s="16"/>
      <c r="TB48" s="16"/>
      <c r="TC48" s="16"/>
      <c r="TD48" s="16"/>
      <c r="TE48" s="16"/>
      <c r="TF48" s="16"/>
      <c r="TG48" s="16"/>
      <c r="TH48" s="16"/>
      <c r="TI48" s="16"/>
      <c r="TJ48" s="16"/>
      <c r="TK48" s="16"/>
      <c r="TL48" s="16"/>
      <c r="TM48" s="16"/>
      <c r="TN48" s="16"/>
      <c r="TO48" s="16"/>
      <c r="TP48" s="16"/>
      <c r="TQ48" s="16"/>
      <c r="TR48" s="16"/>
      <c r="TS48" s="16"/>
      <c r="TT48" s="16"/>
      <c r="TU48" s="16"/>
      <c r="TV48" s="16"/>
      <c r="TW48" s="16"/>
      <c r="TX48" s="16"/>
      <c r="TY48" s="16"/>
      <c r="TZ48" s="16"/>
      <c r="UA48" s="16"/>
      <c r="UB48" s="16"/>
      <c r="UC48" s="16"/>
      <c r="UD48" s="16"/>
      <c r="UE48" s="16"/>
      <c r="UF48" s="16"/>
      <c r="UG48" s="16"/>
      <c r="UH48" s="16"/>
      <c r="UI48" s="16"/>
      <c r="UJ48" s="16"/>
      <c r="UK48" s="16"/>
      <c r="UL48" s="16"/>
      <c r="UM48" s="16"/>
      <c r="UN48" s="16"/>
      <c r="UO48" s="16"/>
      <c r="UP48" s="16"/>
      <c r="UQ48" s="16"/>
      <c r="UR48" s="16"/>
      <c r="US48" s="16"/>
      <c r="UT48" s="16"/>
      <c r="UU48" s="16"/>
      <c r="UV48" s="16"/>
      <c r="UW48" s="16"/>
      <c r="UX48" s="16"/>
      <c r="UY48" s="16"/>
      <c r="UZ48" s="16"/>
      <c r="VA48" s="16"/>
      <c r="VB48" s="16"/>
      <c r="VC48" s="16"/>
      <c r="VD48" s="16"/>
      <c r="VE48" s="16"/>
      <c r="VF48" s="16"/>
      <c r="VG48" s="16"/>
      <c r="VH48" s="16"/>
      <c r="VI48" s="16"/>
      <c r="VJ48" s="16"/>
      <c r="VK48" s="16"/>
      <c r="VL48" s="16"/>
      <c r="VM48" s="16"/>
      <c r="VN48" s="16"/>
      <c r="VO48" s="16"/>
      <c r="VP48" s="16"/>
      <c r="VQ48" s="16"/>
      <c r="VR48" s="16"/>
      <c r="VS48" s="16"/>
      <c r="VT48" s="16"/>
      <c r="VU48" s="16"/>
      <c r="VV48" s="16"/>
      <c r="VW48" s="16"/>
      <c r="VX48" s="16"/>
      <c r="VY48" s="16"/>
      <c r="VZ48" s="16"/>
      <c r="WA48" s="16"/>
      <c r="WB48" s="16"/>
      <c r="WC48" s="16"/>
      <c r="WD48" s="16"/>
      <c r="WE48" s="16"/>
      <c r="WF48" s="16"/>
      <c r="WG48" s="16"/>
      <c r="WH48" s="16"/>
      <c r="WI48" s="16"/>
      <c r="WJ48" s="16"/>
      <c r="WK48" s="16"/>
      <c r="WL48" s="16"/>
      <c r="WM48" s="16" t="s">
        <v>2961</v>
      </c>
      <c r="WN48" s="16"/>
      <c r="WO48" s="16"/>
      <c r="WP48" s="16"/>
      <c r="WQ48" s="16"/>
      <c r="WR48" s="16"/>
      <c r="WS48" s="16"/>
      <c r="WT48" s="16"/>
      <c r="WU48" s="16"/>
      <c r="WV48" s="16"/>
      <c r="WW48" s="16"/>
      <c r="WX48" s="16"/>
      <c r="WY48" s="16"/>
      <c r="WZ48" s="16"/>
      <c r="XA48" s="16"/>
      <c r="XB48" s="16"/>
      <c r="XC48" s="16"/>
      <c r="XD48" s="16"/>
      <c r="XE48" s="16"/>
      <c r="XF48" s="16"/>
      <c r="XG48" s="16"/>
      <c r="XH48" s="16"/>
      <c r="XI48" s="16"/>
      <c r="XJ48" s="16"/>
      <c r="XK48" s="16"/>
      <c r="XL48" s="16"/>
      <c r="XM48" s="16"/>
      <c r="XN48" s="16"/>
      <c r="XO48" s="16"/>
      <c r="XP48" s="16"/>
      <c r="XQ48" s="16"/>
      <c r="XR48" s="16"/>
      <c r="XS48" s="16"/>
      <c r="XT48" s="16"/>
      <c r="XU48" s="16"/>
      <c r="XV48" s="16"/>
      <c r="XW48" s="16"/>
      <c r="XX48" s="16"/>
      <c r="XY48" s="16"/>
      <c r="XZ48" s="16"/>
      <c r="YA48" s="16"/>
      <c r="YB48" s="16"/>
      <c r="YC48" s="16"/>
      <c r="YD48" s="16"/>
      <c r="YE48" s="16"/>
      <c r="YF48" s="16"/>
      <c r="YG48" s="16"/>
      <c r="YH48" s="16"/>
      <c r="YI48" s="16"/>
      <c r="YJ48" s="16"/>
      <c r="YK48" s="16"/>
      <c r="YL48" s="16"/>
      <c r="YM48" s="16"/>
      <c r="YN48" s="16"/>
      <c r="YO48" s="16"/>
      <c r="YP48" s="16"/>
      <c r="YQ48" s="16"/>
      <c r="YR48" s="16"/>
      <c r="YS48" s="16"/>
      <c r="YT48" s="16"/>
      <c r="YU48" s="16"/>
      <c r="YV48" s="16"/>
      <c r="YW48" s="16" t="s">
        <v>2961</v>
      </c>
      <c r="YX48" s="16"/>
      <c r="YY48" s="16"/>
      <c r="YZ48" s="16"/>
      <c r="ZA48" s="16"/>
      <c r="ZB48" s="16"/>
      <c r="ZC48" s="16"/>
      <c r="ZD48" s="16"/>
      <c r="ZE48" s="16"/>
      <c r="ZF48" s="16"/>
      <c r="ZG48" s="16"/>
      <c r="ZH48" s="16"/>
      <c r="ZI48" s="16"/>
      <c r="ZJ48" s="16"/>
      <c r="ZK48" s="16"/>
      <c r="ZL48" s="16"/>
      <c r="ZM48" s="16"/>
      <c r="ZN48" s="16"/>
      <c r="ZO48" s="16"/>
      <c r="ZP48" s="16"/>
      <c r="ZQ48" s="16"/>
      <c r="ZR48" s="16"/>
      <c r="ZS48" s="16"/>
      <c r="ZT48" s="16"/>
      <c r="ZU48" s="16"/>
      <c r="ZV48" s="16"/>
      <c r="ZW48" s="16"/>
      <c r="ZX48" s="16"/>
      <c r="ZY48" s="16"/>
      <c r="ZZ48" s="16"/>
      <c r="AAA48" s="16"/>
      <c r="AAB48" s="16"/>
      <c r="AAC48" s="16"/>
      <c r="AAD48" s="16"/>
      <c r="AAE48" s="16"/>
      <c r="AAF48" s="16"/>
      <c r="AAG48" s="16"/>
      <c r="AAH48" s="16"/>
      <c r="AAI48" s="16"/>
      <c r="AAJ48" s="16"/>
      <c r="AAK48" s="16"/>
      <c r="AAL48" s="16"/>
      <c r="AAM48" s="16"/>
      <c r="AAN48" s="16"/>
      <c r="AAO48" s="16"/>
      <c r="AAP48" s="16"/>
      <c r="AAQ48" s="16"/>
      <c r="AAR48" s="16"/>
      <c r="AAS48" s="16"/>
      <c r="AAT48" s="16"/>
      <c r="AAU48" s="16"/>
      <c r="AAV48" s="16"/>
      <c r="AAW48" s="16"/>
      <c r="AAX48" s="16"/>
      <c r="AAY48" s="16"/>
      <c r="AAZ48" s="16"/>
      <c r="ABA48" s="16"/>
      <c r="ABB48" s="16"/>
      <c r="ABC48" s="16"/>
      <c r="ABD48" s="16"/>
      <c r="ABE48" s="16"/>
      <c r="ABF48" s="16"/>
      <c r="ABG48" s="16"/>
      <c r="ABH48" s="16"/>
      <c r="ABI48" s="16"/>
      <c r="ABJ48" s="16"/>
      <c r="ABK48" s="16"/>
      <c r="ABL48" s="16"/>
      <c r="ABM48" s="16"/>
      <c r="ABN48" s="16"/>
      <c r="ABO48" s="16"/>
      <c r="ABP48" s="16"/>
      <c r="ABQ48" s="16"/>
      <c r="ABR48" s="16"/>
      <c r="ABS48" s="16"/>
      <c r="ABT48" s="16"/>
      <c r="ABU48" s="16"/>
      <c r="ABV48" s="16"/>
      <c r="ABW48" s="16"/>
      <c r="ABX48" s="16"/>
      <c r="ABY48" s="16"/>
      <c r="ABZ48" s="16"/>
      <c r="ACA48" s="16"/>
      <c r="ACB48" s="16"/>
      <c r="ACC48" s="16"/>
      <c r="ACD48" s="16"/>
      <c r="ACE48" s="16"/>
      <c r="ACF48" s="16"/>
      <c r="ACG48" s="16"/>
      <c r="ACH48" s="16"/>
      <c r="ACI48" s="16"/>
      <c r="ACJ48" s="16"/>
      <c r="ACK48" s="16"/>
      <c r="ACL48" s="16"/>
      <c r="ACM48" s="16"/>
      <c r="ACN48" s="16"/>
      <c r="ACO48" s="16"/>
      <c r="ACP48" s="16"/>
      <c r="ACQ48" s="16"/>
      <c r="ACR48" s="16"/>
      <c r="ACS48" s="16"/>
      <c r="ACT48" s="16"/>
      <c r="ACU48" s="16"/>
      <c r="ACV48" s="16"/>
      <c r="ACW48" s="16"/>
      <c r="ACX48" s="16"/>
      <c r="ACY48" s="16"/>
      <c r="ACZ48" s="16"/>
      <c r="ADA48" s="16"/>
      <c r="ADB48" s="16"/>
      <c r="ADC48" s="16"/>
      <c r="ADD48" s="16"/>
      <c r="ADE48" s="16"/>
      <c r="ADF48" s="16"/>
      <c r="ADG48" s="16"/>
      <c r="ADH48" s="16"/>
      <c r="ADI48" s="16"/>
      <c r="ADJ48" s="16"/>
      <c r="ADK48" s="16"/>
      <c r="ADL48" s="16"/>
      <c r="ADM48" s="16"/>
      <c r="ADN48" s="16"/>
      <c r="ADO48" s="16"/>
      <c r="ADP48" s="16"/>
      <c r="ADQ48" s="16"/>
      <c r="ADR48" s="16"/>
      <c r="ADS48" s="16"/>
      <c r="ADT48" s="16"/>
      <c r="ADU48" s="16"/>
      <c r="ADV48" s="16"/>
      <c r="ADW48" s="16"/>
      <c r="ADX48" s="16"/>
      <c r="ADY48" s="16"/>
      <c r="ADZ48" s="16"/>
      <c r="AEA48" s="16"/>
      <c r="AEB48" s="16"/>
      <c r="AEC48" s="16"/>
      <c r="AED48" s="16"/>
      <c r="AEE48" s="16"/>
      <c r="AEF48" s="16"/>
      <c r="AEG48" s="16"/>
      <c r="AEH48" s="16"/>
      <c r="AEI48" s="16"/>
      <c r="AEJ48" s="16"/>
      <c r="AEK48" s="16"/>
      <c r="AEL48" s="16"/>
      <c r="AEM48" s="16"/>
      <c r="AEN48" s="16"/>
      <c r="AEO48" s="16"/>
      <c r="AEP48" s="16"/>
      <c r="AEQ48" s="16"/>
      <c r="AER48" s="16"/>
      <c r="AES48" s="16"/>
      <c r="AET48" s="16"/>
      <c r="AEU48" s="16"/>
      <c r="AEV48" s="16"/>
      <c r="AEW48" s="16"/>
      <c r="AEX48" s="16"/>
      <c r="AEY48" s="16"/>
      <c r="AEZ48" s="16"/>
      <c r="AFA48" s="16"/>
      <c r="AFB48" s="16"/>
      <c r="AFC48" s="16"/>
      <c r="AFD48" s="16"/>
      <c r="AFE48" s="16"/>
      <c r="AFF48" s="16"/>
      <c r="AFG48" s="16"/>
      <c r="AFH48" s="16"/>
      <c r="AFI48" s="16"/>
      <c r="AFJ48" s="16"/>
      <c r="AFK48" s="16"/>
      <c r="AFL48" s="16"/>
      <c r="AFM48" s="16"/>
      <c r="AFN48" s="16"/>
      <c r="AFO48" s="16"/>
      <c r="AFP48" s="16"/>
      <c r="AFQ48" s="16"/>
      <c r="AFR48" s="16"/>
      <c r="AFS48" s="16"/>
      <c r="AFT48" s="16"/>
      <c r="AFU48" s="16"/>
      <c r="AFV48" s="16"/>
      <c r="AFW48" s="16"/>
      <c r="AFX48" s="16"/>
      <c r="AFY48" s="16"/>
      <c r="AFZ48" s="16"/>
      <c r="AGA48" s="16" t="s">
        <v>2961</v>
      </c>
      <c r="AGB48" s="16"/>
      <c r="AGC48" s="16"/>
      <c r="AGD48" s="16"/>
      <c r="AGE48" s="16"/>
      <c r="AGF48" s="16"/>
      <c r="AGG48" s="16"/>
      <c r="AGH48" s="16"/>
      <c r="AGI48" s="16"/>
      <c r="AGJ48" s="16"/>
      <c r="AGK48" s="16"/>
      <c r="AGL48" s="16"/>
      <c r="AGM48" s="16"/>
      <c r="AGN48" s="16"/>
      <c r="AGO48" s="16"/>
      <c r="AGP48" s="16"/>
      <c r="AGQ48" s="16"/>
      <c r="AGR48" s="16"/>
      <c r="AGS48" s="16"/>
      <c r="AGT48" s="16"/>
      <c r="AGU48" s="16"/>
      <c r="AGV48" s="16"/>
      <c r="AGW48" s="16"/>
      <c r="AGX48" s="16"/>
      <c r="AGY48" s="16"/>
      <c r="AGZ48" s="16"/>
      <c r="AHA48" s="16"/>
      <c r="AHB48" s="16"/>
      <c r="AHC48" s="16"/>
      <c r="AHD48" s="16"/>
      <c r="AHE48" s="16"/>
      <c r="AHF48" s="16"/>
      <c r="AHG48" s="16"/>
      <c r="AHH48" s="16"/>
      <c r="AHI48" s="16"/>
      <c r="AHJ48" s="16"/>
      <c r="AHK48" s="16"/>
      <c r="AHL48" s="16"/>
      <c r="AHM48" s="16"/>
      <c r="AHN48" s="16"/>
      <c r="AHO48" s="16"/>
      <c r="AHP48" s="16"/>
      <c r="AHQ48" s="16"/>
      <c r="AHR48" s="16"/>
      <c r="AHS48" s="16"/>
      <c r="AHT48" s="16"/>
      <c r="AHU48" s="16"/>
      <c r="AHV48" s="16"/>
      <c r="AHW48" s="16"/>
      <c r="AHX48" s="16"/>
      <c r="AHY48" s="16"/>
      <c r="AHZ48" s="16"/>
      <c r="AIA48" s="16"/>
      <c r="AIB48" s="16"/>
      <c r="AIC48" s="16"/>
      <c r="AID48" s="16"/>
      <c r="AIE48" s="16"/>
      <c r="AIF48" s="16"/>
      <c r="AIG48" s="16"/>
      <c r="AIH48" s="16"/>
      <c r="AII48" s="16"/>
      <c r="AIJ48" s="16"/>
      <c r="AIK48" s="16"/>
      <c r="AIL48" s="16"/>
      <c r="AIM48" s="16"/>
      <c r="AIN48" s="16"/>
      <c r="AIO48" s="16"/>
      <c r="AIP48" s="16"/>
      <c r="AIQ48" s="16"/>
      <c r="AIR48" s="16"/>
      <c r="AIS48" s="16"/>
      <c r="AIT48" s="16"/>
      <c r="AIU48" s="16"/>
      <c r="AIV48" s="16"/>
      <c r="AIW48" s="16"/>
      <c r="AIX48" s="16"/>
      <c r="AIY48" s="16"/>
      <c r="AIZ48" s="16"/>
      <c r="AJA48" s="16"/>
      <c r="AJB48" s="16"/>
      <c r="AJC48" s="16"/>
      <c r="AJD48" s="16"/>
      <c r="AJE48" s="16"/>
      <c r="AJF48" s="16"/>
      <c r="AJG48" s="16"/>
      <c r="AJH48" s="16"/>
      <c r="AJI48" s="16"/>
      <c r="AJJ48" s="16"/>
      <c r="AJK48" s="16"/>
      <c r="AJL48" s="16"/>
      <c r="AJM48" s="16"/>
      <c r="AJN48" s="16"/>
      <c r="AJO48" s="16"/>
      <c r="AJP48" s="16"/>
      <c r="AJQ48" s="16"/>
      <c r="AJR48" s="16"/>
      <c r="AJS48" s="16"/>
      <c r="AJT48" s="16"/>
      <c r="AJU48" s="16"/>
      <c r="AJV48" s="16"/>
      <c r="AJW48" s="16"/>
      <c r="AJX48" s="16"/>
      <c r="AJY48" s="16"/>
      <c r="AJZ48" s="16"/>
      <c r="AKA48" s="16"/>
      <c r="AKB48" s="16"/>
      <c r="AKC48" s="16"/>
      <c r="AKD48" s="16"/>
      <c r="AKE48" s="16"/>
      <c r="AKF48" s="16"/>
      <c r="AKG48" s="16"/>
      <c r="AKH48" s="16"/>
      <c r="AKI48" s="16"/>
      <c r="AKJ48" s="16"/>
      <c r="AKK48" s="16"/>
      <c r="AKL48" s="16"/>
      <c r="AKM48" s="16"/>
      <c r="AKN48" s="16"/>
      <c r="AKO48" s="16"/>
      <c r="AKP48" s="16"/>
      <c r="AKQ48" s="16"/>
      <c r="AKR48" s="16"/>
      <c r="AKS48" s="16"/>
      <c r="AKT48" s="16"/>
      <c r="AKU48" s="16"/>
      <c r="AKV48" s="16"/>
      <c r="AKW48" s="16"/>
      <c r="AKX48" s="16"/>
      <c r="AKY48" s="16"/>
      <c r="AKZ48" s="16"/>
      <c r="ALA48" s="16"/>
      <c r="ALB48" s="16"/>
      <c r="ALC48" s="16"/>
      <c r="ALD48" s="16"/>
      <c r="ALE48" s="16"/>
      <c r="ALF48" s="16"/>
      <c r="ALG48" s="16"/>
      <c r="ALH48" s="16"/>
      <c r="ALI48" s="16"/>
      <c r="ALJ48" s="16"/>
      <c r="ALK48" s="16"/>
      <c r="ALL48" s="16"/>
      <c r="ALM48" s="16"/>
      <c r="ALN48" s="16"/>
      <c r="ALO48" s="16"/>
      <c r="ALP48" s="16"/>
      <c r="ALQ48" s="16"/>
      <c r="ALR48" s="16"/>
      <c r="ALS48" s="16"/>
      <c r="ALT48" s="16"/>
      <c r="ALU48" s="16"/>
      <c r="ALV48" s="16"/>
      <c r="ALW48" s="16"/>
      <c r="ALX48" s="16"/>
      <c r="ALY48" s="16"/>
      <c r="ALZ48" s="16"/>
      <c r="AMA48" s="16"/>
      <c r="AMB48" s="16"/>
      <c r="AMC48" s="16"/>
      <c r="AMD48" s="16"/>
      <c r="AME48" s="16"/>
      <c r="AMF48" s="16"/>
      <c r="AMG48" s="16"/>
      <c r="AMH48" s="16"/>
      <c r="AMI48" s="16"/>
      <c r="AMJ48" s="16"/>
      <c r="AMK48" s="16"/>
      <c r="AML48" s="16"/>
      <c r="AMM48" s="16"/>
      <c r="AMN48" s="16"/>
      <c r="AMO48" s="16"/>
      <c r="AMP48" s="16"/>
      <c r="AMQ48" s="16"/>
      <c r="AMR48" s="16"/>
      <c r="AMS48" s="16"/>
      <c r="AMT48" s="16"/>
      <c r="AMU48" s="16"/>
      <c r="AMV48" s="16"/>
      <c r="AMW48" s="16"/>
      <c r="AMX48" s="16"/>
      <c r="AMY48" s="16"/>
      <c r="AMZ48" s="16"/>
      <c r="ANA48" s="16"/>
      <c r="ANB48" s="16"/>
      <c r="ANC48" s="16"/>
      <c r="AND48" s="16"/>
      <c r="ANE48" s="16"/>
      <c r="ANF48" s="16"/>
      <c r="ANG48" s="16"/>
      <c r="ANH48" s="16"/>
      <c r="ANI48" s="16"/>
      <c r="ANJ48" s="16"/>
      <c r="ANK48" s="16"/>
      <c r="ANL48" s="16"/>
      <c r="ANM48" s="16"/>
      <c r="ANN48" s="16"/>
      <c r="ANO48" s="16"/>
      <c r="ANP48" s="16"/>
      <c r="ANQ48" s="16"/>
      <c r="ANR48" s="16"/>
      <c r="ANS48" s="16"/>
      <c r="ANT48" s="16"/>
      <c r="ANU48" s="16"/>
      <c r="ANV48" s="16"/>
      <c r="ANW48" s="16"/>
      <c r="ANX48" s="16"/>
      <c r="ANY48" s="16"/>
      <c r="ANZ48" s="16"/>
      <c r="AOA48" s="16"/>
      <c r="AOB48" s="16"/>
      <c r="AOC48" s="16"/>
      <c r="AOD48" s="16"/>
      <c r="AOE48" s="16"/>
      <c r="AOF48" s="16"/>
      <c r="AOG48" s="16"/>
      <c r="AOH48" s="16"/>
      <c r="AOI48" s="16"/>
      <c r="AOJ48" s="16"/>
      <c r="AOK48" s="16"/>
      <c r="AOL48" s="16"/>
      <c r="AOM48" s="16"/>
      <c r="AON48" s="16"/>
      <c r="AOO48" s="16"/>
      <c r="AOP48" s="16"/>
      <c r="AOQ48" s="16"/>
      <c r="AOR48" s="16"/>
      <c r="AOS48" s="16"/>
      <c r="AOT48" s="16"/>
      <c r="AOU48" s="16"/>
      <c r="AOV48" s="16"/>
      <c r="AOW48" s="16"/>
      <c r="AOX48" s="16"/>
      <c r="AOY48" s="16"/>
      <c r="AOZ48" s="16"/>
      <c r="APA48" s="16"/>
      <c r="APB48" s="16"/>
      <c r="APC48" s="16"/>
      <c r="APD48" s="16"/>
      <c r="APE48" s="16"/>
      <c r="APF48" s="16"/>
      <c r="APG48" s="16"/>
      <c r="APH48" s="16"/>
      <c r="API48" s="16"/>
      <c r="APJ48" s="16"/>
      <c r="APK48" s="16"/>
      <c r="APL48" s="16"/>
      <c r="APM48" s="16"/>
      <c r="APN48" s="16"/>
      <c r="APO48" s="16"/>
      <c r="APP48" s="16"/>
      <c r="APQ48" s="16"/>
      <c r="APR48" s="16"/>
      <c r="APS48" s="16"/>
      <c r="APT48" s="16"/>
      <c r="APU48" s="16"/>
      <c r="APV48" s="16"/>
      <c r="APW48" s="16"/>
      <c r="APX48" s="16"/>
      <c r="APY48" s="16"/>
      <c r="APZ48" s="16"/>
      <c r="AQA48" s="16"/>
      <c r="AQB48" s="16"/>
      <c r="AQC48" s="16"/>
      <c r="AQD48" s="16"/>
      <c r="AQE48" s="16"/>
      <c r="AQF48" s="16"/>
      <c r="AQG48" s="16"/>
      <c r="AQH48" s="16"/>
      <c r="AQI48" s="16"/>
      <c r="AQJ48" s="16"/>
      <c r="AQK48" s="16"/>
      <c r="AQL48" s="16"/>
      <c r="AQM48" s="16"/>
      <c r="AQN48" s="16"/>
      <c r="AQO48" s="16"/>
      <c r="AQP48" s="16"/>
      <c r="AQQ48" s="16"/>
      <c r="AQR48" s="16"/>
      <c r="AQS48" s="16"/>
      <c r="AQT48" s="16"/>
      <c r="AQU48" s="16"/>
      <c r="AQV48" s="16"/>
      <c r="AQW48" s="16"/>
      <c r="AQX48" s="16"/>
      <c r="AQY48" s="16"/>
      <c r="AQZ48" s="16"/>
      <c r="ARA48" s="16"/>
      <c r="ARB48" s="16"/>
      <c r="ARC48" s="16"/>
      <c r="ARD48" s="16"/>
      <c r="ARE48" s="16"/>
      <c r="ARF48" s="16"/>
      <c r="ARG48" s="16"/>
      <c r="ARH48" s="16"/>
      <c r="ARI48" s="16"/>
      <c r="ARJ48" s="16"/>
      <c r="ARK48" s="16"/>
      <c r="ARL48" s="16"/>
      <c r="ARM48" s="16"/>
      <c r="ARN48" s="16"/>
      <c r="ARO48" s="16"/>
      <c r="ARP48" s="16"/>
      <c r="ARQ48" s="16"/>
      <c r="ARR48" s="16"/>
      <c r="ARS48" s="16"/>
      <c r="ART48" s="16"/>
      <c r="ARU48" s="16"/>
      <c r="ARV48" s="16"/>
      <c r="ARW48" s="16"/>
      <c r="ARX48" s="16"/>
      <c r="ARY48" s="16"/>
      <c r="ARZ48" s="16"/>
      <c r="ASA48" s="16"/>
      <c r="ASB48" s="16"/>
      <c r="ASC48" s="16"/>
      <c r="ASD48" s="16"/>
      <c r="ASE48" s="16"/>
      <c r="ASF48" s="16"/>
      <c r="ASG48" s="16"/>
      <c r="ASH48" s="16"/>
      <c r="ASI48" s="16"/>
      <c r="ASJ48" s="16"/>
      <c r="ASK48" s="16"/>
      <c r="ASL48" s="16"/>
      <c r="ASM48" s="16"/>
      <c r="ASN48" s="16"/>
      <c r="ASO48" s="16"/>
      <c r="ASP48" s="16"/>
      <c r="ASQ48" s="16"/>
      <c r="ASR48" s="16"/>
      <c r="ASS48" s="16"/>
      <c r="AST48" s="16"/>
      <c r="ASU48" s="16"/>
      <c r="ASV48" s="16"/>
      <c r="ASW48" s="16"/>
      <c r="ASX48" s="16"/>
      <c r="ASY48" s="16"/>
      <c r="ASZ48" s="16"/>
      <c r="ATA48" s="16"/>
      <c r="ATB48" s="16"/>
      <c r="ATC48" s="16"/>
      <c r="ATD48" s="16"/>
      <c r="ATE48" s="16"/>
      <c r="ATF48" s="16"/>
      <c r="ATG48" s="16"/>
      <c r="ATH48" s="16"/>
      <c r="ATI48" s="16"/>
      <c r="ATJ48" s="16"/>
      <c r="ATK48" s="16"/>
      <c r="ATL48" s="16"/>
      <c r="ATM48" s="16"/>
      <c r="ATN48" s="16"/>
      <c r="ATO48" s="16"/>
      <c r="ATP48" s="16"/>
      <c r="ATQ48" s="16"/>
      <c r="ATR48" s="16"/>
      <c r="ATS48" s="16"/>
      <c r="ATT48" s="16"/>
      <c r="ATU48" s="16"/>
      <c r="ATV48" s="16"/>
      <c r="ATW48" s="16"/>
      <c r="ATX48" s="16"/>
      <c r="ATY48" s="16"/>
      <c r="ATZ48" s="16"/>
      <c r="AUA48" s="16"/>
      <c r="AUB48" s="16"/>
      <c r="AUC48" s="16"/>
      <c r="AUD48" s="16"/>
      <c r="AUE48" s="16"/>
      <c r="AUF48" s="16"/>
      <c r="AUG48" s="16"/>
      <c r="AUH48" s="16"/>
      <c r="AUI48" s="16"/>
      <c r="AUJ48" s="16"/>
      <c r="AUK48" s="16"/>
      <c r="AUL48" s="16"/>
      <c r="AUM48" s="16"/>
      <c r="AUN48" s="16"/>
      <c r="AUO48" s="16"/>
      <c r="AUP48" s="16"/>
      <c r="AUQ48" s="16"/>
      <c r="AUR48" s="16"/>
      <c r="AUS48" s="16"/>
      <c r="AUT48" s="16"/>
      <c r="AUU48" s="16"/>
      <c r="AUV48" s="16"/>
      <c r="AUW48" s="16"/>
      <c r="AUX48" s="16"/>
      <c r="AUY48" s="16"/>
      <c r="AUZ48" s="16"/>
      <c r="AVA48" s="16"/>
      <c r="AVB48" s="16"/>
      <c r="AVC48" s="16"/>
      <c r="AVD48" s="16"/>
      <c r="AVE48" s="16"/>
      <c r="AVF48" s="16"/>
      <c r="AVG48" s="16"/>
      <c r="AVH48" s="16"/>
      <c r="AVI48" s="16"/>
      <c r="AVJ48" s="16"/>
      <c r="AVK48" s="16"/>
      <c r="AVL48" s="16"/>
      <c r="AVM48" s="16"/>
      <c r="AVN48" s="16"/>
      <c r="AVO48" s="16"/>
      <c r="AVP48" s="16"/>
      <c r="AVQ48" s="16"/>
      <c r="AVR48" s="16"/>
      <c r="AVS48" s="16"/>
      <c r="AVT48" s="16"/>
      <c r="AVU48" s="16"/>
      <c r="AVV48" s="16"/>
      <c r="AVW48" s="16"/>
      <c r="AVX48" s="16"/>
      <c r="AVY48" s="16"/>
      <c r="AVZ48" s="16"/>
      <c r="AWA48" s="16"/>
      <c r="AWB48" s="16"/>
      <c r="AWC48" s="16"/>
      <c r="AWD48" s="16"/>
      <c r="AWE48" s="16"/>
      <c r="AWF48" s="16"/>
      <c r="AWG48" s="16"/>
      <c r="AWH48" s="16"/>
      <c r="AWI48" s="16"/>
      <c r="AWJ48" s="16"/>
      <c r="AWK48" s="16"/>
      <c r="AWL48" s="16"/>
      <c r="AWM48" s="16"/>
      <c r="AWN48" s="16"/>
      <c r="AWO48" s="16"/>
      <c r="AWP48" s="16"/>
      <c r="AWQ48" s="16"/>
      <c r="AWR48" s="16"/>
      <c r="AWS48" s="16"/>
      <c r="AWT48" s="16"/>
      <c r="AWU48" s="16"/>
      <c r="AWV48" s="16"/>
      <c r="AWW48" s="16"/>
      <c r="AWX48" s="16"/>
      <c r="AWY48" s="16"/>
      <c r="AWZ48" s="16"/>
      <c r="AXA48" s="16"/>
      <c r="AXB48" s="16"/>
      <c r="AXC48" s="16"/>
      <c r="AXD48" s="16"/>
      <c r="AXE48" s="16"/>
      <c r="AXF48" s="16"/>
      <c r="AXG48" s="16"/>
      <c r="AXH48" s="16"/>
      <c r="AXI48" s="16"/>
      <c r="AXJ48" s="16"/>
      <c r="AXK48" s="16"/>
      <c r="AXL48" s="16"/>
      <c r="AXM48" s="16"/>
      <c r="AXN48" s="16"/>
      <c r="AXO48" s="16"/>
      <c r="AXP48" s="16"/>
      <c r="AXQ48" s="16"/>
      <c r="AXR48" s="16"/>
      <c r="AXS48" s="16"/>
      <c r="AXT48" s="16"/>
      <c r="AXU48" s="16"/>
      <c r="AXV48" s="16"/>
      <c r="AXW48" s="16"/>
      <c r="AXX48" s="16"/>
      <c r="AXY48" s="16"/>
      <c r="AXZ48" s="16"/>
      <c r="AYA48" s="16"/>
      <c r="AYB48" s="16"/>
      <c r="AYC48" s="16"/>
      <c r="AYD48" s="16"/>
      <c r="AYE48" s="16"/>
      <c r="AYF48" s="16"/>
      <c r="AYG48" s="16"/>
      <c r="AYH48" s="16"/>
      <c r="AYI48" s="16"/>
      <c r="AYJ48" s="16"/>
      <c r="AYK48" s="16"/>
      <c r="AYL48" s="16"/>
      <c r="AYM48" s="16"/>
      <c r="AYN48" s="16"/>
      <c r="AYO48" s="16"/>
      <c r="AYP48" s="16"/>
      <c r="AYQ48" s="16"/>
      <c r="AYR48" s="16"/>
      <c r="AYS48" s="16"/>
      <c r="AYT48" s="16"/>
      <c r="AYU48" s="16"/>
      <c r="AYV48" s="16"/>
      <c r="AYW48" s="16"/>
      <c r="AYX48" s="16"/>
      <c r="AYY48" s="16"/>
      <c r="AYZ48" s="16"/>
      <c r="AZA48" s="16"/>
      <c r="AZB48" s="16"/>
      <c r="AZC48" s="16"/>
      <c r="AZD48" s="16"/>
      <c r="AZE48" s="16"/>
      <c r="AZF48" s="16"/>
      <c r="AZG48" s="16"/>
      <c r="AZH48" s="16"/>
      <c r="AZI48" s="16"/>
      <c r="AZJ48" s="16"/>
      <c r="AZK48" s="16"/>
      <c r="AZL48" s="16"/>
      <c r="AZM48" s="16"/>
      <c r="AZN48" s="16"/>
      <c r="AZO48" s="16"/>
      <c r="AZP48" s="16"/>
      <c r="AZQ48" s="16"/>
      <c r="AZR48" s="16"/>
      <c r="AZS48" s="16"/>
      <c r="AZT48" s="16"/>
      <c r="AZU48" s="16"/>
      <c r="AZV48" s="16"/>
      <c r="AZW48" s="16"/>
      <c r="AZX48" s="16"/>
      <c r="AZY48" s="16"/>
      <c r="AZZ48" s="16"/>
      <c r="BAA48" s="16"/>
      <c r="BAB48" s="16"/>
      <c r="BAC48" s="16"/>
      <c r="BAD48" s="16"/>
      <c r="BAE48" s="16"/>
      <c r="BAF48" s="16"/>
      <c r="BAG48" s="16"/>
      <c r="BAH48" s="16"/>
      <c r="BAI48" s="16"/>
      <c r="BAJ48" s="16"/>
      <c r="BAK48" s="16"/>
      <c r="BAL48" s="16"/>
      <c r="BAM48" s="16"/>
      <c r="BAN48" s="16"/>
      <c r="BAO48" s="16"/>
      <c r="BAP48" s="16"/>
      <c r="BAQ48" s="16"/>
      <c r="BAR48" s="16"/>
      <c r="BAS48" s="16"/>
      <c r="BAT48" s="16"/>
      <c r="BAU48" s="16"/>
      <c r="BAV48" s="16"/>
      <c r="BAW48" s="16"/>
      <c r="BAX48" s="16"/>
      <c r="BAY48" s="16"/>
      <c r="BAZ48" s="16"/>
      <c r="BBA48" s="16"/>
      <c r="BBB48" s="16"/>
      <c r="BBC48" s="16"/>
      <c r="BBD48" s="16"/>
      <c r="BBE48" s="16"/>
      <c r="BBF48" s="16"/>
      <c r="BBG48" s="16"/>
      <c r="BBH48" s="16"/>
      <c r="BBI48" s="16"/>
      <c r="BBJ48" s="16"/>
      <c r="BBK48" s="16"/>
      <c r="BBL48" s="16"/>
      <c r="BBM48" s="16"/>
      <c r="BBN48" s="16"/>
      <c r="BBO48" s="16"/>
      <c r="BBP48" s="16"/>
      <c r="BBQ48" s="16"/>
      <c r="BBR48" s="16"/>
      <c r="BBS48" s="16"/>
      <c r="BBT48" s="16"/>
      <c r="BBU48" s="16"/>
      <c r="BBV48" s="16"/>
      <c r="BBW48" s="16"/>
      <c r="BBX48" s="16"/>
      <c r="BBY48" s="16"/>
      <c r="BBZ48" s="16"/>
      <c r="BCA48" s="16"/>
      <c r="BCB48" s="16"/>
      <c r="BCC48" s="16"/>
      <c r="BCD48" s="16"/>
      <c r="BCE48" s="16"/>
      <c r="BCF48" s="16"/>
      <c r="BCG48" s="16"/>
      <c r="BCH48" s="16"/>
      <c r="BCI48" s="16"/>
      <c r="BCJ48" s="16"/>
      <c r="BCK48" s="16"/>
      <c r="BCL48" s="16"/>
      <c r="BCM48" s="16"/>
      <c r="BCN48" s="16"/>
      <c r="BCO48" s="16"/>
      <c r="BCP48" s="16"/>
      <c r="BCQ48" s="16"/>
      <c r="BCR48" s="16"/>
      <c r="BCS48" s="16"/>
      <c r="BCT48" s="16"/>
      <c r="BCU48" s="16"/>
      <c r="BCV48" s="16"/>
      <c r="BCW48" s="16"/>
      <c r="BCX48" s="16"/>
      <c r="BCY48" s="16"/>
      <c r="BCZ48" s="16"/>
      <c r="BDA48" s="16"/>
      <c r="BDB48" s="16"/>
      <c r="BDC48" s="16"/>
      <c r="BDD48" s="16"/>
      <c r="BDE48" s="16"/>
      <c r="BDF48" s="16"/>
      <c r="BDG48" s="16"/>
      <c r="BDH48" s="16"/>
      <c r="BDI48" s="16"/>
      <c r="BDJ48" s="16"/>
      <c r="BDK48" s="16"/>
      <c r="BDL48" s="16"/>
      <c r="BDM48" s="16"/>
      <c r="BDN48" s="16"/>
      <c r="BDO48" s="16"/>
      <c r="BDP48" s="16"/>
      <c r="BDQ48" s="16"/>
      <c r="BDR48" s="16"/>
      <c r="BDS48" s="16"/>
      <c r="BDT48" s="16"/>
      <c r="BDU48" s="16"/>
      <c r="BDV48" s="16"/>
      <c r="BDW48" s="16"/>
      <c r="BDX48" s="16"/>
      <c r="BDY48" s="16"/>
      <c r="BDZ48" s="16"/>
      <c r="BEA48" s="16"/>
      <c r="BEB48" s="16"/>
      <c r="BEC48" s="16"/>
      <c r="BED48" s="16"/>
      <c r="BEE48" s="16"/>
      <c r="BEF48" s="16"/>
      <c r="BEG48" s="16"/>
      <c r="BEH48" s="16"/>
      <c r="BEI48" s="16"/>
      <c r="BEJ48" s="16"/>
      <c r="BEK48" s="16"/>
      <c r="BEL48" s="16"/>
      <c r="BEM48" s="16"/>
      <c r="BEN48" s="16"/>
      <c r="BEO48" s="16"/>
      <c r="BEP48" s="16"/>
      <c r="BEQ48" s="16"/>
      <c r="BER48" s="16"/>
      <c r="BES48" s="16"/>
      <c r="BET48" s="16"/>
      <c r="BEU48" s="16"/>
      <c r="BEV48" s="16"/>
      <c r="BEW48" s="16"/>
      <c r="BEX48" s="16"/>
      <c r="BEY48" s="16"/>
      <c r="BEZ48" s="16"/>
      <c r="BFA48" s="16"/>
      <c r="BFB48" s="16"/>
      <c r="BFC48" s="16"/>
      <c r="BFD48" s="16"/>
      <c r="BFE48" s="16"/>
      <c r="BFF48" s="16"/>
      <c r="BFG48" s="16"/>
      <c r="BFH48" s="16"/>
      <c r="BFI48" s="16"/>
      <c r="BFJ48" s="16"/>
      <c r="BFK48" s="16"/>
      <c r="BFL48" s="16"/>
      <c r="BFM48" s="16"/>
      <c r="BFN48" s="16"/>
      <c r="BFO48" s="16"/>
      <c r="BFP48" s="16"/>
      <c r="BFQ48" s="16"/>
      <c r="BFR48" s="16"/>
      <c r="BFS48" s="16"/>
      <c r="BFT48" s="16"/>
      <c r="BFU48" s="16"/>
      <c r="BFV48" s="16"/>
      <c r="BFW48" s="16"/>
      <c r="BFX48" s="16"/>
      <c r="BFY48" s="16"/>
      <c r="BFZ48" s="16"/>
      <c r="BGA48" s="16"/>
      <c r="BGB48" s="16"/>
      <c r="BGC48" s="16"/>
      <c r="BGD48" s="16"/>
      <c r="BGE48" s="16"/>
      <c r="BGF48" s="16"/>
      <c r="BGG48" s="16"/>
      <c r="BGH48" s="16"/>
      <c r="BGI48" s="16"/>
      <c r="BGJ48" s="16"/>
      <c r="BGK48" s="16"/>
      <c r="BGL48" s="16"/>
      <c r="BGM48" s="16"/>
      <c r="BGN48" s="16"/>
      <c r="BGO48" s="16"/>
      <c r="BGP48" s="16"/>
      <c r="BGQ48" s="16"/>
      <c r="BGR48" s="16"/>
      <c r="BGS48" s="16"/>
      <c r="BGT48" s="16"/>
      <c r="BGU48" s="16"/>
      <c r="BGV48" s="16"/>
      <c r="BGW48" s="16"/>
      <c r="BGX48" s="16"/>
      <c r="BGY48" s="16"/>
      <c r="BGZ48" s="16"/>
      <c r="BHA48" s="16"/>
      <c r="BHB48" s="16"/>
      <c r="BHC48" s="16"/>
      <c r="BHD48" s="16"/>
      <c r="BHE48" s="16"/>
      <c r="BHF48" s="16"/>
      <c r="BHG48" s="16"/>
      <c r="BHH48" s="16"/>
      <c r="BHI48" s="16"/>
      <c r="BHJ48" s="16"/>
      <c r="BHK48" s="16"/>
      <c r="BHL48" s="16"/>
      <c r="BHM48" s="16"/>
      <c r="BHN48" s="16"/>
      <c r="BHO48" s="16"/>
      <c r="BHP48" s="16"/>
      <c r="BHQ48" s="16"/>
      <c r="BHR48" s="16"/>
      <c r="BHS48" s="16"/>
      <c r="BHT48" s="16"/>
      <c r="BHU48" s="16"/>
      <c r="BHV48" s="16"/>
      <c r="BHW48" s="16"/>
      <c r="BHX48" s="16"/>
      <c r="BHY48" s="16"/>
      <c r="BHZ48" s="16"/>
      <c r="BIA48" s="16"/>
      <c r="BIB48" s="16"/>
      <c r="BIC48" s="16"/>
      <c r="BID48" s="16"/>
      <c r="BIE48" s="16"/>
      <c r="BIF48" s="16"/>
      <c r="BIG48" s="16"/>
      <c r="BIH48" s="16"/>
      <c r="BII48" s="16"/>
      <c r="BIJ48" s="16"/>
      <c r="BIK48" s="16"/>
      <c r="BIL48" s="16"/>
      <c r="BIM48" s="16"/>
      <c r="BIN48" s="16"/>
      <c r="BIO48" s="16"/>
      <c r="BIP48" s="16"/>
      <c r="BIQ48" s="16"/>
      <c r="BIR48" s="16"/>
      <c r="BIS48" s="16"/>
      <c r="BIT48" s="16"/>
      <c r="BIU48" s="16"/>
      <c r="BIV48" s="16"/>
      <c r="BIW48" s="16"/>
      <c r="BIX48" s="16"/>
      <c r="BIY48" s="16"/>
      <c r="BIZ48" s="16"/>
      <c r="BJA48" s="16"/>
      <c r="BJB48" s="16"/>
      <c r="BJC48" s="16"/>
      <c r="BJD48" s="16"/>
      <c r="BJE48" s="16"/>
      <c r="BJF48" s="16"/>
      <c r="BJG48" s="16"/>
      <c r="BJH48" s="16"/>
      <c r="BJI48" s="16"/>
      <c r="BJJ48" s="16"/>
      <c r="BJK48" s="16"/>
      <c r="BJL48" s="16"/>
      <c r="BJM48" s="16"/>
      <c r="BJN48" s="16"/>
      <c r="BJO48" s="16"/>
      <c r="BJP48" s="16"/>
      <c r="BJQ48" s="16"/>
      <c r="BJR48" s="16"/>
      <c r="BJS48" s="16"/>
      <c r="BJT48" s="16"/>
      <c r="BJU48" s="16"/>
      <c r="BJV48" s="16"/>
      <c r="BJW48" s="16"/>
      <c r="BJX48" s="16"/>
      <c r="BJY48" s="16"/>
      <c r="BJZ48" s="16"/>
      <c r="BKA48" s="16"/>
      <c r="BKB48" s="16"/>
      <c r="BKC48" s="16"/>
      <c r="BKD48" s="16"/>
      <c r="BKE48" s="16"/>
      <c r="BKF48" s="16"/>
      <c r="BKG48" s="16"/>
      <c r="BKH48" s="16"/>
      <c r="BKI48" s="16"/>
      <c r="BKJ48" s="16"/>
      <c r="BKK48" s="16"/>
      <c r="BKL48" s="16"/>
      <c r="BKM48" s="16"/>
      <c r="BKN48" s="16"/>
      <c r="BKO48" s="16"/>
      <c r="BKP48" s="16"/>
      <c r="BKQ48" s="16"/>
      <c r="BKR48" s="16"/>
      <c r="BKS48" s="16"/>
      <c r="BKT48" s="16"/>
      <c r="BKU48" s="16"/>
      <c r="BKV48" s="16"/>
      <c r="BKW48" s="16"/>
      <c r="BKX48" s="16"/>
      <c r="BKY48" s="16"/>
      <c r="BKZ48" s="16"/>
      <c r="BLA48" s="16"/>
      <c r="BLB48" s="16"/>
      <c r="BLC48" s="16"/>
      <c r="BLD48" s="16"/>
      <c r="BLE48" s="16"/>
      <c r="BLF48" s="16"/>
      <c r="BLG48" s="16"/>
      <c r="BLH48" s="16"/>
      <c r="BLI48" s="16"/>
      <c r="BLJ48" s="16"/>
      <c r="BLK48" s="16"/>
      <c r="BLL48" s="16"/>
      <c r="BLM48" s="16"/>
      <c r="BLN48" s="16"/>
      <c r="BLO48" s="16"/>
      <c r="BLP48" s="16"/>
      <c r="BLQ48" s="16"/>
      <c r="BLR48" s="16"/>
      <c r="BLS48" s="16"/>
      <c r="BLT48" s="16"/>
      <c r="BLU48" s="16"/>
      <c r="BLV48" s="16"/>
      <c r="BLW48" s="16"/>
      <c r="BLX48" s="16"/>
      <c r="BLY48" s="16"/>
      <c r="BLZ48" s="16"/>
      <c r="BMA48" s="16"/>
      <c r="BMB48" s="16"/>
      <c r="BMC48" s="16"/>
      <c r="BMD48" s="16"/>
      <c r="BME48" s="16"/>
      <c r="BMF48" s="16"/>
      <c r="BMG48" s="16"/>
      <c r="BMH48" s="16"/>
      <c r="BMI48" s="16"/>
      <c r="BMJ48" s="16"/>
      <c r="BMK48" s="16"/>
      <c r="BML48" s="16"/>
      <c r="BMM48" s="16"/>
      <c r="BMN48" s="16"/>
      <c r="BMO48" s="16"/>
      <c r="BMP48" s="16"/>
      <c r="BMQ48" s="16"/>
      <c r="BMR48" s="16"/>
      <c r="BMS48" s="16"/>
      <c r="BMT48" s="16"/>
      <c r="BMU48" s="16"/>
      <c r="BMV48" s="16"/>
      <c r="BMW48" s="16"/>
      <c r="BMX48" s="16"/>
      <c r="BMY48" s="16"/>
      <c r="BMZ48" s="16"/>
      <c r="BNA48" s="16"/>
      <c r="BNB48" s="16"/>
      <c r="BNC48" s="16"/>
      <c r="BND48" s="16"/>
      <c r="BNE48" s="16"/>
      <c r="BNF48" s="16"/>
      <c r="BNG48" s="16"/>
      <c r="BNH48" s="16"/>
      <c r="BNI48" s="16"/>
      <c r="BNJ48" s="16"/>
      <c r="BNK48" s="16"/>
      <c r="BNL48" s="16"/>
      <c r="BNM48" s="16"/>
      <c r="BNN48" s="16"/>
      <c r="BNO48" s="16"/>
      <c r="BNP48" s="16"/>
      <c r="BNQ48" s="16"/>
      <c r="BNR48" s="16"/>
      <c r="BNS48" s="16"/>
      <c r="BNT48" s="16"/>
      <c r="BNU48" s="16"/>
      <c r="BNV48" s="16"/>
      <c r="BNW48" s="16"/>
      <c r="BNX48" s="16"/>
      <c r="BNY48" s="16"/>
      <c r="BNZ48" s="16"/>
      <c r="BOA48" s="16"/>
      <c r="BOB48" s="16"/>
      <c r="BOC48" s="16"/>
      <c r="BOD48" s="16"/>
      <c r="BOE48" s="16"/>
      <c r="BOF48" s="16"/>
      <c r="BOG48" s="16"/>
      <c r="BOH48" s="16"/>
      <c r="BOI48" s="16"/>
      <c r="BOJ48" s="16"/>
      <c r="BOK48" s="16"/>
      <c r="BOL48" s="16"/>
      <c r="BOM48" s="16"/>
      <c r="BON48" s="16"/>
      <c r="BOO48" s="16"/>
      <c r="BOP48" s="16"/>
      <c r="BOQ48" s="16"/>
      <c r="BOR48" s="16"/>
      <c r="BOS48" s="16"/>
      <c r="BOT48" s="16"/>
      <c r="BOU48" s="16"/>
      <c r="BOV48" s="16"/>
      <c r="BOW48" s="16"/>
      <c r="BOX48" s="16"/>
      <c r="BOY48" s="16"/>
      <c r="BOZ48" s="16"/>
      <c r="BPA48" s="16"/>
      <c r="BPB48" s="16"/>
      <c r="BPC48" s="16"/>
      <c r="BPD48" s="16"/>
      <c r="BPE48" s="16"/>
      <c r="BPF48" s="16"/>
      <c r="BPG48" s="16"/>
      <c r="BPH48" s="16"/>
      <c r="BPI48" s="16"/>
      <c r="BPJ48" s="16"/>
      <c r="BPK48" s="16"/>
      <c r="BPL48" s="16"/>
      <c r="BPM48" s="16"/>
      <c r="BPN48" s="16"/>
      <c r="BPO48" s="16"/>
      <c r="BPP48" s="16"/>
      <c r="BPQ48" s="16"/>
      <c r="BPR48" s="16"/>
      <c r="BPS48" s="16"/>
      <c r="BPT48" s="16"/>
      <c r="BPU48" s="16"/>
      <c r="BPV48" s="16"/>
      <c r="BPW48" s="16"/>
      <c r="BPX48" s="16"/>
      <c r="BPY48" s="16"/>
      <c r="BPZ48" s="16"/>
      <c r="BQA48" s="16"/>
      <c r="BQB48" s="16"/>
      <c r="BQC48" s="16"/>
      <c r="BQD48" s="16"/>
      <c r="BQE48" s="16"/>
      <c r="BQF48" s="16"/>
      <c r="BQG48" s="16"/>
      <c r="BQH48" s="16"/>
      <c r="BQI48" s="16"/>
      <c r="BQJ48" s="16"/>
      <c r="BQK48" s="16"/>
      <c r="BQL48" s="16"/>
      <c r="BQM48" s="16"/>
      <c r="BQN48" s="16"/>
      <c r="BQO48" s="16"/>
      <c r="BQP48" s="16"/>
      <c r="BQQ48" s="16"/>
      <c r="BQR48" s="16"/>
      <c r="BQS48" s="16"/>
      <c r="BQT48" s="16"/>
      <c r="BQU48" s="16"/>
      <c r="BQV48" s="16"/>
      <c r="BQW48" s="16"/>
      <c r="BQX48" s="16"/>
      <c r="BQY48" s="16"/>
      <c r="BQZ48" s="16"/>
      <c r="BRA48" s="16"/>
      <c r="BRB48" s="16"/>
      <c r="BRC48" s="16"/>
      <c r="BRD48" s="16"/>
      <c r="BRE48" s="16"/>
      <c r="BRF48" s="16"/>
      <c r="BRG48" s="16"/>
      <c r="BRH48" s="16"/>
      <c r="BRI48" s="16"/>
      <c r="BRJ48" s="16"/>
      <c r="BRK48" s="16"/>
      <c r="BRL48" s="16"/>
      <c r="BRM48" s="16"/>
      <c r="BRN48" s="16"/>
      <c r="BRO48" s="16"/>
      <c r="BRP48" s="16"/>
      <c r="BRQ48" s="16"/>
      <c r="BRR48" s="16"/>
      <c r="BRS48" s="16"/>
      <c r="BRT48" s="16"/>
      <c r="BRU48" s="16"/>
      <c r="BRV48" s="16"/>
      <c r="BRW48" s="16"/>
      <c r="BRX48" s="16"/>
      <c r="BRY48" s="16"/>
      <c r="BRZ48" s="16"/>
      <c r="BSA48" s="16"/>
      <c r="BSB48" s="16"/>
      <c r="BSC48" s="16"/>
      <c r="BSD48" s="16"/>
      <c r="BSE48" s="16"/>
      <c r="BSF48" s="16"/>
      <c r="BSG48" s="16"/>
      <c r="BSH48" s="16"/>
      <c r="BSI48" s="16"/>
      <c r="BSJ48" s="16"/>
      <c r="BSK48" s="16"/>
      <c r="BSL48" s="16"/>
      <c r="BSM48" s="16"/>
      <c r="BSN48" s="16"/>
      <c r="BSO48" s="16"/>
      <c r="BSP48" s="16"/>
      <c r="BSQ48" s="16"/>
      <c r="BSR48" s="16"/>
      <c r="BSS48" s="16"/>
      <c r="BST48" s="16"/>
      <c r="BSU48" s="16"/>
      <c r="BSV48" s="16"/>
      <c r="BSW48" s="16"/>
      <c r="BSX48" s="16"/>
      <c r="BSY48" s="16"/>
      <c r="BSZ48" s="16"/>
      <c r="BTA48" s="16"/>
      <c r="BTB48" s="16"/>
      <c r="BTC48" s="16"/>
      <c r="BTD48" s="16"/>
      <c r="BTE48" s="16"/>
      <c r="BTF48" s="16"/>
      <c r="BTG48" s="16"/>
      <c r="BTH48" s="16"/>
      <c r="BTI48" s="16"/>
      <c r="BTJ48" s="16"/>
      <c r="BTK48" s="16"/>
      <c r="BTL48" s="16"/>
      <c r="BTM48" s="16"/>
      <c r="BTN48" s="16"/>
      <c r="BTO48" s="16"/>
      <c r="BTP48" s="16"/>
      <c r="BTQ48" s="16"/>
      <c r="BTR48" s="16"/>
      <c r="BTS48" s="16"/>
      <c r="BTT48" s="16"/>
      <c r="BTU48" s="16"/>
      <c r="BTV48" s="16"/>
      <c r="BTW48" s="16"/>
      <c r="BTX48" s="16"/>
      <c r="BTY48" s="16"/>
      <c r="BTZ48" s="16"/>
      <c r="BUA48" s="16"/>
      <c r="BUB48" s="16"/>
      <c r="BUC48" s="16"/>
      <c r="BUD48" s="16"/>
      <c r="BUE48" s="16"/>
      <c r="BUF48" s="16"/>
      <c r="BUG48" s="16"/>
      <c r="BUH48" s="16"/>
      <c r="BUI48" s="16"/>
      <c r="BUJ48" s="16"/>
      <c r="BUK48" s="16"/>
      <c r="BUL48" s="16"/>
      <c r="BUM48" s="16"/>
      <c r="BUN48" s="16"/>
      <c r="BUO48" s="16"/>
      <c r="BUP48" s="16"/>
      <c r="BUQ48" s="16"/>
      <c r="BUR48" s="16"/>
      <c r="BUS48" s="16"/>
      <c r="BUT48" s="16"/>
      <c r="BUU48" s="16"/>
      <c r="BUV48" s="16"/>
      <c r="BUW48" s="16"/>
      <c r="BUX48" s="16"/>
      <c r="BUY48" s="16"/>
      <c r="BUZ48" s="16"/>
      <c r="BVA48" s="16"/>
      <c r="BVB48" s="16"/>
      <c r="BVC48" s="16"/>
      <c r="BVD48" s="16"/>
      <c r="BVE48" s="16"/>
      <c r="BVF48" s="16"/>
      <c r="BVG48" s="16"/>
      <c r="BVH48" s="16"/>
      <c r="BVI48" s="16"/>
      <c r="BVJ48" s="16"/>
      <c r="BVK48" s="16"/>
      <c r="BVL48" s="16"/>
      <c r="BVM48" s="16"/>
      <c r="BVN48" s="16"/>
      <c r="BVO48" s="16"/>
      <c r="BVP48" s="16"/>
      <c r="BVQ48" s="16"/>
      <c r="BVR48" s="16"/>
      <c r="BVS48" s="16"/>
      <c r="BVT48" s="16"/>
      <c r="BVU48" s="16"/>
      <c r="BVV48" s="16"/>
      <c r="BVW48" s="16"/>
      <c r="BVX48" s="16"/>
      <c r="BVY48" s="16"/>
      <c r="BVZ48" s="16"/>
      <c r="BWA48" s="16"/>
      <c r="BWB48" s="16"/>
      <c r="BWC48" s="16"/>
      <c r="BWD48" s="16"/>
      <c r="BWE48" s="16"/>
      <c r="BWF48" s="16"/>
      <c r="BWG48" s="16"/>
      <c r="BWH48" s="16"/>
      <c r="BWI48" s="16"/>
      <c r="BWJ48" s="16"/>
      <c r="BWK48" s="16"/>
      <c r="BWL48" s="16"/>
      <c r="BWM48" s="16"/>
      <c r="BWN48" s="16"/>
      <c r="BWO48" s="16"/>
      <c r="BWP48" s="16"/>
      <c r="BWQ48" s="16"/>
      <c r="BWR48" s="16"/>
      <c r="BWS48" s="16"/>
      <c r="BWT48" s="16"/>
      <c r="BWU48" s="16"/>
      <c r="BWV48" s="16"/>
      <c r="BWW48" s="16"/>
      <c r="BWX48" s="16"/>
      <c r="BWY48" s="16"/>
      <c r="BWZ48" s="16"/>
      <c r="BXA48" s="16"/>
      <c r="BXB48" s="16"/>
      <c r="BXC48" s="16"/>
      <c r="BXD48" s="16"/>
      <c r="BXE48" s="16"/>
      <c r="BXF48" s="16"/>
      <c r="BXG48" s="16"/>
      <c r="BXH48" s="16"/>
      <c r="BXI48" s="16"/>
      <c r="BXJ48" s="16"/>
      <c r="BXK48" s="16"/>
      <c r="BXL48" s="16"/>
      <c r="BXM48" s="16"/>
      <c r="BXN48" s="16"/>
      <c r="BXO48" s="16"/>
      <c r="BXP48" s="16"/>
      <c r="BXQ48" s="16"/>
      <c r="BXR48" s="16"/>
      <c r="BXS48" s="16"/>
      <c r="BXT48" s="16"/>
      <c r="BXU48" s="16"/>
      <c r="BXV48" s="16"/>
      <c r="BXW48" s="16"/>
      <c r="BXX48" s="16"/>
      <c r="BXY48" s="16"/>
      <c r="BXZ48" s="16"/>
      <c r="BYA48" s="16"/>
      <c r="BYB48" s="16"/>
      <c r="BYC48" s="16"/>
      <c r="BYD48" s="16"/>
      <c r="BYE48" s="16"/>
      <c r="BYF48" s="16"/>
      <c r="BYG48" s="16"/>
      <c r="BYH48" s="16"/>
      <c r="BYI48" s="16"/>
      <c r="BYJ48" s="16"/>
      <c r="BYK48" s="16"/>
      <c r="BYL48" s="16"/>
      <c r="BYM48" s="16"/>
      <c r="BYN48" s="16"/>
      <c r="BYO48" s="16"/>
      <c r="BYP48" s="16"/>
      <c r="BYQ48" s="16"/>
      <c r="BYR48" s="16"/>
      <c r="BYS48" s="16"/>
      <c r="BYT48" s="16"/>
      <c r="BYU48" s="16"/>
      <c r="BYV48" s="16"/>
      <c r="BYW48" s="16"/>
      <c r="BYX48" s="16"/>
      <c r="BYY48" s="16"/>
      <c r="BYZ48" s="16"/>
      <c r="BZA48" s="16"/>
      <c r="BZB48" s="16"/>
      <c r="BZC48" s="16"/>
      <c r="BZD48" s="16"/>
      <c r="BZE48" s="16"/>
      <c r="BZF48" s="16"/>
      <c r="BZG48" s="16"/>
      <c r="BZH48" s="16"/>
      <c r="BZI48" s="16"/>
      <c r="BZJ48" s="16"/>
      <c r="BZK48" s="16"/>
      <c r="BZL48" s="16"/>
      <c r="BZM48" s="16"/>
      <c r="BZN48" s="16"/>
      <c r="BZO48" s="16"/>
      <c r="BZP48" s="16"/>
      <c r="BZQ48" s="16"/>
      <c r="BZR48" s="16"/>
      <c r="BZS48" s="16"/>
      <c r="BZT48" s="16"/>
      <c r="BZU48" s="16"/>
      <c r="BZV48" s="16"/>
      <c r="BZW48" s="16"/>
      <c r="BZX48" s="16"/>
      <c r="BZY48" s="16"/>
      <c r="BZZ48" s="16"/>
      <c r="CAA48" s="16"/>
      <c r="CAB48" s="16"/>
      <c r="CAC48" s="16"/>
      <c r="CAD48" s="16"/>
      <c r="CAE48" s="16"/>
      <c r="CAF48" s="16"/>
      <c r="CAG48" s="16"/>
      <c r="CAH48" s="16"/>
      <c r="CAI48" s="16"/>
      <c r="CAJ48" s="16"/>
      <c r="CAK48" s="16"/>
      <c r="CAL48" s="16"/>
      <c r="CAM48" s="16"/>
      <c r="CAN48" s="16"/>
      <c r="CAO48" s="16"/>
      <c r="CAP48" s="16"/>
      <c r="CAQ48" s="16"/>
      <c r="CAR48" s="16"/>
      <c r="CAS48" s="16"/>
      <c r="CAT48" s="16"/>
      <c r="CAU48" s="16"/>
      <c r="CAV48" s="16"/>
      <c r="CAW48" s="16"/>
      <c r="CAX48" s="16"/>
      <c r="CAY48" s="16"/>
      <c r="CAZ48" s="16"/>
      <c r="CBA48" s="16"/>
      <c r="CBB48" s="16"/>
      <c r="CBC48" s="16"/>
      <c r="CBD48" s="16"/>
      <c r="CBE48" s="16"/>
      <c r="CBF48" s="16"/>
      <c r="CBG48" s="16"/>
      <c r="CBH48" s="16"/>
      <c r="CBI48" s="16"/>
      <c r="CBJ48" s="16"/>
      <c r="CBK48" s="16"/>
      <c r="CBL48" s="16"/>
      <c r="CBM48" s="16"/>
      <c r="CBN48" s="16"/>
      <c r="CBO48" s="16"/>
      <c r="CBP48" s="16"/>
      <c r="CBQ48" s="16"/>
      <c r="CBR48" s="16"/>
      <c r="CBS48" s="16"/>
      <c r="CBT48" s="16"/>
      <c r="CBU48" s="16"/>
      <c r="CBV48" s="16"/>
      <c r="CBW48" s="16"/>
      <c r="CBX48" s="16"/>
      <c r="CBY48" s="16"/>
      <c r="CBZ48" s="16"/>
      <c r="CCA48" s="16"/>
      <c r="CCB48" s="16"/>
      <c r="CCC48" s="16"/>
      <c r="CCD48" s="16"/>
      <c r="CCE48" s="16"/>
      <c r="CCF48" s="16"/>
      <c r="CCG48" s="16"/>
      <c r="CCH48" s="16"/>
      <c r="CCI48" s="16"/>
      <c r="CCJ48" s="16"/>
      <c r="CCK48" s="16"/>
      <c r="CCL48" s="16"/>
      <c r="CCM48" s="16"/>
      <c r="CCN48" s="16"/>
      <c r="CCO48" s="16"/>
      <c r="CCP48" s="16"/>
      <c r="CCQ48" s="16"/>
      <c r="CCR48" s="16"/>
      <c r="CCS48" s="16"/>
      <c r="CCT48" s="16"/>
      <c r="CCU48" s="16"/>
      <c r="CCV48" s="16"/>
      <c r="CCW48" s="16"/>
      <c r="CCX48" s="16"/>
      <c r="CCY48" s="16"/>
      <c r="CCZ48" s="16"/>
      <c r="CDA48" s="16"/>
      <c r="CDB48" s="16"/>
      <c r="CDC48" s="16"/>
      <c r="CDD48" s="16"/>
      <c r="CDE48" s="16"/>
      <c r="CDF48" s="16"/>
      <c r="CDG48" s="16"/>
      <c r="CDH48" s="16"/>
      <c r="CDI48" s="16"/>
      <c r="CDJ48" s="16"/>
      <c r="CDK48" s="16"/>
      <c r="CDL48" s="16"/>
      <c r="CDM48" s="16"/>
      <c r="CDN48" s="16"/>
      <c r="CDO48" s="16"/>
      <c r="CDP48" s="16"/>
      <c r="CDQ48" s="16"/>
      <c r="CDR48" s="16"/>
      <c r="CDS48" s="16"/>
      <c r="CDT48" s="16"/>
      <c r="CDU48" s="16"/>
      <c r="CDV48" s="16"/>
      <c r="CDW48" s="16"/>
      <c r="CDX48" s="16"/>
      <c r="CDY48" s="16"/>
      <c r="CDZ48" s="16"/>
      <c r="CEA48" s="16"/>
      <c r="CEB48" s="16"/>
      <c r="CEC48" s="16"/>
      <c r="CED48" s="16"/>
      <c r="CEE48" s="16"/>
      <c r="CEF48" s="16"/>
      <c r="CEG48" s="16"/>
      <c r="CEH48" s="16"/>
      <c r="CEI48" s="16"/>
      <c r="CEJ48" s="16"/>
      <c r="CEK48" s="16"/>
      <c r="CEL48" s="16"/>
      <c r="CEM48" s="16"/>
      <c r="CEN48" s="16"/>
      <c r="CEO48" s="16"/>
      <c r="CEP48" s="16"/>
      <c r="CEQ48" s="16"/>
      <c r="CER48" s="16"/>
      <c r="CES48" s="16"/>
      <c r="CET48" s="16"/>
      <c r="CEU48" s="16"/>
      <c r="CEV48" s="16"/>
      <c r="CEW48" s="16"/>
      <c r="CEX48" s="16"/>
      <c r="CEY48" s="16"/>
      <c r="CEZ48" s="16"/>
      <c r="CFA48" s="16"/>
      <c r="CFB48" s="16"/>
      <c r="CFC48" s="16"/>
      <c r="CFD48" s="16"/>
      <c r="CFE48" s="16"/>
      <c r="CFF48" s="16"/>
      <c r="CFG48" s="16"/>
      <c r="CFH48" s="16"/>
      <c r="CFI48" s="16"/>
      <c r="CFJ48" s="16"/>
      <c r="CFK48" s="16"/>
      <c r="CFL48" s="16"/>
      <c r="CFM48" s="16"/>
      <c r="CFN48" s="16"/>
      <c r="CFO48" s="16"/>
      <c r="CFP48" s="16"/>
      <c r="CFQ48" s="16"/>
      <c r="CFR48" s="16"/>
      <c r="CFS48" s="16"/>
      <c r="CFT48" s="16"/>
      <c r="CFU48" s="16"/>
      <c r="CFV48" s="16"/>
      <c r="CFW48" s="16"/>
      <c r="CFX48" s="16"/>
      <c r="CFY48" s="16"/>
      <c r="CFZ48" s="16"/>
      <c r="CGA48" s="16"/>
      <c r="CGB48" s="16"/>
      <c r="CGC48" s="16"/>
      <c r="CGD48" s="16"/>
      <c r="CGE48" s="16"/>
      <c r="CGF48" s="16"/>
      <c r="CGG48" s="16"/>
      <c r="CGH48" s="16"/>
      <c r="CGI48" s="16"/>
      <c r="CGJ48" s="16"/>
      <c r="CGK48" s="16"/>
      <c r="CGL48" s="16"/>
      <c r="CGM48" s="16"/>
      <c r="CGN48" s="16"/>
      <c r="CGO48" s="16"/>
      <c r="CGP48" s="16"/>
      <c r="CGQ48" s="16"/>
      <c r="CGR48" s="16"/>
      <c r="CGS48" s="16"/>
      <c r="CGT48" s="16"/>
      <c r="CGU48" s="16"/>
      <c r="CGV48" s="16"/>
      <c r="CGW48" s="16"/>
      <c r="CGX48" s="16"/>
      <c r="CGY48" s="16"/>
      <c r="CGZ48" s="16"/>
      <c r="CHA48" s="16"/>
      <c r="CHB48" s="16"/>
      <c r="CHC48" s="16"/>
      <c r="CHD48" s="16"/>
      <c r="CHE48" s="16"/>
      <c r="CHF48" s="16"/>
      <c r="CHG48" s="16"/>
      <c r="CHH48" s="16"/>
      <c r="CHI48" s="16"/>
      <c r="CHJ48" s="16"/>
      <c r="CHK48" s="16"/>
      <c r="CHL48" s="16"/>
      <c r="CHM48" s="16"/>
      <c r="CHN48" s="16"/>
      <c r="CHO48" s="16"/>
      <c r="CHP48" s="16"/>
      <c r="CHQ48" s="16"/>
      <c r="CHR48" s="16"/>
      <c r="CHS48" s="16"/>
      <c r="CHT48" s="16"/>
      <c r="CHU48" s="16"/>
      <c r="CHV48" s="16"/>
      <c r="CHW48" s="16"/>
      <c r="CHX48" s="16"/>
      <c r="CHY48" s="16"/>
      <c r="CHZ48" s="16"/>
      <c r="CIA48" s="16"/>
      <c r="CIB48" s="16"/>
      <c r="CIC48" s="16"/>
      <c r="CID48" s="16"/>
      <c r="CIE48" s="16"/>
      <c r="CIF48" s="16"/>
      <c r="CIG48" s="16"/>
      <c r="CIH48" s="16"/>
      <c r="CII48" s="16"/>
      <c r="CIJ48" s="16"/>
      <c r="CIK48" s="16"/>
      <c r="CIL48" s="16"/>
      <c r="CIM48" s="16"/>
      <c r="CIN48" s="16"/>
      <c r="CIO48" s="16"/>
      <c r="CIP48" s="16"/>
      <c r="CIQ48" s="16"/>
      <c r="CIR48" s="16"/>
      <c r="CIS48" s="16"/>
      <c r="CIT48" s="16"/>
      <c r="CIU48" s="16"/>
      <c r="CIV48" s="16"/>
      <c r="CIW48" s="16"/>
      <c r="CIX48" s="16"/>
      <c r="CIY48" s="16"/>
      <c r="CIZ48" s="16"/>
      <c r="CJA48" s="16"/>
      <c r="CJB48" s="16"/>
      <c r="CJC48" s="16"/>
      <c r="CJD48" s="16"/>
      <c r="CJE48" s="16"/>
      <c r="CJF48" s="16"/>
      <c r="CJG48" s="16"/>
      <c r="CJH48" s="16"/>
      <c r="CJI48" s="16"/>
      <c r="CJJ48" s="16"/>
      <c r="CJK48" s="16"/>
      <c r="CJL48" s="16"/>
      <c r="CJM48" s="16"/>
      <c r="CJN48" s="16"/>
      <c r="CJO48" s="16"/>
      <c r="CJP48" s="16"/>
      <c r="CJQ48" s="16"/>
      <c r="CJR48" s="16"/>
      <c r="CJS48" s="16"/>
      <c r="CJT48" s="16"/>
      <c r="CJU48" s="16"/>
      <c r="CJV48" s="16"/>
      <c r="CJW48" s="16"/>
      <c r="CJX48" s="16"/>
      <c r="CJY48" s="16"/>
      <c r="CJZ48" s="16"/>
      <c r="CKA48" s="16"/>
      <c r="CKB48" s="16"/>
      <c r="CKC48" s="16"/>
      <c r="CKD48" s="16"/>
      <c r="CKE48" s="16"/>
      <c r="CKF48" s="16"/>
      <c r="CKG48" s="16"/>
      <c r="CKH48" s="16"/>
      <c r="CKI48" s="16"/>
      <c r="CKJ48" s="16"/>
      <c r="CKK48" s="16"/>
      <c r="CKL48" s="16"/>
      <c r="CKM48" s="16"/>
      <c r="CKN48" s="16"/>
      <c r="CKO48" s="16"/>
      <c r="CKP48" s="16"/>
      <c r="CKQ48" s="16"/>
      <c r="CKR48" s="16"/>
      <c r="CKS48" s="16"/>
      <c r="CKT48" s="16"/>
      <c r="CKU48" s="16"/>
      <c r="CKV48" s="16"/>
      <c r="CKW48" s="16"/>
      <c r="CKX48" s="16"/>
      <c r="CKY48" s="16"/>
      <c r="CKZ48" s="16"/>
      <c r="CLA48" s="16"/>
      <c r="CLB48" s="16"/>
      <c r="CLC48" s="16"/>
      <c r="CLD48" s="16"/>
      <c r="CLE48" s="16"/>
      <c r="CLF48" s="16"/>
      <c r="CLG48" s="16"/>
      <c r="CLH48" s="16"/>
      <c r="CLI48" s="16"/>
      <c r="CLJ48" s="16"/>
      <c r="CLK48" s="16"/>
      <c r="CLL48" s="16"/>
      <c r="CLM48" s="16"/>
      <c r="CLN48" s="16"/>
      <c r="CLO48" s="16"/>
      <c r="CLP48" s="16"/>
      <c r="CLQ48" s="16"/>
      <c r="CLR48" s="16"/>
      <c r="CLS48" s="16"/>
      <c r="CLT48" s="16"/>
      <c r="CLU48" s="16"/>
      <c r="CLV48" s="16"/>
      <c r="CLW48" s="16"/>
      <c r="CLX48" s="16"/>
      <c r="CLY48" s="16"/>
      <c r="CLZ48" s="16"/>
      <c r="CMA48" s="16"/>
      <c r="CMB48" s="16"/>
      <c r="CMC48" s="16"/>
      <c r="CMD48" s="16"/>
      <c r="CME48" s="16"/>
      <c r="CMF48" s="16"/>
      <c r="CMG48" s="16"/>
      <c r="CMH48" s="16"/>
      <c r="CMI48" s="16"/>
      <c r="CMJ48" s="16"/>
      <c r="CMK48" s="16"/>
      <c r="CML48" s="16"/>
      <c r="CMM48" s="16"/>
      <c r="CMN48" s="16"/>
      <c r="CMO48" s="16"/>
      <c r="CMP48" s="16"/>
      <c r="CMQ48" s="16"/>
      <c r="CMR48" s="16"/>
      <c r="CMS48" s="16"/>
      <c r="CMT48" s="16"/>
      <c r="CMU48" s="16"/>
      <c r="CMV48" s="16"/>
      <c r="CMW48" s="16"/>
      <c r="CMX48" s="16"/>
      <c r="CMY48" s="16"/>
      <c r="CMZ48" s="16"/>
      <c r="CNA48" s="16"/>
      <c r="CNB48" s="16"/>
      <c r="CNC48" s="16"/>
      <c r="CND48" s="16"/>
      <c r="CNE48" s="16"/>
      <c r="CNF48" s="16"/>
      <c r="CNG48" s="16"/>
      <c r="CNH48" s="16"/>
      <c r="CNI48" s="16"/>
      <c r="CNJ48" s="16"/>
      <c r="CNK48" s="16"/>
      <c r="CNL48" s="16"/>
      <c r="CNM48" s="16"/>
      <c r="CNN48" s="16"/>
      <c r="CNO48" s="16"/>
      <c r="CNP48" s="16"/>
      <c r="CNQ48" s="16"/>
      <c r="CNR48" s="16"/>
      <c r="CNS48" s="16"/>
      <c r="CNT48" s="16"/>
      <c r="CNU48" s="16"/>
      <c r="CNV48" s="16"/>
      <c r="CNW48" s="16"/>
      <c r="CNX48" s="16"/>
      <c r="CNY48" s="16"/>
      <c r="CNZ48" s="16"/>
      <c r="COA48" s="16"/>
      <c r="COB48" s="16"/>
      <c r="COC48" s="16"/>
      <c r="COD48" s="16"/>
      <c r="COE48" s="16"/>
      <c r="COF48" s="16"/>
      <c r="COG48" s="16"/>
      <c r="COH48" s="16"/>
      <c r="COI48" s="16"/>
      <c r="COJ48" s="16"/>
      <c r="COK48" s="16"/>
      <c r="COL48" s="16"/>
      <c r="COM48" s="16"/>
      <c r="CON48" s="16"/>
      <c r="COO48" s="16"/>
      <c r="COP48" s="16"/>
      <c r="COQ48" s="16"/>
      <c r="COR48" s="16"/>
      <c r="COS48" s="16"/>
      <c r="COT48" s="16"/>
      <c r="COU48" s="16"/>
      <c r="COV48" s="16"/>
      <c r="COW48" s="16"/>
      <c r="COX48" s="16"/>
      <c r="COY48" s="16"/>
      <c r="COZ48" s="16"/>
      <c r="CPA48" s="16"/>
      <c r="CPB48" s="16"/>
      <c r="CPC48" s="16"/>
      <c r="CPD48" s="16"/>
      <c r="CPE48" s="16"/>
      <c r="CPF48" s="16"/>
      <c r="CPG48" s="16"/>
      <c r="CPH48" s="16"/>
      <c r="CPI48" s="16"/>
      <c r="CPJ48" s="16"/>
      <c r="CPK48" s="16"/>
      <c r="CPL48" s="16"/>
      <c r="CPM48" s="16"/>
      <c r="CPN48" s="16"/>
      <c r="CPO48" s="16"/>
      <c r="CPP48" s="16"/>
      <c r="CPQ48" s="16"/>
      <c r="CPR48" s="16"/>
      <c r="CPS48" s="16"/>
      <c r="CPT48" s="16"/>
      <c r="CPU48" s="16"/>
      <c r="CPV48" s="16"/>
      <c r="CPW48" s="16"/>
      <c r="CPX48" s="16"/>
      <c r="CPY48" s="16"/>
      <c r="CPZ48" s="16"/>
      <c r="CQA48" s="16"/>
      <c r="CQB48" s="16"/>
      <c r="CQC48" s="16"/>
      <c r="CQD48" s="16"/>
      <c r="CQE48" s="16"/>
      <c r="CQF48" s="16"/>
      <c r="CQG48" s="16"/>
      <c r="CQH48" s="16"/>
      <c r="CQI48" s="16"/>
      <c r="CQJ48" s="16"/>
      <c r="CQK48" s="16"/>
      <c r="CQL48" s="16"/>
      <c r="CQM48" s="16"/>
      <c r="CQN48" s="16"/>
      <c r="CQO48" s="16"/>
      <c r="CQP48" s="16"/>
      <c r="CQQ48" s="16"/>
      <c r="CQR48" s="16"/>
      <c r="CQS48" s="16"/>
      <c r="CQT48" s="16"/>
      <c r="CQU48" s="16"/>
      <c r="CQV48" s="16"/>
      <c r="CQW48" s="16"/>
      <c r="CQX48" s="16"/>
      <c r="CQY48" s="16"/>
      <c r="CQZ48" s="16"/>
      <c r="CRA48" s="16"/>
      <c r="CRB48" s="16"/>
      <c r="CRC48" s="16"/>
      <c r="CRD48" s="16"/>
      <c r="CRE48" s="16"/>
      <c r="CRF48" s="16"/>
      <c r="CRG48" s="16"/>
      <c r="CRH48" s="16"/>
      <c r="CRI48" s="16"/>
      <c r="CRJ48" s="16"/>
      <c r="CRK48" s="16"/>
      <c r="CRL48" s="16"/>
      <c r="CRM48" s="16"/>
      <c r="CRN48" s="16"/>
      <c r="CRO48" s="16"/>
      <c r="CRP48" s="16"/>
      <c r="CRQ48" s="16"/>
      <c r="CRR48" s="16"/>
      <c r="CRS48" s="16"/>
      <c r="CRT48" s="16"/>
      <c r="CRU48" s="16"/>
      <c r="CRV48" s="16"/>
      <c r="CRW48" s="16"/>
      <c r="CRX48" s="16"/>
      <c r="CRY48" s="16"/>
      <c r="CRZ48" s="16"/>
      <c r="CSA48" s="16"/>
      <c r="CSB48" s="16"/>
      <c r="CSC48" s="16"/>
      <c r="CSD48" s="16"/>
      <c r="CSE48" s="16"/>
      <c r="CSF48" s="16"/>
      <c r="CSG48" s="16"/>
      <c r="CSH48" s="16"/>
      <c r="CSI48" s="16"/>
      <c r="CSJ48" s="16"/>
      <c r="CSK48" s="54" t="str">
        <f t="shared" si="166"/>
        <v>X</v>
      </c>
      <c r="CSL48" s="35" t="str">
        <f t="shared" ca="1" si="209"/>
        <v/>
      </c>
      <c r="CSM48" s="35" t="str">
        <f t="shared" ca="1" si="209"/>
        <v/>
      </c>
      <c r="CSN48" s="35" t="str">
        <f t="shared" ca="1" si="209"/>
        <v/>
      </c>
      <c r="CSO48" s="35" t="str">
        <f t="shared" ca="1" si="209"/>
        <v/>
      </c>
      <c r="CSP48" s="35" t="str">
        <f t="shared" ca="1" si="209"/>
        <v/>
      </c>
      <c r="CSQ48" s="72" t="str">
        <f t="shared" ca="1" si="209"/>
        <v/>
      </c>
      <c r="CSR48" s="35" t="str">
        <f t="shared" ca="1" si="209"/>
        <v/>
      </c>
      <c r="CSS48" s="35" t="str">
        <f t="shared" ca="1" si="209"/>
        <v/>
      </c>
      <c r="CST48" s="35" t="str">
        <f t="shared" ca="1" si="209"/>
        <v/>
      </c>
      <c r="CSU48" s="35" t="str">
        <f t="shared" ca="1" si="209"/>
        <v/>
      </c>
      <c r="CSV48" s="35" t="str">
        <f t="shared" ca="1" si="210"/>
        <v/>
      </c>
      <c r="CSW48" s="35" t="str">
        <f t="shared" ca="1" si="210"/>
        <v/>
      </c>
      <c r="CSX48" s="35" t="str">
        <f t="shared" ca="1" si="210"/>
        <v/>
      </c>
      <c r="CSY48" s="35" t="str">
        <f t="shared" ca="1" si="210"/>
        <v/>
      </c>
      <c r="CSZ48" s="35" t="str">
        <f t="shared" ca="1" si="210"/>
        <v/>
      </c>
      <c r="CTA48" s="35" t="str">
        <f t="shared" ca="1" si="210"/>
        <v/>
      </c>
      <c r="CTB48" s="35" t="str">
        <f t="shared" ca="1" si="210"/>
        <v/>
      </c>
      <c r="CTC48" s="35" t="str">
        <f t="shared" ca="1" si="210"/>
        <v/>
      </c>
      <c r="CTD48" s="35" t="str">
        <f t="shared" ca="1" si="210"/>
        <v/>
      </c>
      <c r="CTE48" s="35" t="str">
        <f t="shared" ca="1" si="210"/>
        <v/>
      </c>
      <c r="CTF48" s="35" t="str">
        <f t="shared" ca="1" si="211"/>
        <v/>
      </c>
      <c r="CTG48" s="35" t="str">
        <f t="shared" ca="1" si="211"/>
        <v/>
      </c>
      <c r="CTH48" s="35" t="str">
        <f t="shared" ca="1" si="211"/>
        <v/>
      </c>
      <c r="CTI48" s="35" t="str">
        <f t="shared" ca="1" si="211"/>
        <v/>
      </c>
      <c r="CTJ48" s="35" t="str">
        <f t="shared" ca="1" si="211"/>
        <v/>
      </c>
      <c r="CTK48" s="35" t="str">
        <f t="shared" ca="1" si="211"/>
        <v/>
      </c>
      <c r="CTL48" s="35" t="str">
        <f t="shared" ca="1" si="211"/>
        <v/>
      </c>
      <c r="CTM48" s="35" t="str">
        <f t="shared" ca="1" si="211"/>
        <v/>
      </c>
      <c r="CTN48" s="35" t="str">
        <f t="shared" ca="1" si="211"/>
        <v/>
      </c>
      <c r="CTO48" s="35" t="str">
        <f t="shared" ca="1" si="211"/>
        <v/>
      </c>
      <c r="CTP48" s="35" t="str">
        <f t="shared" ca="1" si="212"/>
        <v/>
      </c>
      <c r="CTQ48" s="35" t="str">
        <f t="shared" ca="1" si="212"/>
        <v/>
      </c>
      <c r="CTR48" s="35" t="str">
        <f t="shared" ca="1" si="212"/>
        <v/>
      </c>
      <c r="CTS48" s="35" t="str">
        <f t="shared" ca="1" si="212"/>
        <v/>
      </c>
      <c r="CTT48" s="35" t="str">
        <f t="shared" ca="1" si="212"/>
        <v/>
      </c>
      <c r="CTU48" s="35" t="str">
        <f t="shared" ca="1" si="212"/>
        <v/>
      </c>
      <c r="CTV48" s="35" t="str">
        <f t="shared" ca="1" si="212"/>
        <v/>
      </c>
      <c r="CTW48" s="35" t="str">
        <f t="shared" ca="1" si="212"/>
        <v/>
      </c>
      <c r="CTX48" s="35" t="str">
        <f t="shared" ca="1" si="212"/>
        <v/>
      </c>
      <c r="CTY48" s="35" t="str">
        <f t="shared" ca="1" si="212"/>
        <v/>
      </c>
      <c r="CTZ48" s="56" t="str">
        <f t="shared" si="167"/>
        <v>X</v>
      </c>
      <c r="CUA48" s="58" t="str">
        <f t="shared" ca="1" si="168"/>
        <v/>
      </c>
      <c r="CUB48" s="16" t="str">
        <f t="shared" ca="1" si="169"/>
        <v/>
      </c>
      <c r="CUC48" s="16" t="str">
        <f t="shared" ca="1" si="170"/>
        <v/>
      </c>
      <c r="CUD48" s="16" t="str">
        <f t="shared" ca="1" si="171"/>
        <v/>
      </c>
      <c r="CUE48" s="16" t="str">
        <f t="shared" ca="1" si="172"/>
        <v/>
      </c>
      <c r="CUF48" s="16" t="str">
        <f t="shared" ca="1" si="173"/>
        <v/>
      </c>
      <c r="CUG48" s="16" t="str">
        <f t="shared" ca="1" si="174"/>
        <v/>
      </c>
      <c r="CUH48" s="16" t="str">
        <f t="shared" ca="1" si="175"/>
        <v/>
      </c>
      <c r="CUI48" s="16" t="str">
        <f t="shared" ca="1" si="176"/>
        <v/>
      </c>
      <c r="CUJ48" s="16" t="str">
        <f t="shared" ca="1" si="177"/>
        <v/>
      </c>
      <c r="CUK48" s="16" t="str">
        <f t="shared" ca="1" si="178"/>
        <v/>
      </c>
      <c r="CUL48" s="16" t="str">
        <f t="shared" ca="1" si="179"/>
        <v/>
      </c>
      <c r="CUM48" s="16" t="str">
        <f t="shared" ca="1" si="180"/>
        <v/>
      </c>
      <c r="CUN48" s="16" t="str">
        <f t="shared" ca="1" si="181"/>
        <v/>
      </c>
      <c r="CUO48" s="16" t="str">
        <f t="shared" ca="1" si="182"/>
        <v/>
      </c>
      <c r="CUP48" s="16" t="str">
        <f t="shared" ca="1" si="183"/>
        <v/>
      </c>
      <c r="CUQ48" s="16" t="str">
        <f t="shared" ca="1" si="184"/>
        <v/>
      </c>
      <c r="CUR48" s="16" t="str">
        <f t="shared" ca="1" si="185"/>
        <v/>
      </c>
      <c r="CUS48" s="16" t="str">
        <f t="shared" ca="1" si="186"/>
        <v/>
      </c>
      <c r="CUT48" s="16" t="str">
        <f t="shared" ca="1" si="187"/>
        <v/>
      </c>
      <c r="CUU48" s="16" t="str">
        <f t="shared" ca="1" si="188"/>
        <v/>
      </c>
      <c r="CUV48" s="16" t="str">
        <f t="shared" ca="1" si="189"/>
        <v/>
      </c>
      <c r="CUW48" s="16" t="str">
        <f t="shared" ca="1" si="190"/>
        <v/>
      </c>
      <c r="CUX48" s="16" t="str">
        <f t="shared" ca="1" si="191"/>
        <v/>
      </c>
      <c r="CUY48" s="16" t="str">
        <f t="shared" ca="1" si="192"/>
        <v/>
      </c>
      <c r="CUZ48" s="16" t="str">
        <f t="shared" ca="1" si="193"/>
        <v/>
      </c>
      <c r="CVA48" s="16" t="str">
        <f t="shared" ca="1" si="194"/>
        <v/>
      </c>
      <c r="CVB48" s="16" t="str">
        <f t="shared" ca="1" si="195"/>
        <v/>
      </c>
      <c r="CVC48" s="16" t="str">
        <f t="shared" ca="1" si="196"/>
        <v/>
      </c>
      <c r="CVD48" s="16" t="str">
        <f t="shared" ca="1" si="197"/>
        <v/>
      </c>
      <c r="CVE48" s="16" t="str">
        <f t="shared" ca="1" si="198"/>
        <v/>
      </c>
      <c r="CVF48" s="16" t="str">
        <f t="shared" ca="1" si="199"/>
        <v/>
      </c>
      <c r="CVG48" s="16" t="str">
        <f t="shared" ca="1" si="200"/>
        <v/>
      </c>
      <c r="CVH48" s="16" t="str">
        <f t="shared" ca="1" si="201"/>
        <v/>
      </c>
      <c r="CVI48" s="16" t="str">
        <f t="shared" ca="1" si="202"/>
        <v/>
      </c>
      <c r="CVJ48" s="16" t="str">
        <f t="shared" ca="1" si="203"/>
        <v/>
      </c>
      <c r="CVK48" s="16" t="str">
        <f t="shared" ca="1" si="204"/>
        <v/>
      </c>
      <c r="CVL48" s="16" t="str">
        <f t="shared" ca="1" si="205"/>
        <v/>
      </c>
      <c r="CVM48" s="16" t="str">
        <f t="shared" ca="1" si="206"/>
        <v/>
      </c>
      <c r="CVN48" s="16" t="str">
        <f t="shared" ca="1" si="207"/>
        <v/>
      </c>
      <c r="CVO48" s="58" t="str">
        <f t="shared" si="208"/>
        <v>поляковолег</v>
      </c>
      <c r="CVP48" s="58" t="str">
        <f>IFERROR(VLOOKUP(CVO48,'Внешние данные'!A:Z,4,FALSE),"")</f>
        <v/>
      </c>
    </row>
    <row r="49" spans="1:2616" ht="13.8" x14ac:dyDescent="0.25">
      <c r="A49" s="2" t="s">
        <v>2382</v>
      </c>
      <c r="B49" s="2" t="s">
        <v>2448</v>
      </c>
      <c r="C49" s="57" t="s">
        <v>2429</v>
      </c>
      <c r="D49" s="35">
        <v>6</v>
      </c>
      <c r="E49" s="58">
        <v>57</v>
      </c>
      <c r="G49" s="16" t="s">
        <v>1393</v>
      </c>
      <c r="H49" s="53" t="str">
        <f t="shared" ca="1" si="162"/>
        <v/>
      </c>
      <c r="I49" s="35" t="str">
        <f t="shared" ca="1" si="163"/>
        <v/>
      </c>
      <c r="J49" s="35">
        <f t="shared" ca="1" si="164"/>
        <v>0</v>
      </c>
      <c r="K49" s="49" t="str">
        <f t="shared" ca="1" si="165"/>
        <v/>
      </c>
      <c r="L49" s="16">
        <v>205</v>
      </c>
      <c r="M49" s="12"/>
      <c r="N49" s="12"/>
      <c r="V49" s="4">
        <v>425</v>
      </c>
      <c r="W49" s="4">
        <v>415</v>
      </c>
      <c r="X49" s="4">
        <v>415</v>
      </c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/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/>
      <c r="LL49" s="16"/>
      <c r="LM49" s="16"/>
      <c r="LN49" s="16"/>
      <c r="LO49" s="16"/>
      <c r="LP49" s="16"/>
      <c r="LQ49" s="16"/>
      <c r="LR49" s="16"/>
      <c r="LS49" s="16"/>
      <c r="LT49" s="16"/>
      <c r="LU49" s="16"/>
      <c r="LV49" s="16"/>
      <c r="LW49" s="16"/>
      <c r="LX49" s="16"/>
      <c r="LY49" s="16"/>
      <c r="LZ49" s="16"/>
      <c r="MA49" s="16"/>
      <c r="MB49" s="16"/>
      <c r="MC49" s="16"/>
      <c r="MD49" s="16"/>
      <c r="ME49" s="16"/>
      <c r="MF49" s="16"/>
      <c r="MG49" s="16"/>
      <c r="MH49" s="16"/>
      <c r="MI49" s="16"/>
      <c r="MJ49" s="16"/>
      <c r="MK49" s="16"/>
      <c r="ML49" s="16"/>
      <c r="MM49" s="16"/>
      <c r="MN49" s="16"/>
      <c r="MO49" s="16"/>
      <c r="MP49" s="16"/>
      <c r="MQ49" s="16"/>
      <c r="MR49" s="16"/>
      <c r="MS49" s="16"/>
      <c r="MT49" s="16"/>
      <c r="MU49" s="16"/>
      <c r="MV49" s="16"/>
      <c r="MW49" s="16"/>
      <c r="MX49" s="16"/>
      <c r="MY49" s="16"/>
      <c r="MZ49" s="16"/>
      <c r="NA49" s="16"/>
      <c r="NB49" s="16"/>
      <c r="NC49" s="16"/>
      <c r="ND49" s="16"/>
      <c r="NE49" s="16"/>
      <c r="NF49" s="16"/>
      <c r="NG49" s="16"/>
      <c r="NH49" s="16"/>
      <c r="NI49" s="16"/>
      <c r="NJ49" s="16"/>
      <c r="NK49" s="16"/>
      <c r="NL49" s="16"/>
      <c r="NM49" s="16"/>
      <c r="NN49" s="16"/>
      <c r="NO49" s="16"/>
      <c r="NP49" s="16"/>
      <c r="NQ49" s="16"/>
      <c r="NR49" s="16"/>
      <c r="NS49" s="16"/>
      <c r="NT49" s="16"/>
      <c r="NU49" s="16"/>
      <c r="NV49" s="16"/>
      <c r="NW49" s="16"/>
      <c r="NX49" s="16"/>
      <c r="NY49" s="16"/>
      <c r="NZ49" s="16"/>
      <c r="OA49" s="16"/>
      <c r="OB49" s="16"/>
      <c r="OC49" s="16"/>
      <c r="OD49" s="16"/>
      <c r="OE49" s="16"/>
      <c r="OF49" s="16"/>
      <c r="OG49" s="16"/>
      <c r="OH49" s="16"/>
      <c r="OI49" s="16"/>
      <c r="OJ49" s="16"/>
      <c r="OK49" s="16"/>
      <c r="OL49" s="16"/>
      <c r="OM49" s="16"/>
      <c r="ON49" s="16"/>
      <c r="OO49" s="16"/>
      <c r="OP49" s="16"/>
      <c r="OQ49" s="16"/>
      <c r="OR49" s="16"/>
      <c r="OS49" s="16"/>
      <c r="OT49" s="16"/>
      <c r="OU49" s="16"/>
      <c r="OV49" s="16"/>
      <c r="OW49" s="16"/>
      <c r="OX49" s="16"/>
      <c r="OY49" s="16"/>
      <c r="OZ49" s="16"/>
      <c r="PA49" s="16"/>
      <c r="PB49" s="16"/>
      <c r="PC49" s="16"/>
      <c r="PD49" s="16"/>
      <c r="PE49" s="16"/>
      <c r="PF49" s="16"/>
      <c r="PG49" s="16"/>
      <c r="PH49" s="16"/>
      <c r="PI49" s="16"/>
      <c r="PJ49" s="16"/>
      <c r="PK49" s="16"/>
      <c r="PL49" s="16"/>
      <c r="PM49" s="16"/>
      <c r="PN49" s="16"/>
      <c r="PO49" s="16"/>
      <c r="PP49" s="16"/>
      <c r="PQ49" s="16"/>
      <c r="PR49" s="16"/>
      <c r="PS49" s="16"/>
      <c r="PT49" s="16"/>
      <c r="PU49" s="16"/>
      <c r="PV49" s="16"/>
      <c r="PW49" s="16"/>
      <c r="PX49" s="16"/>
      <c r="PY49" s="16"/>
      <c r="PZ49" s="16"/>
      <c r="QA49" s="16"/>
      <c r="QB49" s="16"/>
      <c r="QC49" s="16"/>
      <c r="QD49" s="16"/>
      <c r="QE49" s="16"/>
      <c r="QF49" s="16"/>
      <c r="QG49" s="16"/>
      <c r="QH49" s="16"/>
      <c r="QI49" s="16"/>
      <c r="QJ49" s="16"/>
      <c r="QK49" s="16"/>
      <c r="QL49" s="16"/>
      <c r="QM49" s="16"/>
      <c r="QN49" s="16"/>
      <c r="QO49" s="16"/>
      <c r="QP49" s="16"/>
      <c r="QQ49" s="16"/>
      <c r="QR49" s="16"/>
      <c r="QS49" s="16"/>
      <c r="QT49" s="16"/>
      <c r="QU49" s="16"/>
      <c r="QV49" s="16"/>
      <c r="QW49" s="16"/>
      <c r="QX49" s="16"/>
      <c r="QY49" s="16"/>
      <c r="QZ49" s="16"/>
      <c r="RA49" s="16"/>
      <c r="RB49" s="16"/>
      <c r="RC49" s="16"/>
      <c r="RD49" s="16"/>
      <c r="RE49" s="16"/>
      <c r="RF49" s="16"/>
      <c r="RG49" s="16"/>
      <c r="RH49" s="16"/>
      <c r="RI49" s="16"/>
      <c r="RJ49" s="16"/>
      <c r="RK49" s="16"/>
      <c r="RL49" s="16"/>
      <c r="RM49" s="16"/>
      <c r="RN49" s="16"/>
      <c r="RO49" s="16"/>
      <c r="RP49" s="16"/>
      <c r="RQ49" s="16"/>
      <c r="RR49" s="16"/>
      <c r="RS49" s="16"/>
      <c r="RT49" s="16"/>
      <c r="RU49" s="16"/>
      <c r="RV49" s="16"/>
      <c r="RW49" s="16"/>
      <c r="RX49" s="16"/>
      <c r="RY49" s="16"/>
      <c r="RZ49" s="16"/>
      <c r="SA49" s="16"/>
      <c r="SB49" s="16"/>
      <c r="SC49" s="16"/>
      <c r="SD49" s="16"/>
      <c r="SE49" s="16"/>
      <c r="SF49" s="16"/>
      <c r="SG49" s="16"/>
      <c r="SH49" s="16"/>
      <c r="SI49" s="16"/>
      <c r="SJ49" s="16"/>
      <c r="SK49" s="16"/>
      <c r="SL49" s="16"/>
      <c r="SM49" s="16"/>
      <c r="SN49" s="16"/>
      <c r="SO49" s="16"/>
      <c r="SP49" s="16"/>
      <c r="SQ49" s="16"/>
      <c r="SR49" s="16"/>
      <c r="SS49" s="16"/>
      <c r="ST49" s="16"/>
      <c r="SU49" s="16"/>
      <c r="SV49" s="16"/>
      <c r="SW49" s="16"/>
      <c r="SX49" s="16"/>
      <c r="SY49" s="16"/>
      <c r="SZ49" s="16"/>
      <c r="TA49" s="16"/>
      <c r="TB49" s="16"/>
      <c r="TC49" s="16"/>
      <c r="TD49" s="16"/>
      <c r="TE49" s="16"/>
      <c r="TF49" s="16"/>
      <c r="TG49" s="16"/>
      <c r="TH49" s="16"/>
      <c r="TI49" s="16"/>
      <c r="TJ49" s="16"/>
      <c r="TK49" s="16"/>
      <c r="TL49" s="16"/>
      <c r="TM49" s="16"/>
      <c r="TN49" s="16"/>
      <c r="TO49" s="16"/>
      <c r="TP49" s="16"/>
      <c r="TQ49" s="16"/>
      <c r="TR49" s="16"/>
      <c r="TS49" s="16"/>
      <c r="TT49" s="16"/>
      <c r="TU49" s="16"/>
      <c r="TV49" s="16"/>
      <c r="TW49" s="16"/>
      <c r="TX49" s="16"/>
      <c r="TY49" s="16"/>
      <c r="TZ49" s="16"/>
      <c r="UA49" s="16"/>
      <c r="UB49" s="16"/>
      <c r="UC49" s="16"/>
      <c r="UD49" s="16"/>
      <c r="UE49" s="16"/>
      <c r="UF49" s="16"/>
      <c r="UG49" s="16"/>
      <c r="UH49" s="16"/>
      <c r="UI49" s="16"/>
      <c r="UJ49" s="16"/>
      <c r="UK49" s="16"/>
      <c r="UL49" s="16"/>
      <c r="UM49" s="16"/>
      <c r="UN49" s="16"/>
      <c r="UO49" s="16"/>
      <c r="UP49" s="16"/>
      <c r="UQ49" s="16"/>
      <c r="UR49" s="16"/>
      <c r="US49" s="16"/>
      <c r="UT49" s="16"/>
      <c r="UU49" s="16"/>
      <c r="UV49" s="16"/>
      <c r="UW49" s="16"/>
      <c r="UX49" s="16"/>
      <c r="UY49" s="16"/>
      <c r="UZ49" s="16"/>
      <c r="VA49" s="16"/>
      <c r="VB49" s="16"/>
      <c r="VC49" s="16"/>
      <c r="VD49" s="16"/>
      <c r="VE49" s="16"/>
      <c r="VF49" s="16"/>
      <c r="VG49" s="16"/>
      <c r="VH49" s="16"/>
      <c r="VI49" s="16"/>
      <c r="VJ49" s="16"/>
      <c r="VK49" s="16"/>
      <c r="VL49" s="16"/>
      <c r="VM49" s="16"/>
      <c r="VN49" s="16"/>
      <c r="VO49" s="16"/>
      <c r="VP49" s="16"/>
      <c r="VQ49" s="16"/>
      <c r="VR49" s="16"/>
      <c r="VS49" s="16"/>
      <c r="VT49" s="16"/>
      <c r="VU49" s="16"/>
      <c r="VV49" s="16"/>
      <c r="VW49" s="16"/>
      <c r="VX49" s="16"/>
      <c r="VY49" s="16"/>
      <c r="VZ49" s="16"/>
      <c r="WA49" s="16"/>
      <c r="WB49" s="16"/>
      <c r="WC49" s="16"/>
      <c r="WD49" s="16"/>
      <c r="WE49" s="16"/>
      <c r="WF49" s="16"/>
      <c r="WG49" s="16"/>
      <c r="WH49" s="16"/>
      <c r="WI49" s="16"/>
      <c r="WJ49" s="16"/>
      <c r="WK49" s="16"/>
      <c r="WL49" s="16"/>
      <c r="WM49" s="16" t="s">
        <v>2961</v>
      </c>
      <c r="WN49" s="16"/>
      <c r="WO49" s="16"/>
      <c r="WP49" s="16"/>
      <c r="WQ49" s="16"/>
      <c r="WR49" s="16"/>
      <c r="WS49" s="16"/>
      <c r="WT49" s="16"/>
      <c r="WU49" s="16"/>
      <c r="WV49" s="16"/>
      <c r="WW49" s="16"/>
      <c r="WX49" s="16"/>
      <c r="WY49" s="16"/>
      <c r="WZ49" s="16"/>
      <c r="XA49" s="16"/>
      <c r="XB49" s="16"/>
      <c r="XC49" s="16"/>
      <c r="XD49" s="16"/>
      <c r="XE49" s="16"/>
      <c r="XF49" s="16"/>
      <c r="XG49" s="16"/>
      <c r="XH49" s="16"/>
      <c r="XI49" s="16"/>
      <c r="XJ49" s="16"/>
      <c r="XK49" s="16"/>
      <c r="XL49" s="16"/>
      <c r="XM49" s="16"/>
      <c r="XN49" s="16"/>
      <c r="XO49" s="16"/>
      <c r="XP49" s="16"/>
      <c r="XQ49" s="16"/>
      <c r="XR49" s="16"/>
      <c r="XS49" s="16"/>
      <c r="XT49" s="16"/>
      <c r="XU49" s="16"/>
      <c r="XV49" s="16"/>
      <c r="XW49" s="16"/>
      <c r="XX49" s="16"/>
      <c r="XY49" s="16"/>
      <c r="XZ49" s="16"/>
      <c r="YA49" s="16"/>
      <c r="YB49" s="16"/>
      <c r="YC49" s="16"/>
      <c r="YD49" s="16"/>
      <c r="YE49" s="16"/>
      <c r="YF49" s="16"/>
      <c r="YG49" s="16"/>
      <c r="YH49" s="16"/>
      <c r="YI49" s="16"/>
      <c r="YJ49" s="16"/>
      <c r="YK49" s="16"/>
      <c r="YL49" s="16"/>
      <c r="YM49" s="16"/>
      <c r="YN49" s="16"/>
      <c r="YO49" s="16"/>
      <c r="YP49" s="16"/>
      <c r="YQ49" s="16"/>
      <c r="YR49" s="16"/>
      <c r="YS49" s="16"/>
      <c r="YT49" s="16"/>
      <c r="YU49" s="16"/>
      <c r="YV49" s="16"/>
      <c r="YW49" s="16" t="s">
        <v>2961</v>
      </c>
      <c r="YX49" s="16"/>
      <c r="YY49" s="16"/>
      <c r="YZ49" s="16"/>
      <c r="ZA49" s="16"/>
      <c r="ZB49" s="16"/>
      <c r="ZC49" s="16"/>
      <c r="ZD49" s="16"/>
      <c r="ZE49" s="16"/>
      <c r="ZF49" s="16"/>
      <c r="ZG49" s="16"/>
      <c r="ZH49" s="16"/>
      <c r="ZI49" s="16"/>
      <c r="ZJ49" s="16"/>
      <c r="ZK49" s="16"/>
      <c r="ZL49" s="16"/>
      <c r="ZM49" s="16"/>
      <c r="ZN49" s="16"/>
      <c r="ZO49" s="16"/>
      <c r="ZP49" s="16"/>
      <c r="ZQ49" s="16"/>
      <c r="ZR49" s="16"/>
      <c r="ZS49" s="16"/>
      <c r="ZT49" s="16"/>
      <c r="ZU49" s="16"/>
      <c r="ZV49" s="16"/>
      <c r="ZW49" s="16"/>
      <c r="ZX49" s="16"/>
      <c r="ZY49" s="16"/>
      <c r="ZZ49" s="16"/>
      <c r="AAA49" s="16"/>
      <c r="AAB49" s="16"/>
      <c r="AAC49" s="16"/>
      <c r="AAD49" s="16"/>
      <c r="AAE49" s="16"/>
      <c r="AAF49" s="16"/>
      <c r="AAG49" s="16"/>
      <c r="AAH49" s="16"/>
      <c r="AAI49" s="16"/>
      <c r="AAJ49" s="16"/>
      <c r="AAK49" s="16"/>
      <c r="AAL49" s="16"/>
      <c r="AAM49" s="16"/>
      <c r="AAN49" s="16"/>
      <c r="AAO49" s="16"/>
      <c r="AAP49" s="16"/>
      <c r="AAQ49" s="16"/>
      <c r="AAR49" s="16"/>
      <c r="AAS49" s="16"/>
      <c r="AAT49" s="16"/>
      <c r="AAU49" s="16"/>
      <c r="AAV49" s="16"/>
      <c r="AAW49" s="16"/>
      <c r="AAX49" s="16"/>
      <c r="AAY49" s="16"/>
      <c r="AAZ49" s="16"/>
      <c r="ABA49" s="16"/>
      <c r="ABB49" s="16"/>
      <c r="ABC49" s="16"/>
      <c r="ABD49" s="16"/>
      <c r="ABE49" s="16"/>
      <c r="ABF49" s="16"/>
      <c r="ABG49" s="16" t="s">
        <v>2961</v>
      </c>
      <c r="ABH49" s="16"/>
      <c r="ABI49" s="16"/>
      <c r="ABJ49" s="16"/>
      <c r="ABK49" s="16"/>
      <c r="ABL49" s="16"/>
      <c r="ABM49" s="16"/>
      <c r="ABN49" s="16"/>
      <c r="ABO49" s="16"/>
      <c r="ABP49" s="16"/>
      <c r="ABQ49" s="16"/>
      <c r="ABR49" s="16"/>
      <c r="ABS49" s="16"/>
      <c r="ABT49" s="16"/>
      <c r="ABU49" s="16"/>
      <c r="ABV49" s="16"/>
      <c r="ABW49" s="16"/>
      <c r="ABX49" s="16"/>
      <c r="ABY49" s="16"/>
      <c r="ABZ49" s="16"/>
      <c r="ACA49" s="16"/>
      <c r="ACB49" s="16"/>
      <c r="ACC49" s="16"/>
      <c r="ACD49" s="16"/>
      <c r="ACE49" s="16"/>
      <c r="ACF49" s="16"/>
      <c r="ACG49" s="16"/>
      <c r="ACH49" s="16"/>
      <c r="ACI49" s="16"/>
      <c r="ACJ49" s="16"/>
      <c r="ACK49" s="16"/>
      <c r="ACL49" s="16"/>
      <c r="ACM49" s="16"/>
      <c r="ACN49" s="16"/>
      <c r="ACO49" s="16"/>
      <c r="ACP49" s="16"/>
      <c r="ACQ49" s="16"/>
      <c r="ACR49" s="16"/>
      <c r="ACS49" s="16"/>
      <c r="ACT49" s="16"/>
      <c r="ACU49" s="16"/>
      <c r="ACV49" s="16"/>
      <c r="ACW49" s="16"/>
      <c r="ACX49" s="16"/>
      <c r="ACY49" s="16"/>
      <c r="ACZ49" s="16"/>
      <c r="ADA49" s="16"/>
      <c r="ADB49" s="16"/>
      <c r="ADC49" s="16"/>
      <c r="ADD49" s="16"/>
      <c r="ADE49" s="16"/>
      <c r="ADF49" s="16"/>
      <c r="ADG49" s="16"/>
      <c r="ADH49" s="16"/>
      <c r="ADI49" s="16"/>
      <c r="ADJ49" s="16"/>
      <c r="ADK49" s="16"/>
      <c r="ADL49" s="16"/>
      <c r="ADM49" s="16"/>
      <c r="ADN49" s="16"/>
      <c r="ADO49" s="16"/>
      <c r="ADP49" s="16"/>
      <c r="ADQ49" s="16"/>
      <c r="ADR49" s="16"/>
      <c r="ADS49" s="16"/>
      <c r="ADT49" s="16"/>
      <c r="ADU49" s="16"/>
      <c r="ADV49" s="16"/>
      <c r="ADW49" s="16"/>
      <c r="ADX49" s="16"/>
      <c r="ADY49" s="16"/>
      <c r="ADZ49" s="16"/>
      <c r="AEA49" s="16"/>
      <c r="AEB49" s="16"/>
      <c r="AEC49" s="16"/>
      <c r="AED49" s="16"/>
      <c r="AEE49" s="16"/>
      <c r="AEF49" s="16"/>
      <c r="AEG49" s="16"/>
      <c r="AEH49" s="16"/>
      <c r="AEI49" s="16"/>
      <c r="AEJ49" s="16"/>
      <c r="AEK49" s="16"/>
      <c r="AEL49" s="16"/>
      <c r="AEM49" s="16"/>
      <c r="AEN49" s="16"/>
      <c r="AEO49" s="16"/>
      <c r="AEP49" s="16"/>
      <c r="AEQ49" s="16"/>
      <c r="AER49" s="16"/>
      <c r="AES49" s="16"/>
      <c r="AET49" s="16"/>
      <c r="AEU49" s="16"/>
      <c r="AEV49" s="16"/>
      <c r="AEW49" s="16"/>
      <c r="AEX49" s="16"/>
      <c r="AEY49" s="16"/>
      <c r="AEZ49" s="16"/>
      <c r="AFA49" s="16"/>
      <c r="AFB49" s="16"/>
      <c r="AFC49" s="16"/>
      <c r="AFD49" s="16"/>
      <c r="AFE49" s="16"/>
      <c r="AFF49" s="16"/>
      <c r="AFG49" s="16"/>
      <c r="AFH49" s="16"/>
      <c r="AFI49" s="16"/>
      <c r="AFJ49" s="16"/>
      <c r="AFK49" s="16"/>
      <c r="AFL49" s="16"/>
      <c r="AFM49" s="16"/>
      <c r="AFN49" s="16"/>
      <c r="AFO49" s="16"/>
      <c r="AFP49" s="16"/>
      <c r="AFQ49" s="16"/>
      <c r="AFR49" s="16"/>
      <c r="AFS49" s="16"/>
      <c r="AFT49" s="16"/>
      <c r="AFU49" s="16"/>
      <c r="AFV49" s="16"/>
      <c r="AFW49" s="16"/>
      <c r="AFX49" s="16"/>
      <c r="AFY49" s="16"/>
      <c r="AFZ49" s="16"/>
      <c r="AGA49" s="16" t="s">
        <v>2961</v>
      </c>
      <c r="AGB49" s="16"/>
      <c r="AGC49" s="16"/>
      <c r="AGD49" s="16"/>
      <c r="AGE49" s="16"/>
      <c r="AGF49" s="16"/>
      <c r="AGG49" s="16"/>
      <c r="AGH49" s="16"/>
      <c r="AGI49" s="16"/>
      <c r="AGJ49" s="16"/>
      <c r="AGK49" s="16"/>
      <c r="AGL49" s="16"/>
      <c r="AGM49" s="16"/>
      <c r="AGN49" s="16"/>
      <c r="AGO49" s="16"/>
      <c r="AGP49" s="16"/>
      <c r="AGQ49" s="16"/>
      <c r="AGR49" s="16"/>
      <c r="AGS49" s="16"/>
      <c r="AGT49" s="16"/>
      <c r="AGU49" s="16"/>
      <c r="AGV49" s="16"/>
      <c r="AGW49" s="16"/>
      <c r="AGX49" s="16"/>
      <c r="AGY49" s="16"/>
      <c r="AGZ49" s="16"/>
      <c r="AHA49" s="16"/>
      <c r="AHB49" s="16"/>
      <c r="AHC49" s="16"/>
      <c r="AHD49" s="16"/>
      <c r="AHE49" s="16"/>
      <c r="AHF49" s="16"/>
      <c r="AHG49" s="16"/>
      <c r="AHH49" s="16"/>
      <c r="AHI49" s="16"/>
      <c r="AHJ49" s="16"/>
      <c r="AHK49" s="16"/>
      <c r="AHL49" s="16"/>
      <c r="AHM49" s="16"/>
      <c r="AHN49" s="16"/>
      <c r="AHO49" s="16"/>
      <c r="AHP49" s="16"/>
      <c r="AHQ49" s="16"/>
      <c r="AHR49" s="16"/>
      <c r="AHS49" s="16"/>
      <c r="AHT49" s="16"/>
      <c r="AHU49" s="16"/>
      <c r="AHV49" s="16"/>
      <c r="AHW49" s="16"/>
      <c r="AHX49" s="16"/>
      <c r="AHY49" s="16"/>
      <c r="AHZ49" s="16"/>
      <c r="AIA49" s="16"/>
      <c r="AIB49" s="16"/>
      <c r="AIC49" s="16"/>
      <c r="AID49" s="16"/>
      <c r="AIE49" s="16"/>
      <c r="AIF49" s="16"/>
      <c r="AIG49" s="16"/>
      <c r="AIH49" s="16"/>
      <c r="AII49" s="16"/>
      <c r="AIJ49" s="16"/>
      <c r="AIK49" s="16"/>
      <c r="AIL49" s="16"/>
      <c r="AIM49" s="16"/>
      <c r="AIN49" s="16"/>
      <c r="AIO49" s="16"/>
      <c r="AIP49" s="16"/>
      <c r="AIQ49" s="16"/>
      <c r="AIR49" s="16"/>
      <c r="AIS49" s="16"/>
      <c r="AIT49" s="16"/>
      <c r="AIU49" s="16"/>
      <c r="AIV49" s="16"/>
      <c r="AIW49" s="16"/>
      <c r="AIX49" s="16"/>
      <c r="AIY49" s="16"/>
      <c r="AIZ49" s="16"/>
      <c r="AJA49" s="16"/>
      <c r="AJB49" s="16"/>
      <c r="AJC49" s="16"/>
      <c r="AJD49" s="16"/>
      <c r="AJE49" s="16"/>
      <c r="AJF49" s="16"/>
      <c r="AJG49" s="16"/>
      <c r="AJH49" s="16"/>
      <c r="AJI49" s="16"/>
      <c r="AJJ49" s="16"/>
      <c r="AJK49" s="16"/>
      <c r="AJL49" s="16"/>
      <c r="AJM49" s="16"/>
      <c r="AJN49" s="16"/>
      <c r="AJO49" s="16"/>
      <c r="AJP49" s="16"/>
      <c r="AJQ49" s="16"/>
      <c r="AJR49" s="16"/>
      <c r="AJS49" s="16"/>
      <c r="AJT49" s="16"/>
      <c r="AJU49" s="16"/>
      <c r="AJV49" s="16"/>
      <c r="AJW49" s="16"/>
      <c r="AJX49" s="16"/>
      <c r="AJY49" s="16"/>
      <c r="AJZ49" s="16"/>
      <c r="AKA49" s="16"/>
      <c r="AKB49" s="16"/>
      <c r="AKC49" s="16"/>
      <c r="AKD49" s="16"/>
      <c r="AKE49" s="16"/>
      <c r="AKF49" s="16"/>
      <c r="AKG49" s="16"/>
      <c r="AKH49" s="16"/>
      <c r="AKI49" s="16"/>
      <c r="AKJ49" s="16"/>
      <c r="AKK49" s="16"/>
      <c r="AKL49" s="16"/>
      <c r="AKM49" s="16"/>
      <c r="AKN49" s="16"/>
      <c r="AKO49" s="16"/>
      <c r="AKP49" s="16"/>
      <c r="AKQ49" s="16"/>
      <c r="AKR49" s="16"/>
      <c r="AKS49" s="16"/>
      <c r="AKT49" s="16"/>
      <c r="AKU49" s="16"/>
      <c r="AKV49" s="16"/>
      <c r="AKW49" s="16"/>
      <c r="AKX49" s="16"/>
      <c r="AKY49" s="16"/>
      <c r="AKZ49" s="16"/>
      <c r="ALA49" s="16"/>
      <c r="ALB49" s="16"/>
      <c r="ALC49" s="16"/>
      <c r="ALD49" s="16"/>
      <c r="ALE49" s="16"/>
      <c r="ALF49" s="16"/>
      <c r="ALG49" s="16"/>
      <c r="ALH49" s="16"/>
      <c r="ALI49" s="16"/>
      <c r="ALJ49" s="16"/>
      <c r="ALK49" s="16"/>
      <c r="ALL49" s="16"/>
      <c r="ALM49" s="16"/>
      <c r="ALN49" s="16"/>
      <c r="ALO49" s="16"/>
      <c r="ALP49" s="16"/>
      <c r="ALQ49" s="16"/>
      <c r="ALR49" s="16"/>
      <c r="ALS49" s="16"/>
      <c r="ALT49" s="16"/>
      <c r="ALU49" s="16"/>
      <c r="ALV49" s="16"/>
      <c r="ALW49" s="16"/>
      <c r="ALX49" s="16"/>
      <c r="ALY49" s="16"/>
      <c r="ALZ49" s="16"/>
      <c r="AMA49" s="16"/>
      <c r="AMB49" s="16"/>
      <c r="AMC49" s="16"/>
      <c r="AMD49" s="16"/>
      <c r="AME49" s="16"/>
      <c r="AMF49" s="16"/>
      <c r="AMG49" s="16"/>
      <c r="AMH49" s="16"/>
      <c r="AMI49" s="16"/>
      <c r="AMJ49" s="16"/>
      <c r="AMK49" s="16"/>
      <c r="AML49" s="16"/>
      <c r="AMM49" s="16"/>
      <c r="AMN49" s="16"/>
      <c r="AMO49" s="16"/>
      <c r="AMP49" s="16"/>
      <c r="AMQ49" s="16"/>
      <c r="AMR49" s="16"/>
      <c r="AMS49" s="16"/>
      <c r="AMT49" s="16"/>
      <c r="AMU49" s="16"/>
      <c r="AMV49" s="16"/>
      <c r="AMW49" s="16"/>
      <c r="AMX49" s="16"/>
      <c r="AMY49" s="16"/>
      <c r="AMZ49" s="16"/>
      <c r="ANA49" s="16"/>
      <c r="ANB49" s="16"/>
      <c r="ANC49" s="16"/>
      <c r="AND49" s="16"/>
      <c r="ANE49" s="16"/>
      <c r="ANF49" s="16"/>
      <c r="ANG49" s="16"/>
      <c r="ANH49" s="16"/>
      <c r="ANI49" s="16"/>
      <c r="ANJ49" s="16"/>
      <c r="ANK49" s="16"/>
      <c r="ANL49" s="16"/>
      <c r="ANM49" s="16"/>
      <c r="ANN49" s="16"/>
      <c r="ANO49" s="16"/>
      <c r="ANP49" s="16"/>
      <c r="ANQ49" s="16"/>
      <c r="ANR49" s="16"/>
      <c r="ANS49" s="16"/>
      <c r="ANT49" s="16"/>
      <c r="ANU49" s="16"/>
      <c r="ANV49" s="16"/>
      <c r="ANW49" s="16"/>
      <c r="ANX49" s="16"/>
      <c r="ANY49" s="16"/>
      <c r="ANZ49" s="16"/>
      <c r="AOA49" s="16"/>
      <c r="AOB49" s="16"/>
      <c r="AOC49" s="16"/>
      <c r="AOD49" s="16"/>
      <c r="AOE49" s="16"/>
      <c r="AOF49" s="16"/>
      <c r="AOG49" s="16"/>
      <c r="AOH49" s="16"/>
      <c r="AOI49" s="16"/>
      <c r="AOJ49" s="16"/>
      <c r="AOK49" s="16"/>
      <c r="AOL49" s="16"/>
      <c r="AOM49" s="16"/>
      <c r="AON49" s="16"/>
      <c r="AOO49" s="16"/>
      <c r="AOP49" s="16"/>
      <c r="AOQ49" s="16"/>
      <c r="AOR49" s="16"/>
      <c r="AOS49" s="16"/>
      <c r="AOT49" s="16"/>
      <c r="AOU49" s="16"/>
      <c r="AOV49" s="16"/>
      <c r="AOW49" s="16"/>
      <c r="AOX49" s="16"/>
      <c r="AOY49" s="16"/>
      <c r="AOZ49" s="16"/>
      <c r="APA49" s="16"/>
      <c r="APB49" s="16"/>
      <c r="APC49" s="16"/>
      <c r="APD49" s="16"/>
      <c r="APE49" s="16"/>
      <c r="APF49" s="16"/>
      <c r="APG49" s="16"/>
      <c r="APH49" s="16"/>
      <c r="API49" s="16"/>
      <c r="APJ49" s="16"/>
      <c r="APK49" s="16"/>
      <c r="APL49" s="16"/>
      <c r="APM49" s="16"/>
      <c r="APN49" s="16"/>
      <c r="APO49" s="16"/>
      <c r="APP49" s="16"/>
      <c r="APQ49" s="16"/>
      <c r="APR49" s="16"/>
      <c r="APS49" s="16"/>
      <c r="APT49" s="16"/>
      <c r="APU49" s="16"/>
      <c r="APV49" s="16"/>
      <c r="APW49" s="16"/>
      <c r="APX49" s="16"/>
      <c r="APY49" s="16"/>
      <c r="APZ49" s="16"/>
      <c r="AQA49" s="16"/>
      <c r="AQB49" s="16"/>
      <c r="AQC49" s="16"/>
      <c r="AQD49" s="16"/>
      <c r="AQE49" s="16"/>
      <c r="AQF49" s="16"/>
      <c r="AQG49" s="16"/>
      <c r="AQH49" s="16"/>
      <c r="AQI49" s="16"/>
      <c r="AQJ49" s="16"/>
      <c r="AQK49" s="16"/>
      <c r="AQL49" s="16"/>
      <c r="AQM49" s="16"/>
      <c r="AQN49" s="16"/>
      <c r="AQO49" s="16"/>
      <c r="AQP49" s="16"/>
      <c r="AQQ49" s="16"/>
      <c r="AQR49" s="16"/>
      <c r="AQS49" s="16"/>
      <c r="AQT49" s="16"/>
      <c r="AQU49" s="16"/>
      <c r="AQV49" s="16"/>
      <c r="AQW49" s="16"/>
      <c r="AQX49" s="16"/>
      <c r="AQY49" s="16"/>
      <c r="AQZ49" s="16"/>
      <c r="ARA49" s="16"/>
      <c r="ARB49" s="16"/>
      <c r="ARC49" s="16"/>
      <c r="ARD49" s="16"/>
      <c r="ARE49" s="16"/>
      <c r="ARF49" s="16"/>
      <c r="ARG49" s="16"/>
      <c r="ARH49" s="16"/>
      <c r="ARI49" s="16"/>
      <c r="ARJ49" s="16"/>
      <c r="ARK49" s="16"/>
      <c r="ARL49" s="16"/>
      <c r="ARM49" s="16"/>
      <c r="ARN49" s="16"/>
      <c r="ARO49" s="16"/>
      <c r="ARP49" s="16"/>
      <c r="ARQ49" s="16"/>
      <c r="ARR49" s="16"/>
      <c r="ARS49" s="16"/>
      <c r="ART49" s="16"/>
      <c r="ARU49" s="16"/>
      <c r="ARV49" s="16"/>
      <c r="ARW49" s="16"/>
      <c r="ARX49" s="16"/>
      <c r="ARY49" s="16"/>
      <c r="ARZ49" s="16"/>
      <c r="ASA49" s="16"/>
      <c r="ASB49" s="16"/>
      <c r="ASC49" s="16"/>
      <c r="ASD49" s="16"/>
      <c r="ASE49" s="16"/>
      <c r="ASF49" s="16"/>
      <c r="ASG49" s="16"/>
      <c r="ASH49" s="16"/>
      <c r="ASI49" s="16"/>
      <c r="ASJ49" s="16"/>
      <c r="ASK49" s="16"/>
      <c r="ASL49" s="16"/>
      <c r="ASM49" s="16"/>
      <c r="ASN49" s="16"/>
      <c r="ASO49" s="16"/>
      <c r="ASP49" s="16"/>
      <c r="ASQ49" s="16"/>
      <c r="ASR49" s="16"/>
      <c r="ASS49" s="16"/>
      <c r="AST49" s="16"/>
      <c r="ASU49" s="16"/>
      <c r="ASV49" s="16"/>
      <c r="ASW49" s="16"/>
      <c r="ASX49" s="16"/>
      <c r="ASY49" s="16"/>
      <c r="ASZ49" s="16"/>
      <c r="ATA49" s="16"/>
      <c r="ATB49" s="16"/>
      <c r="ATC49" s="16"/>
      <c r="ATD49" s="16"/>
      <c r="ATE49" s="16"/>
      <c r="ATF49" s="16"/>
      <c r="ATG49" s="16"/>
      <c r="ATH49" s="16"/>
      <c r="ATI49" s="16"/>
      <c r="ATJ49" s="16"/>
      <c r="ATK49" s="16"/>
      <c r="ATL49" s="16"/>
      <c r="ATM49" s="16"/>
      <c r="ATN49" s="16"/>
      <c r="ATO49" s="16"/>
      <c r="ATP49" s="16"/>
      <c r="ATQ49" s="16"/>
      <c r="ATR49" s="16"/>
      <c r="ATS49" s="16"/>
      <c r="ATT49" s="16"/>
      <c r="ATU49" s="16"/>
      <c r="ATV49" s="16"/>
      <c r="ATW49" s="16"/>
      <c r="ATX49" s="16"/>
      <c r="ATY49" s="16"/>
      <c r="ATZ49" s="16"/>
      <c r="AUA49" s="16"/>
      <c r="AUB49" s="16"/>
      <c r="AUC49" s="16"/>
      <c r="AUD49" s="16"/>
      <c r="AUE49" s="16"/>
      <c r="AUF49" s="16"/>
      <c r="AUG49" s="16"/>
      <c r="AUH49" s="16"/>
      <c r="AUI49" s="16"/>
      <c r="AUJ49" s="16"/>
      <c r="AUK49" s="16"/>
      <c r="AUL49" s="16"/>
      <c r="AUM49" s="16"/>
      <c r="AUN49" s="16"/>
      <c r="AUO49" s="16"/>
      <c r="AUP49" s="16"/>
      <c r="AUQ49" s="16"/>
      <c r="AUR49" s="16"/>
      <c r="AUS49" s="16"/>
      <c r="AUT49" s="16"/>
      <c r="AUU49" s="16"/>
      <c r="AUV49" s="16"/>
      <c r="AUW49" s="16"/>
      <c r="AUX49" s="16"/>
      <c r="AUY49" s="16"/>
      <c r="AUZ49" s="16"/>
      <c r="AVA49" s="16"/>
      <c r="AVB49" s="16"/>
      <c r="AVC49" s="16"/>
      <c r="AVD49" s="16"/>
      <c r="AVE49" s="16"/>
      <c r="AVF49" s="16"/>
      <c r="AVG49" s="16"/>
      <c r="AVH49" s="16"/>
      <c r="AVI49" s="16"/>
      <c r="AVJ49" s="16"/>
      <c r="AVK49" s="16"/>
      <c r="AVL49" s="16"/>
      <c r="AVM49" s="16"/>
      <c r="AVN49" s="16"/>
      <c r="AVO49" s="16"/>
      <c r="AVP49" s="16"/>
      <c r="AVQ49" s="16"/>
      <c r="AVR49" s="16"/>
      <c r="AVS49" s="16"/>
      <c r="AVT49" s="16"/>
      <c r="AVU49" s="16"/>
      <c r="AVV49" s="16"/>
      <c r="AVW49" s="16"/>
      <c r="AVX49" s="16"/>
      <c r="AVY49" s="16"/>
      <c r="AVZ49" s="16"/>
      <c r="AWA49" s="16"/>
      <c r="AWB49" s="16"/>
      <c r="AWC49" s="16"/>
      <c r="AWD49" s="16"/>
      <c r="AWE49" s="16"/>
      <c r="AWF49" s="16"/>
      <c r="AWG49" s="16"/>
      <c r="AWH49" s="16"/>
      <c r="AWI49" s="16"/>
      <c r="AWJ49" s="16"/>
      <c r="AWK49" s="16"/>
      <c r="AWL49" s="16"/>
      <c r="AWM49" s="16"/>
      <c r="AWN49" s="16"/>
      <c r="AWO49" s="16"/>
      <c r="AWP49" s="16"/>
      <c r="AWQ49" s="16"/>
      <c r="AWR49" s="16"/>
      <c r="AWS49" s="16"/>
      <c r="AWT49" s="16"/>
      <c r="AWU49" s="16"/>
      <c r="AWV49" s="16"/>
      <c r="AWW49" s="16"/>
      <c r="AWX49" s="16"/>
      <c r="AWY49" s="16"/>
      <c r="AWZ49" s="16"/>
      <c r="AXA49" s="16"/>
      <c r="AXB49" s="16"/>
      <c r="AXC49" s="16"/>
      <c r="AXD49" s="16"/>
      <c r="AXE49" s="16"/>
      <c r="AXF49" s="16"/>
      <c r="AXG49" s="16"/>
      <c r="AXH49" s="16"/>
      <c r="AXI49" s="16"/>
      <c r="AXJ49" s="16"/>
      <c r="AXK49" s="16"/>
      <c r="AXL49" s="16"/>
      <c r="AXM49" s="16"/>
      <c r="AXN49" s="16"/>
      <c r="AXO49" s="16"/>
      <c r="AXP49" s="16"/>
      <c r="AXQ49" s="16"/>
      <c r="AXR49" s="16"/>
      <c r="AXS49" s="16"/>
      <c r="AXT49" s="16"/>
      <c r="AXU49" s="16"/>
      <c r="AXV49" s="16"/>
      <c r="AXW49" s="16"/>
      <c r="AXX49" s="16"/>
      <c r="AXY49" s="16"/>
      <c r="AXZ49" s="16"/>
      <c r="AYA49" s="16"/>
      <c r="AYB49" s="16"/>
      <c r="AYC49" s="16"/>
      <c r="AYD49" s="16"/>
      <c r="AYE49" s="16"/>
      <c r="AYF49" s="16"/>
      <c r="AYG49" s="16"/>
      <c r="AYH49" s="16"/>
      <c r="AYI49" s="16"/>
      <c r="AYJ49" s="16"/>
      <c r="AYK49" s="16"/>
      <c r="AYL49" s="16"/>
      <c r="AYM49" s="16"/>
      <c r="AYN49" s="16"/>
      <c r="AYO49" s="16"/>
      <c r="AYP49" s="16"/>
      <c r="AYQ49" s="16"/>
      <c r="AYR49" s="16"/>
      <c r="AYS49" s="16"/>
      <c r="AYT49" s="16"/>
      <c r="AYU49" s="16"/>
      <c r="AYV49" s="16"/>
      <c r="AYW49" s="16"/>
      <c r="AYX49" s="16"/>
      <c r="AYY49" s="16"/>
      <c r="AYZ49" s="16"/>
      <c r="AZA49" s="16"/>
      <c r="AZB49" s="16"/>
      <c r="AZC49" s="16"/>
      <c r="AZD49" s="16"/>
      <c r="AZE49" s="16"/>
      <c r="AZF49" s="16"/>
      <c r="AZG49" s="16"/>
      <c r="AZH49" s="16"/>
      <c r="AZI49" s="16"/>
      <c r="AZJ49" s="16"/>
      <c r="AZK49" s="16"/>
      <c r="AZL49" s="16"/>
      <c r="AZM49" s="16"/>
      <c r="AZN49" s="16"/>
      <c r="AZO49" s="16"/>
      <c r="AZP49" s="16"/>
      <c r="AZQ49" s="16"/>
      <c r="AZR49" s="16"/>
      <c r="AZS49" s="16"/>
      <c r="AZT49" s="16"/>
      <c r="AZU49" s="16"/>
      <c r="AZV49" s="16"/>
      <c r="AZW49" s="16"/>
      <c r="AZX49" s="16"/>
      <c r="AZY49" s="16"/>
      <c r="AZZ49" s="16"/>
      <c r="BAA49" s="16"/>
      <c r="BAB49" s="16"/>
      <c r="BAC49" s="16"/>
      <c r="BAD49" s="16"/>
      <c r="BAE49" s="16"/>
      <c r="BAF49" s="16"/>
      <c r="BAG49" s="16"/>
      <c r="BAH49" s="16"/>
      <c r="BAI49" s="16"/>
      <c r="BAJ49" s="16"/>
      <c r="BAK49" s="16"/>
      <c r="BAL49" s="16"/>
      <c r="BAM49" s="16"/>
      <c r="BAN49" s="16"/>
      <c r="BAO49" s="16"/>
      <c r="BAP49" s="16"/>
      <c r="BAQ49" s="16"/>
      <c r="BAR49" s="16"/>
      <c r="BAS49" s="16"/>
      <c r="BAT49" s="16"/>
      <c r="BAU49" s="16"/>
      <c r="BAV49" s="16"/>
      <c r="BAW49" s="16"/>
      <c r="BAX49" s="16"/>
      <c r="BAY49" s="16"/>
      <c r="BAZ49" s="16"/>
      <c r="BBA49" s="16"/>
      <c r="BBB49" s="16"/>
      <c r="BBC49" s="16"/>
      <c r="BBD49" s="16"/>
      <c r="BBE49" s="16"/>
      <c r="BBF49" s="16"/>
      <c r="BBG49" s="16"/>
      <c r="BBH49" s="16"/>
      <c r="BBI49" s="16"/>
      <c r="BBJ49" s="16"/>
      <c r="BBK49" s="16"/>
      <c r="BBL49" s="16"/>
      <c r="BBM49" s="16"/>
      <c r="BBN49" s="16"/>
      <c r="BBO49" s="16"/>
      <c r="BBP49" s="16"/>
      <c r="BBQ49" s="16"/>
      <c r="BBR49" s="16"/>
      <c r="BBS49" s="16"/>
      <c r="BBT49" s="16"/>
      <c r="BBU49" s="16"/>
      <c r="BBV49" s="16"/>
      <c r="BBW49" s="16"/>
      <c r="BBX49" s="16"/>
      <c r="BBY49" s="16"/>
      <c r="BBZ49" s="16"/>
      <c r="BCA49" s="16"/>
      <c r="BCB49" s="16"/>
      <c r="BCC49" s="16"/>
      <c r="BCD49" s="16"/>
      <c r="BCE49" s="16"/>
      <c r="BCF49" s="16"/>
      <c r="BCG49" s="16"/>
      <c r="BCH49" s="16"/>
      <c r="BCI49" s="16"/>
      <c r="BCJ49" s="16"/>
      <c r="BCK49" s="16"/>
      <c r="BCL49" s="16"/>
      <c r="BCM49" s="16"/>
      <c r="BCN49" s="16"/>
      <c r="BCO49" s="16"/>
      <c r="BCP49" s="16"/>
      <c r="BCQ49" s="16"/>
      <c r="BCR49" s="16"/>
      <c r="BCS49" s="16"/>
      <c r="BCT49" s="16"/>
      <c r="BCU49" s="16"/>
      <c r="BCV49" s="16"/>
      <c r="BCW49" s="16"/>
      <c r="BCX49" s="16"/>
      <c r="BCY49" s="16"/>
      <c r="BCZ49" s="16"/>
      <c r="BDA49" s="16"/>
      <c r="BDB49" s="16"/>
      <c r="BDC49" s="16"/>
      <c r="BDD49" s="16"/>
      <c r="BDE49" s="16"/>
      <c r="BDF49" s="16"/>
      <c r="BDG49" s="16"/>
      <c r="BDH49" s="16"/>
      <c r="BDI49" s="16"/>
      <c r="BDJ49" s="16"/>
      <c r="BDK49" s="16"/>
      <c r="BDL49" s="16"/>
      <c r="BDM49" s="16"/>
      <c r="BDN49" s="16"/>
      <c r="BDO49" s="16"/>
      <c r="BDP49" s="16"/>
      <c r="BDQ49" s="16"/>
      <c r="BDR49" s="16"/>
      <c r="BDS49" s="16"/>
      <c r="BDT49" s="16"/>
      <c r="BDU49" s="16"/>
      <c r="BDV49" s="16"/>
      <c r="BDW49" s="16"/>
      <c r="BDX49" s="16"/>
      <c r="BDY49" s="16"/>
      <c r="BDZ49" s="16"/>
      <c r="BEA49" s="16"/>
      <c r="BEB49" s="16"/>
      <c r="BEC49" s="16"/>
      <c r="BED49" s="16"/>
      <c r="BEE49" s="16"/>
      <c r="BEF49" s="16"/>
      <c r="BEG49" s="16"/>
      <c r="BEH49" s="16"/>
      <c r="BEI49" s="16"/>
      <c r="BEJ49" s="16"/>
      <c r="BEK49" s="16"/>
      <c r="BEL49" s="16"/>
      <c r="BEM49" s="16"/>
      <c r="BEN49" s="16"/>
      <c r="BEO49" s="16"/>
      <c r="BEP49" s="16"/>
      <c r="BEQ49" s="16"/>
      <c r="BER49" s="16"/>
      <c r="BES49" s="16"/>
      <c r="BET49" s="16"/>
      <c r="BEU49" s="16"/>
      <c r="BEV49" s="16"/>
      <c r="BEW49" s="16"/>
      <c r="BEX49" s="16"/>
      <c r="BEY49" s="16"/>
      <c r="BEZ49" s="16"/>
      <c r="BFA49" s="16"/>
      <c r="BFB49" s="16"/>
      <c r="BFC49" s="16"/>
      <c r="BFD49" s="16"/>
      <c r="BFE49" s="16"/>
      <c r="BFF49" s="16"/>
      <c r="BFG49" s="16"/>
      <c r="BFH49" s="16"/>
      <c r="BFI49" s="16"/>
      <c r="BFJ49" s="16"/>
      <c r="BFK49" s="16"/>
      <c r="BFL49" s="16"/>
      <c r="BFM49" s="16"/>
      <c r="BFN49" s="16"/>
      <c r="BFO49" s="16"/>
      <c r="BFP49" s="16"/>
      <c r="BFQ49" s="16"/>
      <c r="BFR49" s="16"/>
      <c r="BFS49" s="16"/>
      <c r="BFT49" s="16"/>
      <c r="BFU49" s="16"/>
      <c r="BFV49" s="16"/>
      <c r="BFW49" s="16"/>
      <c r="BFX49" s="16"/>
      <c r="BFY49" s="16"/>
      <c r="BFZ49" s="16"/>
      <c r="BGA49" s="16"/>
      <c r="BGB49" s="16"/>
      <c r="BGC49" s="16"/>
      <c r="BGD49" s="16"/>
      <c r="BGE49" s="16"/>
      <c r="BGF49" s="16"/>
      <c r="BGG49" s="16"/>
      <c r="BGH49" s="16"/>
      <c r="BGI49" s="16"/>
      <c r="BGJ49" s="16"/>
      <c r="BGK49" s="16"/>
      <c r="BGL49" s="16"/>
      <c r="BGM49" s="16"/>
      <c r="BGN49" s="16"/>
      <c r="BGO49" s="16"/>
      <c r="BGP49" s="16"/>
      <c r="BGQ49" s="16"/>
      <c r="BGR49" s="16"/>
      <c r="BGS49" s="16"/>
      <c r="BGT49" s="16"/>
      <c r="BGU49" s="16"/>
      <c r="BGV49" s="16"/>
      <c r="BGW49" s="16"/>
      <c r="BGX49" s="16"/>
      <c r="BGY49" s="16"/>
      <c r="BGZ49" s="16"/>
      <c r="BHA49" s="16"/>
      <c r="BHB49" s="16"/>
      <c r="BHC49" s="16"/>
      <c r="BHD49" s="16"/>
      <c r="BHE49" s="16"/>
      <c r="BHF49" s="16"/>
      <c r="BHG49" s="16"/>
      <c r="BHH49" s="16"/>
      <c r="BHI49" s="16"/>
      <c r="BHJ49" s="16"/>
      <c r="BHK49" s="16"/>
      <c r="BHL49" s="16"/>
      <c r="BHM49" s="16"/>
      <c r="BHN49" s="16"/>
      <c r="BHO49" s="16"/>
      <c r="BHP49" s="16"/>
      <c r="BHQ49" s="16"/>
      <c r="BHR49" s="16"/>
      <c r="BHS49" s="16"/>
      <c r="BHT49" s="16"/>
      <c r="BHU49" s="16"/>
      <c r="BHV49" s="16"/>
      <c r="BHW49" s="16"/>
      <c r="BHX49" s="16"/>
      <c r="BHY49" s="16"/>
      <c r="BHZ49" s="16"/>
      <c r="BIA49" s="16"/>
      <c r="BIB49" s="16"/>
      <c r="BIC49" s="16"/>
      <c r="BID49" s="16"/>
      <c r="BIE49" s="16"/>
      <c r="BIF49" s="16"/>
      <c r="BIG49" s="16"/>
      <c r="BIH49" s="16"/>
      <c r="BII49" s="16"/>
      <c r="BIJ49" s="16"/>
      <c r="BIK49" s="16"/>
      <c r="BIL49" s="16"/>
      <c r="BIM49" s="16"/>
      <c r="BIN49" s="16"/>
      <c r="BIO49" s="16"/>
      <c r="BIP49" s="16"/>
      <c r="BIQ49" s="16"/>
      <c r="BIR49" s="16"/>
      <c r="BIS49" s="16"/>
      <c r="BIT49" s="16"/>
      <c r="BIU49" s="16"/>
      <c r="BIV49" s="16"/>
      <c r="BIW49" s="16"/>
      <c r="BIX49" s="16"/>
      <c r="BIY49" s="16"/>
      <c r="BIZ49" s="16"/>
      <c r="BJA49" s="16"/>
      <c r="BJB49" s="16"/>
      <c r="BJC49" s="16"/>
      <c r="BJD49" s="16"/>
      <c r="BJE49" s="16"/>
      <c r="BJF49" s="16"/>
      <c r="BJG49" s="16"/>
      <c r="BJH49" s="16"/>
      <c r="BJI49" s="16"/>
      <c r="BJJ49" s="16"/>
      <c r="BJK49" s="16"/>
      <c r="BJL49" s="16"/>
      <c r="BJM49" s="16"/>
      <c r="BJN49" s="16"/>
      <c r="BJO49" s="16"/>
      <c r="BJP49" s="16"/>
      <c r="BJQ49" s="16"/>
      <c r="BJR49" s="16"/>
      <c r="BJS49" s="16"/>
      <c r="BJT49" s="16"/>
      <c r="BJU49" s="16"/>
      <c r="BJV49" s="16"/>
      <c r="BJW49" s="16"/>
      <c r="BJX49" s="16"/>
      <c r="BJY49" s="16"/>
      <c r="BJZ49" s="16"/>
      <c r="BKA49" s="16"/>
      <c r="BKB49" s="16"/>
      <c r="BKC49" s="16"/>
      <c r="BKD49" s="16"/>
      <c r="BKE49" s="16"/>
      <c r="BKF49" s="16"/>
      <c r="BKG49" s="16"/>
      <c r="BKH49" s="16"/>
      <c r="BKI49" s="16"/>
      <c r="BKJ49" s="16"/>
      <c r="BKK49" s="16"/>
      <c r="BKL49" s="16"/>
      <c r="BKM49" s="16"/>
      <c r="BKN49" s="16"/>
      <c r="BKO49" s="16"/>
      <c r="BKP49" s="16"/>
      <c r="BKQ49" s="16"/>
      <c r="BKR49" s="16"/>
      <c r="BKS49" s="16"/>
      <c r="BKT49" s="16"/>
      <c r="BKU49" s="16"/>
      <c r="BKV49" s="16"/>
      <c r="BKW49" s="16"/>
      <c r="BKX49" s="16"/>
      <c r="BKY49" s="16"/>
      <c r="BKZ49" s="16"/>
      <c r="BLA49" s="16"/>
      <c r="BLB49" s="16"/>
      <c r="BLC49" s="16"/>
      <c r="BLD49" s="16"/>
      <c r="BLE49" s="16"/>
      <c r="BLF49" s="16"/>
      <c r="BLG49" s="16"/>
      <c r="BLH49" s="16"/>
      <c r="BLI49" s="16"/>
      <c r="BLJ49" s="16"/>
      <c r="BLK49" s="16"/>
      <c r="BLL49" s="16"/>
      <c r="BLM49" s="16"/>
      <c r="BLN49" s="16"/>
      <c r="BLO49" s="16"/>
      <c r="BLP49" s="16"/>
      <c r="BLQ49" s="16"/>
      <c r="BLR49" s="16"/>
      <c r="BLS49" s="16"/>
      <c r="BLT49" s="16"/>
      <c r="BLU49" s="16"/>
      <c r="BLV49" s="16"/>
      <c r="BLW49" s="16"/>
      <c r="BLX49" s="16"/>
      <c r="BLY49" s="16"/>
      <c r="BLZ49" s="16"/>
      <c r="BMA49" s="16"/>
      <c r="BMB49" s="16"/>
      <c r="BMC49" s="16"/>
      <c r="BMD49" s="16"/>
      <c r="BME49" s="16"/>
      <c r="BMF49" s="16"/>
      <c r="BMG49" s="16"/>
      <c r="BMH49" s="16"/>
      <c r="BMI49" s="16"/>
      <c r="BMJ49" s="16"/>
      <c r="BMK49" s="16"/>
      <c r="BML49" s="16"/>
      <c r="BMM49" s="16"/>
      <c r="BMN49" s="16"/>
      <c r="BMO49" s="16"/>
      <c r="BMP49" s="16"/>
      <c r="BMQ49" s="16"/>
      <c r="BMR49" s="16"/>
      <c r="BMS49" s="16"/>
      <c r="BMT49" s="16"/>
      <c r="BMU49" s="16"/>
      <c r="BMV49" s="16"/>
      <c r="BMW49" s="16"/>
      <c r="BMX49" s="16"/>
      <c r="BMY49" s="16"/>
      <c r="BMZ49" s="16"/>
      <c r="BNA49" s="16"/>
      <c r="BNB49" s="16"/>
      <c r="BNC49" s="16"/>
      <c r="BND49" s="16"/>
      <c r="BNE49" s="16"/>
      <c r="BNF49" s="16"/>
      <c r="BNG49" s="16"/>
      <c r="BNH49" s="16"/>
      <c r="BNI49" s="16"/>
      <c r="BNJ49" s="16"/>
      <c r="BNK49" s="16"/>
      <c r="BNL49" s="16"/>
      <c r="BNM49" s="16"/>
      <c r="BNN49" s="16"/>
      <c r="BNO49" s="16"/>
      <c r="BNP49" s="16"/>
      <c r="BNQ49" s="16"/>
      <c r="BNR49" s="16"/>
      <c r="BNS49" s="16"/>
      <c r="BNT49" s="16"/>
      <c r="BNU49" s="16"/>
      <c r="BNV49" s="16"/>
      <c r="BNW49" s="16"/>
      <c r="BNX49" s="16"/>
      <c r="BNY49" s="16"/>
      <c r="BNZ49" s="16"/>
      <c r="BOA49" s="16"/>
      <c r="BOB49" s="16"/>
      <c r="BOC49" s="16"/>
      <c r="BOD49" s="16"/>
      <c r="BOE49" s="16"/>
      <c r="BOF49" s="16"/>
      <c r="BOG49" s="16"/>
      <c r="BOH49" s="16"/>
      <c r="BOI49" s="16"/>
      <c r="BOJ49" s="16"/>
      <c r="BOK49" s="16"/>
      <c r="BOL49" s="16"/>
      <c r="BOM49" s="16"/>
      <c r="BON49" s="16"/>
      <c r="BOO49" s="16"/>
      <c r="BOP49" s="16"/>
      <c r="BOQ49" s="16"/>
      <c r="BOR49" s="16"/>
      <c r="BOS49" s="16"/>
      <c r="BOT49" s="16"/>
      <c r="BOU49" s="16"/>
      <c r="BOV49" s="16"/>
      <c r="BOW49" s="16"/>
      <c r="BOX49" s="16"/>
      <c r="BOY49" s="16"/>
      <c r="BOZ49" s="16"/>
      <c r="BPA49" s="16"/>
      <c r="BPB49" s="16"/>
      <c r="BPC49" s="16"/>
      <c r="BPD49" s="16"/>
      <c r="BPE49" s="16"/>
      <c r="BPF49" s="16"/>
      <c r="BPG49" s="16"/>
      <c r="BPH49" s="16"/>
      <c r="BPI49" s="16"/>
      <c r="BPJ49" s="16"/>
      <c r="BPK49" s="16"/>
      <c r="BPL49" s="16"/>
      <c r="BPM49" s="16"/>
      <c r="BPN49" s="16"/>
      <c r="BPO49" s="16"/>
      <c r="BPP49" s="16"/>
      <c r="BPQ49" s="16"/>
      <c r="BPR49" s="16"/>
      <c r="BPS49" s="16"/>
      <c r="BPT49" s="16"/>
      <c r="BPU49" s="16"/>
      <c r="BPV49" s="16"/>
      <c r="BPW49" s="16"/>
      <c r="BPX49" s="16"/>
      <c r="BPY49" s="16"/>
      <c r="BPZ49" s="16"/>
      <c r="BQA49" s="16"/>
      <c r="BQB49" s="16"/>
      <c r="BQC49" s="16"/>
      <c r="BQD49" s="16"/>
      <c r="BQE49" s="16"/>
      <c r="BQF49" s="16"/>
      <c r="BQG49" s="16"/>
      <c r="BQH49" s="16"/>
      <c r="BQI49" s="16"/>
      <c r="BQJ49" s="16"/>
      <c r="BQK49" s="16"/>
      <c r="BQL49" s="16"/>
      <c r="BQM49" s="16"/>
      <c r="BQN49" s="16"/>
      <c r="BQO49" s="16"/>
      <c r="BQP49" s="16"/>
      <c r="BQQ49" s="16"/>
      <c r="BQR49" s="16"/>
      <c r="BQS49" s="16"/>
      <c r="BQT49" s="16"/>
      <c r="BQU49" s="16"/>
      <c r="BQV49" s="16"/>
      <c r="BQW49" s="16"/>
      <c r="BQX49" s="16"/>
      <c r="BQY49" s="16"/>
      <c r="BQZ49" s="16"/>
      <c r="BRA49" s="16"/>
      <c r="BRB49" s="16"/>
      <c r="BRC49" s="16"/>
      <c r="BRD49" s="16"/>
      <c r="BRE49" s="16"/>
      <c r="BRF49" s="16"/>
      <c r="BRG49" s="16"/>
      <c r="BRH49" s="16"/>
      <c r="BRI49" s="16"/>
      <c r="BRJ49" s="16"/>
      <c r="BRK49" s="16"/>
      <c r="BRL49" s="16"/>
      <c r="BRM49" s="16"/>
      <c r="BRN49" s="16"/>
      <c r="BRO49" s="16"/>
      <c r="BRP49" s="16"/>
      <c r="BRQ49" s="16"/>
      <c r="BRR49" s="16"/>
      <c r="BRS49" s="16"/>
      <c r="BRT49" s="16"/>
      <c r="BRU49" s="16"/>
      <c r="BRV49" s="16"/>
      <c r="BRW49" s="16"/>
      <c r="BRX49" s="16"/>
      <c r="BRY49" s="16"/>
      <c r="BRZ49" s="16"/>
      <c r="BSA49" s="16"/>
      <c r="BSB49" s="16"/>
      <c r="BSC49" s="16"/>
      <c r="BSD49" s="16"/>
      <c r="BSE49" s="16"/>
      <c r="BSF49" s="16"/>
      <c r="BSG49" s="16"/>
      <c r="BSH49" s="16"/>
      <c r="BSI49" s="16"/>
      <c r="BSJ49" s="16"/>
      <c r="BSK49" s="16"/>
      <c r="BSL49" s="16"/>
      <c r="BSM49" s="16"/>
      <c r="BSN49" s="16"/>
      <c r="BSO49" s="16"/>
      <c r="BSP49" s="16"/>
      <c r="BSQ49" s="16"/>
      <c r="BSR49" s="16"/>
      <c r="BSS49" s="16"/>
      <c r="BST49" s="16"/>
      <c r="BSU49" s="16"/>
      <c r="BSV49" s="16"/>
      <c r="BSW49" s="16"/>
      <c r="BSX49" s="16"/>
      <c r="BSY49" s="16"/>
      <c r="BSZ49" s="16"/>
      <c r="BTA49" s="16"/>
      <c r="BTB49" s="16"/>
      <c r="BTC49" s="16"/>
      <c r="BTD49" s="16"/>
      <c r="BTE49" s="16"/>
      <c r="BTF49" s="16"/>
      <c r="BTG49" s="16"/>
      <c r="BTH49" s="16"/>
      <c r="BTI49" s="16"/>
      <c r="BTJ49" s="16"/>
      <c r="BTK49" s="16"/>
      <c r="BTL49" s="16"/>
      <c r="BTM49" s="16"/>
      <c r="BTN49" s="16"/>
      <c r="BTO49" s="16"/>
      <c r="BTP49" s="16"/>
      <c r="BTQ49" s="16"/>
      <c r="BTR49" s="16"/>
      <c r="BTS49" s="16"/>
      <c r="BTT49" s="16"/>
      <c r="BTU49" s="16"/>
      <c r="BTV49" s="16"/>
      <c r="BTW49" s="16"/>
      <c r="BTX49" s="16"/>
      <c r="BTY49" s="16"/>
      <c r="BTZ49" s="16"/>
      <c r="BUA49" s="16"/>
      <c r="BUB49" s="16"/>
      <c r="BUC49" s="16"/>
      <c r="BUD49" s="16"/>
      <c r="BUE49" s="16"/>
      <c r="BUF49" s="16"/>
      <c r="BUG49" s="16"/>
      <c r="BUH49" s="16"/>
      <c r="BUI49" s="16"/>
      <c r="BUJ49" s="16"/>
      <c r="BUK49" s="16"/>
      <c r="BUL49" s="16"/>
      <c r="BUM49" s="16"/>
      <c r="BUN49" s="16"/>
      <c r="BUO49" s="16"/>
      <c r="BUP49" s="16"/>
      <c r="BUQ49" s="16"/>
      <c r="BUR49" s="16"/>
      <c r="BUS49" s="16"/>
      <c r="BUT49" s="16"/>
      <c r="BUU49" s="16"/>
      <c r="BUV49" s="16"/>
      <c r="BUW49" s="16"/>
      <c r="BUX49" s="16"/>
      <c r="BUY49" s="16"/>
      <c r="BUZ49" s="16"/>
      <c r="BVA49" s="16"/>
      <c r="BVB49" s="16"/>
      <c r="BVC49" s="16"/>
      <c r="BVD49" s="16"/>
      <c r="BVE49" s="16"/>
      <c r="BVF49" s="16"/>
      <c r="BVG49" s="16"/>
      <c r="BVH49" s="16"/>
      <c r="BVI49" s="16"/>
      <c r="BVJ49" s="16"/>
      <c r="BVK49" s="16"/>
      <c r="BVL49" s="16"/>
      <c r="BVM49" s="16"/>
      <c r="BVN49" s="16"/>
      <c r="BVO49" s="16"/>
      <c r="BVP49" s="16"/>
      <c r="BVQ49" s="16"/>
      <c r="BVR49" s="16"/>
      <c r="BVS49" s="16"/>
      <c r="BVT49" s="16"/>
      <c r="BVU49" s="16"/>
      <c r="BVV49" s="16"/>
      <c r="BVW49" s="16"/>
      <c r="BVX49" s="16"/>
      <c r="BVY49" s="16"/>
      <c r="BVZ49" s="16"/>
      <c r="BWA49" s="16"/>
      <c r="BWB49" s="16"/>
      <c r="BWC49" s="16"/>
      <c r="BWD49" s="16"/>
      <c r="BWE49" s="16"/>
      <c r="BWF49" s="16"/>
      <c r="BWG49" s="16"/>
      <c r="BWH49" s="16"/>
      <c r="BWI49" s="16"/>
      <c r="BWJ49" s="16"/>
      <c r="BWK49" s="16"/>
      <c r="BWL49" s="16"/>
      <c r="BWM49" s="16"/>
      <c r="BWN49" s="16"/>
      <c r="BWO49" s="16"/>
      <c r="BWP49" s="16"/>
      <c r="BWQ49" s="16"/>
      <c r="BWR49" s="16"/>
      <c r="BWS49" s="16"/>
      <c r="BWT49" s="16"/>
      <c r="BWU49" s="16"/>
      <c r="BWV49" s="16"/>
      <c r="BWW49" s="16"/>
      <c r="BWX49" s="16"/>
      <c r="BWY49" s="16"/>
      <c r="BWZ49" s="16"/>
      <c r="BXA49" s="16"/>
      <c r="BXB49" s="16"/>
      <c r="BXC49" s="16"/>
      <c r="BXD49" s="16"/>
      <c r="BXE49" s="16"/>
      <c r="BXF49" s="16"/>
      <c r="BXG49" s="16"/>
      <c r="BXH49" s="16"/>
      <c r="BXI49" s="16"/>
      <c r="BXJ49" s="16"/>
      <c r="BXK49" s="16"/>
      <c r="BXL49" s="16"/>
      <c r="BXM49" s="16"/>
      <c r="BXN49" s="16"/>
      <c r="BXO49" s="16"/>
      <c r="BXP49" s="16"/>
      <c r="BXQ49" s="16"/>
      <c r="BXR49" s="16"/>
      <c r="BXS49" s="16"/>
      <c r="BXT49" s="16"/>
      <c r="BXU49" s="16"/>
      <c r="BXV49" s="16"/>
      <c r="BXW49" s="16"/>
      <c r="BXX49" s="16"/>
      <c r="BXY49" s="16"/>
      <c r="BXZ49" s="16"/>
      <c r="BYA49" s="16"/>
      <c r="BYB49" s="16"/>
      <c r="BYC49" s="16"/>
      <c r="BYD49" s="16"/>
      <c r="BYE49" s="16"/>
      <c r="BYF49" s="16"/>
      <c r="BYG49" s="16"/>
      <c r="BYH49" s="16"/>
      <c r="BYI49" s="16"/>
      <c r="BYJ49" s="16"/>
      <c r="BYK49" s="16"/>
      <c r="BYL49" s="16"/>
      <c r="BYM49" s="16"/>
      <c r="BYN49" s="16"/>
      <c r="BYO49" s="16"/>
      <c r="BYP49" s="16"/>
      <c r="BYQ49" s="16"/>
      <c r="BYR49" s="16"/>
      <c r="BYS49" s="16"/>
      <c r="BYT49" s="16"/>
      <c r="BYU49" s="16"/>
      <c r="BYV49" s="16"/>
      <c r="BYW49" s="16"/>
      <c r="BYX49" s="16"/>
      <c r="BYY49" s="16"/>
      <c r="BYZ49" s="16"/>
      <c r="BZA49" s="16"/>
      <c r="BZB49" s="16"/>
      <c r="BZC49" s="16"/>
      <c r="BZD49" s="16"/>
      <c r="BZE49" s="16"/>
      <c r="BZF49" s="16"/>
      <c r="BZG49" s="16"/>
      <c r="BZH49" s="16"/>
      <c r="BZI49" s="16"/>
      <c r="BZJ49" s="16"/>
      <c r="BZK49" s="16"/>
      <c r="BZL49" s="16"/>
      <c r="BZM49" s="16"/>
      <c r="BZN49" s="16"/>
      <c r="BZO49" s="16"/>
      <c r="BZP49" s="16"/>
      <c r="BZQ49" s="16"/>
      <c r="BZR49" s="16"/>
      <c r="BZS49" s="16"/>
      <c r="BZT49" s="16"/>
      <c r="BZU49" s="16"/>
      <c r="BZV49" s="16"/>
      <c r="BZW49" s="16"/>
      <c r="BZX49" s="16"/>
      <c r="BZY49" s="16"/>
      <c r="BZZ49" s="16"/>
      <c r="CAA49" s="16"/>
      <c r="CAB49" s="16"/>
      <c r="CAC49" s="16"/>
      <c r="CAD49" s="16"/>
      <c r="CAE49" s="16"/>
      <c r="CAF49" s="16"/>
      <c r="CAG49" s="16"/>
      <c r="CAH49" s="16"/>
      <c r="CAI49" s="16"/>
      <c r="CAJ49" s="16"/>
      <c r="CAK49" s="16"/>
      <c r="CAL49" s="16"/>
      <c r="CAM49" s="16"/>
      <c r="CAN49" s="16"/>
      <c r="CAO49" s="16"/>
      <c r="CAP49" s="16"/>
      <c r="CAQ49" s="16"/>
      <c r="CAR49" s="16"/>
      <c r="CAS49" s="16"/>
      <c r="CAT49" s="16"/>
      <c r="CAU49" s="16"/>
      <c r="CAV49" s="16"/>
      <c r="CAW49" s="16"/>
      <c r="CAX49" s="16"/>
      <c r="CAY49" s="16"/>
      <c r="CAZ49" s="16"/>
      <c r="CBA49" s="16"/>
      <c r="CBB49" s="16"/>
      <c r="CBC49" s="16"/>
      <c r="CBD49" s="16"/>
      <c r="CBE49" s="16"/>
      <c r="CBF49" s="16"/>
      <c r="CBG49" s="16"/>
      <c r="CBH49" s="16"/>
      <c r="CBI49" s="16"/>
      <c r="CBJ49" s="16"/>
      <c r="CBK49" s="16"/>
      <c r="CBL49" s="16"/>
      <c r="CBM49" s="16"/>
      <c r="CBN49" s="16"/>
      <c r="CBO49" s="16"/>
      <c r="CBP49" s="16"/>
      <c r="CBQ49" s="16"/>
      <c r="CBR49" s="16"/>
      <c r="CBS49" s="16"/>
      <c r="CBT49" s="16"/>
      <c r="CBU49" s="16"/>
      <c r="CBV49" s="16"/>
      <c r="CBW49" s="16"/>
      <c r="CBX49" s="16"/>
      <c r="CBY49" s="16"/>
      <c r="CBZ49" s="16"/>
      <c r="CCA49" s="16"/>
      <c r="CCB49" s="16"/>
      <c r="CCC49" s="16"/>
      <c r="CCD49" s="16"/>
      <c r="CCE49" s="16"/>
      <c r="CCF49" s="16"/>
      <c r="CCG49" s="16"/>
      <c r="CCH49" s="16"/>
      <c r="CCI49" s="16"/>
      <c r="CCJ49" s="16"/>
      <c r="CCK49" s="16"/>
      <c r="CCL49" s="16"/>
      <c r="CCM49" s="16"/>
      <c r="CCN49" s="16"/>
      <c r="CCO49" s="16"/>
      <c r="CCP49" s="16"/>
      <c r="CCQ49" s="16"/>
      <c r="CCR49" s="16"/>
      <c r="CCS49" s="16"/>
      <c r="CCT49" s="16"/>
      <c r="CCU49" s="16"/>
      <c r="CCV49" s="16"/>
      <c r="CCW49" s="16"/>
      <c r="CCX49" s="16"/>
      <c r="CCY49" s="16"/>
      <c r="CCZ49" s="16"/>
      <c r="CDA49" s="16"/>
      <c r="CDB49" s="16"/>
      <c r="CDC49" s="16"/>
      <c r="CDD49" s="16"/>
      <c r="CDE49" s="16"/>
      <c r="CDF49" s="16"/>
      <c r="CDG49" s="16"/>
      <c r="CDH49" s="16"/>
      <c r="CDI49" s="16"/>
      <c r="CDJ49" s="16"/>
      <c r="CDK49" s="16"/>
      <c r="CDL49" s="16"/>
      <c r="CDM49" s="16"/>
      <c r="CDN49" s="16"/>
      <c r="CDO49" s="16"/>
      <c r="CDP49" s="16"/>
      <c r="CDQ49" s="16"/>
      <c r="CDR49" s="16"/>
      <c r="CDS49" s="16"/>
      <c r="CDT49" s="16"/>
      <c r="CDU49" s="16"/>
      <c r="CDV49" s="16"/>
      <c r="CDW49" s="16"/>
      <c r="CDX49" s="16"/>
      <c r="CDY49" s="16"/>
      <c r="CDZ49" s="16"/>
      <c r="CEA49" s="16"/>
      <c r="CEB49" s="16"/>
      <c r="CEC49" s="16"/>
      <c r="CED49" s="16"/>
      <c r="CEE49" s="16"/>
      <c r="CEF49" s="16"/>
      <c r="CEG49" s="16"/>
      <c r="CEH49" s="16"/>
      <c r="CEI49" s="16"/>
      <c r="CEJ49" s="16"/>
      <c r="CEK49" s="16"/>
      <c r="CEL49" s="16"/>
      <c r="CEM49" s="16"/>
      <c r="CEN49" s="16"/>
      <c r="CEO49" s="16"/>
      <c r="CEP49" s="16"/>
      <c r="CEQ49" s="16"/>
      <c r="CER49" s="16"/>
      <c r="CES49" s="16"/>
      <c r="CET49" s="16"/>
      <c r="CEU49" s="16"/>
      <c r="CEV49" s="16"/>
      <c r="CEW49" s="16"/>
      <c r="CEX49" s="16"/>
      <c r="CEY49" s="16"/>
      <c r="CEZ49" s="16"/>
      <c r="CFA49" s="16"/>
      <c r="CFB49" s="16"/>
      <c r="CFC49" s="16"/>
      <c r="CFD49" s="16"/>
      <c r="CFE49" s="16"/>
      <c r="CFF49" s="16"/>
      <c r="CFG49" s="16"/>
      <c r="CFH49" s="16"/>
      <c r="CFI49" s="16"/>
      <c r="CFJ49" s="16"/>
      <c r="CFK49" s="16"/>
      <c r="CFL49" s="16"/>
      <c r="CFM49" s="16"/>
      <c r="CFN49" s="16"/>
      <c r="CFO49" s="16"/>
      <c r="CFP49" s="16"/>
      <c r="CFQ49" s="16"/>
      <c r="CFR49" s="16"/>
      <c r="CFS49" s="16"/>
      <c r="CFT49" s="16"/>
      <c r="CFU49" s="16"/>
      <c r="CFV49" s="16"/>
      <c r="CFW49" s="16"/>
      <c r="CFX49" s="16"/>
      <c r="CFY49" s="16"/>
      <c r="CFZ49" s="16"/>
      <c r="CGA49" s="16"/>
      <c r="CGB49" s="16"/>
      <c r="CGC49" s="16"/>
      <c r="CGD49" s="16"/>
      <c r="CGE49" s="16"/>
      <c r="CGF49" s="16"/>
      <c r="CGG49" s="16"/>
      <c r="CGH49" s="16"/>
      <c r="CGI49" s="16"/>
      <c r="CGJ49" s="16"/>
      <c r="CGK49" s="16"/>
      <c r="CGL49" s="16"/>
      <c r="CGM49" s="16"/>
      <c r="CGN49" s="16"/>
      <c r="CGO49" s="16"/>
      <c r="CGP49" s="16"/>
      <c r="CGQ49" s="16"/>
      <c r="CGR49" s="16"/>
      <c r="CGS49" s="16"/>
      <c r="CGT49" s="16"/>
      <c r="CGU49" s="16"/>
      <c r="CGV49" s="16"/>
      <c r="CGW49" s="16"/>
      <c r="CGX49" s="16"/>
      <c r="CGY49" s="16"/>
      <c r="CGZ49" s="16"/>
      <c r="CHA49" s="16"/>
      <c r="CHB49" s="16"/>
      <c r="CHC49" s="16"/>
      <c r="CHD49" s="16"/>
      <c r="CHE49" s="16"/>
      <c r="CHF49" s="16"/>
      <c r="CHG49" s="16"/>
      <c r="CHH49" s="16"/>
      <c r="CHI49" s="16"/>
      <c r="CHJ49" s="16"/>
      <c r="CHK49" s="16"/>
      <c r="CHL49" s="16"/>
      <c r="CHM49" s="16"/>
      <c r="CHN49" s="16"/>
      <c r="CHO49" s="16"/>
      <c r="CHP49" s="16"/>
      <c r="CHQ49" s="16"/>
      <c r="CHR49" s="16"/>
      <c r="CHS49" s="16"/>
      <c r="CHT49" s="16"/>
      <c r="CHU49" s="16"/>
      <c r="CHV49" s="16"/>
      <c r="CHW49" s="16"/>
      <c r="CHX49" s="16"/>
      <c r="CHY49" s="16"/>
      <c r="CHZ49" s="16"/>
      <c r="CIA49" s="16"/>
      <c r="CIB49" s="16"/>
      <c r="CIC49" s="16"/>
      <c r="CID49" s="16"/>
      <c r="CIE49" s="16"/>
      <c r="CIF49" s="16"/>
      <c r="CIG49" s="16"/>
      <c r="CIH49" s="16"/>
      <c r="CII49" s="16"/>
      <c r="CIJ49" s="16"/>
      <c r="CIK49" s="16"/>
      <c r="CIL49" s="16"/>
      <c r="CIM49" s="16"/>
      <c r="CIN49" s="16"/>
      <c r="CIO49" s="16"/>
      <c r="CIP49" s="16"/>
      <c r="CIQ49" s="16"/>
      <c r="CIR49" s="16"/>
      <c r="CIS49" s="16"/>
      <c r="CIT49" s="16"/>
      <c r="CIU49" s="16"/>
      <c r="CIV49" s="16"/>
      <c r="CIW49" s="16"/>
      <c r="CIX49" s="16"/>
      <c r="CIY49" s="16"/>
      <c r="CIZ49" s="16"/>
      <c r="CJA49" s="16"/>
      <c r="CJB49" s="16"/>
      <c r="CJC49" s="16"/>
      <c r="CJD49" s="16"/>
      <c r="CJE49" s="16"/>
      <c r="CJF49" s="16"/>
      <c r="CJG49" s="16"/>
      <c r="CJH49" s="16"/>
      <c r="CJI49" s="16"/>
      <c r="CJJ49" s="16"/>
      <c r="CJK49" s="16"/>
      <c r="CJL49" s="16"/>
      <c r="CJM49" s="16"/>
      <c r="CJN49" s="16"/>
      <c r="CJO49" s="16"/>
      <c r="CJP49" s="16"/>
      <c r="CJQ49" s="16"/>
      <c r="CJR49" s="16"/>
      <c r="CJS49" s="16"/>
      <c r="CJT49" s="16"/>
      <c r="CJU49" s="16"/>
      <c r="CJV49" s="16"/>
      <c r="CJW49" s="16"/>
      <c r="CJX49" s="16"/>
      <c r="CJY49" s="16"/>
      <c r="CJZ49" s="16"/>
      <c r="CKA49" s="16"/>
      <c r="CKB49" s="16"/>
      <c r="CKC49" s="16"/>
      <c r="CKD49" s="16"/>
      <c r="CKE49" s="16"/>
      <c r="CKF49" s="16"/>
      <c r="CKG49" s="16"/>
      <c r="CKH49" s="16"/>
      <c r="CKI49" s="16"/>
      <c r="CKJ49" s="16"/>
      <c r="CKK49" s="16"/>
      <c r="CKL49" s="16"/>
      <c r="CKM49" s="16"/>
      <c r="CKN49" s="16"/>
      <c r="CKO49" s="16"/>
      <c r="CKP49" s="16"/>
      <c r="CKQ49" s="16"/>
      <c r="CKR49" s="16"/>
      <c r="CKS49" s="16"/>
      <c r="CKT49" s="16"/>
      <c r="CKU49" s="16"/>
      <c r="CKV49" s="16"/>
      <c r="CKW49" s="16"/>
      <c r="CKX49" s="16"/>
      <c r="CKY49" s="16"/>
      <c r="CKZ49" s="16"/>
      <c r="CLA49" s="16"/>
      <c r="CLB49" s="16"/>
      <c r="CLC49" s="16"/>
      <c r="CLD49" s="16"/>
      <c r="CLE49" s="16"/>
      <c r="CLF49" s="16"/>
      <c r="CLG49" s="16"/>
      <c r="CLH49" s="16"/>
      <c r="CLI49" s="16"/>
      <c r="CLJ49" s="16"/>
      <c r="CLK49" s="16"/>
      <c r="CLL49" s="16"/>
      <c r="CLM49" s="16"/>
      <c r="CLN49" s="16"/>
      <c r="CLO49" s="16"/>
      <c r="CLP49" s="16"/>
      <c r="CLQ49" s="16"/>
      <c r="CLR49" s="16"/>
      <c r="CLS49" s="16"/>
      <c r="CLT49" s="16"/>
      <c r="CLU49" s="16"/>
      <c r="CLV49" s="16"/>
      <c r="CLW49" s="16"/>
      <c r="CLX49" s="16"/>
      <c r="CLY49" s="16"/>
      <c r="CLZ49" s="16"/>
      <c r="CMA49" s="16"/>
      <c r="CMB49" s="16"/>
      <c r="CMC49" s="16"/>
      <c r="CMD49" s="16"/>
      <c r="CME49" s="16"/>
      <c r="CMF49" s="16"/>
      <c r="CMG49" s="16"/>
      <c r="CMH49" s="16"/>
      <c r="CMI49" s="16"/>
      <c r="CMJ49" s="16"/>
      <c r="CMK49" s="16"/>
      <c r="CML49" s="16"/>
      <c r="CMM49" s="16"/>
      <c r="CMN49" s="16"/>
      <c r="CMO49" s="16"/>
      <c r="CMP49" s="16"/>
      <c r="CMQ49" s="16"/>
      <c r="CMR49" s="16"/>
      <c r="CMS49" s="16"/>
      <c r="CMT49" s="16"/>
      <c r="CMU49" s="16"/>
      <c r="CMV49" s="16"/>
      <c r="CMW49" s="16"/>
      <c r="CMX49" s="16"/>
      <c r="CMY49" s="16"/>
      <c r="CMZ49" s="16"/>
      <c r="CNA49" s="16"/>
      <c r="CNB49" s="16"/>
      <c r="CNC49" s="16"/>
      <c r="CND49" s="16"/>
      <c r="CNE49" s="16"/>
      <c r="CNF49" s="16"/>
      <c r="CNG49" s="16"/>
      <c r="CNH49" s="16"/>
      <c r="CNI49" s="16"/>
      <c r="CNJ49" s="16"/>
      <c r="CNK49" s="16"/>
      <c r="CNL49" s="16"/>
      <c r="CNM49" s="16"/>
      <c r="CNN49" s="16"/>
      <c r="CNO49" s="16"/>
      <c r="CNP49" s="16"/>
      <c r="CNQ49" s="16"/>
      <c r="CNR49" s="16"/>
      <c r="CNS49" s="16"/>
      <c r="CNT49" s="16"/>
      <c r="CNU49" s="16"/>
      <c r="CNV49" s="16"/>
      <c r="CNW49" s="16"/>
      <c r="CNX49" s="16"/>
      <c r="CNY49" s="16"/>
      <c r="CNZ49" s="16"/>
      <c r="COA49" s="16"/>
      <c r="COB49" s="16"/>
      <c r="COC49" s="16"/>
      <c r="COD49" s="16"/>
      <c r="COE49" s="16"/>
      <c r="COF49" s="16"/>
      <c r="COG49" s="16"/>
      <c r="COH49" s="16"/>
      <c r="COI49" s="16"/>
      <c r="COJ49" s="16"/>
      <c r="COK49" s="16"/>
      <c r="COL49" s="16"/>
      <c r="COM49" s="16"/>
      <c r="CON49" s="16"/>
      <c r="COO49" s="16"/>
      <c r="COP49" s="16"/>
      <c r="COQ49" s="16"/>
      <c r="COR49" s="16"/>
      <c r="COS49" s="16"/>
      <c r="COT49" s="16"/>
      <c r="COU49" s="16"/>
      <c r="COV49" s="16"/>
      <c r="COW49" s="16"/>
      <c r="COX49" s="16"/>
      <c r="COY49" s="16"/>
      <c r="COZ49" s="16"/>
      <c r="CPA49" s="16"/>
      <c r="CPB49" s="16"/>
      <c r="CPC49" s="16"/>
      <c r="CPD49" s="16"/>
      <c r="CPE49" s="16"/>
      <c r="CPF49" s="16"/>
      <c r="CPG49" s="16"/>
      <c r="CPH49" s="16"/>
      <c r="CPI49" s="16"/>
      <c r="CPJ49" s="16"/>
      <c r="CPK49" s="16"/>
      <c r="CPL49" s="16"/>
      <c r="CPM49" s="16"/>
      <c r="CPN49" s="16"/>
      <c r="CPO49" s="16"/>
      <c r="CPP49" s="16"/>
      <c r="CPQ49" s="16"/>
      <c r="CPR49" s="16"/>
      <c r="CPS49" s="16"/>
      <c r="CPT49" s="16"/>
      <c r="CPU49" s="16"/>
      <c r="CPV49" s="16"/>
      <c r="CPW49" s="16"/>
      <c r="CPX49" s="16"/>
      <c r="CPY49" s="16"/>
      <c r="CPZ49" s="16"/>
      <c r="CQA49" s="16"/>
      <c r="CQB49" s="16"/>
      <c r="CQC49" s="16"/>
      <c r="CQD49" s="16"/>
      <c r="CQE49" s="16"/>
      <c r="CQF49" s="16"/>
      <c r="CQG49" s="16"/>
      <c r="CQH49" s="16"/>
      <c r="CQI49" s="16"/>
      <c r="CQJ49" s="16"/>
      <c r="CQK49" s="16"/>
      <c r="CQL49" s="16"/>
      <c r="CQM49" s="16"/>
      <c r="CQN49" s="16"/>
      <c r="CQO49" s="16"/>
      <c r="CQP49" s="16"/>
      <c r="CQQ49" s="16"/>
      <c r="CQR49" s="16"/>
      <c r="CQS49" s="16"/>
      <c r="CQT49" s="16"/>
      <c r="CQU49" s="16"/>
      <c r="CQV49" s="16"/>
      <c r="CQW49" s="16"/>
      <c r="CQX49" s="16"/>
      <c r="CQY49" s="16"/>
      <c r="CQZ49" s="16"/>
      <c r="CRA49" s="16"/>
      <c r="CRB49" s="16"/>
      <c r="CRC49" s="16"/>
      <c r="CRD49" s="16"/>
      <c r="CRE49" s="16"/>
      <c r="CRF49" s="16"/>
      <c r="CRG49" s="16"/>
      <c r="CRH49" s="16"/>
      <c r="CRI49" s="16"/>
      <c r="CRJ49" s="16"/>
      <c r="CRK49" s="16"/>
      <c r="CRL49" s="16"/>
      <c r="CRM49" s="16"/>
      <c r="CRN49" s="16"/>
      <c r="CRO49" s="16"/>
      <c r="CRP49" s="16"/>
      <c r="CRQ49" s="16"/>
      <c r="CRR49" s="16"/>
      <c r="CRS49" s="16"/>
      <c r="CRT49" s="16"/>
      <c r="CRU49" s="16"/>
      <c r="CRV49" s="16"/>
      <c r="CRW49" s="16"/>
      <c r="CRX49" s="16"/>
      <c r="CRY49" s="16"/>
      <c r="CRZ49" s="16"/>
      <c r="CSA49" s="16"/>
      <c r="CSB49" s="16"/>
      <c r="CSC49" s="16"/>
      <c r="CSD49" s="16"/>
      <c r="CSE49" s="16"/>
      <c r="CSF49" s="16"/>
      <c r="CSG49" s="16"/>
      <c r="CSH49" s="16"/>
      <c r="CSI49" s="16"/>
      <c r="CSJ49" s="16"/>
      <c r="CSK49" s="54" t="str">
        <f t="shared" si="166"/>
        <v>X</v>
      </c>
      <c r="CSL49" s="35" t="str">
        <f t="shared" ca="1" si="209"/>
        <v/>
      </c>
      <c r="CSM49" s="35" t="str">
        <f t="shared" ca="1" si="209"/>
        <v/>
      </c>
      <c r="CSN49" s="35" t="str">
        <f t="shared" ca="1" si="209"/>
        <v/>
      </c>
      <c r="CSO49" s="35" t="str">
        <f t="shared" ca="1" si="209"/>
        <v/>
      </c>
      <c r="CSP49" s="35" t="str">
        <f t="shared" ca="1" si="209"/>
        <v/>
      </c>
      <c r="CSQ49" s="72" t="str">
        <f t="shared" ca="1" si="209"/>
        <v/>
      </c>
      <c r="CSR49" s="35" t="str">
        <f t="shared" ca="1" si="209"/>
        <v/>
      </c>
      <c r="CSS49" s="35" t="str">
        <f t="shared" ca="1" si="209"/>
        <v/>
      </c>
      <c r="CST49" s="35" t="str">
        <f t="shared" ca="1" si="209"/>
        <v/>
      </c>
      <c r="CSU49" s="35" t="str">
        <f t="shared" ca="1" si="209"/>
        <v/>
      </c>
      <c r="CSV49" s="35" t="str">
        <f t="shared" ca="1" si="210"/>
        <v/>
      </c>
      <c r="CSW49" s="35" t="str">
        <f t="shared" ca="1" si="210"/>
        <v/>
      </c>
      <c r="CSX49" s="35" t="str">
        <f t="shared" ca="1" si="210"/>
        <v/>
      </c>
      <c r="CSY49" s="35" t="str">
        <f t="shared" ca="1" si="210"/>
        <v/>
      </c>
      <c r="CSZ49" s="35" t="str">
        <f t="shared" ca="1" si="210"/>
        <v/>
      </c>
      <c r="CTA49" s="35" t="str">
        <f t="shared" ca="1" si="210"/>
        <v/>
      </c>
      <c r="CTB49" s="35" t="str">
        <f t="shared" ca="1" si="210"/>
        <v/>
      </c>
      <c r="CTC49" s="35" t="str">
        <f t="shared" ca="1" si="210"/>
        <v/>
      </c>
      <c r="CTD49" s="35" t="str">
        <f t="shared" ca="1" si="210"/>
        <v/>
      </c>
      <c r="CTE49" s="35" t="str">
        <f t="shared" ca="1" si="210"/>
        <v/>
      </c>
      <c r="CTF49" s="35" t="str">
        <f t="shared" ca="1" si="211"/>
        <v/>
      </c>
      <c r="CTG49" s="35" t="str">
        <f t="shared" ca="1" si="211"/>
        <v/>
      </c>
      <c r="CTH49" s="35" t="str">
        <f t="shared" ca="1" si="211"/>
        <v/>
      </c>
      <c r="CTI49" s="35" t="str">
        <f t="shared" ca="1" si="211"/>
        <v/>
      </c>
      <c r="CTJ49" s="35" t="str">
        <f t="shared" ca="1" si="211"/>
        <v/>
      </c>
      <c r="CTK49" s="35" t="str">
        <f t="shared" ca="1" si="211"/>
        <v/>
      </c>
      <c r="CTL49" s="35" t="str">
        <f t="shared" ca="1" si="211"/>
        <v/>
      </c>
      <c r="CTM49" s="35" t="str">
        <f t="shared" ca="1" si="211"/>
        <v/>
      </c>
      <c r="CTN49" s="35" t="str">
        <f t="shared" ca="1" si="211"/>
        <v/>
      </c>
      <c r="CTO49" s="35" t="str">
        <f t="shared" ca="1" si="211"/>
        <v/>
      </c>
      <c r="CTP49" s="35" t="str">
        <f t="shared" ca="1" si="212"/>
        <v/>
      </c>
      <c r="CTQ49" s="35" t="str">
        <f t="shared" ca="1" si="212"/>
        <v/>
      </c>
      <c r="CTR49" s="35" t="str">
        <f t="shared" ca="1" si="212"/>
        <v/>
      </c>
      <c r="CTS49" s="35" t="str">
        <f t="shared" ca="1" si="212"/>
        <v/>
      </c>
      <c r="CTT49" s="35" t="str">
        <f t="shared" ca="1" si="212"/>
        <v/>
      </c>
      <c r="CTU49" s="35" t="str">
        <f t="shared" ca="1" si="212"/>
        <v/>
      </c>
      <c r="CTV49" s="35" t="str">
        <f t="shared" ca="1" si="212"/>
        <v/>
      </c>
      <c r="CTW49" s="35" t="str">
        <f t="shared" ca="1" si="212"/>
        <v/>
      </c>
      <c r="CTX49" s="35" t="str">
        <f t="shared" ca="1" si="212"/>
        <v/>
      </c>
      <c r="CTY49" s="35" t="str">
        <f t="shared" ca="1" si="212"/>
        <v/>
      </c>
      <c r="CTZ49" s="56" t="str">
        <f t="shared" si="167"/>
        <v>X</v>
      </c>
      <c r="CUA49" s="58" t="str">
        <f t="shared" ca="1" si="168"/>
        <v/>
      </c>
      <c r="CUB49" s="16" t="str">
        <f t="shared" ca="1" si="169"/>
        <v/>
      </c>
      <c r="CUC49" s="16" t="str">
        <f t="shared" ca="1" si="170"/>
        <v/>
      </c>
      <c r="CUD49" s="16" t="str">
        <f t="shared" ca="1" si="171"/>
        <v/>
      </c>
      <c r="CUE49" s="16" t="str">
        <f t="shared" ca="1" si="172"/>
        <v/>
      </c>
      <c r="CUF49" s="16" t="str">
        <f t="shared" ca="1" si="173"/>
        <v/>
      </c>
      <c r="CUG49" s="16" t="str">
        <f t="shared" ca="1" si="174"/>
        <v/>
      </c>
      <c r="CUH49" s="16" t="str">
        <f t="shared" ca="1" si="175"/>
        <v/>
      </c>
      <c r="CUI49" s="16" t="str">
        <f t="shared" ca="1" si="176"/>
        <v/>
      </c>
      <c r="CUJ49" s="16" t="str">
        <f t="shared" ca="1" si="177"/>
        <v/>
      </c>
      <c r="CUK49" s="16" t="str">
        <f t="shared" ca="1" si="178"/>
        <v/>
      </c>
      <c r="CUL49" s="16" t="str">
        <f t="shared" ca="1" si="179"/>
        <v/>
      </c>
      <c r="CUM49" s="16" t="str">
        <f t="shared" ca="1" si="180"/>
        <v/>
      </c>
      <c r="CUN49" s="16" t="str">
        <f t="shared" ca="1" si="181"/>
        <v/>
      </c>
      <c r="CUO49" s="16" t="str">
        <f t="shared" ca="1" si="182"/>
        <v/>
      </c>
      <c r="CUP49" s="16" t="str">
        <f t="shared" ca="1" si="183"/>
        <v/>
      </c>
      <c r="CUQ49" s="16" t="str">
        <f t="shared" ca="1" si="184"/>
        <v/>
      </c>
      <c r="CUR49" s="16" t="str">
        <f t="shared" ca="1" si="185"/>
        <v/>
      </c>
      <c r="CUS49" s="16" t="str">
        <f t="shared" ca="1" si="186"/>
        <v/>
      </c>
      <c r="CUT49" s="16" t="str">
        <f t="shared" ca="1" si="187"/>
        <v/>
      </c>
      <c r="CUU49" s="16" t="str">
        <f t="shared" ca="1" si="188"/>
        <v/>
      </c>
      <c r="CUV49" s="16" t="str">
        <f t="shared" ca="1" si="189"/>
        <v/>
      </c>
      <c r="CUW49" s="16" t="str">
        <f t="shared" ca="1" si="190"/>
        <v/>
      </c>
      <c r="CUX49" s="16" t="str">
        <f t="shared" ca="1" si="191"/>
        <v/>
      </c>
      <c r="CUY49" s="16" t="str">
        <f t="shared" ca="1" si="192"/>
        <v/>
      </c>
      <c r="CUZ49" s="16" t="str">
        <f t="shared" ca="1" si="193"/>
        <v/>
      </c>
      <c r="CVA49" s="16" t="str">
        <f t="shared" ca="1" si="194"/>
        <v/>
      </c>
      <c r="CVB49" s="16" t="str">
        <f t="shared" ca="1" si="195"/>
        <v/>
      </c>
      <c r="CVC49" s="16" t="str">
        <f t="shared" ca="1" si="196"/>
        <v/>
      </c>
      <c r="CVD49" s="16" t="str">
        <f t="shared" ca="1" si="197"/>
        <v/>
      </c>
      <c r="CVE49" s="16" t="str">
        <f t="shared" ca="1" si="198"/>
        <v/>
      </c>
      <c r="CVF49" s="16" t="str">
        <f t="shared" ca="1" si="199"/>
        <v/>
      </c>
      <c r="CVG49" s="16" t="str">
        <f t="shared" ca="1" si="200"/>
        <v/>
      </c>
      <c r="CVH49" s="16" t="str">
        <f t="shared" ca="1" si="201"/>
        <v/>
      </c>
      <c r="CVI49" s="16" t="str">
        <f t="shared" ca="1" si="202"/>
        <v/>
      </c>
      <c r="CVJ49" s="16" t="str">
        <f t="shared" ca="1" si="203"/>
        <v/>
      </c>
      <c r="CVK49" s="16" t="str">
        <f t="shared" ca="1" si="204"/>
        <v/>
      </c>
      <c r="CVL49" s="16" t="str">
        <f t="shared" ca="1" si="205"/>
        <v/>
      </c>
      <c r="CVM49" s="16" t="str">
        <f t="shared" ca="1" si="206"/>
        <v/>
      </c>
      <c r="CVN49" s="16" t="str">
        <f t="shared" ca="1" si="207"/>
        <v/>
      </c>
      <c r="CVO49" s="58" t="str">
        <f t="shared" si="208"/>
        <v>сорокинярослав</v>
      </c>
      <c r="CVP49" s="58" t="str">
        <f>IFERROR(VLOOKUP(CVO49,'Внешние данные'!A:Z,4,FALSE),"")</f>
        <v/>
      </c>
    </row>
    <row r="50" spans="1:2616" ht="13.8" x14ac:dyDescent="0.25">
      <c r="A50" s="2" t="s">
        <v>2383</v>
      </c>
      <c r="B50" s="2" t="s">
        <v>2462</v>
      </c>
      <c r="C50" s="57" t="s">
        <v>2430</v>
      </c>
      <c r="D50" s="35">
        <v>5</v>
      </c>
      <c r="E50" s="58">
        <v>179</v>
      </c>
      <c r="G50" s="16" t="s">
        <v>1393</v>
      </c>
      <c r="H50" s="53" t="str">
        <f t="shared" ca="1" si="162"/>
        <v/>
      </c>
      <c r="I50" s="35" t="str">
        <f t="shared" ca="1" si="163"/>
        <v/>
      </c>
      <c r="J50" s="35">
        <f t="shared" ca="1" si="164"/>
        <v>0</v>
      </c>
      <c r="K50" s="49" t="str">
        <f t="shared" ca="1" si="165"/>
        <v/>
      </c>
      <c r="L50" s="16">
        <v>305</v>
      </c>
      <c r="M50" s="12"/>
      <c r="N50" s="12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6"/>
      <c r="LU50" s="16"/>
      <c r="LV50" s="16"/>
      <c r="LW50" s="16"/>
      <c r="LX50" s="16"/>
      <c r="LY50" s="16"/>
      <c r="LZ50" s="16"/>
      <c r="MA50" s="16"/>
      <c r="MB50" s="16"/>
      <c r="MC50" s="16"/>
      <c r="MD50" s="16"/>
      <c r="ME50" s="16"/>
      <c r="MF50" s="16"/>
      <c r="MG50" s="16"/>
      <c r="MH50" s="16"/>
      <c r="MI50" s="16"/>
      <c r="MJ50" s="16"/>
      <c r="MK50" s="16"/>
      <c r="ML50" s="16"/>
      <c r="MM50" s="16"/>
      <c r="MN50" s="16"/>
      <c r="MO50" s="16"/>
      <c r="MP50" s="16"/>
      <c r="MQ50" s="16"/>
      <c r="MR50" s="16"/>
      <c r="MS50" s="16"/>
      <c r="MT50" s="16"/>
      <c r="MU50" s="16"/>
      <c r="MV50" s="16"/>
      <c r="MW50" s="16"/>
      <c r="MX50" s="16"/>
      <c r="MY50" s="16"/>
      <c r="MZ50" s="16"/>
      <c r="NA50" s="16"/>
      <c r="NB50" s="16"/>
      <c r="NC50" s="16"/>
      <c r="ND50" s="16"/>
      <c r="NE50" s="16"/>
      <c r="NF50" s="16"/>
      <c r="NG50" s="16"/>
      <c r="NH50" s="16"/>
      <c r="NI50" s="16"/>
      <c r="NJ50" s="16"/>
      <c r="NK50" s="16"/>
      <c r="NL50" s="16"/>
      <c r="NM50" s="16"/>
      <c r="NN50" s="16"/>
      <c r="NO50" s="16"/>
      <c r="NP50" s="16"/>
      <c r="NQ50" s="16"/>
      <c r="NR50" s="16"/>
      <c r="NS50" s="16"/>
      <c r="NT50" s="16"/>
      <c r="NU50" s="16"/>
      <c r="NV50" s="16"/>
      <c r="NW50" s="16"/>
      <c r="NX50" s="16"/>
      <c r="NY50" s="16"/>
      <c r="NZ50" s="16"/>
      <c r="OA50" s="16"/>
      <c r="OB50" s="16"/>
      <c r="OC50" s="16"/>
      <c r="OD50" s="16"/>
      <c r="OE50" s="16"/>
      <c r="OF50" s="16"/>
      <c r="OG50" s="16"/>
      <c r="OH50" s="16"/>
      <c r="OI50" s="16"/>
      <c r="OJ50" s="16"/>
      <c r="OK50" s="16"/>
      <c r="OL50" s="16"/>
      <c r="OM50" s="16"/>
      <c r="ON50" s="16"/>
      <c r="OO50" s="16"/>
      <c r="OP50" s="16"/>
      <c r="OQ50" s="16"/>
      <c r="OR50" s="16"/>
      <c r="OS50" s="16"/>
      <c r="OT50" s="16"/>
      <c r="OU50" s="16"/>
      <c r="OV50" s="16"/>
      <c r="OW50" s="16"/>
      <c r="OX50" s="16"/>
      <c r="OY50" s="16"/>
      <c r="OZ50" s="16"/>
      <c r="PA50" s="16"/>
      <c r="PB50" s="16"/>
      <c r="PC50" s="16"/>
      <c r="PD50" s="16"/>
      <c r="PE50" s="16"/>
      <c r="PF50" s="16"/>
      <c r="PG50" s="16"/>
      <c r="PH50" s="16"/>
      <c r="PI50" s="16" t="s">
        <v>2961</v>
      </c>
      <c r="PJ50" s="16"/>
      <c r="PK50" s="16"/>
      <c r="PL50" s="16"/>
      <c r="PM50" s="16"/>
      <c r="PN50" s="16"/>
      <c r="PO50" s="16"/>
      <c r="PP50" s="16"/>
      <c r="PQ50" s="16"/>
      <c r="PR50" s="16"/>
      <c r="PS50" s="16"/>
      <c r="PT50" s="16"/>
      <c r="PU50" s="16"/>
      <c r="PV50" s="16"/>
      <c r="PW50" s="16"/>
      <c r="PX50" s="16"/>
      <c r="PY50" s="16"/>
      <c r="PZ50" s="16"/>
      <c r="QA50" s="16"/>
      <c r="QB50" s="16"/>
      <c r="QC50" s="16"/>
      <c r="QD50" s="16"/>
      <c r="QE50" s="16"/>
      <c r="QF50" s="16"/>
      <c r="QG50" s="16"/>
      <c r="QH50" s="16"/>
      <c r="QI50" s="16"/>
      <c r="QJ50" s="16"/>
      <c r="QK50" s="16"/>
      <c r="QL50" s="16"/>
      <c r="QM50" s="16"/>
      <c r="QN50" s="16"/>
      <c r="QO50" s="16"/>
      <c r="QP50" s="16"/>
      <c r="QQ50" s="16"/>
      <c r="QR50" s="16"/>
      <c r="QS50" s="16"/>
      <c r="QT50" s="16"/>
      <c r="QU50" s="16"/>
      <c r="QV50" s="16"/>
      <c r="QW50" s="16"/>
      <c r="QX50" s="16"/>
      <c r="QY50" s="16"/>
      <c r="QZ50" s="16"/>
      <c r="RA50" s="16"/>
      <c r="RB50" s="16"/>
      <c r="RC50" s="16"/>
      <c r="RD50" s="16"/>
      <c r="RE50" s="16"/>
      <c r="RF50" s="16"/>
      <c r="RG50" s="16"/>
      <c r="RH50" s="16"/>
      <c r="RI50" s="16"/>
      <c r="RJ50" s="16"/>
      <c r="RK50" s="16"/>
      <c r="RL50" s="16"/>
      <c r="RM50" s="16"/>
      <c r="RN50" s="16"/>
      <c r="RO50" s="16"/>
      <c r="RP50" s="16"/>
      <c r="RQ50" s="16"/>
      <c r="RR50" s="16"/>
      <c r="RS50" s="16" t="s">
        <v>2961</v>
      </c>
      <c r="RT50" s="16"/>
      <c r="RU50" s="16"/>
      <c r="RV50" s="16"/>
      <c r="RW50" s="16"/>
      <c r="RX50" s="16"/>
      <c r="RY50" s="16"/>
      <c r="RZ50" s="16"/>
      <c r="SA50" s="16"/>
      <c r="SB50" s="16"/>
      <c r="SC50" s="16"/>
      <c r="SD50" s="16"/>
      <c r="SE50" s="16"/>
      <c r="SF50" s="16"/>
      <c r="SG50" s="16"/>
      <c r="SH50" s="16"/>
      <c r="SI50" s="16"/>
      <c r="SJ50" s="16"/>
      <c r="SK50" s="16"/>
      <c r="SL50" s="16"/>
      <c r="SM50" s="16"/>
      <c r="SN50" s="16"/>
      <c r="SO50" s="16"/>
      <c r="SP50" s="16"/>
      <c r="SQ50" s="16"/>
      <c r="SR50" s="16"/>
      <c r="SS50" s="16"/>
      <c r="ST50" s="16"/>
      <c r="SU50" s="16"/>
      <c r="SV50" s="16"/>
      <c r="SW50" s="16"/>
      <c r="SX50" s="16"/>
      <c r="SY50" s="16"/>
      <c r="SZ50" s="16"/>
      <c r="TA50" s="16"/>
      <c r="TB50" s="16"/>
      <c r="TC50" s="16"/>
      <c r="TD50" s="16"/>
      <c r="TE50" s="16"/>
      <c r="TF50" s="16"/>
      <c r="TG50" s="16"/>
      <c r="TH50" s="16"/>
      <c r="TI50" s="16"/>
      <c r="TJ50" s="16"/>
      <c r="TK50" s="16"/>
      <c r="TL50" s="16"/>
      <c r="TM50" s="16"/>
      <c r="TN50" s="16"/>
      <c r="TO50" s="16"/>
      <c r="TP50" s="16"/>
      <c r="TQ50" s="16"/>
      <c r="TR50" s="16"/>
      <c r="TS50" s="16"/>
      <c r="TT50" s="16"/>
      <c r="TU50" s="16"/>
      <c r="TV50" s="16"/>
      <c r="TW50" s="16"/>
      <c r="TX50" s="16"/>
      <c r="TY50" s="16"/>
      <c r="TZ50" s="16"/>
      <c r="UA50" s="16"/>
      <c r="UB50" s="16"/>
      <c r="UC50" s="16"/>
      <c r="UD50" s="16"/>
      <c r="UE50" s="16"/>
      <c r="UF50" s="16"/>
      <c r="UG50" s="16"/>
      <c r="UH50" s="16"/>
      <c r="UI50" s="16"/>
      <c r="UJ50" s="16"/>
      <c r="UK50" s="16"/>
      <c r="UL50" s="16"/>
      <c r="UM50" s="16"/>
      <c r="UN50" s="16"/>
      <c r="UO50" s="16"/>
      <c r="UP50" s="16"/>
      <c r="UQ50" s="16"/>
      <c r="UR50" s="16"/>
      <c r="US50" s="16"/>
      <c r="UT50" s="16"/>
      <c r="UU50" s="16"/>
      <c r="UV50" s="16"/>
      <c r="UW50" s="16"/>
      <c r="UX50" s="16"/>
      <c r="UY50" s="16"/>
      <c r="UZ50" s="16"/>
      <c r="VA50" s="16"/>
      <c r="VB50" s="16"/>
      <c r="VC50" s="16"/>
      <c r="VD50" s="16"/>
      <c r="VE50" s="16"/>
      <c r="VF50" s="16"/>
      <c r="VG50" s="16"/>
      <c r="VH50" s="16"/>
      <c r="VI50" s="16"/>
      <c r="VJ50" s="16"/>
      <c r="VK50" s="16"/>
      <c r="VL50" s="16"/>
      <c r="VM50" s="16"/>
      <c r="VN50" s="16"/>
      <c r="VO50" s="16"/>
      <c r="VP50" s="16"/>
      <c r="VQ50" s="16"/>
      <c r="VR50" s="16"/>
      <c r="VS50" s="16"/>
      <c r="VT50" s="16"/>
      <c r="VU50" s="16"/>
      <c r="VV50" s="16"/>
      <c r="VW50" s="16"/>
      <c r="VX50" s="16"/>
      <c r="VY50" s="16"/>
      <c r="VZ50" s="16"/>
      <c r="WA50" s="16"/>
      <c r="WB50" s="16"/>
      <c r="WC50" s="16"/>
      <c r="WD50" s="16"/>
      <c r="WE50" s="16"/>
      <c r="WF50" s="16"/>
      <c r="WG50" s="16"/>
      <c r="WH50" s="16"/>
      <c r="WI50" s="16"/>
      <c r="WJ50" s="16"/>
      <c r="WK50" s="16"/>
      <c r="WL50" s="16"/>
      <c r="WM50" s="16" t="s">
        <v>2961</v>
      </c>
      <c r="WN50" s="16"/>
      <c r="WO50" s="16"/>
      <c r="WP50" s="16"/>
      <c r="WQ50" s="16"/>
      <c r="WR50" s="16"/>
      <c r="WS50" s="16"/>
      <c r="WT50" s="16"/>
      <c r="WU50" s="16"/>
      <c r="WV50" s="16"/>
      <c r="WW50" s="16"/>
      <c r="WX50" s="16"/>
      <c r="WY50" s="16"/>
      <c r="WZ50" s="16"/>
      <c r="XA50" s="16"/>
      <c r="XB50" s="16"/>
      <c r="XC50" s="16"/>
      <c r="XD50" s="16"/>
      <c r="XE50" s="16"/>
      <c r="XF50" s="16"/>
      <c r="XG50" s="16"/>
      <c r="XH50" s="16"/>
      <c r="XI50" s="16"/>
      <c r="XJ50" s="16"/>
      <c r="XK50" s="16"/>
      <c r="XL50" s="16"/>
      <c r="XM50" s="16"/>
      <c r="XN50" s="16"/>
      <c r="XO50" s="16"/>
      <c r="XP50" s="16"/>
      <c r="XQ50" s="16"/>
      <c r="XR50" s="16"/>
      <c r="XS50" s="16"/>
      <c r="XT50" s="16"/>
      <c r="XU50" s="16"/>
      <c r="XV50" s="16"/>
      <c r="XW50" s="16"/>
      <c r="XX50" s="16"/>
      <c r="XY50" s="16"/>
      <c r="XZ50" s="16"/>
      <c r="YA50" s="16"/>
      <c r="YB50" s="16"/>
      <c r="YC50" s="16"/>
      <c r="YD50" s="16"/>
      <c r="YE50" s="16"/>
      <c r="YF50" s="16"/>
      <c r="YG50" s="16"/>
      <c r="YH50" s="16"/>
      <c r="YI50" s="16"/>
      <c r="YJ50" s="16"/>
      <c r="YK50" s="16"/>
      <c r="YL50" s="16"/>
      <c r="YM50" s="16"/>
      <c r="YN50" s="16"/>
      <c r="YO50" s="16"/>
      <c r="YP50" s="16"/>
      <c r="YQ50" s="16"/>
      <c r="YR50" s="16"/>
      <c r="YS50" s="16"/>
      <c r="YT50" s="16"/>
      <c r="YU50" s="16"/>
      <c r="YV50" s="16"/>
      <c r="YW50" s="16" t="s">
        <v>2961</v>
      </c>
      <c r="YX50" s="16"/>
      <c r="YY50" s="16"/>
      <c r="YZ50" s="16"/>
      <c r="ZA50" s="16"/>
      <c r="ZB50" s="16"/>
      <c r="ZC50" s="16"/>
      <c r="ZD50" s="16"/>
      <c r="ZE50" s="16"/>
      <c r="ZF50" s="16"/>
      <c r="ZG50" s="16"/>
      <c r="ZH50" s="16"/>
      <c r="ZI50" s="16"/>
      <c r="ZJ50" s="16"/>
      <c r="ZK50" s="16"/>
      <c r="ZL50" s="16"/>
      <c r="ZM50" s="16"/>
      <c r="ZN50" s="16"/>
      <c r="ZO50" s="16"/>
      <c r="ZP50" s="16"/>
      <c r="ZQ50" s="16"/>
      <c r="ZR50" s="16"/>
      <c r="ZS50" s="16"/>
      <c r="ZT50" s="16"/>
      <c r="ZU50" s="16"/>
      <c r="ZV50" s="16"/>
      <c r="ZW50" s="16"/>
      <c r="ZX50" s="16"/>
      <c r="ZY50" s="16"/>
      <c r="ZZ50" s="16"/>
      <c r="AAA50" s="16"/>
      <c r="AAB50" s="16"/>
      <c r="AAC50" s="16"/>
      <c r="AAD50" s="16"/>
      <c r="AAE50" s="16"/>
      <c r="AAF50" s="16"/>
      <c r="AAG50" s="16"/>
      <c r="AAH50" s="16"/>
      <c r="AAI50" s="16"/>
      <c r="AAJ50" s="16"/>
      <c r="AAK50" s="16"/>
      <c r="AAL50" s="16"/>
      <c r="AAM50" s="16"/>
      <c r="AAN50" s="16"/>
      <c r="AAO50" s="16"/>
      <c r="AAP50" s="16"/>
      <c r="AAQ50" s="16"/>
      <c r="AAR50" s="16"/>
      <c r="AAS50" s="16"/>
      <c r="AAT50" s="16"/>
      <c r="AAU50" s="16"/>
      <c r="AAV50" s="16"/>
      <c r="AAW50" s="16"/>
      <c r="AAX50" s="16"/>
      <c r="AAY50" s="16"/>
      <c r="AAZ50" s="16"/>
      <c r="ABA50" s="16"/>
      <c r="ABB50" s="16"/>
      <c r="ABC50" s="16"/>
      <c r="ABD50" s="16"/>
      <c r="ABE50" s="16"/>
      <c r="ABF50" s="16"/>
      <c r="ABG50" s="16"/>
      <c r="ABH50" s="16"/>
      <c r="ABI50" s="16"/>
      <c r="ABJ50" s="16"/>
      <c r="ABK50" s="16"/>
      <c r="ABL50" s="16"/>
      <c r="ABM50" s="16"/>
      <c r="ABN50" s="16"/>
      <c r="ABO50" s="16"/>
      <c r="ABP50" s="16"/>
      <c r="ABQ50" s="16"/>
      <c r="ABR50" s="16"/>
      <c r="ABS50" s="16"/>
      <c r="ABT50" s="16"/>
      <c r="ABU50" s="16"/>
      <c r="ABV50" s="16"/>
      <c r="ABW50" s="16"/>
      <c r="ABX50" s="16"/>
      <c r="ABY50" s="16"/>
      <c r="ABZ50" s="16"/>
      <c r="ACA50" s="16"/>
      <c r="ACB50" s="16"/>
      <c r="ACC50" s="16"/>
      <c r="ACD50" s="16"/>
      <c r="ACE50" s="16"/>
      <c r="ACF50" s="16"/>
      <c r="ACG50" s="16"/>
      <c r="ACH50" s="16"/>
      <c r="ACI50" s="16"/>
      <c r="ACJ50" s="16"/>
      <c r="ACK50" s="16"/>
      <c r="ACL50" s="16"/>
      <c r="ACM50" s="16"/>
      <c r="ACN50" s="16"/>
      <c r="ACO50" s="16"/>
      <c r="ACP50" s="16"/>
      <c r="ACQ50" s="16"/>
      <c r="ACR50" s="16"/>
      <c r="ACS50" s="16"/>
      <c r="ACT50" s="16"/>
      <c r="ACU50" s="16"/>
      <c r="ACV50" s="16"/>
      <c r="ACW50" s="16"/>
      <c r="ACX50" s="16"/>
      <c r="ACY50" s="16"/>
      <c r="ACZ50" s="16"/>
      <c r="ADA50" s="16"/>
      <c r="ADB50" s="16"/>
      <c r="ADC50" s="16"/>
      <c r="ADD50" s="16"/>
      <c r="ADE50" s="16"/>
      <c r="ADF50" s="16"/>
      <c r="ADG50" s="16"/>
      <c r="ADH50" s="16"/>
      <c r="ADI50" s="16"/>
      <c r="ADJ50" s="16"/>
      <c r="ADK50" s="16"/>
      <c r="ADL50" s="16"/>
      <c r="ADM50" s="16"/>
      <c r="ADN50" s="16"/>
      <c r="ADO50" s="16"/>
      <c r="ADP50" s="16"/>
      <c r="ADQ50" s="16"/>
      <c r="ADR50" s="16"/>
      <c r="ADS50" s="16"/>
      <c r="ADT50" s="16"/>
      <c r="ADU50" s="16"/>
      <c r="ADV50" s="16"/>
      <c r="ADW50" s="16"/>
      <c r="ADX50" s="16"/>
      <c r="ADY50" s="16"/>
      <c r="ADZ50" s="16"/>
      <c r="AEA50" s="16"/>
      <c r="AEB50" s="16"/>
      <c r="AEC50" s="16"/>
      <c r="AED50" s="16"/>
      <c r="AEE50" s="16"/>
      <c r="AEF50" s="16"/>
      <c r="AEG50" s="16"/>
      <c r="AEH50" s="16"/>
      <c r="AEI50" s="16"/>
      <c r="AEJ50" s="16"/>
      <c r="AEK50" s="16"/>
      <c r="AEL50" s="16"/>
      <c r="AEM50" s="16"/>
      <c r="AEN50" s="16"/>
      <c r="AEO50" s="16"/>
      <c r="AEP50" s="16"/>
      <c r="AEQ50" s="16"/>
      <c r="AER50" s="16"/>
      <c r="AES50" s="16"/>
      <c r="AET50" s="16"/>
      <c r="AEU50" s="16"/>
      <c r="AEV50" s="16"/>
      <c r="AEW50" s="16"/>
      <c r="AEX50" s="16"/>
      <c r="AEY50" s="16"/>
      <c r="AEZ50" s="16"/>
      <c r="AFA50" s="16"/>
      <c r="AFB50" s="16"/>
      <c r="AFC50" s="16"/>
      <c r="AFD50" s="16"/>
      <c r="AFE50" s="16"/>
      <c r="AFF50" s="16"/>
      <c r="AFG50" s="16"/>
      <c r="AFH50" s="16"/>
      <c r="AFI50" s="16"/>
      <c r="AFJ50" s="16"/>
      <c r="AFK50" s="16"/>
      <c r="AFL50" s="16"/>
      <c r="AFM50" s="16"/>
      <c r="AFN50" s="16"/>
      <c r="AFO50" s="16"/>
      <c r="AFP50" s="16"/>
      <c r="AFQ50" s="16"/>
      <c r="AFR50" s="16"/>
      <c r="AFS50" s="16"/>
      <c r="AFT50" s="16"/>
      <c r="AFU50" s="16"/>
      <c r="AFV50" s="16"/>
      <c r="AFW50" s="16"/>
      <c r="AFX50" s="16"/>
      <c r="AFY50" s="16"/>
      <c r="AFZ50" s="16"/>
      <c r="AGA50" s="16" t="s">
        <v>2961</v>
      </c>
      <c r="AGB50" s="16"/>
      <c r="AGC50" s="16"/>
      <c r="AGD50" s="16"/>
      <c r="AGE50" s="16"/>
      <c r="AGF50" s="16"/>
      <c r="AGG50" s="16"/>
      <c r="AGH50" s="16"/>
      <c r="AGI50" s="16"/>
      <c r="AGJ50" s="16"/>
      <c r="AGK50" s="16"/>
      <c r="AGL50" s="16"/>
      <c r="AGM50" s="16"/>
      <c r="AGN50" s="16"/>
      <c r="AGO50" s="16"/>
      <c r="AGP50" s="16"/>
      <c r="AGQ50" s="16"/>
      <c r="AGR50" s="16"/>
      <c r="AGS50" s="16"/>
      <c r="AGT50" s="16"/>
      <c r="AGU50" s="16"/>
      <c r="AGV50" s="16"/>
      <c r="AGW50" s="16"/>
      <c r="AGX50" s="16"/>
      <c r="AGY50" s="16"/>
      <c r="AGZ50" s="16"/>
      <c r="AHA50" s="16"/>
      <c r="AHB50" s="16"/>
      <c r="AHC50" s="16"/>
      <c r="AHD50" s="16"/>
      <c r="AHE50" s="16"/>
      <c r="AHF50" s="16"/>
      <c r="AHG50" s="16"/>
      <c r="AHH50" s="16"/>
      <c r="AHI50" s="16"/>
      <c r="AHJ50" s="16"/>
      <c r="AHK50" s="16"/>
      <c r="AHL50" s="16"/>
      <c r="AHM50" s="16"/>
      <c r="AHN50" s="16"/>
      <c r="AHO50" s="16"/>
      <c r="AHP50" s="16"/>
      <c r="AHQ50" s="16"/>
      <c r="AHR50" s="16"/>
      <c r="AHS50" s="16"/>
      <c r="AHT50" s="16"/>
      <c r="AHU50" s="16"/>
      <c r="AHV50" s="16"/>
      <c r="AHW50" s="16"/>
      <c r="AHX50" s="16"/>
      <c r="AHY50" s="16"/>
      <c r="AHZ50" s="16"/>
      <c r="AIA50" s="16"/>
      <c r="AIB50" s="16"/>
      <c r="AIC50" s="16"/>
      <c r="AID50" s="16"/>
      <c r="AIE50" s="16"/>
      <c r="AIF50" s="16"/>
      <c r="AIG50" s="16"/>
      <c r="AIH50" s="16"/>
      <c r="AII50" s="16"/>
      <c r="AIJ50" s="16"/>
      <c r="AIK50" s="16"/>
      <c r="AIL50" s="16"/>
      <c r="AIM50" s="16"/>
      <c r="AIN50" s="16"/>
      <c r="AIO50" s="16"/>
      <c r="AIP50" s="16"/>
      <c r="AIQ50" s="16"/>
      <c r="AIR50" s="16"/>
      <c r="AIS50" s="16"/>
      <c r="AIT50" s="16"/>
      <c r="AIU50" s="16"/>
      <c r="AIV50" s="16"/>
      <c r="AIW50" s="16"/>
      <c r="AIX50" s="16"/>
      <c r="AIY50" s="16"/>
      <c r="AIZ50" s="16"/>
      <c r="AJA50" s="16"/>
      <c r="AJB50" s="16"/>
      <c r="AJC50" s="16"/>
      <c r="AJD50" s="16"/>
      <c r="AJE50" s="16"/>
      <c r="AJF50" s="16"/>
      <c r="AJG50" s="16"/>
      <c r="AJH50" s="16"/>
      <c r="AJI50" s="16"/>
      <c r="AJJ50" s="16"/>
      <c r="AJK50" s="16"/>
      <c r="AJL50" s="16"/>
      <c r="AJM50" s="16"/>
      <c r="AJN50" s="16"/>
      <c r="AJO50" s="16"/>
      <c r="AJP50" s="16"/>
      <c r="AJQ50" s="16"/>
      <c r="AJR50" s="16"/>
      <c r="AJS50" s="16"/>
      <c r="AJT50" s="16"/>
      <c r="AJU50" s="16"/>
      <c r="AJV50" s="16"/>
      <c r="AJW50" s="16"/>
      <c r="AJX50" s="16"/>
      <c r="AJY50" s="16"/>
      <c r="AJZ50" s="16"/>
      <c r="AKA50" s="16"/>
      <c r="AKB50" s="16"/>
      <c r="AKC50" s="16"/>
      <c r="AKD50" s="16"/>
      <c r="AKE50" s="16"/>
      <c r="AKF50" s="16"/>
      <c r="AKG50" s="16"/>
      <c r="AKH50" s="16"/>
      <c r="AKI50" s="16"/>
      <c r="AKJ50" s="16"/>
      <c r="AKK50" s="16"/>
      <c r="AKL50" s="16"/>
      <c r="AKM50" s="16"/>
      <c r="AKN50" s="16"/>
      <c r="AKO50" s="16"/>
      <c r="AKP50" s="16"/>
      <c r="AKQ50" s="16"/>
      <c r="AKR50" s="16"/>
      <c r="AKS50" s="16"/>
      <c r="AKT50" s="16"/>
      <c r="AKU50" s="16"/>
      <c r="AKV50" s="16"/>
      <c r="AKW50" s="16"/>
      <c r="AKX50" s="16"/>
      <c r="AKY50" s="16"/>
      <c r="AKZ50" s="16"/>
      <c r="ALA50" s="16"/>
      <c r="ALB50" s="16"/>
      <c r="ALC50" s="16"/>
      <c r="ALD50" s="16"/>
      <c r="ALE50" s="16"/>
      <c r="ALF50" s="16"/>
      <c r="ALG50" s="16"/>
      <c r="ALH50" s="16"/>
      <c r="ALI50" s="16"/>
      <c r="ALJ50" s="16"/>
      <c r="ALK50" s="16"/>
      <c r="ALL50" s="16"/>
      <c r="ALM50" s="16"/>
      <c r="ALN50" s="16"/>
      <c r="ALO50" s="16"/>
      <c r="ALP50" s="16"/>
      <c r="ALQ50" s="16"/>
      <c r="ALR50" s="16"/>
      <c r="ALS50" s="16"/>
      <c r="ALT50" s="16"/>
      <c r="ALU50" s="16"/>
      <c r="ALV50" s="16"/>
      <c r="ALW50" s="16"/>
      <c r="ALX50" s="16"/>
      <c r="ALY50" s="16"/>
      <c r="ALZ50" s="16"/>
      <c r="AMA50" s="16"/>
      <c r="AMB50" s="16"/>
      <c r="AMC50" s="16"/>
      <c r="AMD50" s="16"/>
      <c r="AME50" s="16"/>
      <c r="AMF50" s="16"/>
      <c r="AMG50" s="16"/>
      <c r="AMH50" s="16"/>
      <c r="AMI50" s="16"/>
      <c r="AMJ50" s="16"/>
      <c r="AMK50" s="16"/>
      <c r="AML50" s="16"/>
      <c r="AMM50" s="16"/>
      <c r="AMN50" s="16"/>
      <c r="AMO50" s="16"/>
      <c r="AMP50" s="16"/>
      <c r="AMQ50" s="16"/>
      <c r="AMR50" s="16"/>
      <c r="AMS50" s="16"/>
      <c r="AMT50" s="16"/>
      <c r="AMU50" s="16"/>
      <c r="AMV50" s="16"/>
      <c r="AMW50" s="16"/>
      <c r="AMX50" s="16"/>
      <c r="AMY50" s="16"/>
      <c r="AMZ50" s="16"/>
      <c r="ANA50" s="16"/>
      <c r="ANB50" s="16"/>
      <c r="ANC50" s="16"/>
      <c r="AND50" s="16"/>
      <c r="ANE50" s="16"/>
      <c r="ANF50" s="16"/>
      <c r="ANG50" s="16"/>
      <c r="ANH50" s="16"/>
      <c r="ANI50" s="16"/>
      <c r="ANJ50" s="16"/>
      <c r="ANK50" s="16"/>
      <c r="ANL50" s="16"/>
      <c r="ANM50" s="16"/>
      <c r="ANN50" s="16"/>
      <c r="ANO50" s="16"/>
      <c r="ANP50" s="16"/>
      <c r="ANQ50" s="16"/>
      <c r="ANR50" s="16"/>
      <c r="ANS50" s="16"/>
      <c r="ANT50" s="16"/>
      <c r="ANU50" s="16"/>
      <c r="ANV50" s="16"/>
      <c r="ANW50" s="16"/>
      <c r="ANX50" s="16"/>
      <c r="ANY50" s="16"/>
      <c r="ANZ50" s="16"/>
      <c r="AOA50" s="16"/>
      <c r="AOB50" s="16"/>
      <c r="AOC50" s="16"/>
      <c r="AOD50" s="16"/>
      <c r="AOE50" s="16"/>
      <c r="AOF50" s="16"/>
      <c r="AOG50" s="16"/>
      <c r="AOH50" s="16"/>
      <c r="AOI50" s="16"/>
      <c r="AOJ50" s="16"/>
      <c r="AOK50" s="16"/>
      <c r="AOL50" s="16"/>
      <c r="AOM50" s="16"/>
      <c r="AON50" s="16"/>
      <c r="AOO50" s="16"/>
      <c r="AOP50" s="16"/>
      <c r="AOQ50" s="16"/>
      <c r="AOR50" s="16"/>
      <c r="AOS50" s="16"/>
      <c r="AOT50" s="16"/>
      <c r="AOU50" s="16"/>
      <c r="AOV50" s="16"/>
      <c r="AOW50" s="16"/>
      <c r="AOX50" s="16"/>
      <c r="AOY50" s="16"/>
      <c r="AOZ50" s="16"/>
      <c r="APA50" s="16"/>
      <c r="APB50" s="16"/>
      <c r="APC50" s="16"/>
      <c r="APD50" s="16"/>
      <c r="APE50" s="16"/>
      <c r="APF50" s="16"/>
      <c r="APG50" s="16"/>
      <c r="APH50" s="16"/>
      <c r="API50" s="16"/>
      <c r="APJ50" s="16"/>
      <c r="APK50" s="16"/>
      <c r="APL50" s="16"/>
      <c r="APM50" s="16"/>
      <c r="APN50" s="16"/>
      <c r="APO50" s="16"/>
      <c r="APP50" s="16"/>
      <c r="APQ50" s="16"/>
      <c r="APR50" s="16"/>
      <c r="APS50" s="16"/>
      <c r="APT50" s="16"/>
      <c r="APU50" s="16"/>
      <c r="APV50" s="16"/>
      <c r="APW50" s="16"/>
      <c r="APX50" s="16"/>
      <c r="APY50" s="16"/>
      <c r="APZ50" s="16"/>
      <c r="AQA50" s="16"/>
      <c r="AQB50" s="16"/>
      <c r="AQC50" s="16"/>
      <c r="AQD50" s="16"/>
      <c r="AQE50" s="16"/>
      <c r="AQF50" s="16"/>
      <c r="AQG50" s="16"/>
      <c r="AQH50" s="16"/>
      <c r="AQI50" s="16"/>
      <c r="AQJ50" s="16"/>
      <c r="AQK50" s="16"/>
      <c r="AQL50" s="16"/>
      <c r="AQM50" s="16"/>
      <c r="AQN50" s="16"/>
      <c r="AQO50" s="16"/>
      <c r="AQP50" s="16"/>
      <c r="AQQ50" s="16"/>
      <c r="AQR50" s="16"/>
      <c r="AQS50" s="16"/>
      <c r="AQT50" s="16"/>
      <c r="AQU50" s="16"/>
      <c r="AQV50" s="16"/>
      <c r="AQW50" s="16"/>
      <c r="AQX50" s="16"/>
      <c r="AQY50" s="16"/>
      <c r="AQZ50" s="16"/>
      <c r="ARA50" s="16"/>
      <c r="ARB50" s="16"/>
      <c r="ARC50" s="16"/>
      <c r="ARD50" s="16"/>
      <c r="ARE50" s="16"/>
      <c r="ARF50" s="16"/>
      <c r="ARG50" s="16"/>
      <c r="ARH50" s="16"/>
      <c r="ARI50" s="16"/>
      <c r="ARJ50" s="16"/>
      <c r="ARK50" s="16"/>
      <c r="ARL50" s="16"/>
      <c r="ARM50" s="16"/>
      <c r="ARN50" s="16"/>
      <c r="ARO50" s="16"/>
      <c r="ARP50" s="16"/>
      <c r="ARQ50" s="16"/>
      <c r="ARR50" s="16"/>
      <c r="ARS50" s="16"/>
      <c r="ART50" s="16"/>
      <c r="ARU50" s="16"/>
      <c r="ARV50" s="16"/>
      <c r="ARW50" s="16"/>
      <c r="ARX50" s="16"/>
      <c r="ARY50" s="16"/>
      <c r="ARZ50" s="16"/>
      <c r="ASA50" s="16"/>
      <c r="ASB50" s="16"/>
      <c r="ASC50" s="16"/>
      <c r="ASD50" s="16"/>
      <c r="ASE50" s="16"/>
      <c r="ASF50" s="16"/>
      <c r="ASG50" s="16"/>
      <c r="ASH50" s="16"/>
      <c r="ASI50" s="16"/>
      <c r="ASJ50" s="16"/>
      <c r="ASK50" s="16"/>
      <c r="ASL50" s="16"/>
      <c r="ASM50" s="16"/>
      <c r="ASN50" s="16"/>
      <c r="ASO50" s="16"/>
      <c r="ASP50" s="16"/>
      <c r="ASQ50" s="16"/>
      <c r="ASR50" s="16"/>
      <c r="ASS50" s="16"/>
      <c r="AST50" s="16"/>
      <c r="ASU50" s="16"/>
      <c r="ASV50" s="16"/>
      <c r="ASW50" s="16"/>
      <c r="ASX50" s="16"/>
      <c r="ASY50" s="16"/>
      <c r="ASZ50" s="16"/>
      <c r="ATA50" s="16"/>
      <c r="ATB50" s="16"/>
      <c r="ATC50" s="16"/>
      <c r="ATD50" s="16"/>
      <c r="ATE50" s="16"/>
      <c r="ATF50" s="16"/>
      <c r="ATG50" s="16"/>
      <c r="ATH50" s="16"/>
      <c r="ATI50" s="16"/>
      <c r="ATJ50" s="16"/>
      <c r="ATK50" s="16"/>
      <c r="ATL50" s="16"/>
      <c r="ATM50" s="16"/>
      <c r="ATN50" s="16"/>
      <c r="ATO50" s="16"/>
      <c r="ATP50" s="16"/>
      <c r="ATQ50" s="16"/>
      <c r="ATR50" s="16"/>
      <c r="ATS50" s="16"/>
      <c r="ATT50" s="16"/>
      <c r="ATU50" s="16"/>
      <c r="ATV50" s="16"/>
      <c r="ATW50" s="16"/>
      <c r="ATX50" s="16"/>
      <c r="ATY50" s="16"/>
      <c r="ATZ50" s="16"/>
      <c r="AUA50" s="16"/>
      <c r="AUB50" s="16"/>
      <c r="AUC50" s="16"/>
      <c r="AUD50" s="16"/>
      <c r="AUE50" s="16"/>
      <c r="AUF50" s="16"/>
      <c r="AUG50" s="16"/>
      <c r="AUH50" s="16"/>
      <c r="AUI50" s="16"/>
      <c r="AUJ50" s="16"/>
      <c r="AUK50" s="16"/>
      <c r="AUL50" s="16"/>
      <c r="AUM50" s="16"/>
      <c r="AUN50" s="16"/>
      <c r="AUO50" s="16"/>
      <c r="AUP50" s="16"/>
      <c r="AUQ50" s="16"/>
      <c r="AUR50" s="16"/>
      <c r="AUS50" s="16"/>
      <c r="AUT50" s="16"/>
      <c r="AUU50" s="16"/>
      <c r="AUV50" s="16"/>
      <c r="AUW50" s="16"/>
      <c r="AUX50" s="16"/>
      <c r="AUY50" s="16"/>
      <c r="AUZ50" s="16"/>
      <c r="AVA50" s="16"/>
      <c r="AVB50" s="16"/>
      <c r="AVC50" s="16"/>
      <c r="AVD50" s="16"/>
      <c r="AVE50" s="16"/>
      <c r="AVF50" s="16"/>
      <c r="AVG50" s="16"/>
      <c r="AVH50" s="16"/>
      <c r="AVI50" s="16"/>
      <c r="AVJ50" s="16"/>
      <c r="AVK50" s="16"/>
      <c r="AVL50" s="16"/>
      <c r="AVM50" s="16"/>
      <c r="AVN50" s="16"/>
      <c r="AVO50" s="16"/>
      <c r="AVP50" s="16"/>
      <c r="AVQ50" s="16"/>
      <c r="AVR50" s="16"/>
      <c r="AVS50" s="16"/>
      <c r="AVT50" s="16"/>
      <c r="AVU50" s="16"/>
      <c r="AVV50" s="16"/>
      <c r="AVW50" s="16"/>
      <c r="AVX50" s="16"/>
      <c r="AVY50" s="16"/>
      <c r="AVZ50" s="16"/>
      <c r="AWA50" s="16"/>
      <c r="AWB50" s="16"/>
      <c r="AWC50" s="16"/>
      <c r="AWD50" s="16"/>
      <c r="AWE50" s="16"/>
      <c r="AWF50" s="16"/>
      <c r="AWG50" s="16"/>
      <c r="AWH50" s="16"/>
      <c r="AWI50" s="16"/>
      <c r="AWJ50" s="16"/>
      <c r="AWK50" s="16"/>
      <c r="AWL50" s="16"/>
      <c r="AWM50" s="16"/>
      <c r="AWN50" s="16"/>
      <c r="AWO50" s="16"/>
      <c r="AWP50" s="16"/>
      <c r="AWQ50" s="16"/>
      <c r="AWR50" s="16"/>
      <c r="AWS50" s="16"/>
      <c r="AWT50" s="16"/>
      <c r="AWU50" s="16"/>
      <c r="AWV50" s="16"/>
      <c r="AWW50" s="16"/>
      <c r="AWX50" s="16"/>
      <c r="AWY50" s="16"/>
      <c r="AWZ50" s="16"/>
      <c r="AXA50" s="16"/>
      <c r="AXB50" s="16"/>
      <c r="AXC50" s="16"/>
      <c r="AXD50" s="16"/>
      <c r="AXE50" s="16"/>
      <c r="AXF50" s="16"/>
      <c r="AXG50" s="16"/>
      <c r="AXH50" s="16"/>
      <c r="AXI50" s="16"/>
      <c r="AXJ50" s="16"/>
      <c r="AXK50" s="16"/>
      <c r="AXL50" s="16"/>
      <c r="AXM50" s="16"/>
      <c r="AXN50" s="16"/>
      <c r="AXO50" s="16"/>
      <c r="AXP50" s="16"/>
      <c r="AXQ50" s="16"/>
      <c r="AXR50" s="16"/>
      <c r="AXS50" s="16"/>
      <c r="AXT50" s="16"/>
      <c r="AXU50" s="16"/>
      <c r="AXV50" s="16"/>
      <c r="AXW50" s="16"/>
      <c r="AXX50" s="16"/>
      <c r="AXY50" s="16"/>
      <c r="AXZ50" s="16"/>
      <c r="AYA50" s="16"/>
      <c r="AYB50" s="16"/>
      <c r="AYC50" s="16"/>
      <c r="AYD50" s="16"/>
      <c r="AYE50" s="16"/>
      <c r="AYF50" s="16"/>
      <c r="AYG50" s="16"/>
      <c r="AYH50" s="16"/>
      <c r="AYI50" s="16"/>
      <c r="AYJ50" s="16"/>
      <c r="AYK50" s="16"/>
      <c r="AYL50" s="16"/>
      <c r="AYM50" s="16"/>
      <c r="AYN50" s="16"/>
      <c r="AYO50" s="16"/>
      <c r="AYP50" s="16"/>
      <c r="AYQ50" s="16"/>
      <c r="AYR50" s="16"/>
      <c r="AYS50" s="16"/>
      <c r="AYT50" s="16"/>
      <c r="AYU50" s="16"/>
      <c r="AYV50" s="16"/>
      <c r="AYW50" s="16"/>
      <c r="AYX50" s="16"/>
      <c r="AYY50" s="16"/>
      <c r="AYZ50" s="16"/>
      <c r="AZA50" s="16"/>
      <c r="AZB50" s="16"/>
      <c r="AZC50" s="16"/>
      <c r="AZD50" s="16"/>
      <c r="AZE50" s="16"/>
      <c r="AZF50" s="16"/>
      <c r="AZG50" s="16"/>
      <c r="AZH50" s="16"/>
      <c r="AZI50" s="16"/>
      <c r="AZJ50" s="16"/>
      <c r="AZK50" s="16"/>
      <c r="AZL50" s="16"/>
      <c r="AZM50" s="16"/>
      <c r="AZN50" s="16"/>
      <c r="AZO50" s="16"/>
      <c r="AZP50" s="16"/>
      <c r="AZQ50" s="16"/>
      <c r="AZR50" s="16"/>
      <c r="AZS50" s="16"/>
      <c r="AZT50" s="16"/>
      <c r="AZU50" s="16"/>
      <c r="AZV50" s="16"/>
      <c r="AZW50" s="16"/>
      <c r="AZX50" s="16"/>
      <c r="AZY50" s="16"/>
      <c r="AZZ50" s="16"/>
      <c r="BAA50" s="16"/>
      <c r="BAB50" s="16"/>
      <c r="BAC50" s="16"/>
      <c r="BAD50" s="16"/>
      <c r="BAE50" s="16"/>
      <c r="BAF50" s="16"/>
      <c r="BAG50" s="16"/>
      <c r="BAH50" s="16"/>
      <c r="BAI50" s="16"/>
      <c r="BAJ50" s="16"/>
      <c r="BAK50" s="16"/>
      <c r="BAL50" s="16"/>
      <c r="BAM50" s="16"/>
      <c r="BAN50" s="16"/>
      <c r="BAO50" s="16"/>
      <c r="BAP50" s="16"/>
      <c r="BAQ50" s="16"/>
      <c r="BAR50" s="16"/>
      <c r="BAS50" s="16"/>
      <c r="BAT50" s="16"/>
      <c r="BAU50" s="16"/>
      <c r="BAV50" s="16"/>
      <c r="BAW50" s="16"/>
      <c r="BAX50" s="16"/>
      <c r="BAY50" s="16"/>
      <c r="BAZ50" s="16"/>
      <c r="BBA50" s="16"/>
      <c r="BBB50" s="16"/>
      <c r="BBC50" s="16"/>
      <c r="BBD50" s="16"/>
      <c r="BBE50" s="16"/>
      <c r="BBF50" s="16"/>
      <c r="BBG50" s="16"/>
      <c r="BBH50" s="16"/>
      <c r="BBI50" s="16"/>
      <c r="BBJ50" s="16"/>
      <c r="BBK50" s="16"/>
      <c r="BBL50" s="16"/>
      <c r="BBM50" s="16"/>
      <c r="BBN50" s="16"/>
      <c r="BBO50" s="16"/>
      <c r="BBP50" s="16"/>
      <c r="BBQ50" s="16"/>
      <c r="BBR50" s="16"/>
      <c r="BBS50" s="16"/>
      <c r="BBT50" s="16"/>
      <c r="BBU50" s="16"/>
      <c r="BBV50" s="16"/>
      <c r="BBW50" s="16"/>
      <c r="BBX50" s="16"/>
      <c r="BBY50" s="16"/>
      <c r="BBZ50" s="16"/>
      <c r="BCA50" s="16"/>
      <c r="BCB50" s="16"/>
      <c r="BCC50" s="16"/>
      <c r="BCD50" s="16"/>
      <c r="BCE50" s="16"/>
      <c r="BCF50" s="16"/>
      <c r="BCG50" s="16"/>
      <c r="BCH50" s="16"/>
      <c r="BCI50" s="16"/>
      <c r="BCJ50" s="16"/>
      <c r="BCK50" s="16"/>
      <c r="BCL50" s="16"/>
      <c r="BCM50" s="16"/>
      <c r="BCN50" s="16"/>
      <c r="BCO50" s="16"/>
      <c r="BCP50" s="16"/>
      <c r="BCQ50" s="16"/>
      <c r="BCR50" s="16"/>
      <c r="BCS50" s="16"/>
      <c r="BCT50" s="16"/>
      <c r="BCU50" s="16"/>
      <c r="BCV50" s="16"/>
      <c r="BCW50" s="16"/>
      <c r="BCX50" s="16"/>
      <c r="BCY50" s="16"/>
      <c r="BCZ50" s="16"/>
      <c r="BDA50" s="16"/>
      <c r="BDB50" s="16"/>
      <c r="BDC50" s="16"/>
      <c r="BDD50" s="16"/>
      <c r="BDE50" s="16"/>
      <c r="BDF50" s="16"/>
      <c r="BDG50" s="16"/>
      <c r="BDH50" s="16"/>
      <c r="BDI50" s="16"/>
      <c r="BDJ50" s="16"/>
      <c r="BDK50" s="16"/>
      <c r="BDL50" s="16"/>
      <c r="BDM50" s="16"/>
      <c r="BDN50" s="16"/>
      <c r="BDO50" s="16"/>
      <c r="BDP50" s="16"/>
      <c r="BDQ50" s="16"/>
      <c r="BDR50" s="16"/>
      <c r="BDS50" s="16"/>
      <c r="BDT50" s="16"/>
      <c r="BDU50" s="16"/>
      <c r="BDV50" s="16"/>
      <c r="BDW50" s="16"/>
      <c r="BDX50" s="16"/>
      <c r="BDY50" s="16"/>
      <c r="BDZ50" s="16"/>
      <c r="BEA50" s="16"/>
      <c r="BEB50" s="16"/>
      <c r="BEC50" s="16"/>
      <c r="BED50" s="16"/>
      <c r="BEE50" s="16"/>
      <c r="BEF50" s="16"/>
      <c r="BEG50" s="16"/>
      <c r="BEH50" s="16"/>
      <c r="BEI50" s="16"/>
      <c r="BEJ50" s="16"/>
      <c r="BEK50" s="16"/>
      <c r="BEL50" s="16"/>
      <c r="BEM50" s="16"/>
      <c r="BEN50" s="16"/>
      <c r="BEO50" s="16"/>
      <c r="BEP50" s="16"/>
      <c r="BEQ50" s="16"/>
      <c r="BER50" s="16"/>
      <c r="BES50" s="16"/>
      <c r="BET50" s="16"/>
      <c r="BEU50" s="16"/>
      <c r="BEV50" s="16"/>
      <c r="BEW50" s="16"/>
      <c r="BEX50" s="16"/>
      <c r="BEY50" s="16"/>
      <c r="BEZ50" s="16"/>
      <c r="BFA50" s="16"/>
      <c r="BFB50" s="16"/>
      <c r="BFC50" s="16"/>
      <c r="BFD50" s="16"/>
      <c r="BFE50" s="16"/>
      <c r="BFF50" s="16"/>
      <c r="BFG50" s="16"/>
      <c r="BFH50" s="16"/>
      <c r="BFI50" s="16"/>
      <c r="BFJ50" s="16"/>
      <c r="BFK50" s="16"/>
      <c r="BFL50" s="16"/>
      <c r="BFM50" s="16"/>
      <c r="BFN50" s="16"/>
      <c r="BFO50" s="16"/>
      <c r="BFP50" s="16"/>
      <c r="BFQ50" s="16"/>
      <c r="BFR50" s="16"/>
      <c r="BFS50" s="16"/>
      <c r="BFT50" s="16"/>
      <c r="BFU50" s="16"/>
      <c r="BFV50" s="16"/>
      <c r="BFW50" s="16"/>
      <c r="BFX50" s="16"/>
      <c r="BFY50" s="16"/>
      <c r="BFZ50" s="16"/>
      <c r="BGA50" s="16"/>
      <c r="BGB50" s="16"/>
      <c r="BGC50" s="16"/>
      <c r="BGD50" s="16"/>
      <c r="BGE50" s="16"/>
      <c r="BGF50" s="16"/>
      <c r="BGG50" s="16"/>
      <c r="BGH50" s="16"/>
      <c r="BGI50" s="16"/>
      <c r="BGJ50" s="16"/>
      <c r="BGK50" s="16"/>
      <c r="BGL50" s="16"/>
      <c r="BGM50" s="16"/>
      <c r="BGN50" s="16"/>
      <c r="BGO50" s="16"/>
      <c r="BGP50" s="16"/>
      <c r="BGQ50" s="16"/>
      <c r="BGR50" s="16"/>
      <c r="BGS50" s="16"/>
      <c r="BGT50" s="16"/>
      <c r="BGU50" s="16"/>
      <c r="BGV50" s="16"/>
      <c r="BGW50" s="16"/>
      <c r="BGX50" s="16"/>
      <c r="BGY50" s="16"/>
      <c r="BGZ50" s="16"/>
      <c r="BHA50" s="16"/>
      <c r="BHB50" s="16"/>
      <c r="BHC50" s="16"/>
      <c r="BHD50" s="16"/>
      <c r="BHE50" s="16"/>
      <c r="BHF50" s="16"/>
      <c r="BHG50" s="16"/>
      <c r="BHH50" s="16"/>
      <c r="BHI50" s="16"/>
      <c r="BHJ50" s="16"/>
      <c r="BHK50" s="16"/>
      <c r="BHL50" s="16"/>
      <c r="BHM50" s="16"/>
      <c r="BHN50" s="16"/>
      <c r="BHO50" s="16"/>
      <c r="BHP50" s="16"/>
      <c r="BHQ50" s="16"/>
      <c r="BHR50" s="16"/>
      <c r="BHS50" s="16"/>
      <c r="BHT50" s="16"/>
      <c r="BHU50" s="16"/>
      <c r="BHV50" s="16"/>
      <c r="BHW50" s="16"/>
      <c r="BHX50" s="16"/>
      <c r="BHY50" s="16"/>
      <c r="BHZ50" s="16"/>
      <c r="BIA50" s="16"/>
      <c r="BIB50" s="16"/>
      <c r="BIC50" s="16"/>
      <c r="BID50" s="16"/>
      <c r="BIE50" s="16"/>
      <c r="BIF50" s="16"/>
      <c r="BIG50" s="16"/>
      <c r="BIH50" s="16"/>
      <c r="BII50" s="16"/>
      <c r="BIJ50" s="16"/>
      <c r="BIK50" s="16"/>
      <c r="BIL50" s="16"/>
      <c r="BIM50" s="16"/>
      <c r="BIN50" s="16"/>
      <c r="BIO50" s="16"/>
      <c r="BIP50" s="16"/>
      <c r="BIQ50" s="16"/>
      <c r="BIR50" s="16"/>
      <c r="BIS50" s="16"/>
      <c r="BIT50" s="16"/>
      <c r="BIU50" s="16"/>
      <c r="BIV50" s="16"/>
      <c r="BIW50" s="16"/>
      <c r="BIX50" s="16"/>
      <c r="BIY50" s="16"/>
      <c r="BIZ50" s="16"/>
      <c r="BJA50" s="16"/>
      <c r="BJB50" s="16"/>
      <c r="BJC50" s="16"/>
      <c r="BJD50" s="16"/>
      <c r="BJE50" s="16"/>
      <c r="BJF50" s="16"/>
      <c r="BJG50" s="16"/>
      <c r="BJH50" s="16"/>
      <c r="BJI50" s="16"/>
      <c r="BJJ50" s="16"/>
      <c r="BJK50" s="16"/>
      <c r="BJL50" s="16"/>
      <c r="BJM50" s="16"/>
      <c r="BJN50" s="16"/>
      <c r="BJO50" s="16"/>
      <c r="BJP50" s="16"/>
      <c r="BJQ50" s="16"/>
      <c r="BJR50" s="16"/>
      <c r="BJS50" s="16"/>
      <c r="BJT50" s="16"/>
      <c r="BJU50" s="16"/>
      <c r="BJV50" s="16"/>
      <c r="BJW50" s="16"/>
      <c r="BJX50" s="16"/>
      <c r="BJY50" s="16"/>
      <c r="BJZ50" s="16"/>
      <c r="BKA50" s="16"/>
      <c r="BKB50" s="16"/>
      <c r="BKC50" s="16"/>
      <c r="BKD50" s="16"/>
      <c r="BKE50" s="16"/>
      <c r="BKF50" s="16"/>
      <c r="BKG50" s="16"/>
      <c r="BKH50" s="16"/>
      <c r="BKI50" s="16"/>
      <c r="BKJ50" s="16"/>
      <c r="BKK50" s="16"/>
      <c r="BKL50" s="16"/>
      <c r="BKM50" s="16"/>
      <c r="BKN50" s="16"/>
      <c r="BKO50" s="16"/>
      <c r="BKP50" s="16"/>
      <c r="BKQ50" s="16"/>
      <c r="BKR50" s="16"/>
      <c r="BKS50" s="16"/>
      <c r="BKT50" s="16"/>
      <c r="BKU50" s="16"/>
      <c r="BKV50" s="16"/>
      <c r="BKW50" s="16"/>
      <c r="BKX50" s="16"/>
      <c r="BKY50" s="16"/>
      <c r="BKZ50" s="16"/>
      <c r="BLA50" s="16"/>
      <c r="BLB50" s="16"/>
      <c r="BLC50" s="16"/>
      <c r="BLD50" s="16"/>
      <c r="BLE50" s="16"/>
      <c r="BLF50" s="16"/>
      <c r="BLG50" s="16"/>
      <c r="BLH50" s="16"/>
      <c r="BLI50" s="16"/>
      <c r="BLJ50" s="16"/>
      <c r="BLK50" s="16"/>
      <c r="BLL50" s="16"/>
      <c r="BLM50" s="16"/>
      <c r="BLN50" s="16"/>
      <c r="BLO50" s="16"/>
      <c r="BLP50" s="16"/>
      <c r="BLQ50" s="16"/>
      <c r="BLR50" s="16"/>
      <c r="BLS50" s="16"/>
      <c r="BLT50" s="16"/>
      <c r="BLU50" s="16"/>
      <c r="BLV50" s="16"/>
      <c r="BLW50" s="16"/>
      <c r="BLX50" s="16"/>
      <c r="BLY50" s="16"/>
      <c r="BLZ50" s="16"/>
      <c r="BMA50" s="16"/>
      <c r="BMB50" s="16"/>
      <c r="BMC50" s="16"/>
      <c r="BMD50" s="16"/>
      <c r="BME50" s="16"/>
      <c r="BMF50" s="16"/>
      <c r="BMG50" s="16"/>
      <c r="BMH50" s="16"/>
      <c r="BMI50" s="16"/>
      <c r="BMJ50" s="16"/>
      <c r="BMK50" s="16"/>
      <c r="BML50" s="16"/>
      <c r="BMM50" s="16"/>
      <c r="BMN50" s="16"/>
      <c r="BMO50" s="16"/>
      <c r="BMP50" s="16"/>
      <c r="BMQ50" s="16"/>
      <c r="BMR50" s="16"/>
      <c r="BMS50" s="16"/>
      <c r="BMT50" s="16"/>
      <c r="BMU50" s="16"/>
      <c r="BMV50" s="16"/>
      <c r="BMW50" s="16"/>
      <c r="BMX50" s="16"/>
      <c r="BMY50" s="16"/>
      <c r="BMZ50" s="16"/>
      <c r="BNA50" s="16"/>
      <c r="BNB50" s="16"/>
      <c r="BNC50" s="16"/>
      <c r="BND50" s="16"/>
      <c r="BNE50" s="16"/>
      <c r="BNF50" s="16"/>
      <c r="BNG50" s="16"/>
      <c r="BNH50" s="16"/>
      <c r="BNI50" s="16"/>
      <c r="BNJ50" s="16"/>
      <c r="BNK50" s="16"/>
      <c r="BNL50" s="16"/>
      <c r="BNM50" s="16"/>
      <c r="BNN50" s="16"/>
      <c r="BNO50" s="16"/>
      <c r="BNP50" s="16"/>
      <c r="BNQ50" s="16"/>
      <c r="BNR50" s="16"/>
      <c r="BNS50" s="16"/>
      <c r="BNT50" s="16"/>
      <c r="BNU50" s="16"/>
      <c r="BNV50" s="16"/>
      <c r="BNW50" s="16"/>
      <c r="BNX50" s="16"/>
      <c r="BNY50" s="16"/>
      <c r="BNZ50" s="16"/>
      <c r="BOA50" s="16"/>
      <c r="BOB50" s="16"/>
      <c r="BOC50" s="16"/>
      <c r="BOD50" s="16"/>
      <c r="BOE50" s="16"/>
      <c r="BOF50" s="16"/>
      <c r="BOG50" s="16"/>
      <c r="BOH50" s="16"/>
      <c r="BOI50" s="16"/>
      <c r="BOJ50" s="16"/>
      <c r="BOK50" s="16"/>
      <c r="BOL50" s="16"/>
      <c r="BOM50" s="16"/>
      <c r="BON50" s="16"/>
      <c r="BOO50" s="16"/>
      <c r="BOP50" s="16"/>
      <c r="BOQ50" s="16"/>
      <c r="BOR50" s="16"/>
      <c r="BOS50" s="16"/>
      <c r="BOT50" s="16"/>
      <c r="BOU50" s="16"/>
      <c r="BOV50" s="16"/>
      <c r="BOW50" s="16"/>
      <c r="BOX50" s="16"/>
      <c r="BOY50" s="16"/>
      <c r="BOZ50" s="16"/>
      <c r="BPA50" s="16"/>
      <c r="BPB50" s="16"/>
      <c r="BPC50" s="16"/>
      <c r="BPD50" s="16"/>
      <c r="BPE50" s="16"/>
      <c r="BPF50" s="16"/>
      <c r="BPG50" s="16"/>
      <c r="BPH50" s="16"/>
      <c r="BPI50" s="16"/>
      <c r="BPJ50" s="16"/>
      <c r="BPK50" s="16"/>
      <c r="BPL50" s="16"/>
      <c r="BPM50" s="16"/>
      <c r="BPN50" s="16"/>
      <c r="BPO50" s="16"/>
      <c r="BPP50" s="16"/>
      <c r="BPQ50" s="16"/>
      <c r="BPR50" s="16"/>
      <c r="BPS50" s="16"/>
      <c r="BPT50" s="16"/>
      <c r="BPU50" s="16"/>
      <c r="BPV50" s="16"/>
      <c r="BPW50" s="16"/>
      <c r="BPX50" s="16"/>
      <c r="BPY50" s="16"/>
      <c r="BPZ50" s="16"/>
      <c r="BQA50" s="16"/>
      <c r="BQB50" s="16"/>
      <c r="BQC50" s="16"/>
      <c r="BQD50" s="16"/>
      <c r="BQE50" s="16"/>
      <c r="BQF50" s="16"/>
      <c r="BQG50" s="16"/>
      <c r="BQH50" s="16"/>
      <c r="BQI50" s="16"/>
      <c r="BQJ50" s="16"/>
      <c r="BQK50" s="16"/>
      <c r="BQL50" s="16"/>
      <c r="BQM50" s="16"/>
      <c r="BQN50" s="16"/>
      <c r="BQO50" s="16"/>
      <c r="BQP50" s="16"/>
      <c r="BQQ50" s="16"/>
      <c r="BQR50" s="16"/>
      <c r="BQS50" s="16"/>
      <c r="BQT50" s="16"/>
      <c r="BQU50" s="16"/>
      <c r="BQV50" s="16"/>
      <c r="BQW50" s="16"/>
      <c r="BQX50" s="16"/>
      <c r="BQY50" s="16"/>
      <c r="BQZ50" s="16"/>
      <c r="BRA50" s="16"/>
      <c r="BRB50" s="16"/>
      <c r="BRC50" s="16"/>
      <c r="BRD50" s="16"/>
      <c r="BRE50" s="16"/>
      <c r="BRF50" s="16"/>
      <c r="BRG50" s="16"/>
      <c r="BRH50" s="16"/>
      <c r="BRI50" s="16"/>
      <c r="BRJ50" s="16"/>
      <c r="BRK50" s="16"/>
      <c r="BRL50" s="16"/>
      <c r="BRM50" s="16"/>
      <c r="BRN50" s="16"/>
      <c r="BRO50" s="16"/>
      <c r="BRP50" s="16"/>
      <c r="BRQ50" s="16"/>
      <c r="BRR50" s="16"/>
      <c r="BRS50" s="16"/>
      <c r="BRT50" s="16"/>
      <c r="BRU50" s="16"/>
      <c r="BRV50" s="16"/>
      <c r="BRW50" s="16"/>
      <c r="BRX50" s="16"/>
      <c r="BRY50" s="16"/>
      <c r="BRZ50" s="16"/>
      <c r="BSA50" s="16"/>
      <c r="BSB50" s="16"/>
      <c r="BSC50" s="16"/>
      <c r="BSD50" s="16"/>
      <c r="BSE50" s="16"/>
      <c r="BSF50" s="16"/>
      <c r="BSG50" s="16"/>
      <c r="BSH50" s="16"/>
      <c r="BSI50" s="16"/>
      <c r="BSJ50" s="16"/>
      <c r="BSK50" s="16"/>
      <c r="BSL50" s="16"/>
      <c r="BSM50" s="16"/>
      <c r="BSN50" s="16"/>
      <c r="BSO50" s="16"/>
      <c r="BSP50" s="16"/>
      <c r="BSQ50" s="16"/>
      <c r="BSR50" s="16"/>
      <c r="BSS50" s="16"/>
      <c r="BST50" s="16"/>
      <c r="BSU50" s="16"/>
      <c r="BSV50" s="16"/>
      <c r="BSW50" s="16"/>
      <c r="BSX50" s="16"/>
      <c r="BSY50" s="16"/>
      <c r="BSZ50" s="16"/>
      <c r="BTA50" s="16"/>
      <c r="BTB50" s="16"/>
      <c r="BTC50" s="16"/>
      <c r="BTD50" s="16"/>
      <c r="BTE50" s="16"/>
      <c r="BTF50" s="16"/>
      <c r="BTG50" s="16"/>
      <c r="BTH50" s="16"/>
      <c r="BTI50" s="16"/>
      <c r="BTJ50" s="16"/>
      <c r="BTK50" s="16"/>
      <c r="BTL50" s="16"/>
      <c r="BTM50" s="16"/>
      <c r="BTN50" s="16"/>
      <c r="BTO50" s="16"/>
      <c r="BTP50" s="16"/>
      <c r="BTQ50" s="16"/>
      <c r="BTR50" s="16"/>
      <c r="BTS50" s="16"/>
      <c r="BTT50" s="16"/>
      <c r="BTU50" s="16"/>
      <c r="BTV50" s="16"/>
      <c r="BTW50" s="16"/>
      <c r="BTX50" s="16"/>
      <c r="BTY50" s="16"/>
      <c r="BTZ50" s="16"/>
      <c r="BUA50" s="16"/>
      <c r="BUB50" s="16"/>
      <c r="BUC50" s="16"/>
      <c r="BUD50" s="16"/>
      <c r="BUE50" s="16"/>
      <c r="BUF50" s="16"/>
      <c r="BUG50" s="16"/>
      <c r="BUH50" s="16"/>
      <c r="BUI50" s="16"/>
      <c r="BUJ50" s="16"/>
      <c r="BUK50" s="16"/>
      <c r="BUL50" s="16"/>
      <c r="BUM50" s="16"/>
      <c r="BUN50" s="16"/>
      <c r="BUO50" s="16"/>
      <c r="BUP50" s="16"/>
      <c r="BUQ50" s="16"/>
      <c r="BUR50" s="16"/>
      <c r="BUS50" s="16"/>
      <c r="BUT50" s="16"/>
      <c r="BUU50" s="16"/>
      <c r="BUV50" s="16"/>
      <c r="BUW50" s="16"/>
      <c r="BUX50" s="16"/>
      <c r="BUY50" s="16"/>
      <c r="BUZ50" s="16"/>
      <c r="BVA50" s="16"/>
      <c r="BVB50" s="16"/>
      <c r="BVC50" s="16"/>
      <c r="BVD50" s="16"/>
      <c r="BVE50" s="16"/>
      <c r="BVF50" s="16"/>
      <c r="BVG50" s="16"/>
      <c r="BVH50" s="16"/>
      <c r="BVI50" s="16"/>
      <c r="BVJ50" s="16"/>
      <c r="BVK50" s="16"/>
      <c r="BVL50" s="16"/>
      <c r="BVM50" s="16"/>
      <c r="BVN50" s="16"/>
      <c r="BVO50" s="16"/>
      <c r="BVP50" s="16"/>
      <c r="BVQ50" s="16"/>
      <c r="BVR50" s="16"/>
      <c r="BVS50" s="16"/>
      <c r="BVT50" s="16"/>
      <c r="BVU50" s="16"/>
      <c r="BVV50" s="16"/>
      <c r="BVW50" s="16"/>
      <c r="BVX50" s="16"/>
      <c r="BVY50" s="16"/>
      <c r="BVZ50" s="16"/>
      <c r="BWA50" s="16"/>
      <c r="BWB50" s="16"/>
      <c r="BWC50" s="16"/>
      <c r="BWD50" s="16"/>
      <c r="BWE50" s="16"/>
      <c r="BWF50" s="16"/>
      <c r="BWG50" s="16"/>
      <c r="BWH50" s="16"/>
      <c r="BWI50" s="16"/>
      <c r="BWJ50" s="16"/>
      <c r="BWK50" s="16"/>
      <c r="BWL50" s="16"/>
      <c r="BWM50" s="16"/>
      <c r="BWN50" s="16"/>
      <c r="BWO50" s="16"/>
      <c r="BWP50" s="16"/>
      <c r="BWQ50" s="16"/>
      <c r="BWR50" s="16"/>
      <c r="BWS50" s="16"/>
      <c r="BWT50" s="16"/>
      <c r="BWU50" s="16"/>
      <c r="BWV50" s="16"/>
      <c r="BWW50" s="16"/>
      <c r="BWX50" s="16"/>
      <c r="BWY50" s="16"/>
      <c r="BWZ50" s="16"/>
      <c r="BXA50" s="16"/>
      <c r="BXB50" s="16"/>
      <c r="BXC50" s="16"/>
      <c r="BXD50" s="16"/>
      <c r="BXE50" s="16"/>
      <c r="BXF50" s="16"/>
      <c r="BXG50" s="16"/>
      <c r="BXH50" s="16"/>
      <c r="BXI50" s="16"/>
      <c r="BXJ50" s="16"/>
      <c r="BXK50" s="16"/>
      <c r="BXL50" s="16"/>
      <c r="BXM50" s="16"/>
      <c r="BXN50" s="16"/>
      <c r="BXO50" s="16"/>
      <c r="BXP50" s="16"/>
      <c r="BXQ50" s="16"/>
      <c r="BXR50" s="16"/>
      <c r="BXS50" s="16"/>
      <c r="BXT50" s="16"/>
      <c r="BXU50" s="16"/>
      <c r="BXV50" s="16"/>
      <c r="BXW50" s="16"/>
      <c r="BXX50" s="16"/>
      <c r="BXY50" s="16"/>
      <c r="BXZ50" s="16"/>
      <c r="BYA50" s="16"/>
      <c r="BYB50" s="16"/>
      <c r="BYC50" s="16"/>
      <c r="BYD50" s="16"/>
      <c r="BYE50" s="16"/>
      <c r="BYF50" s="16"/>
      <c r="BYG50" s="16"/>
      <c r="BYH50" s="16"/>
      <c r="BYI50" s="16"/>
      <c r="BYJ50" s="16"/>
      <c r="BYK50" s="16"/>
      <c r="BYL50" s="16"/>
      <c r="BYM50" s="16"/>
      <c r="BYN50" s="16"/>
      <c r="BYO50" s="16"/>
      <c r="BYP50" s="16"/>
      <c r="BYQ50" s="16"/>
      <c r="BYR50" s="16"/>
      <c r="BYS50" s="16"/>
      <c r="BYT50" s="16"/>
      <c r="BYU50" s="16"/>
      <c r="BYV50" s="16"/>
      <c r="BYW50" s="16"/>
      <c r="BYX50" s="16"/>
      <c r="BYY50" s="16"/>
      <c r="BYZ50" s="16"/>
      <c r="BZA50" s="16"/>
      <c r="BZB50" s="16"/>
      <c r="BZC50" s="16"/>
      <c r="BZD50" s="16"/>
      <c r="BZE50" s="16"/>
      <c r="BZF50" s="16"/>
      <c r="BZG50" s="16"/>
      <c r="BZH50" s="16"/>
      <c r="BZI50" s="16"/>
      <c r="BZJ50" s="16"/>
      <c r="BZK50" s="16"/>
      <c r="BZL50" s="16"/>
      <c r="BZM50" s="16"/>
      <c r="BZN50" s="16"/>
      <c r="BZO50" s="16"/>
      <c r="BZP50" s="16"/>
      <c r="BZQ50" s="16"/>
      <c r="BZR50" s="16"/>
      <c r="BZS50" s="16"/>
      <c r="BZT50" s="16"/>
      <c r="BZU50" s="16"/>
      <c r="BZV50" s="16"/>
      <c r="BZW50" s="16"/>
      <c r="BZX50" s="16"/>
      <c r="BZY50" s="16"/>
      <c r="BZZ50" s="16"/>
      <c r="CAA50" s="16"/>
      <c r="CAB50" s="16"/>
      <c r="CAC50" s="16"/>
      <c r="CAD50" s="16"/>
      <c r="CAE50" s="16"/>
      <c r="CAF50" s="16"/>
      <c r="CAG50" s="16"/>
      <c r="CAH50" s="16"/>
      <c r="CAI50" s="16"/>
      <c r="CAJ50" s="16"/>
      <c r="CAK50" s="16"/>
      <c r="CAL50" s="16"/>
      <c r="CAM50" s="16"/>
      <c r="CAN50" s="16"/>
      <c r="CAO50" s="16"/>
      <c r="CAP50" s="16"/>
      <c r="CAQ50" s="16"/>
      <c r="CAR50" s="16"/>
      <c r="CAS50" s="16"/>
      <c r="CAT50" s="16"/>
      <c r="CAU50" s="16"/>
      <c r="CAV50" s="16"/>
      <c r="CAW50" s="16"/>
      <c r="CAX50" s="16"/>
      <c r="CAY50" s="16"/>
      <c r="CAZ50" s="16"/>
      <c r="CBA50" s="16"/>
      <c r="CBB50" s="16"/>
      <c r="CBC50" s="16"/>
      <c r="CBD50" s="16"/>
      <c r="CBE50" s="16"/>
      <c r="CBF50" s="16"/>
      <c r="CBG50" s="16"/>
      <c r="CBH50" s="16"/>
      <c r="CBI50" s="16"/>
      <c r="CBJ50" s="16"/>
      <c r="CBK50" s="16"/>
      <c r="CBL50" s="16"/>
      <c r="CBM50" s="16"/>
      <c r="CBN50" s="16"/>
      <c r="CBO50" s="16"/>
      <c r="CBP50" s="16"/>
      <c r="CBQ50" s="16"/>
      <c r="CBR50" s="16"/>
      <c r="CBS50" s="16"/>
      <c r="CBT50" s="16"/>
      <c r="CBU50" s="16"/>
      <c r="CBV50" s="16"/>
      <c r="CBW50" s="16"/>
      <c r="CBX50" s="16"/>
      <c r="CBY50" s="16"/>
      <c r="CBZ50" s="16"/>
      <c r="CCA50" s="16"/>
      <c r="CCB50" s="16"/>
      <c r="CCC50" s="16"/>
      <c r="CCD50" s="16"/>
      <c r="CCE50" s="16"/>
      <c r="CCF50" s="16"/>
      <c r="CCG50" s="16"/>
      <c r="CCH50" s="16"/>
      <c r="CCI50" s="16"/>
      <c r="CCJ50" s="16"/>
      <c r="CCK50" s="16"/>
      <c r="CCL50" s="16"/>
      <c r="CCM50" s="16"/>
      <c r="CCN50" s="16"/>
      <c r="CCO50" s="16"/>
      <c r="CCP50" s="16"/>
      <c r="CCQ50" s="16"/>
      <c r="CCR50" s="16"/>
      <c r="CCS50" s="16"/>
      <c r="CCT50" s="16"/>
      <c r="CCU50" s="16"/>
      <c r="CCV50" s="16"/>
      <c r="CCW50" s="16"/>
      <c r="CCX50" s="16"/>
      <c r="CCY50" s="16"/>
      <c r="CCZ50" s="16"/>
      <c r="CDA50" s="16"/>
      <c r="CDB50" s="16"/>
      <c r="CDC50" s="16"/>
      <c r="CDD50" s="16"/>
      <c r="CDE50" s="16"/>
      <c r="CDF50" s="16"/>
      <c r="CDG50" s="16"/>
      <c r="CDH50" s="16"/>
      <c r="CDI50" s="16"/>
      <c r="CDJ50" s="16"/>
      <c r="CDK50" s="16"/>
      <c r="CDL50" s="16"/>
      <c r="CDM50" s="16"/>
      <c r="CDN50" s="16"/>
      <c r="CDO50" s="16"/>
      <c r="CDP50" s="16"/>
      <c r="CDQ50" s="16"/>
      <c r="CDR50" s="16"/>
      <c r="CDS50" s="16"/>
      <c r="CDT50" s="16"/>
      <c r="CDU50" s="16"/>
      <c r="CDV50" s="16"/>
      <c r="CDW50" s="16"/>
      <c r="CDX50" s="16"/>
      <c r="CDY50" s="16"/>
      <c r="CDZ50" s="16"/>
      <c r="CEA50" s="16"/>
      <c r="CEB50" s="16"/>
      <c r="CEC50" s="16"/>
      <c r="CED50" s="16"/>
      <c r="CEE50" s="16"/>
      <c r="CEF50" s="16"/>
      <c r="CEG50" s="16"/>
      <c r="CEH50" s="16"/>
      <c r="CEI50" s="16"/>
      <c r="CEJ50" s="16"/>
      <c r="CEK50" s="16"/>
      <c r="CEL50" s="16"/>
      <c r="CEM50" s="16"/>
      <c r="CEN50" s="16"/>
      <c r="CEO50" s="16"/>
      <c r="CEP50" s="16"/>
      <c r="CEQ50" s="16"/>
      <c r="CER50" s="16"/>
      <c r="CES50" s="16"/>
      <c r="CET50" s="16"/>
      <c r="CEU50" s="16"/>
      <c r="CEV50" s="16"/>
      <c r="CEW50" s="16"/>
      <c r="CEX50" s="16"/>
      <c r="CEY50" s="16"/>
      <c r="CEZ50" s="16"/>
      <c r="CFA50" s="16"/>
      <c r="CFB50" s="16"/>
      <c r="CFC50" s="16"/>
      <c r="CFD50" s="16"/>
      <c r="CFE50" s="16"/>
      <c r="CFF50" s="16"/>
      <c r="CFG50" s="16"/>
      <c r="CFH50" s="16"/>
      <c r="CFI50" s="16"/>
      <c r="CFJ50" s="16"/>
      <c r="CFK50" s="16"/>
      <c r="CFL50" s="16"/>
      <c r="CFM50" s="16"/>
      <c r="CFN50" s="16"/>
      <c r="CFO50" s="16"/>
      <c r="CFP50" s="16"/>
      <c r="CFQ50" s="16"/>
      <c r="CFR50" s="16"/>
      <c r="CFS50" s="16"/>
      <c r="CFT50" s="16"/>
      <c r="CFU50" s="16"/>
      <c r="CFV50" s="16"/>
      <c r="CFW50" s="16"/>
      <c r="CFX50" s="16"/>
      <c r="CFY50" s="16"/>
      <c r="CFZ50" s="16"/>
      <c r="CGA50" s="16"/>
      <c r="CGB50" s="16"/>
      <c r="CGC50" s="16"/>
      <c r="CGD50" s="16"/>
      <c r="CGE50" s="16"/>
      <c r="CGF50" s="16"/>
      <c r="CGG50" s="16"/>
      <c r="CGH50" s="16"/>
      <c r="CGI50" s="16"/>
      <c r="CGJ50" s="16"/>
      <c r="CGK50" s="16"/>
      <c r="CGL50" s="16"/>
      <c r="CGM50" s="16"/>
      <c r="CGN50" s="16"/>
      <c r="CGO50" s="16"/>
      <c r="CGP50" s="16"/>
      <c r="CGQ50" s="16"/>
      <c r="CGR50" s="16"/>
      <c r="CGS50" s="16"/>
      <c r="CGT50" s="16"/>
      <c r="CGU50" s="16"/>
      <c r="CGV50" s="16"/>
      <c r="CGW50" s="16"/>
      <c r="CGX50" s="16"/>
      <c r="CGY50" s="16"/>
      <c r="CGZ50" s="16"/>
      <c r="CHA50" s="16"/>
      <c r="CHB50" s="16"/>
      <c r="CHC50" s="16"/>
      <c r="CHD50" s="16"/>
      <c r="CHE50" s="16"/>
      <c r="CHF50" s="16"/>
      <c r="CHG50" s="16"/>
      <c r="CHH50" s="16"/>
      <c r="CHI50" s="16"/>
      <c r="CHJ50" s="16"/>
      <c r="CHK50" s="16"/>
      <c r="CHL50" s="16"/>
      <c r="CHM50" s="16"/>
      <c r="CHN50" s="16"/>
      <c r="CHO50" s="16"/>
      <c r="CHP50" s="16"/>
      <c r="CHQ50" s="16"/>
      <c r="CHR50" s="16"/>
      <c r="CHS50" s="16"/>
      <c r="CHT50" s="16"/>
      <c r="CHU50" s="16"/>
      <c r="CHV50" s="16"/>
      <c r="CHW50" s="16"/>
      <c r="CHX50" s="16"/>
      <c r="CHY50" s="16"/>
      <c r="CHZ50" s="16"/>
      <c r="CIA50" s="16"/>
      <c r="CIB50" s="16"/>
      <c r="CIC50" s="16"/>
      <c r="CID50" s="16"/>
      <c r="CIE50" s="16"/>
      <c r="CIF50" s="16"/>
      <c r="CIG50" s="16"/>
      <c r="CIH50" s="16"/>
      <c r="CII50" s="16"/>
      <c r="CIJ50" s="16"/>
      <c r="CIK50" s="16"/>
      <c r="CIL50" s="16"/>
      <c r="CIM50" s="16"/>
      <c r="CIN50" s="16"/>
      <c r="CIO50" s="16"/>
      <c r="CIP50" s="16"/>
      <c r="CIQ50" s="16"/>
      <c r="CIR50" s="16"/>
      <c r="CIS50" s="16"/>
      <c r="CIT50" s="16"/>
      <c r="CIU50" s="16"/>
      <c r="CIV50" s="16"/>
      <c r="CIW50" s="16"/>
      <c r="CIX50" s="16"/>
      <c r="CIY50" s="16"/>
      <c r="CIZ50" s="16"/>
      <c r="CJA50" s="16"/>
      <c r="CJB50" s="16"/>
      <c r="CJC50" s="16"/>
      <c r="CJD50" s="16"/>
      <c r="CJE50" s="16"/>
      <c r="CJF50" s="16"/>
      <c r="CJG50" s="16"/>
      <c r="CJH50" s="16"/>
      <c r="CJI50" s="16"/>
      <c r="CJJ50" s="16"/>
      <c r="CJK50" s="16"/>
      <c r="CJL50" s="16"/>
      <c r="CJM50" s="16"/>
      <c r="CJN50" s="16"/>
      <c r="CJO50" s="16"/>
      <c r="CJP50" s="16"/>
      <c r="CJQ50" s="16"/>
      <c r="CJR50" s="16"/>
      <c r="CJS50" s="16"/>
      <c r="CJT50" s="16"/>
      <c r="CJU50" s="16"/>
      <c r="CJV50" s="16"/>
      <c r="CJW50" s="16"/>
      <c r="CJX50" s="16"/>
      <c r="CJY50" s="16"/>
      <c r="CJZ50" s="16"/>
      <c r="CKA50" s="16"/>
      <c r="CKB50" s="16"/>
      <c r="CKC50" s="16"/>
      <c r="CKD50" s="16"/>
      <c r="CKE50" s="16"/>
      <c r="CKF50" s="16"/>
      <c r="CKG50" s="16"/>
      <c r="CKH50" s="16"/>
      <c r="CKI50" s="16"/>
      <c r="CKJ50" s="16"/>
      <c r="CKK50" s="16"/>
      <c r="CKL50" s="16"/>
      <c r="CKM50" s="16"/>
      <c r="CKN50" s="16"/>
      <c r="CKO50" s="16"/>
      <c r="CKP50" s="16"/>
      <c r="CKQ50" s="16"/>
      <c r="CKR50" s="16"/>
      <c r="CKS50" s="16"/>
      <c r="CKT50" s="16"/>
      <c r="CKU50" s="16"/>
      <c r="CKV50" s="16"/>
      <c r="CKW50" s="16"/>
      <c r="CKX50" s="16"/>
      <c r="CKY50" s="16"/>
      <c r="CKZ50" s="16"/>
      <c r="CLA50" s="16"/>
      <c r="CLB50" s="16"/>
      <c r="CLC50" s="16"/>
      <c r="CLD50" s="16"/>
      <c r="CLE50" s="16"/>
      <c r="CLF50" s="16"/>
      <c r="CLG50" s="16"/>
      <c r="CLH50" s="16"/>
      <c r="CLI50" s="16"/>
      <c r="CLJ50" s="16"/>
      <c r="CLK50" s="16"/>
      <c r="CLL50" s="16"/>
      <c r="CLM50" s="16"/>
      <c r="CLN50" s="16"/>
      <c r="CLO50" s="16"/>
      <c r="CLP50" s="16"/>
      <c r="CLQ50" s="16"/>
      <c r="CLR50" s="16"/>
      <c r="CLS50" s="16"/>
      <c r="CLT50" s="16"/>
      <c r="CLU50" s="16"/>
      <c r="CLV50" s="16"/>
      <c r="CLW50" s="16"/>
      <c r="CLX50" s="16"/>
      <c r="CLY50" s="16"/>
      <c r="CLZ50" s="16"/>
      <c r="CMA50" s="16"/>
      <c r="CMB50" s="16"/>
      <c r="CMC50" s="16"/>
      <c r="CMD50" s="16"/>
      <c r="CME50" s="16"/>
      <c r="CMF50" s="16"/>
      <c r="CMG50" s="16"/>
      <c r="CMH50" s="16"/>
      <c r="CMI50" s="16"/>
      <c r="CMJ50" s="16"/>
      <c r="CMK50" s="16"/>
      <c r="CML50" s="16"/>
      <c r="CMM50" s="16"/>
      <c r="CMN50" s="16"/>
      <c r="CMO50" s="16"/>
      <c r="CMP50" s="16"/>
      <c r="CMQ50" s="16"/>
      <c r="CMR50" s="16"/>
      <c r="CMS50" s="16"/>
      <c r="CMT50" s="16"/>
      <c r="CMU50" s="16"/>
      <c r="CMV50" s="16"/>
      <c r="CMW50" s="16"/>
      <c r="CMX50" s="16"/>
      <c r="CMY50" s="16"/>
      <c r="CMZ50" s="16"/>
      <c r="CNA50" s="16"/>
      <c r="CNB50" s="16"/>
      <c r="CNC50" s="16"/>
      <c r="CND50" s="16"/>
      <c r="CNE50" s="16"/>
      <c r="CNF50" s="16"/>
      <c r="CNG50" s="16"/>
      <c r="CNH50" s="16"/>
      <c r="CNI50" s="16"/>
      <c r="CNJ50" s="16"/>
      <c r="CNK50" s="16"/>
      <c r="CNL50" s="16"/>
      <c r="CNM50" s="16"/>
      <c r="CNN50" s="16"/>
      <c r="CNO50" s="16"/>
      <c r="CNP50" s="16"/>
      <c r="CNQ50" s="16"/>
      <c r="CNR50" s="16"/>
      <c r="CNS50" s="16"/>
      <c r="CNT50" s="16"/>
      <c r="CNU50" s="16"/>
      <c r="CNV50" s="16"/>
      <c r="CNW50" s="16"/>
      <c r="CNX50" s="16"/>
      <c r="CNY50" s="16"/>
      <c r="CNZ50" s="16"/>
      <c r="COA50" s="16"/>
      <c r="COB50" s="16"/>
      <c r="COC50" s="16"/>
      <c r="COD50" s="16"/>
      <c r="COE50" s="16"/>
      <c r="COF50" s="16"/>
      <c r="COG50" s="16"/>
      <c r="COH50" s="16"/>
      <c r="COI50" s="16"/>
      <c r="COJ50" s="16"/>
      <c r="COK50" s="16"/>
      <c r="COL50" s="16"/>
      <c r="COM50" s="16"/>
      <c r="CON50" s="16"/>
      <c r="COO50" s="16"/>
      <c r="COP50" s="16"/>
      <c r="COQ50" s="16"/>
      <c r="COR50" s="16"/>
      <c r="COS50" s="16"/>
      <c r="COT50" s="16"/>
      <c r="COU50" s="16"/>
      <c r="COV50" s="16"/>
      <c r="COW50" s="16"/>
      <c r="COX50" s="16"/>
      <c r="COY50" s="16"/>
      <c r="COZ50" s="16"/>
      <c r="CPA50" s="16"/>
      <c r="CPB50" s="16"/>
      <c r="CPC50" s="16"/>
      <c r="CPD50" s="16"/>
      <c r="CPE50" s="16"/>
      <c r="CPF50" s="16"/>
      <c r="CPG50" s="16"/>
      <c r="CPH50" s="16"/>
      <c r="CPI50" s="16"/>
      <c r="CPJ50" s="16"/>
      <c r="CPK50" s="16"/>
      <c r="CPL50" s="16"/>
      <c r="CPM50" s="16"/>
      <c r="CPN50" s="16"/>
      <c r="CPO50" s="16"/>
      <c r="CPP50" s="16"/>
      <c r="CPQ50" s="16"/>
      <c r="CPR50" s="16"/>
      <c r="CPS50" s="16"/>
      <c r="CPT50" s="16"/>
      <c r="CPU50" s="16"/>
      <c r="CPV50" s="16"/>
      <c r="CPW50" s="16"/>
      <c r="CPX50" s="16"/>
      <c r="CPY50" s="16"/>
      <c r="CPZ50" s="16"/>
      <c r="CQA50" s="16"/>
      <c r="CQB50" s="16"/>
      <c r="CQC50" s="16"/>
      <c r="CQD50" s="16"/>
      <c r="CQE50" s="16"/>
      <c r="CQF50" s="16"/>
      <c r="CQG50" s="16"/>
      <c r="CQH50" s="16"/>
      <c r="CQI50" s="16"/>
      <c r="CQJ50" s="16"/>
      <c r="CQK50" s="16"/>
      <c r="CQL50" s="16"/>
      <c r="CQM50" s="16"/>
      <c r="CQN50" s="16"/>
      <c r="CQO50" s="16"/>
      <c r="CQP50" s="16"/>
      <c r="CQQ50" s="16"/>
      <c r="CQR50" s="16"/>
      <c r="CQS50" s="16"/>
      <c r="CQT50" s="16"/>
      <c r="CQU50" s="16"/>
      <c r="CQV50" s="16"/>
      <c r="CQW50" s="16"/>
      <c r="CQX50" s="16"/>
      <c r="CQY50" s="16"/>
      <c r="CQZ50" s="16"/>
      <c r="CRA50" s="16"/>
      <c r="CRB50" s="16"/>
      <c r="CRC50" s="16"/>
      <c r="CRD50" s="16"/>
      <c r="CRE50" s="16"/>
      <c r="CRF50" s="16"/>
      <c r="CRG50" s="16"/>
      <c r="CRH50" s="16"/>
      <c r="CRI50" s="16"/>
      <c r="CRJ50" s="16"/>
      <c r="CRK50" s="16"/>
      <c r="CRL50" s="16"/>
      <c r="CRM50" s="16"/>
      <c r="CRN50" s="16"/>
      <c r="CRO50" s="16"/>
      <c r="CRP50" s="16"/>
      <c r="CRQ50" s="16"/>
      <c r="CRR50" s="16"/>
      <c r="CRS50" s="16"/>
      <c r="CRT50" s="16"/>
      <c r="CRU50" s="16"/>
      <c r="CRV50" s="16"/>
      <c r="CRW50" s="16"/>
      <c r="CRX50" s="16"/>
      <c r="CRY50" s="16"/>
      <c r="CRZ50" s="16"/>
      <c r="CSA50" s="16"/>
      <c r="CSB50" s="16"/>
      <c r="CSC50" s="16"/>
      <c r="CSD50" s="16"/>
      <c r="CSE50" s="16"/>
      <c r="CSF50" s="16"/>
      <c r="CSG50" s="16"/>
      <c r="CSH50" s="16"/>
      <c r="CSI50" s="16"/>
      <c r="CSJ50" s="16"/>
      <c r="CSK50" s="54" t="str">
        <f t="shared" si="166"/>
        <v>X</v>
      </c>
      <c r="CSL50" s="35" t="str">
        <f t="shared" ca="1" si="209"/>
        <v/>
      </c>
      <c r="CSM50" s="35" t="str">
        <f t="shared" ca="1" si="209"/>
        <v/>
      </c>
      <c r="CSN50" s="35" t="str">
        <f t="shared" ca="1" si="209"/>
        <v/>
      </c>
      <c r="CSO50" s="35" t="str">
        <f t="shared" ca="1" si="209"/>
        <v/>
      </c>
      <c r="CSP50" s="35" t="str">
        <f t="shared" ca="1" si="209"/>
        <v/>
      </c>
      <c r="CSQ50" s="72" t="str">
        <f t="shared" ca="1" si="209"/>
        <v/>
      </c>
      <c r="CSR50" s="35" t="str">
        <f t="shared" ca="1" si="209"/>
        <v/>
      </c>
      <c r="CSS50" s="35" t="str">
        <f t="shared" ca="1" si="209"/>
        <v/>
      </c>
      <c r="CST50" s="35" t="str">
        <f t="shared" ca="1" si="209"/>
        <v/>
      </c>
      <c r="CSU50" s="35" t="str">
        <f t="shared" ca="1" si="209"/>
        <v/>
      </c>
      <c r="CSV50" s="35" t="str">
        <f t="shared" ca="1" si="210"/>
        <v/>
      </c>
      <c r="CSW50" s="35" t="str">
        <f t="shared" ca="1" si="210"/>
        <v/>
      </c>
      <c r="CSX50" s="35" t="str">
        <f t="shared" ca="1" si="210"/>
        <v/>
      </c>
      <c r="CSY50" s="35" t="str">
        <f t="shared" ca="1" si="210"/>
        <v/>
      </c>
      <c r="CSZ50" s="35" t="str">
        <f t="shared" ca="1" si="210"/>
        <v/>
      </c>
      <c r="CTA50" s="35" t="str">
        <f t="shared" ca="1" si="210"/>
        <v/>
      </c>
      <c r="CTB50" s="35" t="str">
        <f t="shared" ca="1" si="210"/>
        <v/>
      </c>
      <c r="CTC50" s="35" t="str">
        <f t="shared" ca="1" si="210"/>
        <v/>
      </c>
      <c r="CTD50" s="35" t="str">
        <f t="shared" ca="1" si="210"/>
        <v/>
      </c>
      <c r="CTE50" s="35" t="str">
        <f t="shared" ca="1" si="210"/>
        <v/>
      </c>
      <c r="CTF50" s="35" t="str">
        <f t="shared" ca="1" si="211"/>
        <v/>
      </c>
      <c r="CTG50" s="35" t="str">
        <f t="shared" ca="1" si="211"/>
        <v/>
      </c>
      <c r="CTH50" s="35" t="str">
        <f t="shared" ca="1" si="211"/>
        <v/>
      </c>
      <c r="CTI50" s="35" t="str">
        <f t="shared" ca="1" si="211"/>
        <v/>
      </c>
      <c r="CTJ50" s="35" t="str">
        <f t="shared" ca="1" si="211"/>
        <v/>
      </c>
      <c r="CTK50" s="35" t="str">
        <f t="shared" ca="1" si="211"/>
        <v/>
      </c>
      <c r="CTL50" s="35" t="str">
        <f t="shared" ca="1" si="211"/>
        <v/>
      </c>
      <c r="CTM50" s="35" t="str">
        <f t="shared" ca="1" si="211"/>
        <v/>
      </c>
      <c r="CTN50" s="35" t="str">
        <f t="shared" ca="1" si="211"/>
        <v/>
      </c>
      <c r="CTO50" s="35" t="str">
        <f t="shared" ca="1" si="211"/>
        <v/>
      </c>
      <c r="CTP50" s="35" t="str">
        <f t="shared" ca="1" si="212"/>
        <v/>
      </c>
      <c r="CTQ50" s="35" t="str">
        <f t="shared" ca="1" si="212"/>
        <v/>
      </c>
      <c r="CTR50" s="35" t="str">
        <f t="shared" ca="1" si="212"/>
        <v/>
      </c>
      <c r="CTS50" s="35" t="str">
        <f t="shared" ca="1" si="212"/>
        <v/>
      </c>
      <c r="CTT50" s="35" t="str">
        <f t="shared" ca="1" si="212"/>
        <v/>
      </c>
      <c r="CTU50" s="35" t="str">
        <f t="shared" ca="1" si="212"/>
        <v/>
      </c>
      <c r="CTV50" s="35" t="str">
        <f t="shared" ca="1" si="212"/>
        <v/>
      </c>
      <c r="CTW50" s="35" t="str">
        <f t="shared" ca="1" si="212"/>
        <v/>
      </c>
      <c r="CTX50" s="35" t="str">
        <f t="shared" ca="1" si="212"/>
        <v/>
      </c>
      <c r="CTY50" s="35" t="str">
        <f t="shared" ca="1" si="212"/>
        <v/>
      </c>
      <c r="CTZ50" s="56" t="str">
        <f t="shared" si="167"/>
        <v>X</v>
      </c>
      <c r="CUA50" s="58" t="str">
        <f t="shared" ca="1" si="168"/>
        <v/>
      </c>
      <c r="CUB50" s="16" t="str">
        <f t="shared" ca="1" si="169"/>
        <v/>
      </c>
      <c r="CUC50" s="16" t="str">
        <f t="shared" ca="1" si="170"/>
        <v/>
      </c>
      <c r="CUD50" s="16" t="str">
        <f t="shared" ca="1" si="171"/>
        <v/>
      </c>
      <c r="CUE50" s="16" t="str">
        <f t="shared" ca="1" si="172"/>
        <v/>
      </c>
      <c r="CUF50" s="16" t="str">
        <f t="shared" ca="1" si="173"/>
        <v/>
      </c>
      <c r="CUG50" s="16" t="str">
        <f t="shared" ca="1" si="174"/>
        <v/>
      </c>
      <c r="CUH50" s="16" t="str">
        <f t="shared" ca="1" si="175"/>
        <v/>
      </c>
      <c r="CUI50" s="16" t="str">
        <f t="shared" ca="1" si="176"/>
        <v/>
      </c>
      <c r="CUJ50" s="16" t="str">
        <f t="shared" ca="1" si="177"/>
        <v/>
      </c>
      <c r="CUK50" s="16" t="str">
        <f t="shared" ca="1" si="178"/>
        <v/>
      </c>
      <c r="CUL50" s="16" t="str">
        <f t="shared" ca="1" si="179"/>
        <v/>
      </c>
      <c r="CUM50" s="16" t="str">
        <f t="shared" ca="1" si="180"/>
        <v/>
      </c>
      <c r="CUN50" s="16" t="str">
        <f t="shared" ca="1" si="181"/>
        <v/>
      </c>
      <c r="CUO50" s="16" t="str">
        <f t="shared" ca="1" si="182"/>
        <v/>
      </c>
      <c r="CUP50" s="16" t="str">
        <f t="shared" ca="1" si="183"/>
        <v/>
      </c>
      <c r="CUQ50" s="16" t="str">
        <f t="shared" ca="1" si="184"/>
        <v/>
      </c>
      <c r="CUR50" s="16" t="str">
        <f t="shared" ca="1" si="185"/>
        <v/>
      </c>
      <c r="CUS50" s="16" t="str">
        <f t="shared" ca="1" si="186"/>
        <v/>
      </c>
      <c r="CUT50" s="16" t="str">
        <f t="shared" ca="1" si="187"/>
        <v/>
      </c>
      <c r="CUU50" s="16" t="str">
        <f t="shared" ca="1" si="188"/>
        <v/>
      </c>
      <c r="CUV50" s="16" t="str">
        <f t="shared" ca="1" si="189"/>
        <v/>
      </c>
      <c r="CUW50" s="16" t="str">
        <f t="shared" ca="1" si="190"/>
        <v/>
      </c>
      <c r="CUX50" s="16" t="str">
        <f t="shared" ca="1" si="191"/>
        <v/>
      </c>
      <c r="CUY50" s="16" t="str">
        <f t="shared" ca="1" si="192"/>
        <v/>
      </c>
      <c r="CUZ50" s="16" t="str">
        <f t="shared" ca="1" si="193"/>
        <v/>
      </c>
      <c r="CVA50" s="16" t="str">
        <f t="shared" ca="1" si="194"/>
        <v/>
      </c>
      <c r="CVB50" s="16" t="str">
        <f t="shared" ca="1" si="195"/>
        <v/>
      </c>
      <c r="CVC50" s="16" t="str">
        <f t="shared" ca="1" si="196"/>
        <v/>
      </c>
      <c r="CVD50" s="16" t="str">
        <f t="shared" ca="1" si="197"/>
        <v/>
      </c>
      <c r="CVE50" s="16" t="str">
        <f t="shared" ca="1" si="198"/>
        <v/>
      </c>
      <c r="CVF50" s="16" t="str">
        <f t="shared" ca="1" si="199"/>
        <v/>
      </c>
      <c r="CVG50" s="16" t="str">
        <f t="shared" ca="1" si="200"/>
        <v/>
      </c>
      <c r="CVH50" s="16" t="str">
        <f t="shared" ca="1" si="201"/>
        <v/>
      </c>
      <c r="CVI50" s="16" t="str">
        <f t="shared" ca="1" si="202"/>
        <v/>
      </c>
      <c r="CVJ50" s="16" t="str">
        <f t="shared" ca="1" si="203"/>
        <v/>
      </c>
      <c r="CVK50" s="16" t="str">
        <f t="shared" ca="1" si="204"/>
        <v/>
      </c>
      <c r="CVL50" s="16" t="str">
        <f t="shared" ca="1" si="205"/>
        <v/>
      </c>
      <c r="CVM50" s="16" t="str">
        <f t="shared" ca="1" si="206"/>
        <v/>
      </c>
      <c r="CVN50" s="16" t="str">
        <f t="shared" ca="1" si="207"/>
        <v/>
      </c>
      <c r="CVO50" s="58" t="str">
        <f t="shared" si="208"/>
        <v>виноградовфедор</v>
      </c>
      <c r="CVP50" s="58" t="str">
        <f>IFERROR(VLOOKUP(CVO50,'Внешние данные'!A:Z,4,FALSE),"")</f>
        <v/>
      </c>
    </row>
    <row r="51" spans="1:2616" ht="13.8" x14ac:dyDescent="0.25">
      <c r="A51" s="2" t="s">
        <v>2384</v>
      </c>
      <c r="B51" s="2" t="s">
        <v>2475</v>
      </c>
      <c r="C51" s="57" t="s">
        <v>2431</v>
      </c>
      <c r="D51" s="35">
        <v>6</v>
      </c>
      <c r="E51" s="58" t="s">
        <v>2303</v>
      </c>
      <c r="G51" s="16" t="s">
        <v>1392</v>
      </c>
      <c r="H51" s="53">
        <f t="shared" ca="1" si="162"/>
        <v>1</v>
      </c>
      <c r="I51" s="35">
        <f t="shared" ca="1" si="163"/>
        <v>0</v>
      </c>
      <c r="J51" s="35">
        <f t="shared" ca="1" si="164"/>
        <v>3</v>
      </c>
      <c r="K51" s="49">
        <f t="shared" ca="1" si="165"/>
        <v>0.66666666666666663</v>
      </c>
      <c r="L51" s="16">
        <v>308</v>
      </c>
      <c r="M51" s="12"/>
      <c r="N51" s="12"/>
      <c r="X51" s="4">
        <v>425</v>
      </c>
      <c r="Y51" s="4">
        <v>425</v>
      </c>
      <c r="Z51" s="4">
        <v>425</v>
      </c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6"/>
      <c r="LU51" s="16"/>
      <c r="LV51" s="16"/>
      <c r="LW51" s="16"/>
      <c r="LX51" s="16"/>
      <c r="LY51" s="16"/>
      <c r="LZ51" s="16"/>
      <c r="MA51" s="16"/>
      <c r="MB51" s="16"/>
      <c r="MC51" s="16"/>
      <c r="MD51" s="16"/>
      <c r="ME51" s="16"/>
      <c r="MF51" s="16"/>
      <c r="MG51" s="16"/>
      <c r="MH51" s="16"/>
      <c r="MI51" s="16"/>
      <c r="MJ51" s="16"/>
      <c r="MK51" s="16"/>
      <c r="ML51" s="16"/>
      <c r="MM51" s="16"/>
      <c r="MN51" s="16"/>
      <c r="MO51" s="16"/>
      <c r="MP51" s="16"/>
      <c r="MQ51" s="16"/>
      <c r="MR51" s="16"/>
      <c r="MS51" s="16"/>
      <c r="MT51" s="16"/>
      <c r="MU51" s="16"/>
      <c r="MV51" s="16"/>
      <c r="MW51" s="16"/>
      <c r="MX51" s="16"/>
      <c r="MY51" s="16"/>
      <c r="MZ51" s="16"/>
      <c r="NA51" s="16"/>
      <c r="NB51" s="16"/>
      <c r="NC51" s="16"/>
      <c r="ND51" s="16"/>
      <c r="NE51" s="16"/>
      <c r="NF51" s="16"/>
      <c r="NG51" s="16"/>
      <c r="NH51" s="16"/>
      <c r="NI51" s="16"/>
      <c r="NJ51" s="16"/>
      <c r="NK51" s="16"/>
      <c r="NL51" s="16"/>
      <c r="NM51" s="16"/>
      <c r="NN51" s="16"/>
      <c r="NO51" s="16"/>
      <c r="NP51" s="16"/>
      <c r="NQ51" s="16"/>
      <c r="NR51" s="16"/>
      <c r="NS51" s="16"/>
      <c r="NT51" s="16"/>
      <c r="NU51" s="16"/>
      <c r="NV51" s="16"/>
      <c r="NW51" s="16"/>
      <c r="NX51" s="16"/>
      <c r="NY51" s="16"/>
      <c r="NZ51" s="16"/>
      <c r="OA51" s="16"/>
      <c r="OB51" s="16"/>
      <c r="OC51" s="16"/>
      <c r="OD51" s="16"/>
      <c r="OE51" s="16"/>
      <c r="OF51" s="16"/>
      <c r="OG51" s="16"/>
      <c r="OH51" s="16"/>
      <c r="OI51" s="16"/>
      <c r="OJ51" s="16"/>
      <c r="OK51" s="16"/>
      <c r="OL51" s="16"/>
      <c r="OM51" s="16"/>
      <c r="ON51" s="16"/>
      <c r="OO51" s="16"/>
      <c r="OP51" s="16"/>
      <c r="OQ51" s="16"/>
      <c r="OR51" s="16"/>
      <c r="OS51" s="16"/>
      <c r="OT51" s="16"/>
      <c r="OU51" s="16"/>
      <c r="OV51" s="16"/>
      <c r="OW51" s="16"/>
      <c r="OX51" s="16"/>
      <c r="OY51" s="16"/>
      <c r="OZ51" s="16"/>
      <c r="PA51" s="16"/>
      <c r="PB51" s="16"/>
      <c r="PC51" s="16"/>
      <c r="PD51" s="16"/>
      <c r="PE51" s="16"/>
      <c r="PF51" s="16"/>
      <c r="PG51" s="16"/>
      <c r="PH51" s="16"/>
      <c r="PI51" s="16"/>
      <c r="PJ51" s="16"/>
      <c r="PK51" s="16"/>
      <c r="PL51" s="16"/>
      <c r="PM51" s="16"/>
      <c r="PN51" s="16"/>
      <c r="PO51" s="16"/>
      <c r="PP51" s="16"/>
      <c r="PQ51" s="16"/>
      <c r="PR51" s="16"/>
      <c r="PS51" s="16"/>
      <c r="PT51" s="16"/>
      <c r="PU51" s="16"/>
      <c r="PV51" s="16"/>
      <c r="PW51" s="16"/>
      <c r="PX51" s="16"/>
      <c r="PY51" s="16"/>
      <c r="PZ51" s="16"/>
      <c r="QA51" s="16"/>
      <c r="QB51" s="16"/>
      <c r="QC51" s="16"/>
      <c r="QD51" s="16"/>
      <c r="QE51" s="16"/>
      <c r="QF51" s="16"/>
      <c r="QG51" s="16"/>
      <c r="QH51" s="16"/>
      <c r="QI51" s="16"/>
      <c r="QJ51" s="16"/>
      <c r="QK51" s="16"/>
      <c r="QL51" s="16"/>
      <c r="QM51" s="16"/>
      <c r="QN51" s="16"/>
      <c r="QO51" s="16"/>
      <c r="QP51" s="16"/>
      <c r="QQ51" s="16"/>
      <c r="QR51" s="16"/>
      <c r="QS51" s="16"/>
      <c r="QT51" s="16"/>
      <c r="QU51" s="16"/>
      <c r="QV51" s="16"/>
      <c r="QW51" s="16"/>
      <c r="QX51" s="16"/>
      <c r="QY51" s="16"/>
      <c r="QZ51" s="16"/>
      <c r="RA51" s="16"/>
      <c r="RB51" s="16"/>
      <c r="RC51" s="16"/>
      <c r="RD51" s="16"/>
      <c r="RE51" s="16"/>
      <c r="RF51" s="16"/>
      <c r="RG51" s="16"/>
      <c r="RH51" s="16"/>
      <c r="RI51" s="16"/>
      <c r="RJ51" s="16"/>
      <c r="RK51" s="16"/>
      <c r="RL51" s="16"/>
      <c r="RM51" s="16"/>
      <c r="RN51" s="16"/>
      <c r="RO51" s="16"/>
      <c r="RP51" s="16"/>
      <c r="RQ51" s="16"/>
      <c r="RR51" s="16"/>
      <c r="RS51" s="16"/>
      <c r="RT51" s="16"/>
      <c r="RU51" s="16"/>
      <c r="RV51" s="16"/>
      <c r="RW51" s="16"/>
      <c r="RX51" s="16"/>
      <c r="RY51" s="16"/>
      <c r="RZ51" s="16"/>
      <c r="SA51" s="16"/>
      <c r="SB51" s="16"/>
      <c r="SC51" s="16"/>
      <c r="SD51" s="16"/>
      <c r="SE51" s="16"/>
      <c r="SF51" s="16"/>
      <c r="SG51" s="16"/>
      <c r="SH51" s="16"/>
      <c r="SI51" s="16"/>
      <c r="SJ51" s="16"/>
      <c r="SK51" s="16"/>
      <c r="SL51" s="16"/>
      <c r="SM51" s="16"/>
      <c r="SN51" s="16"/>
      <c r="SO51" s="16"/>
      <c r="SP51" s="16"/>
      <c r="SQ51" s="16"/>
      <c r="SR51" s="16"/>
      <c r="SS51" s="16"/>
      <c r="ST51" s="16"/>
      <c r="SU51" s="16"/>
      <c r="SV51" s="16"/>
      <c r="SW51" s="16"/>
      <c r="SX51" s="16"/>
      <c r="SY51" s="16"/>
      <c r="SZ51" s="16"/>
      <c r="TA51" s="16"/>
      <c r="TB51" s="16"/>
      <c r="TC51" s="16"/>
      <c r="TD51" s="16"/>
      <c r="TE51" s="16"/>
      <c r="TF51" s="16"/>
      <c r="TG51" s="16"/>
      <c r="TH51" s="16"/>
      <c r="TI51" s="16"/>
      <c r="TJ51" s="16"/>
      <c r="TK51" s="16"/>
      <c r="TL51" s="16"/>
      <c r="TM51" s="16"/>
      <c r="TN51" s="16"/>
      <c r="TO51" s="16"/>
      <c r="TP51" s="16"/>
      <c r="TQ51" s="16"/>
      <c r="TR51" s="16"/>
      <c r="TS51" s="16"/>
      <c r="TT51" s="16"/>
      <c r="TU51" s="16"/>
      <c r="TV51" s="16"/>
      <c r="TW51" s="16"/>
      <c r="TX51" s="16"/>
      <c r="TY51" s="16"/>
      <c r="TZ51" s="16"/>
      <c r="UA51" s="16"/>
      <c r="UB51" s="16"/>
      <c r="UC51" s="16"/>
      <c r="UD51" s="16"/>
      <c r="UE51" s="16"/>
      <c r="UF51" s="16"/>
      <c r="UG51" s="16"/>
      <c r="UH51" s="16"/>
      <c r="UI51" s="16"/>
      <c r="UJ51" s="16"/>
      <c r="UK51" s="16"/>
      <c r="UL51" s="16"/>
      <c r="UM51" s="16"/>
      <c r="UN51" s="16"/>
      <c r="UO51" s="16"/>
      <c r="UP51" s="16"/>
      <c r="UQ51" s="16"/>
      <c r="UR51" s="16"/>
      <c r="US51" s="16"/>
      <c r="UT51" s="16"/>
      <c r="UU51" s="16"/>
      <c r="UV51" s="16"/>
      <c r="UW51" s="16"/>
      <c r="UX51" s="16"/>
      <c r="UY51" s="16"/>
      <c r="UZ51" s="16"/>
      <c r="VA51" s="16"/>
      <c r="VB51" s="16"/>
      <c r="VC51" s="16"/>
      <c r="VD51" s="16"/>
      <c r="VE51" s="16"/>
      <c r="VF51" s="16"/>
      <c r="VG51" s="16"/>
      <c r="VH51" s="16"/>
      <c r="VI51" s="16"/>
      <c r="VJ51" s="16"/>
      <c r="VK51" s="16"/>
      <c r="VL51" s="16"/>
      <c r="VM51" s="16"/>
      <c r="VN51" s="16"/>
      <c r="VO51" s="16"/>
      <c r="VP51" s="16"/>
      <c r="VQ51" s="16"/>
      <c r="VR51" s="16"/>
      <c r="VS51" s="16"/>
      <c r="VT51" s="16"/>
      <c r="VU51" s="16"/>
      <c r="VV51" s="16"/>
      <c r="VW51" s="16"/>
      <c r="VX51" s="16"/>
      <c r="VY51" s="16"/>
      <c r="VZ51" s="16"/>
      <c r="WA51" s="16"/>
      <c r="WB51" s="16"/>
      <c r="WC51" s="16"/>
      <c r="WD51" s="16"/>
      <c r="WE51" s="16"/>
      <c r="WF51" s="16"/>
      <c r="WG51" s="16"/>
      <c r="WH51" s="16"/>
      <c r="WI51" s="16"/>
      <c r="WJ51" s="16"/>
      <c r="WK51" s="16"/>
      <c r="WL51" s="16"/>
      <c r="WM51" s="16"/>
      <c r="WN51" s="16"/>
      <c r="WO51" s="16"/>
      <c r="WP51" s="16"/>
      <c r="WQ51" s="16"/>
      <c r="WR51" s="16"/>
      <c r="WS51" s="16"/>
      <c r="WT51" s="16"/>
      <c r="WU51" s="16"/>
      <c r="WV51" s="16"/>
      <c r="WW51" s="16"/>
      <c r="WX51" s="16"/>
      <c r="WY51" s="16"/>
      <c r="WZ51" s="16"/>
      <c r="XA51" s="16"/>
      <c r="XB51" s="16"/>
      <c r="XC51" s="16"/>
      <c r="XD51" s="16"/>
      <c r="XE51" s="16"/>
      <c r="XF51" s="16"/>
      <c r="XG51" s="16"/>
      <c r="XH51" s="16"/>
      <c r="XI51" s="16"/>
      <c r="XJ51" s="16"/>
      <c r="XK51" s="16"/>
      <c r="XL51" s="16"/>
      <c r="XM51" s="16"/>
      <c r="XN51" s="16"/>
      <c r="XO51" s="16"/>
      <c r="XP51" s="16"/>
      <c r="XQ51" s="16"/>
      <c r="XR51" s="16"/>
      <c r="XS51" s="16"/>
      <c r="XT51" s="16"/>
      <c r="XU51" s="16"/>
      <c r="XV51" s="16"/>
      <c r="XW51" s="16"/>
      <c r="XX51" s="16"/>
      <c r="XY51" s="16"/>
      <c r="XZ51" s="16"/>
      <c r="YA51" s="16"/>
      <c r="YB51" s="16"/>
      <c r="YC51" s="16"/>
      <c r="YD51" s="16"/>
      <c r="YE51" s="16"/>
      <c r="YF51" s="16"/>
      <c r="YG51" s="16"/>
      <c r="YH51" s="16"/>
      <c r="YI51" s="16"/>
      <c r="YJ51" s="16"/>
      <c r="YK51" s="16"/>
      <c r="YL51" s="16"/>
      <c r="YM51" s="16"/>
      <c r="YN51" s="16"/>
      <c r="YO51" s="16"/>
      <c r="YP51" s="16"/>
      <c r="YQ51" s="16"/>
      <c r="YR51" s="16"/>
      <c r="YS51" s="16"/>
      <c r="YT51" s="16"/>
      <c r="YU51" s="16"/>
      <c r="YV51" s="16"/>
      <c r="YW51" s="16"/>
      <c r="YX51" s="16"/>
      <c r="YY51" s="16"/>
      <c r="YZ51" s="16"/>
      <c r="ZA51" s="16"/>
      <c r="ZB51" s="16"/>
      <c r="ZC51" s="16"/>
      <c r="ZD51" s="16"/>
      <c r="ZE51" s="16"/>
      <c r="ZF51" s="16"/>
      <c r="ZG51" s="16"/>
      <c r="ZH51" s="16"/>
      <c r="ZI51" s="16"/>
      <c r="ZJ51" s="16"/>
      <c r="ZK51" s="16"/>
      <c r="ZL51" s="16"/>
      <c r="ZM51" s="16"/>
      <c r="ZN51" s="16"/>
      <c r="ZO51" s="16"/>
      <c r="ZP51" s="16"/>
      <c r="ZQ51" s="16"/>
      <c r="ZR51" s="16"/>
      <c r="ZS51" s="16"/>
      <c r="ZT51" s="16"/>
      <c r="ZU51" s="16"/>
      <c r="ZV51" s="16"/>
      <c r="ZW51" s="16"/>
      <c r="ZX51" s="16"/>
      <c r="ZY51" s="16"/>
      <c r="ZZ51" s="16"/>
      <c r="AAA51" s="16"/>
      <c r="AAB51" s="16"/>
      <c r="AAC51" s="16"/>
      <c r="AAD51" s="16"/>
      <c r="AAE51" s="16"/>
      <c r="AAF51" s="16"/>
      <c r="AAG51" s="16"/>
      <c r="AAH51" s="16"/>
      <c r="AAI51" s="16"/>
      <c r="AAJ51" s="16"/>
      <c r="AAK51" s="16"/>
      <c r="AAL51" s="16"/>
      <c r="AAM51" s="16"/>
      <c r="AAN51" s="16"/>
      <c r="AAO51" s="16"/>
      <c r="AAP51" s="16"/>
      <c r="AAQ51" s="16"/>
      <c r="AAR51" s="16"/>
      <c r="AAS51" s="16"/>
      <c r="AAT51" s="16"/>
      <c r="AAU51" s="16"/>
      <c r="AAV51" s="16"/>
      <c r="AAW51" s="16"/>
      <c r="AAX51" s="16"/>
      <c r="AAY51" s="16"/>
      <c r="AAZ51" s="16"/>
      <c r="ABA51" s="16"/>
      <c r="ABB51" s="16"/>
      <c r="ABC51" s="16"/>
      <c r="ABD51" s="16"/>
      <c r="ABE51" s="16"/>
      <c r="ABF51" s="16"/>
      <c r="ABG51" s="16">
        <v>1</v>
      </c>
      <c r="ABH51" s="16"/>
      <c r="ABI51" s="16"/>
      <c r="ABJ51" s="16"/>
      <c r="ABK51" s="16"/>
      <c r="ABL51" s="16"/>
      <c r="ABM51" s="16"/>
      <c r="ABN51" s="16"/>
      <c r="ABO51" s="16"/>
      <c r="ABP51" s="16"/>
      <c r="ABQ51" s="16"/>
      <c r="ABR51" s="16"/>
      <c r="ABS51" s="16"/>
      <c r="ABT51" s="16"/>
      <c r="ABU51" s="16"/>
      <c r="ABV51" s="16"/>
      <c r="ABW51" s="16"/>
      <c r="ABX51" s="16"/>
      <c r="ABY51" s="16"/>
      <c r="ABZ51" s="16"/>
      <c r="ACA51" s="16"/>
      <c r="ACB51" s="16"/>
      <c r="ACC51" s="16"/>
      <c r="ACD51" s="16"/>
      <c r="ACE51" s="16"/>
      <c r="ACF51" s="16"/>
      <c r="ACG51" s="16"/>
      <c r="ACH51" s="16"/>
      <c r="ACI51" s="16"/>
      <c r="ACJ51" s="16"/>
      <c r="ACK51" s="16"/>
      <c r="ACL51" s="16"/>
      <c r="ACM51" s="16"/>
      <c r="ACN51" s="16"/>
      <c r="ACO51" s="16"/>
      <c r="ACP51" s="16"/>
      <c r="ACQ51" s="16"/>
      <c r="ACR51" s="16"/>
      <c r="ACS51" s="16"/>
      <c r="ACT51" s="16"/>
      <c r="ACU51" s="16"/>
      <c r="ACV51" s="16"/>
      <c r="ACW51" s="16"/>
      <c r="ACX51" s="16"/>
      <c r="ACY51" s="16"/>
      <c r="ACZ51" s="16"/>
      <c r="ADA51" s="16"/>
      <c r="ADB51" s="16"/>
      <c r="ADC51" s="16"/>
      <c r="ADD51" s="16"/>
      <c r="ADE51" s="16"/>
      <c r="ADF51" s="16"/>
      <c r="ADG51" s="16"/>
      <c r="ADH51" s="16"/>
      <c r="ADI51" s="16"/>
      <c r="ADJ51" s="16"/>
      <c r="ADK51" s="16"/>
      <c r="ADL51" s="16"/>
      <c r="ADM51" s="16"/>
      <c r="ADN51" s="16"/>
      <c r="ADO51" s="16"/>
      <c r="ADP51" s="16"/>
      <c r="ADQ51" s="16">
        <v>1</v>
      </c>
      <c r="ADR51" s="16"/>
      <c r="ADS51" s="16"/>
      <c r="ADT51" s="16">
        <v>1</v>
      </c>
      <c r="ADU51" s="16">
        <v>1</v>
      </c>
      <c r="ADV51" s="16"/>
      <c r="ADW51" s="16"/>
      <c r="ADX51" s="16"/>
      <c r="ADY51" s="16"/>
      <c r="ADZ51" s="16"/>
      <c r="AEA51" s="16"/>
      <c r="AEB51" s="16"/>
      <c r="AEC51" s="16"/>
      <c r="AED51" s="16"/>
      <c r="AEE51" s="16"/>
      <c r="AEF51" s="16"/>
      <c r="AEG51" s="16"/>
      <c r="AEH51" s="16"/>
      <c r="AEI51" s="16"/>
      <c r="AEJ51" s="16"/>
      <c r="AEK51" s="16"/>
      <c r="AEL51" s="16"/>
      <c r="AEM51" s="16"/>
      <c r="AEN51" s="16"/>
      <c r="AEO51" s="16"/>
      <c r="AEP51" s="16"/>
      <c r="AEQ51" s="16"/>
      <c r="AER51" s="16"/>
      <c r="AES51" s="16"/>
      <c r="AET51" s="16"/>
      <c r="AEU51" s="16"/>
      <c r="AEV51" s="16"/>
      <c r="AEW51" s="16"/>
      <c r="AEX51" s="16"/>
      <c r="AEY51" s="16"/>
      <c r="AEZ51" s="16"/>
      <c r="AFA51" s="16"/>
      <c r="AFB51" s="16"/>
      <c r="AFC51" s="16"/>
      <c r="AFD51" s="16"/>
      <c r="AFE51" s="16"/>
      <c r="AFF51" s="16"/>
      <c r="AFG51" s="16"/>
      <c r="AFH51" s="16"/>
      <c r="AFI51" s="16"/>
      <c r="AFJ51" s="16"/>
      <c r="AFK51" s="16"/>
      <c r="AFL51" s="16"/>
      <c r="AFM51" s="16"/>
      <c r="AFN51" s="16"/>
      <c r="AFO51" s="16"/>
      <c r="AFP51" s="16"/>
      <c r="AFQ51" s="16"/>
      <c r="AFR51" s="16"/>
      <c r="AFS51" s="16"/>
      <c r="AFT51" s="16"/>
      <c r="AFU51" s="16"/>
      <c r="AFV51" s="16"/>
      <c r="AFW51" s="16"/>
      <c r="AFX51" s="16"/>
      <c r="AFY51" s="16"/>
      <c r="AFZ51" s="16"/>
      <c r="AGA51" s="16">
        <v>1</v>
      </c>
      <c r="AGB51" s="16"/>
      <c r="AGC51" s="16"/>
      <c r="AGD51" s="16"/>
      <c r="AGE51" s="16"/>
      <c r="AGF51" s="16"/>
      <c r="AGG51" s="16"/>
      <c r="AGH51" s="16"/>
      <c r="AGI51" s="16"/>
      <c r="AGJ51" s="16"/>
      <c r="AGK51" s="16"/>
      <c r="AGL51" s="16"/>
      <c r="AGM51" s="16"/>
      <c r="AGN51" s="16"/>
      <c r="AGO51" s="16"/>
      <c r="AGP51" s="16"/>
      <c r="AGQ51" s="16"/>
      <c r="AGR51" s="16"/>
      <c r="AGS51" s="16"/>
      <c r="AGT51" s="16"/>
      <c r="AGU51" s="16"/>
      <c r="AGV51" s="16"/>
      <c r="AGW51" s="16"/>
      <c r="AGX51" s="16"/>
      <c r="AGY51" s="16"/>
      <c r="AGZ51" s="16"/>
      <c r="AHA51" s="16"/>
      <c r="AHB51" s="16"/>
      <c r="AHC51" s="16"/>
      <c r="AHD51" s="16"/>
      <c r="AHE51" s="16"/>
      <c r="AHF51" s="16"/>
      <c r="AHG51" s="16"/>
      <c r="AHH51" s="16"/>
      <c r="AHI51" s="16"/>
      <c r="AHJ51" s="16"/>
      <c r="AHK51" s="16"/>
      <c r="AHL51" s="16"/>
      <c r="AHM51" s="16"/>
      <c r="AHN51" s="16"/>
      <c r="AHO51" s="16"/>
      <c r="AHP51" s="16"/>
      <c r="AHQ51" s="16"/>
      <c r="AHR51" s="16"/>
      <c r="AHS51" s="16"/>
      <c r="AHT51" s="16"/>
      <c r="AHU51" s="16"/>
      <c r="AHV51" s="16"/>
      <c r="AHW51" s="16"/>
      <c r="AHX51" s="16"/>
      <c r="AHY51" s="16"/>
      <c r="AHZ51" s="16"/>
      <c r="AIA51" s="16"/>
      <c r="AIB51" s="16"/>
      <c r="AIC51" s="16"/>
      <c r="AID51" s="16"/>
      <c r="AIE51" s="16"/>
      <c r="AIF51" s="16"/>
      <c r="AIG51" s="16"/>
      <c r="AIH51" s="16"/>
      <c r="AII51" s="16"/>
      <c r="AIJ51" s="16"/>
      <c r="AIK51" s="16"/>
      <c r="AIL51" s="16"/>
      <c r="AIM51" s="16"/>
      <c r="AIN51" s="16"/>
      <c r="AIO51" s="16"/>
      <c r="AIP51" s="16"/>
      <c r="AIQ51" s="16"/>
      <c r="AIR51" s="16"/>
      <c r="AIS51" s="16"/>
      <c r="AIT51" s="16"/>
      <c r="AIU51" s="16"/>
      <c r="AIV51" s="16"/>
      <c r="AIW51" s="16"/>
      <c r="AIX51" s="16"/>
      <c r="AIY51" s="16"/>
      <c r="AIZ51" s="16"/>
      <c r="AJA51" s="16"/>
      <c r="AJB51" s="16"/>
      <c r="AJC51" s="16"/>
      <c r="AJD51" s="16"/>
      <c r="AJE51" s="16"/>
      <c r="AJF51" s="16"/>
      <c r="AJG51" s="16"/>
      <c r="AJH51" s="16"/>
      <c r="AJI51" s="16"/>
      <c r="AJJ51" s="16"/>
      <c r="AJK51" s="16"/>
      <c r="AJL51" s="16"/>
      <c r="AJM51" s="16"/>
      <c r="AJN51" s="16"/>
      <c r="AJO51" s="16"/>
      <c r="AJP51" s="16"/>
      <c r="AJQ51" s="16"/>
      <c r="AJR51" s="16"/>
      <c r="AJS51" s="16"/>
      <c r="AJT51" s="16"/>
      <c r="AJU51" s="16"/>
      <c r="AJV51" s="16"/>
      <c r="AJW51" s="16"/>
      <c r="AJX51" s="16"/>
      <c r="AJY51" s="16"/>
      <c r="AJZ51" s="16"/>
      <c r="AKA51" s="16"/>
      <c r="AKB51" s="16"/>
      <c r="AKC51" s="16"/>
      <c r="AKD51" s="16"/>
      <c r="AKE51" s="16"/>
      <c r="AKF51" s="16"/>
      <c r="AKG51" s="16"/>
      <c r="AKH51" s="16"/>
      <c r="AKI51" s="16"/>
      <c r="AKJ51" s="16"/>
      <c r="AKK51" s="16"/>
      <c r="AKL51" s="16"/>
      <c r="AKM51" s="16"/>
      <c r="AKN51" s="16"/>
      <c r="AKO51" s="16"/>
      <c r="AKP51" s="16"/>
      <c r="AKQ51" s="16"/>
      <c r="AKR51" s="16"/>
      <c r="AKS51" s="16"/>
      <c r="AKT51" s="16"/>
      <c r="AKU51" s="16"/>
      <c r="AKV51" s="16"/>
      <c r="AKW51" s="16"/>
      <c r="AKX51" s="16"/>
      <c r="AKY51" s="16"/>
      <c r="AKZ51" s="16"/>
      <c r="ALA51" s="16"/>
      <c r="ALB51" s="16"/>
      <c r="ALC51" s="16"/>
      <c r="ALD51" s="16"/>
      <c r="ALE51" s="16"/>
      <c r="ALF51" s="16"/>
      <c r="ALG51" s="16"/>
      <c r="ALH51" s="16"/>
      <c r="ALI51" s="16"/>
      <c r="ALJ51" s="16"/>
      <c r="ALK51" s="16"/>
      <c r="ALL51" s="16"/>
      <c r="ALM51" s="16"/>
      <c r="ALN51" s="16"/>
      <c r="ALO51" s="16"/>
      <c r="ALP51" s="16"/>
      <c r="ALQ51" s="16"/>
      <c r="ALR51" s="16"/>
      <c r="ALS51" s="16"/>
      <c r="ALT51" s="16"/>
      <c r="ALU51" s="16"/>
      <c r="ALV51" s="16"/>
      <c r="ALW51" s="16"/>
      <c r="ALX51" s="16"/>
      <c r="ALY51" s="16"/>
      <c r="ALZ51" s="16"/>
      <c r="AMA51" s="16"/>
      <c r="AMB51" s="16"/>
      <c r="AMC51" s="16"/>
      <c r="AMD51" s="16"/>
      <c r="AME51" s="16"/>
      <c r="AMF51" s="16"/>
      <c r="AMG51" s="16"/>
      <c r="AMH51" s="16"/>
      <c r="AMI51" s="16"/>
      <c r="AMJ51" s="16"/>
      <c r="AMK51" s="16"/>
      <c r="AML51" s="16"/>
      <c r="AMM51" s="16"/>
      <c r="AMN51" s="16"/>
      <c r="AMO51" s="16"/>
      <c r="AMP51" s="16"/>
      <c r="AMQ51" s="16"/>
      <c r="AMR51" s="16"/>
      <c r="AMS51" s="16"/>
      <c r="AMT51" s="16"/>
      <c r="AMU51" s="16"/>
      <c r="AMV51" s="16"/>
      <c r="AMW51" s="16"/>
      <c r="AMX51" s="16"/>
      <c r="AMY51" s="16"/>
      <c r="AMZ51" s="16"/>
      <c r="ANA51" s="16"/>
      <c r="ANB51" s="16"/>
      <c r="ANC51" s="16"/>
      <c r="AND51" s="16"/>
      <c r="ANE51" s="16"/>
      <c r="ANF51" s="16"/>
      <c r="ANG51" s="16"/>
      <c r="ANH51" s="16"/>
      <c r="ANI51" s="16"/>
      <c r="ANJ51" s="16"/>
      <c r="ANK51" s="16"/>
      <c r="ANL51" s="16"/>
      <c r="ANM51" s="16"/>
      <c r="ANN51" s="16"/>
      <c r="ANO51" s="16"/>
      <c r="ANP51" s="16"/>
      <c r="ANQ51" s="16"/>
      <c r="ANR51" s="16"/>
      <c r="ANS51" s="16"/>
      <c r="ANT51" s="16"/>
      <c r="ANU51" s="16"/>
      <c r="ANV51" s="16"/>
      <c r="ANW51" s="16"/>
      <c r="ANX51" s="16"/>
      <c r="ANY51" s="16"/>
      <c r="ANZ51" s="16"/>
      <c r="AOA51" s="16"/>
      <c r="AOB51" s="16"/>
      <c r="AOC51" s="16"/>
      <c r="AOD51" s="16"/>
      <c r="AOE51" s="16"/>
      <c r="AOF51" s="16"/>
      <c r="AOG51" s="16"/>
      <c r="AOH51" s="16"/>
      <c r="AOI51" s="16"/>
      <c r="AOJ51" s="16"/>
      <c r="AOK51" s="16"/>
      <c r="AOL51" s="16"/>
      <c r="AOM51" s="16"/>
      <c r="AON51" s="16"/>
      <c r="AOO51" s="16"/>
      <c r="AOP51" s="16"/>
      <c r="AOQ51" s="16"/>
      <c r="AOR51" s="16"/>
      <c r="AOS51" s="16"/>
      <c r="AOT51" s="16"/>
      <c r="AOU51" s="16"/>
      <c r="AOV51" s="16"/>
      <c r="AOW51" s="16"/>
      <c r="AOX51" s="16"/>
      <c r="AOY51" s="16"/>
      <c r="AOZ51" s="16"/>
      <c r="APA51" s="16"/>
      <c r="APB51" s="16"/>
      <c r="APC51" s="16"/>
      <c r="APD51" s="16"/>
      <c r="APE51" s="16"/>
      <c r="APF51" s="16"/>
      <c r="APG51" s="16"/>
      <c r="APH51" s="16"/>
      <c r="API51" s="16"/>
      <c r="APJ51" s="16"/>
      <c r="APK51" s="16"/>
      <c r="APL51" s="16"/>
      <c r="APM51" s="16"/>
      <c r="APN51" s="16"/>
      <c r="APO51" s="16"/>
      <c r="APP51" s="16"/>
      <c r="APQ51" s="16"/>
      <c r="APR51" s="16"/>
      <c r="APS51" s="16"/>
      <c r="APT51" s="16"/>
      <c r="APU51" s="16"/>
      <c r="APV51" s="16"/>
      <c r="APW51" s="16"/>
      <c r="APX51" s="16"/>
      <c r="APY51" s="16"/>
      <c r="APZ51" s="16"/>
      <c r="AQA51" s="16"/>
      <c r="AQB51" s="16"/>
      <c r="AQC51" s="16"/>
      <c r="AQD51" s="16"/>
      <c r="AQE51" s="16"/>
      <c r="AQF51" s="16"/>
      <c r="AQG51" s="16"/>
      <c r="AQH51" s="16"/>
      <c r="AQI51" s="16"/>
      <c r="AQJ51" s="16"/>
      <c r="AQK51" s="16"/>
      <c r="AQL51" s="16"/>
      <c r="AQM51" s="16"/>
      <c r="AQN51" s="16"/>
      <c r="AQO51" s="16"/>
      <c r="AQP51" s="16"/>
      <c r="AQQ51" s="16"/>
      <c r="AQR51" s="16"/>
      <c r="AQS51" s="16"/>
      <c r="AQT51" s="16"/>
      <c r="AQU51" s="16"/>
      <c r="AQV51" s="16"/>
      <c r="AQW51" s="16"/>
      <c r="AQX51" s="16"/>
      <c r="AQY51" s="16"/>
      <c r="AQZ51" s="16"/>
      <c r="ARA51" s="16"/>
      <c r="ARB51" s="16"/>
      <c r="ARC51" s="16"/>
      <c r="ARD51" s="16"/>
      <c r="ARE51" s="16"/>
      <c r="ARF51" s="16"/>
      <c r="ARG51" s="16"/>
      <c r="ARH51" s="16"/>
      <c r="ARI51" s="16"/>
      <c r="ARJ51" s="16"/>
      <c r="ARK51" s="16"/>
      <c r="ARL51" s="16"/>
      <c r="ARM51" s="16"/>
      <c r="ARN51" s="16"/>
      <c r="ARO51" s="16"/>
      <c r="ARP51" s="16"/>
      <c r="ARQ51" s="16"/>
      <c r="ARR51" s="16"/>
      <c r="ARS51" s="16"/>
      <c r="ART51" s="16"/>
      <c r="ARU51" s="16"/>
      <c r="ARV51" s="16"/>
      <c r="ARW51" s="16"/>
      <c r="ARX51" s="16"/>
      <c r="ARY51" s="16"/>
      <c r="ARZ51" s="16"/>
      <c r="ASA51" s="16"/>
      <c r="ASB51" s="16"/>
      <c r="ASC51" s="16"/>
      <c r="ASD51" s="16"/>
      <c r="ASE51" s="16"/>
      <c r="ASF51" s="16"/>
      <c r="ASG51" s="16"/>
      <c r="ASH51" s="16"/>
      <c r="ASI51" s="16"/>
      <c r="ASJ51" s="16"/>
      <c r="ASK51" s="16"/>
      <c r="ASL51" s="16"/>
      <c r="ASM51" s="16"/>
      <c r="ASN51" s="16"/>
      <c r="ASO51" s="16"/>
      <c r="ASP51" s="16"/>
      <c r="ASQ51" s="16"/>
      <c r="ASR51" s="16"/>
      <c r="ASS51" s="16"/>
      <c r="AST51" s="16"/>
      <c r="ASU51" s="16"/>
      <c r="ASV51" s="16"/>
      <c r="ASW51" s="16"/>
      <c r="ASX51" s="16"/>
      <c r="ASY51" s="16"/>
      <c r="ASZ51" s="16"/>
      <c r="ATA51" s="16"/>
      <c r="ATB51" s="16"/>
      <c r="ATC51" s="16"/>
      <c r="ATD51" s="16"/>
      <c r="ATE51" s="16"/>
      <c r="ATF51" s="16"/>
      <c r="ATG51" s="16"/>
      <c r="ATH51" s="16"/>
      <c r="ATI51" s="16"/>
      <c r="ATJ51" s="16"/>
      <c r="ATK51" s="16"/>
      <c r="ATL51" s="16"/>
      <c r="ATM51" s="16"/>
      <c r="ATN51" s="16"/>
      <c r="ATO51" s="16"/>
      <c r="ATP51" s="16"/>
      <c r="ATQ51" s="16"/>
      <c r="ATR51" s="16"/>
      <c r="ATS51" s="16"/>
      <c r="ATT51" s="16"/>
      <c r="ATU51" s="16"/>
      <c r="ATV51" s="16"/>
      <c r="ATW51" s="16"/>
      <c r="ATX51" s="16"/>
      <c r="ATY51" s="16"/>
      <c r="ATZ51" s="16"/>
      <c r="AUA51" s="16"/>
      <c r="AUB51" s="16"/>
      <c r="AUC51" s="16"/>
      <c r="AUD51" s="16"/>
      <c r="AUE51" s="16"/>
      <c r="AUF51" s="16"/>
      <c r="AUG51" s="16"/>
      <c r="AUH51" s="16"/>
      <c r="AUI51" s="16"/>
      <c r="AUJ51" s="16"/>
      <c r="AUK51" s="16"/>
      <c r="AUL51" s="16"/>
      <c r="AUM51" s="16"/>
      <c r="AUN51" s="16"/>
      <c r="AUO51" s="16"/>
      <c r="AUP51" s="16"/>
      <c r="AUQ51" s="16"/>
      <c r="AUR51" s="16"/>
      <c r="AUS51" s="16"/>
      <c r="AUT51" s="16"/>
      <c r="AUU51" s="16"/>
      <c r="AUV51" s="16"/>
      <c r="AUW51" s="16"/>
      <c r="AUX51" s="16"/>
      <c r="AUY51" s="16"/>
      <c r="AUZ51" s="16"/>
      <c r="AVA51" s="16"/>
      <c r="AVB51" s="16"/>
      <c r="AVC51" s="16"/>
      <c r="AVD51" s="16"/>
      <c r="AVE51" s="16"/>
      <c r="AVF51" s="16"/>
      <c r="AVG51" s="16"/>
      <c r="AVH51" s="16"/>
      <c r="AVI51" s="16"/>
      <c r="AVJ51" s="16"/>
      <c r="AVK51" s="16"/>
      <c r="AVL51" s="16"/>
      <c r="AVM51" s="16"/>
      <c r="AVN51" s="16"/>
      <c r="AVO51" s="16"/>
      <c r="AVP51" s="16"/>
      <c r="AVQ51" s="16"/>
      <c r="AVR51" s="16"/>
      <c r="AVS51" s="16"/>
      <c r="AVT51" s="16"/>
      <c r="AVU51" s="16"/>
      <c r="AVV51" s="16"/>
      <c r="AVW51" s="16"/>
      <c r="AVX51" s="16"/>
      <c r="AVY51" s="16"/>
      <c r="AVZ51" s="16"/>
      <c r="AWA51" s="16"/>
      <c r="AWB51" s="16"/>
      <c r="AWC51" s="16"/>
      <c r="AWD51" s="16"/>
      <c r="AWE51" s="16"/>
      <c r="AWF51" s="16"/>
      <c r="AWG51" s="16"/>
      <c r="AWH51" s="16"/>
      <c r="AWI51" s="16"/>
      <c r="AWJ51" s="16"/>
      <c r="AWK51" s="16"/>
      <c r="AWL51" s="16"/>
      <c r="AWM51" s="16"/>
      <c r="AWN51" s="16"/>
      <c r="AWO51" s="16"/>
      <c r="AWP51" s="16"/>
      <c r="AWQ51" s="16"/>
      <c r="AWR51" s="16"/>
      <c r="AWS51" s="16"/>
      <c r="AWT51" s="16"/>
      <c r="AWU51" s="16"/>
      <c r="AWV51" s="16"/>
      <c r="AWW51" s="16"/>
      <c r="AWX51" s="16"/>
      <c r="AWY51" s="16"/>
      <c r="AWZ51" s="16"/>
      <c r="AXA51" s="16"/>
      <c r="AXB51" s="16"/>
      <c r="AXC51" s="16"/>
      <c r="AXD51" s="16"/>
      <c r="AXE51" s="16"/>
      <c r="AXF51" s="16"/>
      <c r="AXG51" s="16"/>
      <c r="AXH51" s="16"/>
      <c r="AXI51" s="16"/>
      <c r="AXJ51" s="16"/>
      <c r="AXK51" s="16"/>
      <c r="AXL51" s="16"/>
      <c r="AXM51" s="16"/>
      <c r="AXN51" s="16"/>
      <c r="AXO51" s="16"/>
      <c r="AXP51" s="16"/>
      <c r="AXQ51" s="16"/>
      <c r="AXR51" s="16"/>
      <c r="AXS51" s="16"/>
      <c r="AXT51" s="16"/>
      <c r="AXU51" s="16"/>
      <c r="AXV51" s="16"/>
      <c r="AXW51" s="16"/>
      <c r="AXX51" s="16"/>
      <c r="AXY51" s="16"/>
      <c r="AXZ51" s="16"/>
      <c r="AYA51" s="16"/>
      <c r="AYB51" s="16"/>
      <c r="AYC51" s="16"/>
      <c r="AYD51" s="16"/>
      <c r="AYE51" s="16"/>
      <c r="AYF51" s="16"/>
      <c r="AYG51" s="16"/>
      <c r="AYH51" s="16"/>
      <c r="AYI51" s="16"/>
      <c r="AYJ51" s="16"/>
      <c r="AYK51" s="16"/>
      <c r="AYL51" s="16"/>
      <c r="AYM51" s="16"/>
      <c r="AYN51" s="16"/>
      <c r="AYO51" s="16"/>
      <c r="AYP51" s="16"/>
      <c r="AYQ51" s="16"/>
      <c r="AYR51" s="16"/>
      <c r="AYS51" s="16"/>
      <c r="AYT51" s="16"/>
      <c r="AYU51" s="16"/>
      <c r="AYV51" s="16"/>
      <c r="AYW51" s="16"/>
      <c r="AYX51" s="16"/>
      <c r="AYY51" s="16"/>
      <c r="AYZ51" s="16"/>
      <c r="AZA51" s="16"/>
      <c r="AZB51" s="16"/>
      <c r="AZC51" s="16"/>
      <c r="AZD51" s="16"/>
      <c r="AZE51" s="16"/>
      <c r="AZF51" s="16"/>
      <c r="AZG51" s="16"/>
      <c r="AZH51" s="16"/>
      <c r="AZI51" s="16"/>
      <c r="AZJ51" s="16"/>
      <c r="AZK51" s="16"/>
      <c r="AZL51" s="16"/>
      <c r="AZM51" s="16"/>
      <c r="AZN51" s="16"/>
      <c r="AZO51" s="16"/>
      <c r="AZP51" s="16"/>
      <c r="AZQ51" s="16"/>
      <c r="AZR51" s="16"/>
      <c r="AZS51" s="16"/>
      <c r="AZT51" s="16"/>
      <c r="AZU51" s="16"/>
      <c r="AZV51" s="16"/>
      <c r="AZW51" s="16"/>
      <c r="AZX51" s="16"/>
      <c r="AZY51" s="16"/>
      <c r="AZZ51" s="16"/>
      <c r="BAA51" s="16"/>
      <c r="BAB51" s="16"/>
      <c r="BAC51" s="16"/>
      <c r="BAD51" s="16"/>
      <c r="BAE51" s="16"/>
      <c r="BAF51" s="16"/>
      <c r="BAG51" s="16"/>
      <c r="BAH51" s="16"/>
      <c r="BAI51" s="16"/>
      <c r="BAJ51" s="16"/>
      <c r="BAK51" s="16"/>
      <c r="BAL51" s="16"/>
      <c r="BAM51" s="16"/>
      <c r="BAN51" s="16"/>
      <c r="BAO51" s="16"/>
      <c r="BAP51" s="16"/>
      <c r="BAQ51" s="16"/>
      <c r="BAR51" s="16"/>
      <c r="BAS51" s="16"/>
      <c r="BAT51" s="16"/>
      <c r="BAU51" s="16"/>
      <c r="BAV51" s="16"/>
      <c r="BAW51" s="16"/>
      <c r="BAX51" s="16"/>
      <c r="BAY51" s="16"/>
      <c r="BAZ51" s="16"/>
      <c r="BBA51" s="16"/>
      <c r="BBB51" s="16"/>
      <c r="BBC51" s="16"/>
      <c r="BBD51" s="16"/>
      <c r="BBE51" s="16"/>
      <c r="BBF51" s="16"/>
      <c r="BBG51" s="16"/>
      <c r="BBH51" s="16"/>
      <c r="BBI51" s="16"/>
      <c r="BBJ51" s="16"/>
      <c r="BBK51" s="16"/>
      <c r="BBL51" s="16"/>
      <c r="BBM51" s="16"/>
      <c r="BBN51" s="16"/>
      <c r="BBO51" s="16"/>
      <c r="BBP51" s="16"/>
      <c r="BBQ51" s="16"/>
      <c r="BBR51" s="16"/>
      <c r="BBS51" s="16"/>
      <c r="BBT51" s="16"/>
      <c r="BBU51" s="16"/>
      <c r="BBV51" s="16"/>
      <c r="BBW51" s="16"/>
      <c r="BBX51" s="16"/>
      <c r="BBY51" s="16"/>
      <c r="BBZ51" s="16"/>
      <c r="BCA51" s="16"/>
      <c r="BCB51" s="16"/>
      <c r="BCC51" s="16"/>
      <c r="BCD51" s="16"/>
      <c r="BCE51" s="16"/>
      <c r="BCF51" s="16"/>
      <c r="BCG51" s="16"/>
      <c r="BCH51" s="16"/>
      <c r="BCI51" s="16"/>
      <c r="BCJ51" s="16"/>
      <c r="BCK51" s="16"/>
      <c r="BCL51" s="16"/>
      <c r="BCM51" s="16"/>
      <c r="BCN51" s="16"/>
      <c r="BCO51" s="16"/>
      <c r="BCP51" s="16"/>
      <c r="BCQ51" s="16"/>
      <c r="BCR51" s="16"/>
      <c r="BCS51" s="16"/>
      <c r="BCT51" s="16"/>
      <c r="BCU51" s="16"/>
      <c r="BCV51" s="16"/>
      <c r="BCW51" s="16"/>
      <c r="BCX51" s="16"/>
      <c r="BCY51" s="16"/>
      <c r="BCZ51" s="16"/>
      <c r="BDA51" s="16"/>
      <c r="BDB51" s="16"/>
      <c r="BDC51" s="16"/>
      <c r="BDD51" s="16"/>
      <c r="BDE51" s="16"/>
      <c r="BDF51" s="16"/>
      <c r="BDG51" s="16"/>
      <c r="BDH51" s="16"/>
      <c r="BDI51" s="16"/>
      <c r="BDJ51" s="16"/>
      <c r="BDK51" s="16"/>
      <c r="BDL51" s="16"/>
      <c r="BDM51" s="16"/>
      <c r="BDN51" s="16"/>
      <c r="BDO51" s="16"/>
      <c r="BDP51" s="16"/>
      <c r="BDQ51" s="16"/>
      <c r="BDR51" s="16"/>
      <c r="BDS51" s="16"/>
      <c r="BDT51" s="16"/>
      <c r="BDU51" s="16"/>
      <c r="BDV51" s="16"/>
      <c r="BDW51" s="16"/>
      <c r="BDX51" s="16"/>
      <c r="BDY51" s="16"/>
      <c r="BDZ51" s="16"/>
      <c r="BEA51" s="16"/>
      <c r="BEB51" s="16"/>
      <c r="BEC51" s="16"/>
      <c r="BED51" s="16"/>
      <c r="BEE51" s="16"/>
      <c r="BEF51" s="16"/>
      <c r="BEG51" s="16"/>
      <c r="BEH51" s="16"/>
      <c r="BEI51" s="16"/>
      <c r="BEJ51" s="16"/>
      <c r="BEK51" s="16"/>
      <c r="BEL51" s="16"/>
      <c r="BEM51" s="16"/>
      <c r="BEN51" s="16"/>
      <c r="BEO51" s="16"/>
      <c r="BEP51" s="16"/>
      <c r="BEQ51" s="16"/>
      <c r="BER51" s="16"/>
      <c r="BES51" s="16"/>
      <c r="BET51" s="16"/>
      <c r="BEU51" s="16"/>
      <c r="BEV51" s="16"/>
      <c r="BEW51" s="16"/>
      <c r="BEX51" s="16"/>
      <c r="BEY51" s="16"/>
      <c r="BEZ51" s="16"/>
      <c r="BFA51" s="16"/>
      <c r="BFB51" s="16"/>
      <c r="BFC51" s="16"/>
      <c r="BFD51" s="16"/>
      <c r="BFE51" s="16"/>
      <c r="BFF51" s="16"/>
      <c r="BFG51" s="16"/>
      <c r="BFH51" s="16"/>
      <c r="BFI51" s="16"/>
      <c r="BFJ51" s="16"/>
      <c r="BFK51" s="16"/>
      <c r="BFL51" s="16"/>
      <c r="BFM51" s="16"/>
      <c r="BFN51" s="16"/>
      <c r="BFO51" s="16"/>
      <c r="BFP51" s="16"/>
      <c r="BFQ51" s="16"/>
      <c r="BFR51" s="16"/>
      <c r="BFS51" s="16"/>
      <c r="BFT51" s="16"/>
      <c r="BFU51" s="16"/>
      <c r="BFV51" s="16"/>
      <c r="BFW51" s="16"/>
      <c r="BFX51" s="16"/>
      <c r="BFY51" s="16"/>
      <c r="BFZ51" s="16"/>
      <c r="BGA51" s="16"/>
      <c r="BGB51" s="16"/>
      <c r="BGC51" s="16"/>
      <c r="BGD51" s="16"/>
      <c r="BGE51" s="16"/>
      <c r="BGF51" s="16"/>
      <c r="BGG51" s="16"/>
      <c r="BGH51" s="16"/>
      <c r="BGI51" s="16"/>
      <c r="BGJ51" s="16"/>
      <c r="BGK51" s="16"/>
      <c r="BGL51" s="16"/>
      <c r="BGM51" s="16"/>
      <c r="BGN51" s="16"/>
      <c r="BGO51" s="16"/>
      <c r="BGP51" s="16"/>
      <c r="BGQ51" s="16"/>
      <c r="BGR51" s="16"/>
      <c r="BGS51" s="16"/>
      <c r="BGT51" s="16"/>
      <c r="BGU51" s="16"/>
      <c r="BGV51" s="16"/>
      <c r="BGW51" s="16"/>
      <c r="BGX51" s="16"/>
      <c r="BGY51" s="16"/>
      <c r="BGZ51" s="16"/>
      <c r="BHA51" s="16"/>
      <c r="BHB51" s="16"/>
      <c r="BHC51" s="16"/>
      <c r="BHD51" s="16"/>
      <c r="BHE51" s="16"/>
      <c r="BHF51" s="16"/>
      <c r="BHG51" s="16"/>
      <c r="BHH51" s="16"/>
      <c r="BHI51" s="16"/>
      <c r="BHJ51" s="16"/>
      <c r="BHK51" s="16"/>
      <c r="BHL51" s="16"/>
      <c r="BHM51" s="16"/>
      <c r="BHN51" s="16"/>
      <c r="BHO51" s="16"/>
      <c r="BHP51" s="16"/>
      <c r="BHQ51" s="16"/>
      <c r="BHR51" s="16"/>
      <c r="BHS51" s="16"/>
      <c r="BHT51" s="16"/>
      <c r="BHU51" s="16"/>
      <c r="BHV51" s="16"/>
      <c r="BHW51" s="16"/>
      <c r="BHX51" s="16"/>
      <c r="BHY51" s="16"/>
      <c r="BHZ51" s="16"/>
      <c r="BIA51" s="16"/>
      <c r="BIB51" s="16"/>
      <c r="BIC51" s="16"/>
      <c r="BID51" s="16"/>
      <c r="BIE51" s="16"/>
      <c r="BIF51" s="16"/>
      <c r="BIG51" s="16"/>
      <c r="BIH51" s="16"/>
      <c r="BII51" s="16"/>
      <c r="BIJ51" s="16"/>
      <c r="BIK51" s="16"/>
      <c r="BIL51" s="16"/>
      <c r="BIM51" s="16"/>
      <c r="BIN51" s="16"/>
      <c r="BIO51" s="16"/>
      <c r="BIP51" s="16"/>
      <c r="BIQ51" s="16"/>
      <c r="BIR51" s="16"/>
      <c r="BIS51" s="16"/>
      <c r="BIT51" s="16"/>
      <c r="BIU51" s="16"/>
      <c r="BIV51" s="16"/>
      <c r="BIW51" s="16"/>
      <c r="BIX51" s="16"/>
      <c r="BIY51" s="16"/>
      <c r="BIZ51" s="16"/>
      <c r="BJA51" s="16"/>
      <c r="BJB51" s="16"/>
      <c r="BJC51" s="16"/>
      <c r="BJD51" s="16"/>
      <c r="BJE51" s="16"/>
      <c r="BJF51" s="16"/>
      <c r="BJG51" s="16"/>
      <c r="BJH51" s="16"/>
      <c r="BJI51" s="16"/>
      <c r="BJJ51" s="16"/>
      <c r="BJK51" s="16"/>
      <c r="BJL51" s="16"/>
      <c r="BJM51" s="16"/>
      <c r="BJN51" s="16"/>
      <c r="BJO51" s="16"/>
      <c r="BJP51" s="16"/>
      <c r="BJQ51" s="16"/>
      <c r="BJR51" s="16"/>
      <c r="BJS51" s="16"/>
      <c r="BJT51" s="16"/>
      <c r="BJU51" s="16"/>
      <c r="BJV51" s="16"/>
      <c r="BJW51" s="16"/>
      <c r="BJX51" s="16"/>
      <c r="BJY51" s="16"/>
      <c r="BJZ51" s="16"/>
      <c r="BKA51" s="16"/>
      <c r="BKB51" s="16"/>
      <c r="BKC51" s="16"/>
      <c r="BKD51" s="16"/>
      <c r="BKE51" s="16"/>
      <c r="BKF51" s="16"/>
      <c r="BKG51" s="16"/>
      <c r="BKH51" s="16"/>
      <c r="BKI51" s="16"/>
      <c r="BKJ51" s="16"/>
      <c r="BKK51" s="16"/>
      <c r="BKL51" s="16"/>
      <c r="BKM51" s="16"/>
      <c r="BKN51" s="16"/>
      <c r="BKO51" s="16"/>
      <c r="BKP51" s="16"/>
      <c r="BKQ51" s="16"/>
      <c r="BKR51" s="16"/>
      <c r="BKS51" s="16"/>
      <c r="BKT51" s="16"/>
      <c r="BKU51" s="16"/>
      <c r="BKV51" s="16"/>
      <c r="BKW51" s="16"/>
      <c r="BKX51" s="16"/>
      <c r="BKY51" s="16"/>
      <c r="BKZ51" s="16"/>
      <c r="BLA51" s="16"/>
      <c r="BLB51" s="16"/>
      <c r="BLC51" s="16"/>
      <c r="BLD51" s="16"/>
      <c r="BLE51" s="16"/>
      <c r="BLF51" s="16"/>
      <c r="BLG51" s="16"/>
      <c r="BLH51" s="16"/>
      <c r="BLI51" s="16"/>
      <c r="BLJ51" s="16"/>
      <c r="BLK51" s="16"/>
      <c r="BLL51" s="16"/>
      <c r="BLM51" s="16"/>
      <c r="BLN51" s="16"/>
      <c r="BLO51" s="16"/>
      <c r="BLP51" s="16"/>
      <c r="BLQ51" s="16"/>
      <c r="BLR51" s="16"/>
      <c r="BLS51" s="16"/>
      <c r="BLT51" s="16"/>
      <c r="BLU51" s="16"/>
      <c r="BLV51" s="16"/>
      <c r="BLW51" s="16"/>
      <c r="BLX51" s="16"/>
      <c r="BLY51" s="16"/>
      <c r="BLZ51" s="16"/>
      <c r="BMA51" s="16"/>
      <c r="BMB51" s="16"/>
      <c r="BMC51" s="16"/>
      <c r="BMD51" s="16"/>
      <c r="BME51" s="16"/>
      <c r="BMF51" s="16"/>
      <c r="BMG51" s="16"/>
      <c r="BMH51" s="16"/>
      <c r="BMI51" s="16"/>
      <c r="BMJ51" s="16"/>
      <c r="BMK51" s="16"/>
      <c r="BML51" s="16"/>
      <c r="BMM51" s="16"/>
      <c r="BMN51" s="16"/>
      <c r="BMO51" s="16"/>
      <c r="BMP51" s="16"/>
      <c r="BMQ51" s="16"/>
      <c r="BMR51" s="16"/>
      <c r="BMS51" s="16"/>
      <c r="BMT51" s="16"/>
      <c r="BMU51" s="16"/>
      <c r="BMV51" s="16"/>
      <c r="BMW51" s="16"/>
      <c r="BMX51" s="16"/>
      <c r="BMY51" s="16"/>
      <c r="BMZ51" s="16"/>
      <c r="BNA51" s="16"/>
      <c r="BNB51" s="16"/>
      <c r="BNC51" s="16"/>
      <c r="BND51" s="16"/>
      <c r="BNE51" s="16"/>
      <c r="BNF51" s="16"/>
      <c r="BNG51" s="16"/>
      <c r="BNH51" s="16"/>
      <c r="BNI51" s="16"/>
      <c r="BNJ51" s="16"/>
      <c r="BNK51" s="16"/>
      <c r="BNL51" s="16"/>
      <c r="BNM51" s="16"/>
      <c r="BNN51" s="16"/>
      <c r="BNO51" s="16"/>
      <c r="BNP51" s="16"/>
      <c r="BNQ51" s="16"/>
      <c r="BNR51" s="16"/>
      <c r="BNS51" s="16"/>
      <c r="BNT51" s="16"/>
      <c r="BNU51" s="16"/>
      <c r="BNV51" s="16"/>
      <c r="BNW51" s="16"/>
      <c r="BNX51" s="16"/>
      <c r="BNY51" s="16"/>
      <c r="BNZ51" s="16"/>
      <c r="BOA51" s="16"/>
      <c r="BOB51" s="16"/>
      <c r="BOC51" s="16"/>
      <c r="BOD51" s="16"/>
      <c r="BOE51" s="16"/>
      <c r="BOF51" s="16"/>
      <c r="BOG51" s="16"/>
      <c r="BOH51" s="16"/>
      <c r="BOI51" s="16"/>
      <c r="BOJ51" s="16"/>
      <c r="BOK51" s="16"/>
      <c r="BOL51" s="16"/>
      <c r="BOM51" s="16"/>
      <c r="BON51" s="16"/>
      <c r="BOO51" s="16"/>
      <c r="BOP51" s="16"/>
      <c r="BOQ51" s="16"/>
      <c r="BOR51" s="16"/>
      <c r="BOS51" s="16"/>
      <c r="BOT51" s="16"/>
      <c r="BOU51" s="16"/>
      <c r="BOV51" s="16"/>
      <c r="BOW51" s="16"/>
      <c r="BOX51" s="16"/>
      <c r="BOY51" s="16"/>
      <c r="BOZ51" s="16"/>
      <c r="BPA51" s="16"/>
      <c r="BPB51" s="16"/>
      <c r="BPC51" s="16"/>
      <c r="BPD51" s="16"/>
      <c r="BPE51" s="16"/>
      <c r="BPF51" s="16"/>
      <c r="BPG51" s="16"/>
      <c r="BPH51" s="16"/>
      <c r="BPI51" s="16"/>
      <c r="BPJ51" s="16"/>
      <c r="BPK51" s="16"/>
      <c r="BPL51" s="16"/>
      <c r="BPM51" s="16"/>
      <c r="BPN51" s="16"/>
      <c r="BPO51" s="16"/>
      <c r="BPP51" s="16"/>
      <c r="BPQ51" s="16"/>
      <c r="BPR51" s="16"/>
      <c r="BPS51" s="16"/>
      <c r="BPT51" s="16"/>
      <c r="BPU51" s="16"/>
      <c r="BPV51" s="16"/>
      <c r="BPW51" s="16"/>
      <c r="BPX51" s="16"/>
      <c r="BPY51" s="16"/>
      <c r="BPZ51" s="16"/>
      <c r="BQA51" s="16"/>
      <c r="BQB51" s="16"/>
      <c r="BQC51" s="16"/>
      <c r="BQD51" s="16"/>
      <c r="BQE51" s="16"/>
      <c r="BQF51" s="16"/>
      <c r="BQG51" s="16"/>
      <c r="BQH51" s="16"/>
      <c r="BQI51" s="16"/>
      <c r="BQJ51" s="16"/>
      <c r="BQK51" s="16"/>
      <c r="BQL51" s="16"/>
      <c r="BQM51" s="16"/>
      <c r="BQN51" s="16"/>
      <c r="BQO51" s="16"/>
      <c r="BQP51" s="16"/>
      <c r="BQQ51" s="16"/>
      <c r="BQR51" s="16"/>
      <c r="BQS51" s="16"/>
      <c r="BQT51" s="16"/>
      <c r="BQU51" s="16"/>
      <c r="BQV51" s="16"/>
      <c r="BQW51" s="16"/>
      <c r="BQX51" s="16"/>
      <c r="BQY51" s="16"/>
      <c r="BQZ51" s="16"/>
      <c r="BRA51" s="16"/>
      <c r="BRB51" s="16"/>
      <c r="BRC51" s="16"/>
      <c r="BRD51" s="16"/>
      <c r="BRE51" s="16"/>
      <c r="BRF51" s="16"/>
      <c r="BRG51" s="16"/>
      <c r="BRH51" s="16"/>
      <c r="BRI51" s="16"/>
      <c r="BRJ51" s="16"/>
      <c r="BRK51" s="16"/>
      <c r="BRL51" s="16"/>
      <c r="BRM51" s="16"/>
      <c r="BRN51" s="16"/>
      <c r="BRO51" s="16"/>
      <c r="BRP51" s="16"/>
      <c r="BRQ51" s="16"/>
      <c r="BRR51" s="16"/>
      <c r="BRS51" s="16"/>
      <c r="BRT51" s="16"/>
      <c r="BRU51" s="16"/>
      <c r="BRV51" s="16"/>
      <c r="BRW51" s="16"/>
      <c r="BRX51" s="16"/>
      <c r="BRY51" s="16"/>
      <c r="BRZ51" s="16"/>
      <c r="BSA51" s="16"/>
      <c r="BSB51" s="16"/>
      <c r="BSC51" s="16"/>
      <c r="BSD51" s="16"/>
      <c r="BSE51" s="16"/>
      <c r="BSF51" s="16"/>
      <c r="BSG51" s="16"/>
      <c r="BSH51" s="16"/>
      <c r="BSI51" s="16"/>
      <c r="BSJ51" s="16"/>
      <c r="BSK51" s="16"/>
      <c r="BSL51" s="16"/>
      <c r="BSM51" s="16"/>
      <c r="BSN51" s="16"/>
      <c r="BSO51" s="16"/>
      <c r="BSP51" s="16"/>
      <c r="BSQ51" s="16"/>
      <c r="BSR51" s="16"/>
      <c r="BSS51" s="16"/>
      <c r="BST51" s="16"/>
      <c r="BSU51" s="16"/>
      <c r="BSV51" s="16"/>
      <c r="BSW51" s="16"/>
      <c r="BSX51" s="16"/>
      <c r="BSY51" s="16"/>
      <c r="BSZ51" s="16"/>
      <c r="BTA51" s="16"/>
      <c r="BTB51" s="16"/>
      <c r="BTC51" s="16"/>
      <c r="BTD51" s="16"/>
      <c r="BTE51" s="16"/>
      <c r="BTF51" s="16"/>
      <c r="BTG51" s="16"/>
      <c r="BTH51" s="16"/>
      <c r="BTI51" s="16"/>
      <c r="BTJ51" s="16"/>
      <c r="BTK51" s="16"/>
      <c r="BTL51" s="16"/>
      <c r="BTM51" s="16"/>
      <c r="BTN51" s="16"/>
      <c r="BTO51" s="16"/>
      <c r="BTP51" s="16"/>
      <c r="BTQ51" s="16"/>
      <c r="BTR51" s="16"/>
      <c r="BTS51" s="16"/>
      <c r="BTT51" s="16"/>
      <c r="BTU51" s="16"/>
      <c r="BTV51" s="16"/>
      <c r="BTW51" s="16"/>
      <c r="BTX51" s="16"/>
      <c r="BTY51" s="16"/>
      <c r="BTZ51" s="16"/>
      <c r="BUA51" s="16"/>
      <c r="BUB51" s="16"/>
      <c r="BUC51" s="16"/>
      <c r="BUD51" s="16"/>
      <c r="BUE51" s="16"/>
      <c r="BUF51" s="16"/>
      <c r="BUG51" s="16"/>
      <c r="BUH51" s="16"/>
      <c r="BUI51" s="16"/>
      <c r="BUJ51" s="16"/>
      <c r="BUK51" s="16"/>
      <c r="BUL51" s="16"/>
      <c r="BUM51" s="16"/>
      <c r="BUN51" s="16"/>
      <c r="BUO51" s="16"/>
      <c r="BUP51" s="16"/>
      <c r="BUQ51" s="16"/>
      <c r="BUR51" s="16"/>
      <c r="BUS51" s="16"/>
      <c r="BUT51" s="16"/>
      <c r="BUU51" s="16"/>
      <c r="BUV51" s="16"/>
      <c r="BUW51" s="16"/>
      <c r="BUX51" s="16"/>
      <c r="BUY51" s="16"/>
      <c r="BUZ51" s="16"/>
      <c r="BVA51" s="16"/>
      <c r="BVB51" s="16"/>
      <c r="BVC51" s="16"/>
      <c r="BVD51" s="16"/>
      <c r="BVE51" s="16"/>
      <c r="BVF51" s="16"/>
      <c r="BVG51" s="16"/>
      <c r="BVH51" s="16"/>
      <c r="BVI51" s="16"/>
      <c r="BVJ51" s="16"/>
      <c r="BVK51" s="16"/>
      <c r="BVL51" s="16"/>
      <c r="BVM51" s="16"/>
      <c r="BVN51" s="16"/>
      <c r="BVO51" s="16"/>
      <c r="BVP51" s="16"/>
      <c r="BVQ51" s="16"/>
      <c r="BVR51" s="16"/>
      <c r="BVS51" s="16"/>
      <c r="BVT51" s="16"/>
      <c r="BVU51" s="16"/>
      <c r="BVV51" s="16"/>
      <c r="BVW51" s="16"/>
      <c r="BVX51" s="16"/>
      <c r="BVY51" s="16"/>
      <c r="BVZ51" s="16"/>
      <c r="BWA51" s="16"/>
      <c r="BWB51" s="16"/>
      <c r="BWC51" s="16"/>
      <c r="BWD51" s="16"/>
      <c r="BWE51" s="16"/>
      <c r="BWF51" s="16"/>
      <c r="BWG51" s="16"/>
      <c r="BWH51" s="16"/>
      <c r="BWI51" s="16"/>
      <c r="BWJ51" s="16"/>
      <c r="BWK51" s="16"/>
      <c r="BWL51" s="16"/>
      <c r="BWM51" s="16"/>
      <c r="BWN51" s="16"/>
      <c r="BWO51" s="16"/>
      <c r="BWP51" s="16"/>
      <c r="BWQ51" s="16"/>
      <c r="BWR51" s="16"/>
      <c r="BWS51" s="16"/>
      <c r="BWT51" s="16"/>
      <c r="BWU51" s="16"/>
      <c r="BWV51" s="16"/>
      <c r="BWW51" s="16"/>
      <c r="BWX51" s="16"/>
      <c r="BWY51" s="16"/>
      <c r="BWZ51" s="16"/>
      <c r="BXA51" s="16"/>
      <c r="BXB51" s="16"/>
      <c r="BXC51" s="16"/>
      <c r="BXD51" s="16"/>
      <c r="BXE51" s="16"/>
      <c r="BXF51" s="16"/>
      <c r="BXG51" s="16"/>
      <c r="BXH51" s="16"/>
      <c r="BXI51" s="16"/>
      <c r="BXJ51" s="16"/>
      <c r="BXK51" s="16"/>
      <c r="BXL51" s="16"/>
      <c r="BXM51" s="16"/>
      <c r="BXN51" s="16"/>
      <c r="BXO51" s="16"/>
      <c r="BXP51" s="16"/>
      <c r="BXQ51" s="16"/>
      <c r="BXR51" s="16"/>
      <c r="BXS51" s="16"/>
      <c r="BXT51" s="16"/>
      <c r="BXU51" s="16"/>
      <c r="BXV51" s="16"/>
      <c r="BXW51" s="16"/>
      <c r="BXX51" s="16"/>
      <c r="BXY51" s="16"/>
      <c r="BXZ51" s="16"/>
      <c r="BYA51" s="16"/>
      <c r="BYB51" s="16"/>
      <c r="BYC51" s="16"/>
      <c r="BYD51" s="16"/>
      <c r="BYE51" s="16"/>
      <c r="BYF51" s="16"/>
      <c r="BYG51" s="16"/>
      <c r="BYH51" s="16"/>
      <c r="BYI51" s="16"/>
      <c r="BYJ51" s="16"/>
      <c r="BYK51" s="16"/>
      <c r="BYL51" s="16"/>
      <c r="BYM51" s="16"/>
      <c r="BYN51" s="16"/>
      <c r="BYO51" s="16"/>
      <c r="BYP51" s="16"/>
      <c r="BYQ51" s="16"/>
      <c r="BYR51" s="16"/>
      <c r="BYS51" s="16"/>
      <c r="BYT51" s="16"/>
      <c r="BYU51" s="16"/>
      <c r="BYV51" s="16"/>
      <c r="BYW51" s="16"/>
      <c r="BYX51" s="16"/>
      <c r="BYY51" s="16"/>
      <c r="BYZ51" s="16"/>
      <c r="BZA51" s="16"/>
      <c r="BZB51" s="16"/>
      <c r="BZC51" s="16"/>
      <c r="BZD51" s="16"/>
      <c r="BZE51" s="16"/>
      <c r="BZF51" s="16"/>
      <c r="BZG51" s="16"/>
      <c r="BZH51" s="16"/>
      <c r="BZI51" s="16"/>
      <c r="BZJ51" s="16"/>
      <c r="BZK51" s="16"/>
      <c r="BZL51" s="16"/>
      <c r="BZM51" s="16"/>
      <c r="BZN51" s="16"/>
      <c r="BZO51" s="16"/>
      <c r="BZP51" s="16"/>
      <c r="BZQ51" s="16"/>
      <c r="BZR51" s="16"/>
      <c r="BZS51" s="16"/>
      <c r="BZT51" s="16"/>
      <c r="BZU51" s="16"/>
      <c r="BZV51" s="16"/>
      <c r="BZW51" s="16"/>
      <c r="BZX51" s="16"/>
      <c r="BZY51" s="16"/>
      <c r="BZZ51" s="16"/>
      <c r="CAA51" s="16"/>
      <c r="CAB51" s="16"/>
      <c r="CAC51" s="16"/>
      <c r="CAD51" s="16"/>
      <c r="CAE51" s="16"/>
      <c r="CAF51" s="16"/>
      <c r="CAG51" s="16"/>
      <c r="CAH51" s="16"/>
      <c r="CAI51" s="16"/>
      <c r="CAJ51" s="16"/>
      <c r="CAK51" s="16"/>
      <c r="CAL51" s="16"/>
      <c r="CAM51" s="16"/>
      <c r="CAN51" s="16"/>
      <c r="CAO51" s="16"/>
      <c r="CAP51" s="16"/>
      <c r="CAQ51" s="16"/>
      <c r="CAR51" s="16"/>
      <c r="CAS51" s="16"/>
      <c r="CAT51" s="16"/>
      <c r="CAU51" s="16"/>
      <c r="CAV51" s="16"/>
      <c r="CAW51" s="16"/>
      <c r="CAX51" s="16"/>
      <c r="CAY51" s="16"/>
      <c r="CAZ51" s="16"/>
      <c r="CBA51" s="16"/>
      <c r="CBB51" s="16"/>
      <c r="CBC51" s="16"/>
      <c r="CBD51" s="16"/>
      <c r="CBE51" s="16"/>
      <c r="CBF51" s="16"/>
      <c r="CBG51" s="16"/>
      <c r="CBH51" s="16"/>
      <c r="CBI51" s="16"/>
      <c r="CBJ51" s="16"/>
      <c r="CBK51" s="16"/>
      <c r="CBL51" s="16"/>
      <c r="CBM51" s="16"/>
      <c r="CBN51" s="16"/>
      <c r="CBO51" s="16"/>
      <c r="CBP51" s="16"/>
      <c r="CBQ51" s="16"/>
      <c r="CBR51" s="16"/>
      <c r="CBS51" s="16"/>
      <c r="CBT51" s="16"/>
      <c r="CBU51" s="16"/>
      <c r="CBV51" s="16"/>
      <c r="CBW51" s="16"/>
      <c r="CBX51" s="16"/>
      <c r="CBY51" s="16"/>
      <c r="CBZ51" s="16"/>
      <c r="CCA51" s="16"/>
      <c r="CCB51" s="16"/>
      <c r="CCC51" s="16"/>
      <c r="CCD51" s="16"/>
      <c r="CCE51" s="16"/>
      <c r="CCF51" s="16"/>
      <c r="CCG51" s="16"/>
      <c r="CCH51" s="16"/>
      <c r="CCI51" s="16"/>
      <c r="CCJ51" s="16"/>
      <c r="CCK51" s="16"/>
      <c r="CCL51" s="16"/>
      <c r="CCM51" s="16"/>
      <c r="CCN51" s="16"/>
      <c r="CCO51" s="16"/>
      <c r="CCP51" s="16"/>
      <c r="CCQ51" s="16"/>
      <c r="CCR51" s="16"/>
      <c r="CCS51" s="16"/>
      <c r="CCT51" s="16"/>
      <c r="CCU51" s="16"/>
      <c r="CCV51" s="16"/>
      <c r="CCW51" s="16"/>
      <c r="CCX51" s="16"/>
      <c r="CCY51" s="16"/>
      <c r="CCZ51" s="16"/>
      <c r="CDA51" s="16"/>
      <c r="CDB51" s="16"/>
      <c r="CDC51" s="16"/>
      <c r="CDD51" s="16"/>
      <c r="CDE51" s="16"/>
      <c r="CDF51" s="16"/>
      <c r="CDG51" s="16"/>
      <c r="CDH51" s="16"/>
      <c r="CDI51" s="16"/>
      <c r="CDJ51" s="16"/>
      <c r="CDK51" s="16"/>
      <c r="CDL51" s="16"/>
      <c r="CDM51" s="16"/>
      <c r="CDN51" s="16"/>
      <c r="CDO51" s="16"/>
      <c r="CDP51" s="16"/>
      <c r="CDQ51" s="16"/>
      <c r="CDR51" s="16"/>
      <c r="CDS51" s="16"/>
      <c r="CDT51" s="16"/>
      <c r="CDU51" s="16"/>
      <c r="CDV51" s="16"/>
      <c r="CDW51" s="16"/>
      <c r="CDX51" s="16"/>
      <c r="CDY51" s="16"/>
      <c r="CDZ51" s="16"/>
      <c r="CEA51" s="16"/>
      <c r="CEB51" s="16"/>
      <c r="CEC51" s="16"/>
      <c r="CED51" s="16"/>
      <c r="CEE51" s="16"/>
      <c r="CEF51" s="16"/>
      <c r="CEG51" s="16"/>
      <c r="CEH51" s="16"/>
      <c r="CEI51" s="16"/>
      <c r="CEJ51" s="16"/>
      <c r="CEK51" s="16"/>
      <c r="CEL51" s="16"/>
      <c r="CEM51" s="16"/>
      <c r="CEN51" s="16"/>
      <c r="CEO51" s="16"/>
      <c r="CEP51" s="16"/>
      <c r="CEQ51" s="16"/>
      <c r="CER51" s="16"/>
      <c r="CES51" s="16"/>
      <c r="CET51" s="16"/>
      <c r="CEU51" s="16"/>
      <c r="CEV51" s="16"/>
      <c r="CEW51" s="16"/>
      <c r="CEX51" s="16"/>
      <c r="CEY51" s="16"/>
      <c r="CEZ51" s="16"/>
      <c r="CFA51" s="16"/>
      <c r="CFB51" s="16"/>
      <c r="CFC51" s="16"/>
      <c r="CFD51" s="16"/>
      <c r="CFE51" s="16"/>
      <c r="CFF51" s="16"/>
      <c r="CFG51" s="16"/>
      <c r="CFH51" s="16"/>
      <c r="CFI51" s="16"/>
      <c r="CFJ51" s="16"/>
      <c r="CFK51" s="16"/>
      <c r="CFL51" s="16"/>
      <c r="CFM51" s="16"/>
      <c r="CFN51" s="16"/>
      <c r="CFO51" s="16"/>
      <c r="CFP51" s="16"/>
      <c r="CFQ51" s="16"/>
      <c r="CFR51" s="16"/>
      <c r="CFS51" s="16"/>
      <c r="CFT51" s="16"/>
      <c r="CFU51" s="16"/>
      <c r="CFV51" s="16"/>
      <c r="CFW51" s="16"/>
      <c r="CFX51" s="16"/>
      <c r="CFY51" s="16"/>
      <c r="CFZ51" s="16"/>
      <c r="CGA51" s="16"/>
      <c r="CGB51" s="16"/>
      <c r="CGC51" s="16"/>
      <c r="CGD51" s="16"/>
      <c r="CGE51" s="16"/>
      <c r="CGF51" s="16"/>
      <c r="CGG51" s="16"/>
      <c r="CGH51" s="16"/>
      <c r="CGI51" s="16"/>
      <c r="CGJ51" s="16"/>
      <c r="CGK51" s="16"/>
      <c r="CGL51" s="16"/>
      <c r="CGM51" s="16"/>
      <c r="CGN51" s="16"/>
      <c r="CGO51" s="16"/>
      <c r="CGP51" s="16"/>
      <c r="CGQ51" s="16"/>
      <c r="CGR51" s="16"/>
      <c r="CGS51" s="16"/>
      <c r="CGT51" s="16"/>
      <c r="CGU51" s="16"/>
      <c r="CGV51" s="16"/>
      <c r="CGW51" s="16"/>
      <c r="CGX51" s="16"/>
      <c r="CGY51" s="16"/>
      <c r="CGZ51" s="16"/>
      <c r="CHA51" s="16"/>
      <c r="CHB51" s="16"/>
      <c r="CHC51" s="16"/>
      <c r="CHD51" s="16"/>
      <c r="CHE51" s="16"/>
      <c r="CHF51" s="16"/>
      <c r="CHG51" s="16"/>
      <c r="CHH51" s="16"/>
      <c r="CHI51" s="16"/>
      <c r="CHJ51" s="16"/>
      <c r="CHK51" s="16"/>
      <c r="CHL51" s="16"/>
      <c r="CHM51" s="16"/>
      <c r="CHN51" s="16"/>
      <c r="CHO51" s="16"/>
      <c r="CHP51" s="16"/>
      <c r="CHQ51" s="16"/>
      <c r="CHR51" s="16"/>
      <c r="CHS51" s="16"/>
      <c r="CHT51" s="16"/>
      <c r="CHU51" s="16"/>
      <c r="CHV51" s="16"/>
      <c r="CHW51" s="16"/>
      <c r="CHX51" s="16"/>
      <c r="CHY51" s="16"/>
      <c r="CHZ51" s="16"/>
      <c r="CIA51" s="16"/>
      <c r="CIB51" s="16"/>
      <c r="CIC51" s="16"/>
      <c r="CID51" s="16"/>
      <c r="CIE51" s="16"/>
      <c r="CIF51" s="16"/>
      <c r="CIG51" s="16"/>
      <c r="CIH51" s="16"/>
      <c r="CII51" s="16"/>
      <c r="CIJ51" s="16"/>
      <c r="CIK51" s="16"/>
      <c r="CIL51" s="16"/>
      <c r="CIM51" s="16"/>
      <c r="CIN51" s="16"/>
      <c r="CIO51" s="16"/>
      <c r="CIP51" s="16"/>
      <c r="CIQ51" s="16"/>
      <c r="CIR51" s="16"/>
      <c r="CIS51" s="16"/>
      <c r="CIT51" s="16"/>
      <c r="CIU51" s="16"/>
      <c r="CIV51" s="16"/>
      <c r="CIW51" s="16"/>
      <c r="CIX51" s="16"/>
      <c r="CIY51" s="16"/>
      <c r="CIZ51" s="16"/>
      <c r="CJA51" s="16"/>
      <c r="CJB51" s="16"/>
      <c r="CJC51" s="16"/>
      <c r="CJD51" s="16"/>
      <c r="CJE51" s="16"/>
      <c r="CJF51" s="16"/>
      <c r="CJG51" s="16"/>
      <c r="CJH51" s="16"/>
      <c r="CJI51" s="16"/>
      <c r="CJJ51" s="16"/>
      <c r="CJK51" s="16"/>
      <c r="CJL51" s="16"/>
      <c r="CJM51" s="16"/>
      <c r="CJN51" s="16"/>
      <c r="CJO51" s="16"/>
      <c r="CJP51" s="16"/>
      <c r="CJQ51" s="16"/>
      <c r="CJR51" s="16"/>
      <c r="CJS51" s="16"/>
      <c r="CJT51" s="16"/>
      <c r="CJU51" s="16"/>
      <c r="CJV51" s="16"/>
      <c r="CJW51" s="16"/>
      <c r="CJX51" s="16"/>
      <c r="CJY51" s="16"/>
      <c r="CJZ51" s="16"/>
      <c r="CKA51" s="16"/>
      <c r="CKB51" s="16"/>
      <c r="CKC51" s="16"/>
      <c r="CKD51" s="16"/>
      <c r="CKE51" s="16"/>
      <c r="CKF51" s="16"/>
      <c r="CKG51" s="16"/>
      <c r="CKH51" s="16"/>
      <c r="CKI51" s="16"/>
      <c r="CKJ51" s="16"/>
      <c r="CKK51" s="16"/>
      <c r="CKL51" s="16"/>
      <c r="CKM51" s="16"/>
      <c r="CKN51" s="16"/>
      <c r="CKO51" s="16"/>
      <c r="CKP51" s="16"/>
      <c r="CKQ51" s="16"/>
      <c r="CKR51" s="16"/>
      <c r="CKS51" s="16"/>
      <c r="CKT51" s="16"/>
      <c r="CKU51" s="16"/>
      <c r="CKV51" s="16"/>
      <c r="CKW51" s="16"/>
      <c r="CKX51" s="16"/>
      <c r="CKY51" s="16"/>
      <c r="CKZ51" s="16"/>
      <c r="CLA51" s="16"/>
      <c r="CLB51" s="16"/>
      <c r="CLC51" s="16"/>
      <c r="CLD51" s="16"/>
      <c r="CLE51" s="16"/>
      <c r="CLF51" s="16"/>
      <c r="CLG51" s="16"/>
      <c r="CLH51" s="16"/>
      <c r="CLI51" s="16"/>
      <c r="CLJ51" s="16"/>
      <c r="CLK51" s="16"/>
      <c r="CLL51" s="16"/>
      <c r="CLM51" s="16"/>
      <c r="CLN51" s="16"/>
      <c r="CLO51" s="16"/>
      <c r="CLP51" s="16"/>
      <c r="CLQ51" s="16"/>
      <c r="CLR51" s="16"/>
      <c r="CLS51" s="16"/>
      <c r="CLT51" s="16"/>
      <c r="CLU51" s="16"/>
      <c r="CLV51" s="16"/>
      <c r="CLW51" s="16"/>
      <c r="CLX51" s="16"/>
      <c r="CLY51" s="16"/>
      <c r="CLZ51" s="16"/>
      <c r="CMA51" s="16"/>
      <c r="CMB51" s="16"/>
      <c r="CMC51" s="16"/>
      <c r="CMD51" s="16"/>
      <c r="CME51" s="16"/>
      <c r="CMF51" s="16"/>
      <c r="CMG51" s="16"/>
      <c r="CMH51" s="16"/>
      <c r="CMI51" s="16"/>
      <c r="CMJ51" s="16"/>
      <c r="CMK51" s="16"/>
      <c r="CML51" s="16"/>
      <c r="CMM51" s="16"/>
      <c r="CMN51" s="16"/>
      <c r="CMO51" s="16"/>
      <c r="CMP51" s="16"/>
      <c r="CMQ51" s="16"/>
      <c r="CMR51" s="16"/>
      <c r="CMS51" s="16"/>
      <c r="CMT51" s="16"/>
      <c r="CMU51" s="16"/>
      <c r="CMV51" s="16"/>
      <c r="CMW51" s="16"/>
      <c r="CMX51" s="16"/>
      <c r="CMY51" s="16"/>
      <c r="CMZ51" s="16"/>
      <c r="CNA51" s="16"/>
      <c r="CNB51" s="16"/>
      <c r="CNC51" s="16"/>
      <c r="CND51" s="16"/>
      <c r="CNE51" s="16"/>
      <c r="CNF51" s="16"/>
      <c r="CNG51" s="16"/>
      <c r="CNH51" s="16"/>
      <c r="CNI51" s="16"/>
      <c r="CNJ51" s="16"/>
      <c r="CNK51" s="16"/>
      <c r="CNL51" s="16"/>
      <c r="CNM51" s="16"/>
      <c r="CNN51" s="16"/>
      <c r="CNO51" s="16"/>
      <c r="CNP51" s="16"/>
      <c r="CNQ51" s="16"/>
      <c r="CNR51" s="16"/>
      <c r="CNS51" s="16"/>
      <c r="CNT51" s="16"/>
      <c r="CNU51" s="16"/>
      <c r="CNV51" s="16"/>
      <c r="CNW51" s="16"/>
      <c r="CNX51" s="16"/>
      <c r="CNY51" s="16"/>
      <c r="CNZ51" s="16"/>
      <c r="COA51" s="16"/>
      <c r="COB51" s="16"/>
      <c r="COC51" s="16"/>
      <c r="COD51" s="16"/>
      <c r="COE51" s="16"/>
      <c r="COF51" s="16"/>
      <c r="COG51" s="16"/>
      <c r="COH51" s="16"/>
      <c r="COI51" s="16"/>
      <c r="COJ51" s="16"/>
      <c r="COK51" s="16"/>
      <c r="COL51" s="16"/>
      <c r="COM51" s="16"/>
      <c r="CON51" s="16"/>
      <c r="COO51" s="16"/>
      <c r="COP51" s="16"/>
      <c r="COQ51" s="16"/>
      <c r="COR51" s="16"/>
      <c r="COS51" s="16"/>
      <c r="COT51" s="16"/>
      <c r="COU51" s="16"/>
      <c r="COV51" s="16"/>
      <c r="COW51" s="16"/>
      <c r="COX51" s="16"/>
      <c r="COY51" s="16"/>
      <c r="COZ51" s="16"/>
      <c r="CPA51" s="16"/>
      <c r="CPB51" s="16"/>
      <c r="CPC51" s="16"/>
      <c r="CPD51" s="16"/>
      <c r="CPE51" s="16"/>
      <c r="CPF51" s="16"/>
      <c r="CPG51" s="16"/>
      <c r="CPH51" s="16"/>
      <c r="CPI51" s="16"/>
      <c r="CPJ51" s="16"/>
      <c r="CPK51" s="16"/>
      <c r="CPL51" s="16"/>
      <c r="CPM51" s="16"/>
      <c r="CPN51" s="16"/>
      <c r="CPO51" s="16"/>
      <c r="CPP51" s="16"/>
      <c r="CPQ51" s="16"/>
      <c r="CPR51" s="16"/>
      <c r="CPS51" s="16"/>
      <c r="CPT51" s="16"/>
      <c r="CPU51" s="16"/>
      <c r="CPV51" s="16"/>
      <c r="CPW51" s="16"/>
      <c r="CPX51" s="16"/>
      <c r="CPY51" s="16"/>
      <c r="CPZ51" s="16"/>
      <c r="CQA51" s="16"/>
      <c r="CQB51" s="16"/>
      <c r="CQC51" s="16"/>
      <c r="CQD51" s="16"/>
      <c r="CQE51" s="16"/>
      <c r="CQF51" s="16"/>
      <c r="CQG51" s="16"/>
      <c r="CQH51" s="16"/>
      <c r="CQI51" s="16"/>
      <c r="CQJ51" s="16"/>
      <c r="CQK51" s="16"/>
      <c r="CQL51" s="16"/>
      <c r="CQM51" s="16"/>
      <c r="CQN51" s="16"/>
      <c r="CQO51" s="16"/>
      <c r="CQP51" s="16"/>
      <c r="CQQ51" s="16"/>
      <c r="CQR51" s="16"/>
      <c r="CQS51" s="16"/>
      <c r="CQT51" s="16"/>
      <c r="CQU51" s="16"/>
      <c r="CQV51" s="16"/>
      <c r="CQW51" s="16"/>
      <c r="CQX51" s="16"/>
      <c r="CQY51" s="16"/>
      <c r="CQZ51" s="16"/>
      <c r="CRA51" s="16"/>
      <c r="CRB51" s="16"/>
      <c r="CRC51" s="16"/>
      <c r="CRD51" s="16"/>
      <c r="CRE51" s="16"/>
      <c r="CRF51" s="16"/>
      <c r="CRG51" s="16"/>
      <c r="CRH51" s="16"/>
      <c r="CRI51" s="16"/>
      <c r="CRJ51" s="16"/>
      <c r="CRK51" s="16"/>
      <c r="CRL51" s="16"/>
      <c r="CRM51" s="16"/>
      <c r="CRN51" s="16"/>
      <c r="CRO51" s="16"/>
      <c r="CRP51" s="16"/>
      <c r="CRQ51" s="16"/>
      <c r="CRR51" s="16"/>
      <c r="CRS51" s="16"/>
      <c r="CRT51" s="16"/>
      <c r="CRU51" s="16"/>
      <c r="CRV51" s="16"/>
      <c r="CRW51" s="16"/>
      <c r="CRX51" s="16"/>
      <c r="CRY51" s="16"/>
      <c r="CRZ51" s="16"/>
      <c r="CSA51" s="16"/>
      <c r="CSB51" s="16"/>
      <c r="CSC51" s="16"/>
      <c r="CSD51" s="16"/>
      <c r="CSE51" s="16"/>
      <c r="CSF51" s="16"/>
      <c r="CSG51" s="16"/>
      <c r="CSH51" s="16"/>
      <c r="CSI51" s="16"/>
      <c r="CSJ51" s="16"/>
      <c r="CSK51" s="54" t="str">
        <f t="shared" si="166"/>
        <v>X</v>
      </c>
      <c r="CSL51" s="35" t="str">
        <f t="shared" ca="1" si="209"/>
        <v/>
      </c>
      <c r="CSM51" s="35" t="str">
        <f t="shared" ca="1" si="209"/>
        <v/>
      </c>
      <c r="CSN51" s="35" t="str">
        <f t="shared" ca="1" si="209"/>
        <v/>
      </c>
      <c r="CSO51" s="35" t="str">
        <f t="shared" ca="1" si="209"/>
        <v/>
      </c>
      <c r="CSP51" s="35" t="str">
        <f t="shared" ca="1" si="209"/>
        <v/>
      </c>
      <c r="CSQ51" s="72" t="str">
        <f t="shared" ca="1" si="209"/>
        <v/>
      </c>
      <c r="CSR51" s="35" t="str">
        <f t="shared" ca="1" si="209"/>
        <v/>
      </c>
      <c r="CSS51" s="35" t="str">
        <f t="shared" ca="1" si="209"/>
        <v/>
      </c>
      <c r="CST51" s="35" t="str">
        <f t="shared" ca="1" si="209"/>
        <v/>
      </c>
      <c r="CSU51" s="35" t="str">
        <f t="shared" ca="1" si="209"/>
        <v/>
      </c>
      <c r="CSV51" s="35" t="str">
        <f t="shared" ca="1" si="210"/>
        <v/>
      </c>
      <c r="CSW51" s="35">
        <f t="shared" ca="1" si="210"/>
        <v>1</v>
      </c>
      <c r="CSX51" s="35">
        <f t="shared" ca="1" si="210"/>
        <v>1</v>
      </c>
      <c r="CSY51" s="35">
        <f t="shared" ca="1" si="210"/>
        <v>1</v>
      </c>
      <c r="CSZ51" s="35" t="str">
        <f t="shared" ca="1" si="210"/>
        <v/>
      </c>
      <c r="CTA51" s="35" t="str">
        <f t="shared" ca="1" si="210"/>
        <v/>
      </c>
      <c r="CTB51" s="35" t="str">
        <f t="shared" ca="1" si="210"/>
        <v/>
      </c>
      <c r="CTC51" s="35" t="str">
        <f t="shared" ca="1" si="210"/>
        <v/>
      </c>
      <c r="CTD51" s="35" t="str">
        <f t="shared" ca="1" si="210"/>
        <v/>
      </c>
      <c r="CTE51" s="35" t="str">
        <f t="shared" ca="1" si="210"/>
        <v/>
      </c>
      <c r="CTF51" s="35" t="str">
        <f t="shared" ca="1" si="211"/>
        <v/>
      </c>
      <c r="CTG51" s="35" t="str">
        <f t="shared" ca="1" si="211"/>
        <v/>
      </c>
      <c r="CTH51" s="35" t="str">
        <f t="shared" ca="1" si="211"/>
        <v/>
      </c>
      <c r="CTI51" s="35" t="str">
        <f t="shared" ca="1" si="211"/>
        <v/>
      </c>
      <c r="CTJ51" s="35" t="str">
        <f t="shared" ca="1" si="211"/>
        <v/>
      </c>
      <c r="CTK51" s="35" t="str">
        <f t="shared" ca="1" si="211"/>
        <v/>
      </c>
      <c r="CTL51" s="35" t="str">
        <f t="shared" ca="1" si="211"/>
        <v/>
      </c>
      <c r="CTM51" s="35" t="str">
        <f t="shared" ca="1" si="211"/>
        <v/>
      </c>
      <c r="CTN51" s="35" t="str">
        <f t="shared" ca="1" si="211"/>
        <v/>
      </c>
      <c r="CTO51" s="35" t="str">
        <f t="shared" ca="1" si="211"/>
        <v/>
      </c>
      <c r="CTP51" s="35" t="str">
        <f t="shared" ca="1" si="212"/>
        <v/>
      </c>
      <c r="CTQ51" s="35" t="str">
        <f t="shared" ca="1" si="212"/>
        <v/>
      </c>
      <c r="CTR51" s="35" t="str">
        <f t="shared" ca="1" si="212"/>
        <v/>
      </c>
      <c r="CTS51" s="35" t="str">
        <f t="shared" ca="1" si="212"/>
        <v/>
      </c>
      <c r="CTT51" s="35" t="str">
        <f t="shared" ca="1" si="212"/>
        <v/>
      </c>
      <c r="CTU51" s="35" t="str">
        <f t="shared" ca="1" si="212"/>
        <v/>
      </c>
      <c r="CTV51" s="35" t="str">
        <f t="shared" ca="1" si="212"/>
        <v/>
      </c>
      <c r="CTW51" s="35" t="str">
        <f t="shared" ca="1" si="212"/>
        <v/>
      </c>
      <c r="CTX51" s="35" t="str">
        <f t="shared" ca="1" si="212"/>
        <v/>
      </c>
      <c r="CTY51" s="35" t="str">
        <f t="shared" ca="1" si="212"/>
        <v/>
      </c>
      <c r="CTZ51" s="56" t="str">
        <f t="shared" si="167"/>
        <v>X</v>
      </c>
      <c r="CUA51" s="58" t="str">
        <f t="shared" ca="1" si="168"/>
        <v/>
      </c>
      <c r="CUB51" s="16" t="str">
        <f t="shared" ca="1" si="169"/>
        <v/>
      </c>
      <c r="CUC51" s="16" t="str">
        <f t="shared" ca="1" si="170"/>
        <v/>
      </c>
      <c r="CUD51" s="16" t="str">
        <f t="shared" ca="1" si="171"/>
        <v/>
      </c>
      <c r="CUE51" s="16" t="str">
        <f t="shared" ca="1" si="172"/>
        <v/>
      </c>
      <c r="CUF51" s="16" t="str">
        <f t="shared" ca="1" si="173"/>
        <v/>
      </c>
      <c r="CUG51" s="16" t="str">
        <f t="shared" ca="1" si="174"/>
        <v/>
      </c>
      <c r="CUH51" s="16" t="str">
        <f t="shared" ca="1" si="175"/>
        <v/>
      </c>
      <c r="CUI51" s="16" t="str">
        <f t="shared" ca="1" si="176"/>
        <v/>
      </c>
      <c r="CUJ51" s="16" t="str">
        <f t="shared" ca="1" si="177"/>
        <v/>
      </c>
      <c r="CUK51" s="16" t="str">
        <f t="shared" ca="1" si="178"/>
        <v/>
      </c>
      <c r="CUL51" s="16">
        <f t="shared" ca="1" si="179"/>
        <v>0</v>
      </c>
      <c r="CUM51" s="16">
        <f t="shared" ca="1" si="180"/>
        <v>2</v>
      </c>
      <c r="CUN51" s="16">
        <f t="shared" ca="1" si="181"/>
        <v>0</v>
      </c>
      <c r="CUO51" s="16" t="str">
        <f t="shared" ca="1" si="182"/>
        <v/>
      </c>
      <c r="CUP51" s="16" t="str">
        <f t="shared" ca="1" si="183"/>
        <v/>
      </c>
      <c r="CUQ51" s="16" t="str">
        <f t="shared" ca="1" si="184"/>
        <v/>
      </c>
      <c r="CUR51" s="16" t="str">
        <f t="shared" ca="1" si="185"/>
        <v/>
      </c>
      <c r="CUS51" s="16" t="str">
        <f t="shared" ca="1" si="186"/>
        <v/>
      </c>
      <c r="CUT51" s="16" t="str">
        <f t="shared" ca="1" si="187"/>
        <v/>
      </c>
      <c r="CUU51" s="16" t="str">
        <f t="shared" ca="1" si="188"/>
        <v/>
      </c>
      <c r="CUV51" s="16" t="str">
        <f t="shared" ca="1" si="189"/>
        <v/>
      </c>
      <c r="CUW51" s="16" t="str">
        <f t="shared" ca="1" si="190"/>
        <v/>
      </c>
      <c r="CUX51" s="16" t="str">
        <f t="shared" ca="1" si="191"/>
        <v/>
      </c>
      <c r="CUY51" s="16" t="str">
        <f t="shared" ca="1" si="192"/>
        <v/>
      </c>
      <c r="CUZ51" s="16" t="str">
        <f t="shared" ca="1" si="193"/>
        <v/>
      </c>
      <c r="CVA51" s="16" t="str">
        <f t="shared" ca="1" si="194"/>
        <v/>
      </c>
      <c r="CVB51" s="16" t="str">
        <f t="shared" ca="1" si="195"/>
        <v/>
      </c>
      <c r="CVC51" s="16" t="str">
        <f t="shared" ca="1" si="196"/>
        <v/>
      </c>
      <c r="CVD51" s="16" t="str">
        <f t="shared" ca="1" si="197"/>
        <v/>
      </c>
      <c r="CVE51" s="16" t="str">
        <f t="shared" ca="1" si="198"/>
        <v/>
      </c>
      <c r="CVF51" s="16" t="str">
        <f t="shared" ca="1" si="199"/>
        <v/>
      </c>
      <c r="CVG51" s="16" t="str">
        <f t="shared" ca="1" si="200"/>
        <v/>
      </c>
      <c r="CVH51" s="16" t="str">
        <f t="shared" ca="1" si="201"/>
        <v/>
      </c>
      <c r="CVI51" s="16" t="str">
        <f t="shared" ca="1" si="202"/>
        <v/>
      </c>
      <c r="CVJ51" s="16" t="str">
        <f t="shared" ca="1" si="203"/>
        <v/>
      </c>
      <c r="CVK51" s="16" t="str">
        <f t="shared" ca="1" si="204"/>
        <v/>
      </c>
      <c r="CVL51" s="16" t="str">
        <f t="shared" ca="1" si="205"/>
        <v/>
      </c>
      <c r="CVM51" s="16" t="str">
        <f t="shared" ca="1" si="206"/>
        <v/>
      </c>
      <c r="CVN51" s="16" t="str">
        <f t="shared" ca="1" si="207"/>
        <v/>
      </c>
      <c r="CVO51" s="58" t="str">
        <f t="shared" si="208"/>
        <v>ковалевдавид</v>
      </c>
      <c r="CVP51" s="58" t="str">
        <f>IFERROR(VLOOKUP(CVO51,'Внешние данные'!A:Z,4,FALSE),"")</f>
        <v/>
      </c>
    </row>
    <row r="52" spans="1:2616" ht="13.8" x14ac:dyDescent="0.25">
      <c r="A52" s="2" t="s">
        <v>2385</v>
      </c>
      <c r="B52" s="2" t="s">
        <v>2449</v>
      </c>
      <c r="C52" s="57" t="s">
        <v>2432</v>
      </c>
      <c r="D52" s="35">
        <v>5</v>
      </c>
      <c r="E52" s="58">
        <v>57</v>
      </c>
      <c r="G52" s="16" t="s">
        <v>1393</v>
      </c>
      <c r="H52" s="53">
        <f t="shared" ca="1" si="162"/>
        <v>0.8</v>
      </c>
      <c r="I52" s="35">
        <f t="shared" ca="1" si="163"/>
        <v>0</v>
      </c>
      <c r="J52" s="35">
        <f t="shared" ca="1" si="164"/>
        <v>11</v>
      </c>
      <c r="K52" s="49">
        <f t="shared" ca="1" si="165"/>
        <v>5.2727272727272725</v>
      </c>
      <c r="L52" s="16">
        <v>205</v>
      </c>
      <c r="M52" s="12">
        <v>406</v>
      </c>
      <c r="N52" s="12">
        <v>406</v>
      </c>
      <c r="O52" s="4">
        <v>406</v>
      </c>
      <c r="P52" s="4">
        <v>406</v>
      </c>
      <c r="Q52" s="4">
        <v>406</v>
      </c>
      <c r="R52" s="4">
        <v>406</v>
      </c>
      <c r="S52" s="4">
        <v>406</v>
      </c>
      <c r="T52" s="4">
        <v>406</v>
      </c>
      <c r="V52" s="4">
        <v>406</v>
      </c>
      <c r="W52" s="4">
        <v>406</v>
      </c>
      <c r="X52" s="4">
        <v>406</v>
      </c>
      <c r="Y52" s="4">
        <v>406</v>
      </c>
      <c r="Z52" s="4">
        <v>406</v>
      </c>
      <c r="BA52" s="16">
        <v>1</v>
      </c>
      <c r="BB52" s="16">
        <v>1</v>
      </c>
      <c r="BC52" s="16"/>
      <c r="BD52" s="16"/>
      <c r="BE52" s="16"/>
      <c r="BF52" s="16">
        <v>1</v>
      </c>
      <c r="BG52" s="16"/>
      <c r="BH52" s="16">
        <v>1</v>
      </c>
      <c r="BI52" s="16"/>
      <c r="BJ52" s="16"/>
      <c r="BK52" s="16"/>
      <c r="BL52" s="16"/>
      <c r="BM52" s="16">
        <v>1</v>
      </c>
      <c r="BN52" s="16">
        <v>1</v>
      </c>
      <c r="BO52" s="16"/>
      <c r="BP52" s="16">
        <v>1</v>
      </c>
      <c r="BQ52" s="16">
        <v>1</v>
      </c>
      <c r="BR52" s="16"/>
      <c r="BS52" s="16">
        <v>1</v>
      </c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>
        <v>1</v>
      </c>
      <c r="DL52" s="16">
        <v>1</v>
      </c>
      <c r="DM52" s="16"/>
      <c r="DN52" s="16">
        <v>1</v>
      </c>
      <c r="DO52" s="16"/>
      <c r="DP52" s="16"/>
      <c r="DQ52" s="16"/>
      <c r="DR52" s="16">
        <v>1</v>
      </c>
      <c r="DS52" s="16">
        <v>1</v>
      </c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>
        <v>1</v>
      </c>
      <c r="FV52" s="16">
        <v>1</v>
      </c>
      <c r="FW52" s="16" t="s">
        <v>2962</v>
      </c>
      <c r="FX52" s="16"/>
      <c r="FY52" s="16">
        <v>1</v>
      </c>
      <c r="FZ52" s="16">
        <v>1</v>
      </c>
      <c r="GA52" s="16">
        <v>1</v>
      </c>
      <c r="GB52" s="16">
        <v>1</v>
      </c>
      <c r="GC52" s="16"/>
      <c r="GD52" s="16">
        <v>1</v>
      </c>
      <c r="GE52" s="16">
        <v>1</v>
      </c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>
        <v>1</v>
      </c>
      <c r="IF52" s="16">
        <v>1</v>
      </c>
      <c r="IG52" s="16">
        <v>1</v>
      </c>
      <c r="IH52" s="16">
        <v>1</v>
      </c>
      <c r="II52" s="16">
        <v>1</v>
      </c>
      <c r="IJ52" s="16">
        <v>1</v>
      </c>
      <c r="IK52" s="16"/>
      <c r="IL52" s="16"/>
      <c r="IM52" s="16"/>
      <c r="IN52" s="16">
        <v>1</v>
      </c>
      <c r="IO52" s="16"/>
      <c r="IP52" s="16"/>
      <c r="IQ52" s="16"/>
      <c r="IR52" s="16"/>
      <c r="IS52" s="16"/>
      <c r="IT52" s="16">
        <v>1</v>
      </c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>
        <v>1</v>
      </c>
      <c r="KP52" s="16">
        <v>1</v>
      </c>
      <c r="KQ52" s="16">
        <v>1</v>
      </c>
      <c r="KR52" s="16">
        <v>1</v>
      </c>
      <c r="KS52" s="16"/>
      <c r="KT52" s="16">
        <v>1</v>
      </c>
      <c r="KU52" s="16"/>
      <c r="KV52" s="16">
        <v>1</v>
      </c>
      <c r="KW52" s="16">
        <v>1</v>
      </c>
      <c r="KX52" s="16" t="s">
        <v>2962</v>
      </c>
      <c r="KY52" s="16"/>
      <c r="KZ52" s="16" t="s">
        <v>2962</v>
      </c>
      <c r="LA52" s="16" t="s">
        <v>2962</v>
      </c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6"/>
      <c r="LU52" s="16"/>
      <c r="LV52" s="16"/>
      <c r="LW52" s="16"/>
      <c r="LX52" s="16"/>
      <c r="LY52" s="16"/>
      <c r="LZ52" s="16"/>
      <c r="MA52" s="16"/>
      <c r="MB52" s="16"/>
      <c r="MC52" s="16"/>
      <c r="MD52" s="16"/>
      <c r="ME52" s="16"/>
      <c r="MF52" s="16"/>
      <c r="MG52" s="16"/>
      <c r="MH52" s="16"/>
      <c r="MI52" s="16"/>
      <c r="MJ52" s="16"/>
      <c r="MK52" s="16"/>
      <c r="ML52" s="16"/>
      <c r="MM52" s="16"/>
      <c r="MN52" s="16"/>
      <c r="MO52" s="16"/>
      <c r="MP52" s="16"/>
      <c r="MQ52" s="16"/>
      <c r="MR52" s="16"/>
      <c r="MS52" s="16"/>
      <c r="MT52" s="16"/>
      <c r="MU52" s="16"/>
      <c r="MV52" s="16"/>
      <c r="MW52" s="16"/>
      <c r="MX52" s="16"/>
      <c r="MY52" s="16">
        <v>1</v>
      </c>
      <c r="MZ52" s="16">
        <v>1</v>
      </c>
      <c r="NA52" s="16" t="s">
        <v>2962</v>
      </c>
      <c r="NB52" s="16">
        <v>1</v>
      </c>
      <c r="NC52" s="16" t="s">
        <v>2962</v>
      </c>
      <c r="ND52" s="16">
        <v>1</v>
      </c>
      <c r="NE52" s="16"/>
      <c r="NF52" s="16"/>
      <c r="NG52" s="16"/>
      <c r="NH52" s="16"/>
      <c r="NI52" s="16"/>
      <c r="NJ52" s="16"/>
      <c r="NK52" s="16"/>
      <c r="NL52" s="16"/>
      <c r="NM52" s="16"/>
      <c r="NN52" s="16"/>
      <c r="NO52" s="16"/>
      <c r="NP52" s="16"/>
      <c r="NQ52" s="16"/>
      <c r="NR52" s="16"/>
      <c r="NS52" s="16"/>
      <c r="NT52" s="16"/>
      <c r="NU52" s="16"/>
      <c r="NV52" s="16"/>
      <c r="NW52" s="16"/>
      <c r="NX52" s="16"/>
      <c r="NY52" s="16"/>
      <c r="NZ52" s="16"/>
      <c r="OA52" s="16"/>
      <c r="OB52" s="16"/>
      <c r="OC52" s="16"/>
      <c r="OD52" s="16"/>
      <c r="OE52" s="16"/>
      <c r="OF52" s="16"/>
      <c r="OG52" s="16"/>
      <c r="OH52" s="16"/>
      <c r="OI52" s="16"/>
      <c r="OJ52" s="16"/>
      <c r="OK52" s="16"/>
      <c r="OL52" s="16"/>
      <c r="OM52" s="16"/>
      <c r="ON52" s="16"/>
      <c r="OO52" s="16"/>
      <c r="OP52" s="16"/>
      <c r="OQ52" s="16"/>
      <c r="OR52" s="16"/>
      <c r="OS52" s="16"/>
      <c r="OT52" s="16"/>
      <c r="OU52" s="16"/>
      <c r="OV52" s="16"/>
      <c r="OW52" s="16"/>
      <c r="OX52" s="16"/>
      <c r="OY52" s="16"/>
      <c r="OZ52" s="16"/>
      <c r="PA52" s="16"/>
      <c r="PB52" s="16"/>
      <c r="PC52" s="16"/>
      <c r="PD52" s="16"/>
      <c r="PE52" s="16"/>
      <c r="PF52" s="16"/>
      <c r="PG52" s="16"/>
      <c r="PH52" s="16"/>
      <c r="PI52" s="16">
        <v>1</v>
      </c>
      <c r="PJ52" s="16">
        <v>1</v>
      </c>
      <c r="PK52" s="16" t="s">
        <v>2962</v>
      </c>
      <c r="PL52" s="16">
        <v>1</v>
      </c>
      <c r="PM52" s="16">
        <v>1</v>
      </c>
      <c r="PN52" s="16">
        <v>1</v>
      </c>
      <c r="PO52" s="16">
        <v>1</v>
      </c>
      <c r="PP52" s="16"/>
      <c r="PQ52" s="16">
        <v>1</v>
      </c>
      <c r="PR52" s="16"/>
      <c r="PS52" s="16"/>
      <c r="PT52" s="16">
        <v>1</v>
      </c>
      <c r="PU52" s="16"/>
      <c r="PV52" s="16"/>
      <c r="PW52" s="16" t="s">
        <v>2962</v>
      </c>
      <c r="PX52" s="16"/>
      <c r="PY52" s="16"/>
      <c r="PZ52" s="16"/>
      <c r="QA52" s="16"/>
      <c r="QB52" s="16"/>
      <c r="QC52" s="16"/>
      <c r="QD52" s="16"/>
      <c r="QE52" s="16"/>
      <c r="QF52" s="16"/>
      <c r="QG52" s="16"/>
      <c r="QH52" s="16"/>
      <c r="QI52" s="16"/>
      <c r="QJ52" s="16"/>
      <c r="QK52" s="16"/>
      <c r="QL52" s="16"/>
      <c r="QM52" s="16"/>
      <c r="QN52" s="16"/>
      <c r="QO52" s="16"/>
      <c r="QP52" s="16"/>
      <c r="QQ52" s="16"/>
      <c r="QR52" s="16"/>
      <c r="QS52" s="16"/>
      <c r="QT52" s="16"/>
      <c r="QU52" s="16"/>
      <c r="QV52" s="16"/>
      <c r="QW52" s="16"/>
      <c r="QX52" s="16"/>
      <c r="QY52" s="16"/>
      <c r="QZ52" s="16"/>
      <c r="RA52" s="16"/>
      <c r="RB52" s="16"/>
      <c r="RC52" s="16"/>
      <c r="RD52" s="16"/>
      <c r="RE52" s="16"/>
      <c r="RF52" s="16"/>
      <c r="RG52" s="16"/>
      <c r="RH52" s="16"/>
      <c r="RI52" s="16"/>
      <c r="RJ52" s="16"/>
      <c r="RK52" s="16"/>
      <c r="RL52" s="16"/>
      <c r="RM52" s="16"/>
      <c r="RN52" s="16"/>
      <c r="RO52" s="16"/>
      <c r="RP52" s="16"/>
      <c r="RQ52" s="16"/>
      <c r="RR52" s="16"/>
      <c r="RS52" s="16">
        <v>1</v>
      </c>
      <c r="RT52" s="16"/>
      <c r="RU52" s="16">
        <v>1</v>
      </c>
      <c r="RV52" s="16"/>
      <c r="RW52" s="16"/>
      <c r="RX52" s="16"/>
      <c r="RY52" s="16">
        <v>1</v>
      </c>
      <c r="RZ52" s="16">
        <v>1</v>
      </c>
      <c r="SA52" s="16"/>
      <c r="SB52" s="16">
        <v>1</v>
      </c>
      <c r="SC52" s="16"/>
      <c r="SD52" s="16"/>
      <c r="SE52" s="16"/>
      <c r="SF52" s="16"/>
      <c r="SG52" s="16"/>
      <c r="SH52" s="16"/>
      <c r="SI52" s="16"/>
      <c r="SJ52" s="16"/>
      <c r="SK52" s="16"/>
      <c r="SL52" s="16"/>
      <c r="SM52" s="16"/>
      <c r="SN52" s="16"/>
      <c r="SO52" s="16"/>
      <c r="SP52" s="16"/>
      <c r="SQ52" s="16"/>
      <c r="SR52" s="16"/>
      <c r="SS52" s="16"/>
      <c r="ST52" s="16"/>
      <c r="SU52" s="16"/>
      <c r="SV52" s="16"/>
      <c r="SW52" s="16"/>
      <c r="SX52" s="16"/>
      <c r="SY52" s="16"/>
      <c r="SZ52" s="16"/>
      <c r="TA52" s="16"/>
      <c r="TB52" s="16"/>
      <c r="TC52" s="16"/>
      <c r="TD52" s="16"/>
      <c r="TE52" s="16"/>
      <c r="TF52" s="16"/>
      <c r="TG52" s="16"/>
      <c r="TH52" s="16"/>
      <c r="TI52" s="16"/>
      <c r="TJ52" s="16"/>
      <c r="TK52" s="16"/>
      <c r="TL52" s="16"/>
      <c r="TM52" s="16"/>
      <c r="TN52" s="16"/>
      <c r="TO52" s="16"/>
      <c r="TP52" s="16"/>
      <c r="TQ52" s="16"/>
      <c r="TR52" s="16"/>
      <c r="TS52" s="16"/>
      <c r="TT52" s="16"/>
      <c r="TU52" s="16"/>
      <c r="TV52" s="16"/>
      <c r="TW52" s="16"/>
      <c r="TX52" s="16"/>
      <c r="TY52" s="16"/>
      <c r="TZ52" s="16"/>
      <c r="UA52" s="16"/>
      <c r="UB52" s="16"/>
      <c r="UC52" s="16"/>
      <c r="UD52" s="16"/>
      <c r="UE52" s="16"/>
      <c r="UF52" s="16"/>
      <c r="UG52" s="16"/>
      <c r="UH52" s="16"/>
      <c r="UI52" s="16"/>
      <c r="UJ52" s="16"/>
      <c r="UK52" s="16"/>
      <c r="UL52" s="16"/>
      <c r="UM52" s="16"/>
      <c r="UN52" s="16"/>
      <c r="UO52" s="16"/>
      <c r="UP52" s="16"/>
      <c r="UQ52" s="16"/>
      <c r="UR52" s="16"/>
      <c r="US52" s="16"/>
      <c r="UT52" s="16"/>
      <c r="UU52" s="16"/>
      <c r="UV52" s="16"/>
      <c r="UW52" s="16"/>
      <c r="UX52" s="16"/>
      <c r="UY52" s="16"/>
      <c r="UZ52" s="16"/>
      <c r="VA52" s="16"/>
      <c r="VB52" s="16"/>
      <c r="VC52" s="16"/>
      <c r="VD52" s="16"/>
      <c r="VE52" s="16"/>
      <c r="VF52" s="16"/>
      <c r="VG52" s="16"/>
      <c r="VH52" s="16"/>
      <c r="VI52" s="16"/>
      <c r="VJ52" s="16"/>
      <c r="VK52" s="16"/>
      <c r="VL52" s="16"/>
      <c r="VM52" s="16"/>
      <c r="VN52" s="16"/>
      <c r="VO52" s="16"/>
      <c r="VP52" s="16"/>
      <c r="VQ52" s="16"/>
      <c r="VR52" s="16"/>
      <c r="VS52" s="16"/>
      <c r="VT52" s="16"/>
      <c r="VU52" s="16"/>
      <c r="VV52" s="16"/>
      <c r="VW52" s="16"/>
      <c r="VX52" s="16"/>
      <c r="VY52" s="16"/>
      <c r="VZ52" s="16"/>
      <c r="WA52" s="16"/>
      <c r="WB52" s="16"/>
      <c r="WC52" s="16"/>
      <c r="WD52" s="16"/>
      <c r="WE52" s="16"/>
      <c r="WF52" s="16"/>
      <c r="WG52" s="16"/>
      <c r="WH52" s="16"/>
      <c r="WI52" s="16"/>
      <c r="WJ52" s="16"/>
      <c r="WK52" s="16"/>
      <c r="WL52" s="16"/>
      <c r="WM52" s="16" t="s">
        <v>2961</v>
      </c>
      <c r="WN52" s="16"/>
      <c r="WO52" s="16"/>
      <c r="WP52" s="16"/>
      <c r="WQ52" s="16"/>
      <c r="WR52" s="16"/>
      <c r="WS52" s="16"/>
      <c r="WT52" s="16"/>
      <c r="WU52" s="16"/>
      <c r="WV52" s="16"/>
      <c r="WW52" s="16"/>
      <c r="WX52" s="16"/>
      <c r="WY52" s="16"/>
      <c r="WZ52" s="16"/>
      <c r="XA52" s="16"/>
      <c r="XB52" s="16"/>
      <c r="XC52" s="16"/>
      <c r="XD52" s="16"/>
      <c r="XE52" s="16"/>
      <c r="XF52" s="16"/>
      <c r="XG52" s="16"/>
      <c r="XH52" s="16"/>
      <c r="XI52" s="16"/>
      <c r="XJ52" s="16"/>
      <c r="XK52" s="16"/>
      <c r="XL52" s="16"/>
      <c r="XM52" s="16"/>
      <c r="XN52" s="16"/>
      <c r="XO52" s="16"/>
      <c r="XP52" s="16"/>
      <c r="XQ52" s="16"/>
      <c r="XR52" s="16"/>
      <c r="XS52" s="16"/>
      <c r="XT52" s="16"/>
      <c r="XU52" s="16"/>
      <c r="XV52" s="16"/>
      <c r="XW52" s="16"/>
      <c r="XX52" s="16"/>
      <c r="XY52" s="16"/>
      <c r="XZ52" s="16"/>
      <c r="YA52" s="16"/>
      <c r="YB52" s="16"/>
      <c r="YC52" s="16"/>
      <c r="YD52" s="16"/>
      <c r="YE52" s="16"/>
      <c r="YF52" s="16"/>
      <c r="YG52" s="16"/>
      <c r="YH52" s="16"/>
      <c r="YI52" s="16"/>
      <c r="YJ52" s="16"/>
      <c r="YK52" s="16"/>
      <c r="YL52" s="16"/>
      <c r="YM52" s="16"/>
      <c r="YN52" s="16"/>
      <c r="YO52" s="16"/>
      <c r="YP52" s="16"/>
      <c r="YQ52" s="16"/>
      <c r="YR52" s="16"/>
      <c r="YS52" s="16"/>
      <c r="YT52" s="16"/>
      <c r="YU52" s="16"/>
      <c r="YV52" s="16"/>
      <c r="YW52" s="16" t="s">
        <v>2961</v>
      </c>
      <c r="YX52" s="16"/>
      <c r="YY52" s="16" t="s">
        <v>2962</v>
      </c>
      <c r="YZ52" s="16" t="s">
        <v>2962</v>
      </c>
      <c r="ZA52" s="16"/>
      <c r="ZB52" s="16"/>
      <c r="ZC52" s="16"/>
      <c r="ZD52" s="16"/>
      <c r="ZE52" s="16"/>
      <c r="ZF52" s="16"/>
      <c r="ZG52" s="16"/>
      <c r="ZH52" s="16"/>
      <c r="ZI52" s="16"/>
      <c r="ZJ52" s="16"/>
      <c r="ZK52" s="16"/>
      <c r="ZL52" s="16"/>
      <c r="ZM52" s="16"/>
      <c r="ZN52" s="16"/>
      <c r="ZO52" s="16"/>
      <c r="ZP52" s="16"/>
      <c r="ZQ52" s="16"/>
      <c r="ZR52" s="16"/>
      <c r="ZS52" s="16"/>
      <c r="ZT52" s="16"/>
      <c r="ZU52" s="16"/>
      <c r="ZV52" s="16"/>
      <c r="ZW52" s="16"/>
      <c r="ZX52" s="16"/>
      <c r="ZY52" s="16"/>
      <c r="ZZ52" s="16"/>
      <c r="AAA52" s="16"/>
      <c r="AAB52" s="16"/>
      <c r="AAC52" s="16"/>
      <c r="AAD52" s="16"/>
      <c r="AAE52" s="16"/>
      <c r="AAF52" s="16"/>
      <c r="AAG52" s="16"/>
      <c r="AAH52" s="16"/>
      <c r="AAI52" s="16"/>
      <c r="AAJ52" s="16"/>
      <c r="AAK52" s="16"/>
      <c r="AAL52" s="16"/>
      <c r="AAM52" s="16"/>
      <c r="AAN52" s="16"/>
      <c r="AAO52" s="16"/>
      <c r="AAP52" s="16"/>
      <c r="AAQ52" s="16"/>
      <c r="AAR52" s="16"/>
      <c r="AAS52" s="16"/>
      <c r="AAT52" s="16"/>
      <c r="AAU52" s="16"/>
      <c r="AAV52" s="16"/>
      <c r="AAW52" s="16"/>
      <c r="AAX52" s="16"/>
      <c r="AAY52" s="16"/>
      <c r="AAZ52" s="16"/>
      <c r="ABA52" s="16"/>
      <c r="ABB52" s="16"/>
      <c r="ABC52" s="16"/>
      <c r="ABD52" s="16"/>
      <c r="ABE52" s="16"/>
      <c r="ABF52" s="16"/>
      <c r="ABG52" s="16">
        <v>1</v>
      </c>
      <c r="ABH52" s="16"/>
      <c r="ABI52" s="16">
        <v>1</v>
      </c>
      <c r="ABJ52" s="16" t="s">
        <v>2962</v>
      </c>
      <c r="ABK52" s="16"/>
      <c r="ABL52" s="16"/>
      <c r="ABM52" s="16">
        <v>1</v>
      </c>
      <c r="ABN52" s="16"/>
      <c r="ABO52" s="16"/>
      <c r="ABP52" s="16"/>
      <c r="ABQ52" s="16"/>
      <c r="ABR52" s="16"/>
      <c r="ABS52" s="16"/>
      <c r="ABT52" s="16"/>
      <c r="ABU52" s="16"/>
      <c r="ABV52" s="16"/>
      <c r="ABW52" s="16"/>
      <c r="ABX52" s="16"/>
      <c r="ABY52" s="16"/>
      <c r="ABZ52" s="16"/>
      <c r="ACA52" s="16"/>
      <c r="ACB52" s="16"/>
      <c r="ACC52" s="16"/>
      <c r="ACD52" s="16"/>
      <c r="ACE52" s="16"/>
      <c r="ACF52" s="16"/>
      <c r="ACG52" s="16"/>
      <c r="ACH52" s="16"/>
      <c r="ACI52" s="16"/>
      <c r="ACJ52" s="16"/>
      <c r="ACK52" s="16"/>
      <c r="ACL52" s="16"/>
      <c r="ACM52" s="16"/>
      <c r="ACN52" s="16"/>
      <c r="ACO52" s="16"/>
      <c r="ACP52" s="16"/>
      <c r="ACQ52" s="16"/>
      <c r="ACR52" s="16"/>
      <c r="ACS52" s="16"/>
      <c r="ACT52" s="16"/>
      <c r="ACU52" s="16"/>
      <c r="ACV52" s="16"/>
      <c r="ACW52" s="16"/>
      <c r="ACX52" s="16"/>
      <c r="ACY52" s="16"/>
      <c r="ACZ52" s="16"/>
      <c r="ADA52" s="16"/>
      <c r="ADB52" s="16"/>
      <c r="ADC52" s="16"/>
      <c r="ADD52" s="16"/>
      <c r="ADE52" s="16"/>
      <c r="ADF52" s="16"/>
      <c r="ADG52" s="16"/>
      <c r="ADH52" s="16"/>
      <c r="ADI52" s="16"/>
      <c r="ADJ52" s="16"/>
      <c r="ADK52" s="16"/>
      <c r="ADL52" s="16"/>
      <c r="ADM52" s="16"/>
      <c r="ADN52" s="16"/>
      <c r="ADO52" s="16"/>
      <c r="ADP52" s="16"/>
      <c r="ADQ52" s="16">
        <v>1</v>
      </c>
      <c r="ADR52" s="16"/>
      <c r="ADS52" s="16"/>
      <c r="ADT52" s="16"/>
      <c r="ADU52" s="16"/>
      <c r="ADV52" s="16"/>
      <c r="ADW52" s="16">
        <v>1</v>
      </c>
      <c r="ADX52" s="16">
        <v>1</v>
      </c>
      <c r="ADY52" s="16">
        <v>1</v>
      </c>
      <c r="ADZ52" s="16"/>
      <c r="AEA52" s="16">
        <v>1</v>
      </c>
      <c r="AEB52" s="16">
        <v>1</v>
      </c>
      <c r="AEC52" s="16">
        <v>1</v>
      </c>
      <c r="AED52" s="16"/>
      <c r="AEE52" s="16"/>
      <c r="AEF52" s="16"/>
      <c r="AEG52" s="16"/>
      <c r="AEH52" s="16"/>
      <c r="AEI52" s="16"/>
      <c r="AEJ52" s="16"/>
      <c r="AEK52" s="16"/>
      <c r="AEL52" s="16"/>
      <c r="AEM52" s="16"/>
      <c r="AEN52" s="16"/>
      <c r="AEO52" s="16"/>
      <c r="AEP52" s="16"/>
      <c r="AEQ52" s="16"/>
      <c r="AER52" s="16"/>
      <c r="AES52" s="16"/>
      <c r="AET52" s="16"/>
      <c r="AEU52" s="16"/>
      <c r="AEV52" s="16"/>
      <c r="AEW52" s="16"/>
      <c r="AEX52" s="16"/>
      <c r="AEY52" s="16"/>
      <c r="AEZ52" s="16"/>
      <c r="AFA52" s="16"/>
      <c r="AFB52" s="16"/>
      <c r="AFC52" s="16"/>
      <c r="AFD52" s="16"/>
      <c r="AFE52" s="16"/>
      <c r="AFF52" s="16"/>
      <c r="AFG52" s="16"/>
      <c r="AFH52" s="16"/>
      <c r="AFI52" s="16"/>
      <c r="AFJ52" s="16"/>
      <c r="AFK52" s="16"/>
      <c r="AFL52" s="16"/>
      <c r="AFM52" s="16"/>
      <c r="AFN52" s="16"/>
      <c r="AFO52" s="16"/>
      <c r="AFP52" s="16"/>
      <c r="AFQ52" s="16"/>
      <c r="AFR52" s="16"/>
      <c r="AFS52" s="16"/>
      <c r="AFT52" s="16"/>
      <c r="AFU52" s="16"/>
      <c r="AFV52" s="16"/>
      <c r="AFW52" s="16"/>
      <c r="AFX52" s="16"/>
      <c r="AFY52" s="16"/>
      <c r="AFZ52" s="16"/>
      <c r="AGA52" s="16">
        <v>1</v>
      </c>
      <c r="AGB52" s="16">
        <v>1</v>
      </c>
      <c r="AGC52" s="16"/>
      <c r="AGD52" s="16"/>
      <c r="AGE52" s="16"/>
      <c r="AGF52" s="16"/>
      <c r="AGG52" s="16"/>
      <c r="AGH52" s="16"/>
      <c r="AGI52" s="16"/>
      <c r="AGJ52" s="16"/>
      <c r="AGK52" s="16">
        <v>1</v>
      </c>
      <c r="AGL52" s="16">
        <v>1</v>
      </c>
      <c r="AGM52" s="16"/>
      <c r="AGN52" s="16"/>
      <c r="AGO52" s="16"/>
      <c r="AGP52" s="16"/>
      <c r="AGQ52" s="16"/>
      <c r="AGR52" s="16"/>
      <c r="AGS52" s="16">
        <v>1</v>
      </c>
      <c r="AGT52" s="16"/>
      <c r="AGU52" s="16"/>
      <c r="AGV52" s="16"/>
      <c r="AGW52" s="16"/>
      <c r="AGX52" s="16"/>
      <c r="AGY52" s="16"/>
      <c r="AGZ52" s="16"/>
      <c r="AHA52" s="16"/>
      <c r="AHB52" s="16"/>
      <c r="AHC52" s="16"/>
      <c r="AHD52" s="16"/>
      <c r="AHE52" s="16"/>
      <c r="AHF52" s="16"/>
      <c r="AHG52" s="16"/>
      <c r="AHH52" s="16"/>
      <c r="AHI52" s="16"/>
      <c r="AHJ52" s="16"/>
      <c r="AHK52" s="16"/>
      <c r="AHL52" s="16"/>
      <c r="AHM52" s="16"/>
      <c r="AHN52" s="16"/>
      <c r="AHO52" s="16"/>
      <c r="AHP52" s="16"/>
      <c r="AHQ52" s="16"/>
      <c r="AHR52" s="16"/>
      <c r="AHS52" s="16"/>
      <c r="AHT52" s="16"/>
      <c r="AHU52" s="16"/>
      <c r="AHV52" s="16"/>
      <c r="AHW52" s="16"/>
      <c r="AHX52" s="16"/>
      <c r="AHY52" s="16"/>
      <c r="AHZ52" s="16"/>
      <c r="AIA52" s="16"/>
      <c r="AIB52" s="16"/>
      <c r="AIC52" s="16"/>
      <c r="AID52" s="16"/>
      <c r="AIE52" s="16"/>
      <c r="AIF52" s="16"/>
      <c r="AIG52" s="16"/>
      <c r="AIH52" s="16"/>
      <c r="AII52" s="16"/>
      <c r="AIJ52" s="16"/>
      <c r="AIK52" s="16"/>
      <c r="AIL52" s="16"/>
      <c r="AIM52" s="16"/>
      <c r="AIN52" s="16"/>
      <c r="AIO52" s="16"/>
      <c r="AIP52" s="16"/>
      <c r="AIQ52" s="16"/>
      <c r="AIR52" s="16"/>
      <c r="AIS52" s="16"/>
      <c r="AIT52" s="16"/>
      <c r="AIU52" s="16"/>
      <c r="AIV52" s="16"/>
      <c r="AIW52" s="16"/>
      <c r="AIX52" s="16"/>
      <c r="AIY52" s="16"/>
      <c r="AIZ52" s="16"/>
      <c r="AJA52" s="16"/>
      <c r="AJB52" s="16"/>
      <c r="AJC52" s="16"/>
      <c r="AJD52" s="16"/>
      <c r="AJE52" s="16"/>
      <c r="AJF52" s="16"/>
      <c r="AJG52" s="16"/>
      <c r="AJH52" s="16"/>
      <c r="AJI52" s="16"/>
      <c r="AJJ52" s="16"/>
      <c r="AJK52" s="16"/>
      <c r="AJL52" s="16"/>
      <c r="AJM52" s="16"/>
      <c r="AJN52" s="16"/>
      <c r="AJO52" s="16"/>
      <c r="AJP52" s="16"/>
      <c r="AJQ52" s="16"/>
      <c r="AJR52" s="16"/>
      <c r="AJS52" s="16"/>
      <c r="AJT52" s="16"/>
      <c r="AJU52" s="16"/>
      <c r="AJV52" s="16"/>
      <c r="AJW52" s="16"/>
      <c r="AJX52" s="16"/>
      <c r="AJY52" s="16"/>
      <c r="AJZ52" s="16"/>
      <c r="AKA52" s="16"/>
      <c r="AKB52" s="16"/>
      <c r="AKC52" s="16"/>
      <c r="AKD52" s="16"/>
      <c r="AKE52" s="16"/>
      <c r="AKF52" s="16"/>
      <c r="AKG52" s="16"/>
      <c r="AKH52" s="16"/>
      <c r="AKI52" s="16"/>
      <c r="AKJ52" s="16"/>
      <c r="AKK52" s="16"/>
      <c r="AKL52" s="16"/>
      <c r="AKM52" s="16"/>
      <c r="AKN52" s="16"/>
      <c r="AKO52" s="16"/>
      <c r="AKP52" s="16"/>
      <c r="AKQ52" s="16"/>
      <c r="AKR52" s="16"/>
      <c r="AKS52" s="16"/>
      <c r="AKT52" s="16"/>
      <c r="AKU52" s="16"/>
      <c r="AKV52" s="16"/>
      <c r="AKW52" s="16"/>
      <c r="AKX52" s="16"/>
      <c r="AKY52" s="16"/>
      <c r="AKZ52" s="16"/>
      <c r="ALA52" s="16"/>
      <c r="ALB52" s="16"/>
      <c r="ALC52" s="16"/>
      <c r="ALD52" s="16"/>
      <c r="ALE52" s="16"/>
      <c r="ALF52" s="16"/>
      <c r="ALG52" s="16"/>
      <c r="ALH52" s="16"/>
      <c r="ALI52" s="16"/>
      <c r="ALJ52" s="16"/>
      <c r="ALK52" s="16"/>
      <c r="ALL52" s="16"/>
      <c r="ALM52" s="16"/>
      <c r="ALN52" s="16"/>
      <c r="ALO52" s="16"/>
      <c r="ALP52" s="16"/>
      <c r="ALQ52" s="16"/>
      <c r="ALR52" s="16"/>
      <c r="ALS52" s="16"/>
      <c r="ALT52" s="16"/>
      <c r="ALU52" s="16"/>
      <c r="ALV52" s="16"/>
      <c r="ALW52" s="16"/>
      <c r="ALX52" s="16"/>
      <c r="ALY52" s="16"/>
      <c r="ALZ52" s="16"/>
      <c r="AMA52" s="16"/>
      <c r="AMB52" s="16"/>
      <c r="AMC52" s="16"/>
      <c r="AMD52" s="16"/>
      <c r="AME52" s="16"/>
      <c r="AMF52" s="16"/>
      <c r="AMG52" s="16"/>
      <c r="AMH52" s="16"/>
      <c r="AMI52" s="16"/>
      <c r="AMJ52" s="16"/>
      <c r="AMK52" s="16"/>
      <c r="AML52" s="16"/>
      <c r="AMM52" s="16"/>
      <c r="AMN52" s="16"/>
      <c r="AMO52" s="16"/>
      <c r="AMP52" s="16"/>
      <c r="AMQ52" s="16"/>
      <c r="AMR52" s="16"/>
      <c r="AMS52" s="16"/>
      <c r="AMT52" s="16"/>
      <c r="AMU52" s="16"/>
      <c r="AMV52" s="16"/>
      <c r="AMW52" s="16"/>
      <c r="AMX52" s="16"/>
      <c r="AMY52" s="16"/>
      <c r="AMZ52" s="16"/>
      <c r="ANA52" s="16"/>
      <c r="ANB52" s="16"/>
      <c r="ANC52" s="16"/>
      <c r="AND52" s="16"/>
      <c r="ANE52" s="16"/>
      <c r="ANF52" s="16"/>
      <c r="ANG52" s="16"/>
      <c r="ANH52" s="16"/>
      <c r="ANI52" s="16"/>
      <c r="ANJ52" s="16"/>
      <c r="ANK52" s="16"/>
      <c r="ANL52" s="16"/>
      <c r="ANM52" s="16"/>
      <c r="ANN52" s="16"/>
      <c r="ANO52" s="16"/>
      <c r="ANP52" s="16"/>
      <c r="ANQ52" s="16"/>
      <c r="ANR52" s="16"/>
      <c r="ANS52" s="16"/>
      <c r="ANT52" s="16"/>
      <c r="ANU52" s="16"/>
      <c r="ANV52" s="16"/>
      <c r="ANW52" s="16"/>
      <c r="ANX52" s="16"/>
      <c r="ANY52" s="16"/>
      <c r="ANZ52" s="16"/>
      <c r="AOA52" s="16"/>
      <c r="AOB52" s="16"/>
      <c r="AOC52" s="16"/>
      <c r="AOD52" s="16"/>
      <c r="AOE52" s="16"/>
      <c r="AOF52" s="16"/>
      <c r="AOG52" s="16"/>
      <c r="AOH52" s="16"/>
      <c r="AOI52" s="16"/>
      <c r="AOJ52" s="16"/>
      <c r="AOK52" s="16"/>
      <c r="AOL52" s="16"/>
      <c r="AOM52" s="16"/>
      <c r="AON52" s="16"/>
      <c r="AOO52" s="16"/>
      <c r="AOP52" s="16"/>
      <c r="AOQ52" s="16"/>
      <c r="AOR52" s="16"/>
      <c r="AOS52" s="16"/>
      <c r="AOT52" s="16"/>
      <c r="AOU52" s="16"/>
      <c r="AOV52" s="16"/>
      <c r="AOW52" s="16"/>
      <c r="AOX52" s="16"/>
      <c r="AOY52" s="16"/>
      <c r="AOZ52" s="16"/>
      <c r="APA52" s="16"/>
      <c r="APB52" s="16"/>
      <c r="APC52" s="16"/>
      <c r="APD52" s="16"/>
      <c r="APE52" s="16"/>
      <c r="APF52" s="16"/>
      <c r="APG52" s="16"/>
      <c r="APH52" s="16"/>
      <c r="API52" s="16"/>
      <c r="APJ52" s="16"/>
      <c r="APK52" s="16"/>
      <c r="APL52" s="16"/>
      <c r="APM52" s="16"/>
      <c r="APN52" s="16"/>
      <c r="APO52" s="16"/>
      <c r="APP52" s="16"/>
      <c r="APQ52" s="16"/>
      <c r="APR52" s="16"/>
      <c r="APS52" s="16"/>
      <c r="APT52" s="16"/>
      <c r="APU52" s="16"/>
      <c r="APV52" s="16"/>
      <c r="APW52" s="16"/>
      <c r="APX52" s="16"/>
      <c r="APY52" s="16"/>
      <c r="APZ52" s="16"/>
      <c r="AQA52" s="16"/>
      <c r="AQB52" s="16"/>
      <c r="AQC52" s="16"/>
      <c r="AQD52" s="16"/>
      <c r="AQE52" s="16"/>
      <c r="AQF52" s="16"/>
      <c r="AQG52" s="16"/>
      <c r="AQH52" s="16"/>
      <c r="AQI52" s="16"/>
      <c r="AQJ52" s="16"/>
      <c r="AQK52" s="16"/>
      <c r="AQL52" s="16"/>
      <c r="AQM52" s="16"/>
      <c r="AQN52" s="16"/>
      <c r="AQO52" s="16"/>
      <c r="AQP52" s="16"/>
      <c r="AQQ52" s="16"/>
      <c r="AQR52" s="16"/>
      <c r="AQS52" s="16"/>
      <c r="AQT52" s="16"/>
      <c r="AQU52" s="16"/>
      <c r="AQV52" s="16"/>
      <c r="AQW52" s="16"/>
      <c r="AQX52" s="16"/>
      <c r="AQY52" s="16"/>
      <c r="AQZ52" s="16"/>
      <c r="ARA52" s="16"/>
      <c r="ARB52" s="16"/>
      <c r="ARC52" s="16"/>
      <c r="ARD52" s="16"/>
      <c r="ARE52" s="16"/>
      <c r="ARF52" s="16"/>
      <c r="ARG52" s="16"/>
      <c r="ARH52" s="16"/>
      <c r="ARI52" s="16"/>
      <c r="ARJ52" s="16"/>
      <c r="ARK52" s="16"/>
      <c r="ARL52" s="16"/>
      <c r="ARM52" s="16"/>
      <c r="ARN52" s="16"/>
      <c r="ARO52" s="16"/>
      <c r="ARP52" s="16"/>
      <c r="ARQ52" s="16"/>
      <c r="ARR52" s="16"/>
      <c r="ARS52" s="16"/>
      <c r="ART52" s="16"/>
      <c r="ARU52" s="16"/>
      <c r="ARV52" s="16"/>
      <c r="ARW52" s="16"/>
      <c r="ARX52" s="16"/>
      <c r="ARY52" s="16"/>
      <c r="ARZ52" s="16"/>
      <c r="ASA52" s="16"/>
      <c r="ASB52" s="16"/>
      <c r="ASC52" s="16"/>
      <c r="ASD52" s="16"/>
      <c r="ASE52" s="16"/>
      <c r="ASF52" s="16"/>
      <c r="ASG52" s="16"/>
      <c r="ASH52" s="16"/>
      <c r="ASI52" s="16"/>
      <c r="ASJ52" s="16"/>
      <c r="ASK52" s="16"/>
      <c r="ASL52" s="16"/>
      <c r="ASM52" s="16"/>
      <c r="ASN52" s="16"/>
      <c r="ASO52" s="16"/>
      <c r="ASP52" s="16"/>
      <c r="ASQ52" s="16"/>
      <c r="ASR52" s="16"/>
      <c r="ASS52" s="16"/>
      <c r="AST52" s="16"/>
      <c r="ASU52" s="16"/>
      <c r="ASV52" s="16"/>
      <c r="ASW52" s="16"/>
      <c r="ASX52" s="16"/>
      <c r="ASY52" s="16"/>
      <c r="ASZ52" s="16"/>
      <c r="ATA52" s="16"/>
      <c r="ATB52" s="16"/>
      <c r="ATC52" s="16"/>
      <c r="ATD52" s="16"/>
      <c r="ATE52" s="16"/>
      <c r="ATF52" s="16"/>
      <c r="ATG52" s="16"/>
      <c r="ATH52" s="16"/>
      <c r="ATI52" s="16"/>
      <c r="ATJ52" s="16"/>
      <c r="ATK52" s="16"/>
      <c r="ATL52" s="16"/>
      <c r="ATM52" s="16"/>
      <c r="ATN52" s="16"/>
      <c r="ATO52" s="16"/>
      <c r="ATP52" s="16"/>
      <c r="ATQ52" s="16"/>
      <c r="ATR52" s="16"/>
      <c r="ATS52" s="16"/>
      <c r="ATT52" s="16"/>
      <c r="ATU52" s="16"/>
      <c r="ATV52" s="16"/>
      <c r="ATW52" s="16"/>
      <c r="ATX52" s="16"/>
      <c r="ATY52" s="16"/>
      <c r="ATZ52" s="16"/>
      <c r="AUA52" s="16"/>
      <c r="AUB52" s="16"/>
      <c r="AUC52" s="16"/>
      <c r="AUD52" s="16"/>
      <c r="AUE52" s="16"/>
      <c r="AUF52" s="16"/>
      <c r="AUG52" s="16"/>
      <c r="AUH52" s="16"/>
      <c r="AUI52" s="16"/>
      <c r="AUJ52" s="16"/>
      <c r="AUK52" s="16"/>
      <c r="AUL52" s="16"/>
      <c r="AUM52" s="16"/>
      <c r="AUN52" s="16"/>
      <c r="AUO52" s="16"/>
      <c r="AUP52" s="16"/>
      <c r="AUQ52" s="16"/>
      <c r="AUR52" s="16"/>
      <c r="AUS52" s="16"/>
      <c r="AUT52" s="16"/>
      <c r="AUU52" s="16"/>
      <c r="AUV52" s="16"/>
      <c r="AUW52" s="16"/>
      <c r="AUX52" s="16"/>
      <c r="AUY52" s="16"/>
      <c r="AUZ52" s="16"/>
      <c r="AVA52" s="16"/>
      <c r="AVB52" s="16"/>
      <c r="AVC52" s="16"/>
      <c r="AVD52" s="16"/>
      <c r="AVE52" s="16"/>
      <c r="AVF52" s="16"/>
      <c r="AVG52" s="16"/>
      <c r="AVH52" s="16"/>
      <c r="AVI52" s="16"/>
      <c r="AVJ52" s="16"/>
      <c r="AVK52" s="16"/>
      <c r="AVL52" s="16"/>
      <c r="AVM52" s="16"/>
      <c r="AVN52" s="16"/>
      <c r="AVO52" s="16"/>
      <c r="AVP52" s="16"/>
      <c r="AVQ52" s="16"/>
      <c r="AVR52" s="16"/>
      <c r="AVS52" s="16"/>
      <c r="AVT52" s="16"/>
      <c r="AVU52" s="16"/>
      <c r="AVV52" s="16"/>
      <c r="AVW52" s="16"/>
      <c r="AVX52" s="16"/>
      <c r="AVY52" s="16"/>
      <c r="AVZ52" s="16"/>
      <c r="AWA52" s="16"/>
      <c r="AWB52" s="16"/>
      <c r="AWC52" s="16"/>
      <c r="AWD52" s="16"/>
      <c r="AWE52" s="16"/>
      <c r="AWF52" s="16"/>
      <c r="AWG52" s="16"/>
      <c r="AWH52" s="16"/>
      <c r="AWI52" s="16"/>
      <c r="AWJ52" s="16"/>
      <c r="AWK52" s="16"/>
      <c r="AWL52" s="16"/>
      <c r="AWM52" s="16"/>
      <c r="AWN52" s="16"/>
      <c r="AWO52" s="16"/>
      <c r="AWP52" s="16"/>
      <c r="AWQ52" s="16"/>
      <c r="AWR52" s="16"/>
      <c r="AWS52" s="16"/>
      <c r="AWT52" s="16"/>
      <c r="AWU52" s="16"/>
      <c r="AWV52" s="16"/>
      <c r="AWW52" s="16"/>
      <c r="AWX52" s="16"/>
      <c r="AWY52" s="16"/>
      <c r="AWZ52" s="16"/>
      <c r="AXA52" s="16"/>
      <c r="AXB52" s="16"/>
      <c r="AXC52" s="16"/>
      <c r="AXD52" s="16"/>
      <c r="AXE52" s="16"/>
      <c r="AXF52" s="16"/>
      <c r="AXG52" s="16"/>
      <c r="AXH52" s="16"/>
      <c r="AXI52" s="16"/>
      <c r="AXJ52" s="16"/>
      <c r="AXK52" s="16"/>
      <c r="AXL52" s="16"/>
      <c r="AXM52" s="16"/>
      <c r="AXN52" s="16"/>
      <c r="AXO52" s="16"/>
      <c r="AXP52" s="16"/>
      <c r="AXQ52" s="16"/>
      <c r="AXR52" s="16"/>
      <c r="AXS52" s="16"/>
      <c r="AXT52" s="16"/>
      <c r="AXU52" s="16"/>
      <c r="AXV52" s="16"/>
      <c r="AXW52" s="16"/>
      <c r="AXX52" s="16"/>
      <c r="AXY52" s="16"/>
      <c r="AXZ52" s="16"/>
      <c r="AYA52" s="16"/>
      <c r="AYB52" s="16"/>
      <c r="AYC52" s="16"/>
      <c r="AYD52" s="16"/>
      <c r="AYE52" s="16"/>
      <c r="AYF52" s="16"/>
      <c r="AYG52" s="16"/>
      <c r="AYH52" s="16"/>
      <c r="AYI52" s="16"/>
      <c r="AYJ52" s="16"/>
      <c r="AYK52" s="16"/>
      <c r="AYL52" s="16"/>
      <c r="AYM52" s="16"/>
      <c r="AYN52" s="16"/>
      <c r="AYO52" s="16"/>
      <c r="AYP52" s="16"/>
      <c r="AYQ52" s="16"/>
      <c r="AYR52" s="16"/>
      <c r="AYS52" s="16"/>
      <c r="AYT52" s="16"/>
      <c r="AYU52" s="16"/>
      <c r="AYV52" s="16"/>
      <c r="AYW52" s="16"/>
      <c r="AYX52" s="16"/>
      <c r="AYY52" s="16"/>
      <c r="AYZ52" s="16"/>
      <c r="AZA52" s="16"/>
      <c r="AZB52" s="16"/>
      <c r="AZC52" s="16"/>
      <c r="AZD52" s="16"/>
      <c r="AZE52" s="16"/>
      <c r="AZF52" s="16"/>
      <c r="AZG52" s="16"/>
      <c r="AZH52" s="16"/>
      <c r="AZI52" s="16"/>
      <c r="AZJ52" s="16"/>
      <c r="AZK52" s="16"/>
      <c r="AZL52" s="16"/>
      <c r="AZM52" s="16"/>
      <c r="AZN52" s="16"/>
      <c r="AZO52" s="16"/>
      <c r="AZP52" s="16"/>
      <c r="AZQ52" s="16"/>
      <c r="AZR52" s="16"/>
      <c r="AZS52" s="16"/>
      <c r="AZT52" s="16"/>
      <c r="AZU52" s="16"/>
      <c r="AZV52" s="16"/>
      <c r="AZW52" s="16"/>
      <c r="AZX52" s="16"/>
      <c r="AZY52" s="16"/>
      <c r="AZZ52" s="16"/>
      <c r="BAA52" s="16"/>
      <c r="BAB52" s="16"/>
      <c r="BAC52" s="16"/>
      <c r="BAD52" s="16"/>
      <c r="BAE52" s="16"/>
      <c r="BAF52" s="16"/>
      <c r="BAG52" s="16"/>
      <c r="BAH52" s="16"/>
      <c r="BAI52" s="16"/>
      <c r="BAJ52" s="16"/>
      <c r="BAK52" s="16"/>
      <c r="BAL52" s="16"/>
      <c r="BAM52" s="16"/>
      <c r="BAN52" s="16"/>
      <c r="BAO52" s="16"/>
      <c r="BAP52" s="16"/>
      <c r="BAQ52" s="16"/>
      <c r="BAR52" s="16"/>
      <c r="BAS52" s="16"/>
      <c r="BAT52" s="16"/>
      <c r="BAU52" s="16"/>
      <c r="BAV52" s="16"/>
      <c r="BAW52" s="16"/>
      <c r="BAX52" s="16"/>
      <c r="BAY52" s="16"/>
      <c r="BAZ52" s="16"/>
      <c r="BBA52" s="16"/>
      <c r="BBB52" s="16"/>
      <c r="BBC52" s="16"/>
      <c r="BBD52" s="16"/>
      <c r="BBE52" s="16"/>
      <c r="BBF52" s="16"/>
      <c r="BBG52" s="16"/>
      <c r="BBH52" s="16"/>
      <c r="BBI52" s="16"/>
      <c r="BBJ52" s="16"/>
      <c r="BBK52" s="16"/>
      <c r="BBL52" s="16"/>
      <c r="BBM52" s="16"/>
      <c r="BBN52" s="16"/>
      <c r="BBO52" s="16"/>
      <c r="BBP52" s="16"/>
      <c r="BBQ52" s="16"/>
      <c r="BBR52" s="16"/>
      <c r="BBS52" s="16"/>
      <c r="BBT52" s="16"/>
      <c r="BBU52" s="16"/>
      <c r="BBV52" s="16"/>
      <c r="BBW52" s="16"/>
      <c r="BBX52" s="16"/>
      <c r="BBY52" s="16"/>
      <c r="BBZ52" s="16"/>
      <c r="BCA52" s="16"/>
      <c r="BCB52" s="16"/>
      <c r="BCC52" s="16"/>
      <c r="BCD52" s="16"/>
      <c r="BCE52" s="16"/>
      <c r="BCF52" s="16"/>
      <c r="BCG52" s="16"/>
      <c r="BCH52" s="16"/>
      <c r="BCI52" s="16"/>
      <c r="BCJ52" s="16"/>
      <c r="BCK52" s="16"/>
      <c r="BCL52" s="16"/>
      <c r="BCM52" s="16"/>
      <c r="BCN52" s="16"/>
      <c r="BCO52" s="16"/>
      <c r="BCP52" s="16"/>
      <c r="BCQ52" s="16"/>
      <c r="BCR52" s="16"/>
      <c r="BCS52" s="16"/>
      <c r="BCT52" s="16"/>
      <c r="BCU52" s="16"/>
      <c r="BCV52" s="16"/>
      <c r="BCW52" s="16"/>
      <c r="BCX52" s="16"/>
      <c r="BCY52" s="16"/>
      <c r="BCZ52" s="16"/>
      <c r="BDA52" s="16"/>
      <c r="BDB52" s="16"/>
      <c r="BDC52" s="16"/>
      <c r="BDD52" s="16"/>
      <c r="BDE52" s="16"/>
      <c r="BDF52" s="16"/>
      <c r="BDG52" s="16"/>
      <c r="BDH52" s="16"/>
      <c r="BDI52" s="16"/>
      <c r="BDJ52" s="16"/>
      <c r="BDK52" s="16"/>
      <c r="BDL52" s="16"/>
      <c r="BDM52" s="16"/>
      <c r="BDN52" s="16"/>
      <c r="BDO52" s="16"/>
      <c r="BDP52" s="16"/>
      <c r="BDQ52" s="16"/>
      <c r="BDR52" s="16"/>
      <c r="BDS52" s="16"/>
      <c r="BDT52" s="16"/>
      <c r="BDU52" s="16"/>
      <c r="BDV52" s="16"/>
      <c r="BDW52" s="16"/>
      <c r="BDX52" s="16"/>
      <c r="BDY52" s="16"/>
      <c r="BDZ52" s="16"/>
      <c r="BEA52" s="16"/>
      <c r="BEB52" s="16"/>
      <c r="BEC52" s="16"/>
      <c r="BED52" s="16"/>
      <c r="BEE52" s="16"/>
      <c r="BEF52" s="16"/>
      <c r="BEG52" s="16"/>
      <c r="BEH52" s="16"/>
      <c r="BEI52" s="16"/>
      <c r="BEJ52" s="16"/>
      <c r="BEK52" s="16"/>
      <c r="BEL52" s="16"/>
      <c r="BEM52" s="16"/>
      <c r="BEN52" s="16"/>
      <c r="BEO52" s="16"/>
      <c r="BEP52" s="16"/>
      <c r="BEQ52" s="16"/>
      <c r="BER52" s="16"/>
      <c r="BES52" s="16"/>
      <c r="BET52" s="16"/>
      <c r="BEU52" s="16"/>
      <c r="BEV52" s="16"/>
      <c r="BEW52" s="16"/>
      <c r="BEX52" s="16"/>
      <c r="BEY52" s="16"/>
      <c r="BEZ52" s="16"/>
      <c r="BFA52" s="16"/>
      <c r="BFB52" s="16"/>
      <c r="BFC52" s="16"/>
      <c r="BFD52" s="16"/>
      <c r="BFE52" s="16"/>
      <c r="BFF52" s="16"/>
      <c r="BFG52" s="16"/>
      <c r="BFH52" s="16"/>
      <c r="BFI52" s="16"/>
      <c r="BFJ52" s="16"/>
      <c r="BFK52" s="16"/>
      <c r="BFL52" s="16"/>
      <c r="BFM52" s="16"/>
      <c r="BFN52" s="16"/>
      <c r="BFO52" s="16"/>
      <c r="BFP52" s="16"/>
      <c r="BFQ52" s="16"/>
      <c r="BFR52" s="16"/>
      <c r="BFS52" s="16"/>
      <c r="BFT52" s="16"/>
      <c r="BFU52" s="16"/>
      <c r="BFV52" s="16"/>
      <c r="BFW52" s="16"/>
      <c r="BFX52" s="16"/>
      <c r="BFY52" s="16"/>
      <c r="BFZ52" s="16"/>
      <c r="BGA52" s="16"/>
      <c r="BGB52" s="16"/>
      <c r="BGC52" s="16"/>
      <c r="BGD52" s="16"/>
      <c r="BGE52" s="16"/>
      <c r="BGF52" s="16"/>
      <c r="BGG52" s="16"/>
      <c r="BGH52" s="16"/>
      <c r="BGI52" s="16"/>
      <c r="BGJ52" s="16"/>
      <c r="BGK52" s="16"/>
      <c r="BGL52" s="16"/>
      <c r="BGM52" s="16"/>
      <c r="BGN52" s="16"/>
      <c r="BGO52" s="16"/>
      <c r="BGP52" s="16"/>
      <c r="BGQ52" s="16"/>
      <c r="BGR52" s="16"/>
      <c r="BGS52" s="16"/>
      <c r="BGT52" s="16"/>
      <c r="BGU52" s="16"/>
      <c r="BGV52" s="16"/>
      <c r="BGW52" s="16"/>
      <c r="BGX52" s="16"/>
      <c r="BGY52" s="16"/>
      <c r="BGZ52" s="16"/>
      <c r="BHA52" s="16"/>
      <c r="BHB52" s="16"/>
      <c r="BHC52" s="16"/>
      <c r="BHD52" s="16"/>
      <c r="BHE52" s="16"/>
      <c r="BHF52" s="16"/>
      <c r="BHG52" s="16"/>
      <c r="BHH52" s="16"/>
      <c r="BHI52" s="16"/>
      <c r="BHJ52" s="16"/>
      <c r="BHK52" s="16"/>
      <c r="BHL52" s="16"/>
      <c r="BHM52" s="16"/>
      <c r="BHN52" s="16"/>
      <c r="BHO52" s="16"/>
      <c r="BHP52" s="16"/>
      <c r="BHQ52" s="16"/>
      <c r="BHR52" s="16"/>
      <c r="BHS52" s="16"/>
      <c r="BHT52" s="16"/>
      <c r="BHU52" s="16"/>
      <c r="BHV52" s="16"/>
      <c r="BHW52" s="16"/>
      <c r="BHX52" s="16"/>
      <c r="BHY52" s="16"/>
      <c r="BHZ52" s="16"/>
      <c r="BIA52" s="16"/>
      <c r="BIB52" s="16"/>
      <c r="BIC52" s="16"/>
      <c r="BID52" s="16"/>
      <c r="BIE52" s="16"/>
      <c r="BIF52" s="16"/>
      <c r="BIG52" s="16"/>
      <c r="BIH52" s="16"/>
      <c r="BII52" s="16"/>
      <c r="BIJ52" s="16"/>
      <c r="BIK52" s="16"/>
      <c r="BIL52" s="16"/>
      <c r="BIM52" s="16"/>
      <c r="BIN52" s="16"/>
      <c r="BIO52" s="16"/>
      <c r="BIP52" s="16"/>
      <c r="BIQ52" s="16"/>
      <c r="BIR52" s="16"/>
      <c r="BIS52" s="16"/>
      <c r="BIT52" s="16"/>
      <c r="BIU52" s="16"/>
      <c r="BIV52" s="16"/>
      <c r="BIW52" s="16"/>
      <c r="BIX52" s="16"/>
      <c r="BIY52" s="16"/>
      <c r="BIZ52" s="16"/>
      <c r="BJA52" s="16"/>
      <c r="BJB52" s="16"/>
      <c r="BJC52" s="16"/>
      <c r="BJD52" s="16"/>
      <c r="BJE52" s="16"/>
      <c r="BJF52" s="16"/>
      <c r="BJG52" s="16"/>
      <c r="BJH52" s="16"/>
      <c r="BJI52" s="16"/>
      <c r="BJJ52" s="16"/>
      <c r="BJK52" s="16"/>
      <c r="BJL52" s="16"/>
      <c r="BJM52" s="16"/>
      <c r="BJN52" s="16"/>
      <c r="BJO52" s="16"/>
      <c r="BJP52" s="16"/>
      <c r="BJQ52" s="16"/>
      <c r="BJR52" s="16"/>
      <c r="BJS52" s="16"/>
      <c r="BJT52" s="16"/>
      <c r="BJU52" s="16"/>
      <c r="BJV52" s="16"/>
      <c r="BJW52" s="16"/>
      <c r="BJX52" s="16"/>
      <c r="BJY52" s="16"/>
      <c r="BJZ52" s="16"/>
      <c r="BKA52" s="16"/>
      <c r="BKB52" s="16"/>
      <c r="BKC52" s="16"/>
      <c r="BKD52" s="16"/>
      <c r="BKE52" s="16"/>
      <c r="BKF52" s="16"/>
      <c r="BKG52" s="16"/>
      <c r="BKH52" s="16"/>
      <c r="BKI52" s="16"/>
      <c r="BKJ52" s="16"/>
      <c r="BKK52" s="16"/>
      <c r="BKL52" s="16"/>
      <c r="BKM52" s="16"/>
      <c r="BKN52" s="16"/>
      <c r="BKO52" s="16"/>
      <c r="BKP52" s="16"/>
      <c r="BKQ52" s="16"/>
      <c r="BKR52" s="16"/>
      <c r="BKS52" s="16"/>
      <c r="BKT52" s="16"/>
      <c r="BKU52" s="16"/>
      <c r="BKV52" s="16"/>
      <c r="BKW52" s="16"/>
      <c r="BKX52" s="16"/>
      <c r="BKY52" s="16"/>
      <c r="BKZ52" s="16"/>
      <c r="BLA52" s="16"/>
      <c r="BLB52" s="16"/>
      <c r="BLC52" s="16"/>
      <c r="BLD52" s="16"/>
      <c r="BLE52" s="16"/>
      <c r="BLF52" s="16"/>
      <c r="BLG52" s="16"/>
      <c r="BLH52" s="16"/>
      <c r="BLI52" s="16"/>
      <c r="BLJ52" s="16"/>
      <c r="BLK52" s="16"/>
      <c r="BLL52" s="16"/>
      <c r="BLM52" s="16"/>
      <c r="BLN52" s="16"/>
      <c r="BLO52" s="16"/>
      <c r="BLP52" s="16"/>
      <c r="BLQ52" s="16"/>
      <c r="BLR52" s="16"/>
      <c r="BLS52" s="16"/>
      <c r="BLT52" s="16"/>
      <c r="BLU52" s="16"/>
      <c r="BLV52" s="16"/>
      <c r="BLW52" s="16"/>
      <c r="BLX52" s="16"/>
      <c r="BLY52" s="16"/>
      <c r="BLZ52" s="16"/>
      <c r="BMA52" s="16"/>
      <c r="BMB52" s="16"/>
      <c r="BMC52" s="16"/>
      <c r="BMD52" s="16"/>
      <c r="BME52" s="16"/>
      <c r="BMF52" s="16"/>
      <c r="BMG52" s="16"/>
      <c r="BMH52" s="16"/>
      <c r="BMI52" s="16"/>
      <c r="BMJ52" s="16"/>
      <c r="BMK52" s="16"/>
      <c r="BML52" s="16"/>
      <c r="BMM52" s="16"/>
      <c r="BMN52" s="16"/>
      <c r="BMO52" s="16"/>
      <c r="BMP52" s="16"/>
      <c r="BMQ52" s="16"/>
      <c r="BMR52" s="16"/>
      <c r="BMS52" s="16"/>
      <c r="BMT52" s="16"/>
      <c r="BMU52" s="16"/>
      <c r="BMV52" s="16"/>
      <c r="BMW52" s="16"/>
      <c r="BMX52" s="16"/>
      <c r="BMY52" s="16"/>
      <c r="BMZ52" s="16"/>
      <c r="BNA52" s="16"/>
      <c r="BNB52" s="16"/>
      <c r="BNC52" s="16"/>
      <c r="BND52" s="16"/>
      <c r="BNE52" s="16"/>
      <c r="BNF52" s="16"/>
      <c r="BNG52" s="16"/>
      <c r="BNH52" s="16"/>
      <c r="BNI52" s="16"/>
      <c r="BNJ52" s="16"/>
      <c r="BNK52" s="16"/>
      <c r="BNL52" s="16"/>
      <c r="BNM52" s="16"/>
      <c r="BNN52" s="16"/>
      <c r="BNO52" s="16"/>
      <c r="BNP52" s="16"/>
      <c r="BNQ52" s="16"/>
      <c r="BNR52" s="16"/>
      <c r="BNS52" s="16"/>
      <c r="BNT52" s="16"/>
      <c r="BNU52" s="16"/>
      <c r="BNV52" s="16"/>
      <c r="BNW52" s="16"/>
      <c r="BNX52" s="16"/>
      <c r="BNY52" s="16"/>
      <c r="BNZ52" s="16"/>
      <c r="BOA52" s="16"/>
      <c r="BOB52" s="16"/>
      <c r="BOC52" s="16"/>
      <c r="BOD52" s="16"/>
      <c r="BOE52" s="16"/>
      <c r="BOF52" s="16"/>
      <c r="BOG52" s="16"/>
      <c r="BOH52" s="16"/>
      <c r="BOI52" s="16"/>
      <c r="BOJ52" s="16"/>
      <c r="BOK52" s="16"/>
      <c r="BOL52" s="16"/>
      <c r="BOM52" s="16"/>
      <c r="BON52" s="16"/>
      <c r="BOO52" s="16"/>
      <c r="BOP52" s="16"/>
      <c r="BOQ52" s="16"/>
      <c r="BOR52" s="16"/>
      <c r="BOS52" s="16"/>
      <c r="BOT52" s="16"/>
      <c r="BOU52" s="16"/>
      <c r="BOV52" s="16"/>
      <c r="BOW52" s="16"/>
      <c r="BOX52" s="16"/>
      <c r="BOY52" s="16"/>
      <c r="BOZ52" s="16"/>
      <c r="BPA52" s="16"/>
      <c r="BPB52" s="16"/>
      <c r="BPC52" s="16"/>
      <c r="BPD52" s="16"/>
      <c r="BPE52" s="16"/>
      <c r="BPF52" s="16"/>
      <c r="BPG52" s="16"/>
      <c r="BPH52" s="16"/>
      <c r="BPI52" s="16"/>
      <c r="BPJ52" s="16"/>
      <c r="BPK52" s="16"/>
      <c r="BPL52" s="16"/>
      <c r="BPM52" s="16"/>
      <c r="BPN52" s="16"/>
      <c r="BPO52" s="16"/>
      <c r="BPP52" s="16"/>
      <c r="BPQ52" s="16"/>
      <c r="BPR52" s="16"/>
      <c r="BPS52" s="16"/>
      <c r="BPT52" s="16"/>
      <c r="BPU52" s="16"/>
      <c r="BPV52" s="16"/>
      <c r="BPW52" s="16"/>
      <c r="BPX52" s="16"/>
      <c r="BPY52" s="16"/>
      <c r="BPZ52" s="16"/>
      <c r="BQA52" s="16"/>
      <c r="BQB52" s="16"/>
      <c r="BQC52" s="16"/>
      <c r="BQD52" s="16"/>
      <c r="BQE52" s="16"/>
      <c r="BQF52" s="16"/>
      <c r="BQG52" s="16"/>
      <c r="BQH52" s="16"/>
      <c r="BQI52" s="16"/>
      <c r="BQJ52" s="16"/>
      <c r="BQK52" s="16"/>
      <c r="BQL52" s="16"/>
      <c r="BQM52" s="16"/>
      <c r="BQN52" s="16"/>
      <c r="BQO52" s="16"/>
      <c r="BQP52" s="16"/>
      <c r="BQQ52" s="16"/>
      <c r="BQR52" s="16"/>
      <c r="BQS52" s="16"/>
      <c r="BQT52" s="16"/>
      <c r="BQU52" s="16"/>
      <c r="BQV52" s="16"/>
      <c r="BQW52" s="16"/>
      <c r="BQX52" s="16"/>
      <c r="BQY52" s="16"/>
      <c r="BQZ52" s="16"/>
      <c r="BRA52" s="16"/>
      <c r="BRB52" s="16"/>
      <c r="BRC52" s="16"/>
      <c r="BRD52" s="16"/>
      <c r="BRE52" s="16"/>
      <c r="BRF52" s="16"/>
      <c r="BRG52" s="16"/>
      <c r="BRH52" s="16"/>
      <c r="BRI52" s="16"/>
      <c r="BRJ52" s="16"/>
      <c r="BRK52" s="16"/>
      <c r="BRL52" s="16"/>
      <c r="BRM52" s="16"/>
      <c r="BRN52" s="16"/>
      <c r="BRO52" s="16"/>
      <c r="BRP52" s="16"/>
      <c r="BRQ52" s="16"/>
      <c r="BRR52" s="16"/>
      <c r="BRS52" s="16"/>
      <c r="BRT52" s="16"/>
      <c r="BRU52" s="16"/>
      <c r="BRV52" s="16"/>
      <c r="BRW52" s="16"/>
      <c r="BRX52" s="16"/>
      <c r="BRY52" s="16"/>
      <c r="BRZ52" s="16"/>
      <c r="BSA52" s="16"/>
      <c r="BSB52" s="16"/>
      <c r="BSC52" s="16"/>
      <c r="BSD52" s="16"/>
      <c r="BSE52" s="16"/>
      <c r="BSF52" s="16"/>
      <c r="BSG52" s="16"/>
      <c r="BSH52" s="16"/>
      <c r="BSI52" s="16"/>
      <c r="BSJ52" s="16"/>
      <c r="BSK52" s="16"/>
      <c r="BSL52" s="16"/>
      <c r="BSM52" s="16"/>
      <c r="BSN52" s="16"/>
      <c r="BSO52" s="16"/>
      <c r="BSP52" s="16"/>
      <c r="BSQ52" s="16"/>
      <c r="BSR52" s="16"/>
      <c r="BSS52" s="16"/>
      <c r="BST52" s="16"/>
      <c r="BSU52" s="16"/>
      <c r="BSV52" s="16"/>
      <c r="BSW52" s="16"/>
      <c r="BSX52" s="16"/>
      <c r="BSY52" s="16"/>
      <c r="BSZ52" s="16"/>
      <c r="BTA52" s="16"/>
      <c r="BTB52" s="16"/>
      <c r="BTC52" s="16"/>
      <c r="BTD52" s="16"/>
      <c r="BTE52" s="16"/>
      <c r="BTF52" s="16"/>
      <c r="BTG52" s="16"/>
      <c r="BTH52" s="16"/>
      <c r="BTI52" s="16"/>
      <c r="BTJ52" s="16"/>
      <c r="BTK52" s="16"/>
      <c r="BTL52" s="16"/>
      <c r="BTM52" s="16"/>
      <c r="BTN52" s="16"/>
      <c r="BTO52" s="16"/>
      <c r="BTP52" s="16"/>
      <c r="BTQ52" s="16"/>
      <c r="BTR52" s="16"/>
      <c r="BTS52" s="16"/>
      <c r="BTT52" s="16"/>
      <c r="BTU52" s="16"/>
      <c r="BTV52" s="16"/>
      <c r="BTW52" s="16"/>
      <c r="BTX52" s="16"/>
      <c r="BTY52" s="16"/>
      <c r="BTZ52" s="16"/>
      <c r="BUA52" s="16"/>
      <c r="BUB52" s="16"/>
      <c r="BUC52" s="16"/>
      <c r="BUD52" s="16"/>
      <c r="BUE52" s="16"/>
      <c r="BUF52" s="16"/>
      <c r="BUG52" s="16"/>
      <c r="BUH52" s="16"/>
      <c r="BUI52" s="16"/>
      <c r="BUJ52" s="16"/>
      <c r="BUK52" s="16"/>
      <c r="BUL52" s="16"/>
      <c r="BUM52" s="16"/>
      <c r="BUN52" s="16"/>
      <c r="BUO52" s="16"/>
      <c r="BUP52" s="16"/>
      <c r="BUQ52" s="16"/>
      <c r="BUR52" s="16"/>
      <c r="BUS52" s="16"/>
      <c r="BUT52" s="16"/>
      <c r="BUU52" s="16"/>
      <c r="BUV52" s="16"/>
      <c r="BUW52" s="16"/>
      <c r="BUX52" s="16"/>
      <c r="BUY52" s="16"/>
      <c r="BUZ52" s="16"/>
      <c r="BVA52" s="16"/>
      <c r="BVB52" s="16"/>
      <c r="BVC52" s="16"/>
      <c r="BVD52" s="16"/>
      <c r="BVE52" s="16"/>
      <c r="BVF52" s="16"/>
      <c r="BVG52" s="16"/>
      <c r="BVH52" s="16"/>
      <c r="BVI52" s="16"/>
      <c r="BVJ52" s="16"/>
      <c r="BVK52" s="16"/>
      <c r="BVL52" s="16"/>
      <c r="BVM52" s="16"/>
      <c r="BVN52" s="16"/>
      <c r="BVO52" s="16"/>
      <c r="BVP52" s="16"/>
      <c r="BVQ52" s="16"/>
      <c r="BVR52" s="16"/>
      <c r="BVS52" s="16"/>
      <c r="BVT52" s="16"/>
      <c r="BVU52" s="16"/>
      <c r="BVV52" s="16"/>
      <c r="BVW52" s="16"/>
      <c r="BVX52" s="16"/>
      <c r="BVY52" s="16"/>
      <c r="BVZ52" s="16"/>
      <c r="BWA52" s="16"/>
      <c r="BWB52" s="16"/>
      <c r="BWC52" s="16"/>
      <c r="BWD52" s="16"/>
      <c r="BWE52" s="16"/>
      <c r="BWF52" s="16"/>
      <c r="BWG52" s="16"/>
      <c r="BWH52" s="16"/>
      <c r="BWI52" s="16"/>
      <c r="BWJ52" s="16"/>
      <c r="BWK52" s="16"/>
      <c r="BWL52" s="16"/>
      <c r="BWM52" s="16"/>
      <c r="BWN52" s="16"/>
      <c r="BWO52" s="16"/>
      <c r="BWP52" s="16"/>
      <c r="BWQ52" s="16"/>
      <c r="BWR52" s="16"/>
      <c r="BWS52" s="16"/>
      <c r="BWT52" s="16"/>
      <c r="BWU52" s="16"/>
      <c r="BWV52" s="16"/>
      <c r="BWW52" s="16"/>
      <c r="BWX52" s="16"/>
      <c r="BWY52" s="16"/>
      <c r="BWZ52" s="16"/>
      <c r="BXA52" s="16"/>
      <c r="BXB52" s="16"/>
      <c r="BXC52" s="16"/>
      <c r="BXD52" s="16"/>
      <c r="BXE52" s="16"/>
      <c r="BXF52" s="16"/>
      <c r="BXG52" s="16"/>
      <c r="BXH52" s="16"/>
      <c r="BXI52" s="16"/>
      <c r="BXJ52" s="16"/>
      <c r="BXK52" s="16"/>
      <c r="BXL52" s="16"/>
      <c r="BXM52" s="16"/>
      <c r="BXN52" s="16"/>
      <c r="BXO52" s="16"/>
      <c r="BXP52" s="16"/>
      <c r="BXQ52" s="16"/>
      <c r="BXR52" s="16"/>
      <c r="BXS52" s="16"/>
      <c r="BXT52" s="16"/>
      <c r="BXU52" s="16"/>
      <c r="BXV52" s="16"/>
      <c r="BXW52" s="16"/>
      <c r="BXX52" s="16"/>
      <c r="BXY52" s="16"/>
      <c r="BXZ52" s="16"/>
      <c r="BYA52" s="16"/>
      <c r="BYB52" s="16"/>
      <c r="BYC52" s="16"/>
      <c r="BYD52" s="16"/>
      <c r="BYE52" s="16"/>
      <c r="BYF52" s="16"/>
      <c r="BYG52" s="16"/>
      <c r="BYH52" s="16"/>
      <c r="BYI52" s="16"/>
      <c r="BYJ52" s="16"/>
      <c r="BYK52" s="16"/>
      <c r="BYL52" s="16"/>
      <c r="BYM52" s="16"/>
      <c r="BYN52" s="16"/>
      <c r="BYO52" s="16"/>
      <c r="BYP52" s="16"/>
      <c r="BYQ52" s="16"/>
      <c r="BYR52" s="16"/>
      <c r="BYS52" s="16"/>
      <c r="BYT52" s="16"/>
      <c r="BYU52" s="16"/>
      <c r="BYV52" s="16"/>
      <c r="BYW52" s="16"/>
      <c r="BYX52" s="16"/>
      <c r="BYY52" s="16"/>
      <c r="BYZ52" s="16"/>
      <c r="BZA52" s="16"/>
      <c r="BZB52" s="16"/>
      <c r="BZC52" s="16"/>
      <c r="BZD52" s="16"/>
      <c r="BZE52" s="16"/>
      <c r="BZF52" s="16"/>
      <c r="BZG52" s="16"/>
      <c r="BZH52" s="16"/>
      <c r="BZI52" s="16"/>
      <c r="BZJ52" s="16"/>
      <c r="BZK52" s="16"/>
      <c r="BZL52" s="16"/>
      <c r="BZM52" s="16"/>
      <c r="BZN52" s="16"/>
      <c r="BZO52" s="16"/>
      <c r="BZP52" s="16"/>
      <c r="BZQ52" s="16"/>
      <c r="BZR52" s="16"/>
      <c r="BZS52" s="16"/>
      <c r="BZT52" s="16"/>
      <c r="BZU52" s="16"/>
      <c r="BZV52" s="16"/>
      <c r="BZW52" s="16"/>
      <c r="BZX52" s="16"/>
      <c r="BZY52" s="16"/>
      <c r="BZZ52" s="16"/>
      <c r="CAA52" s="16"/>
      <c r="CAB52" s="16"/>
      <c r="CAC52" s="16"/>
      <c r="CAD52" s="16"/>
      <c r="CAE52" s="16"/>
      <c r="CAF52" s="16"/>
      <c r="CAG52" s="16"/>
      <c r="CAH52" s="16"/>
      <c r="CAI52" s="16"/>
      <c r="CAJ52" s="16"/>
      <c r="CAK52" s="16"/>
      <c r="CAL52" s="16"/>
      <c r="CAM52" s="16"/>
      <c r="CAN52" s="16"/>
      <c r="CAO52" s="16"/>
      <c r="CAP52" s="16"/>
      <c r="CAQ52" s="16"/>
      <c r="CAR52" s="16"/>
      <c r="CAS52" s="16"/>
      <c r="CAT52" s="16"/>
      <c r="CAU52" s="16"/>
      <c r="CAV52" s="16"/>
      <c r="CAW52" s="16"/>
      <c r="CAX52" s="16"/>
      <c r="CAY52" s="16"/>
      <c r="CAZ52" s="16"/>
      <c r="CBA52" s="16"/>
      <c r="CBB52" s="16"/>
      <c r="CBC52" s="16"/>
      <c r="CBD52" s="16"/>
      <c r="CBE52" s="16"/>
      <c r="CBF52" s="16"/>
      <c r="CBG52" s="16"/>
      <c r="CBH52" s="16"/>
      <c r="CBI52" s="16"/>
      <c r="CBJ52" s="16"/>
      <c r="CBK52" s="16"/>
      <c r="CBL52" s="16"/>
      <c r="CBM52" s="16"/>
      <c r="CBN52" s="16"/>
      <c r="CBO52" s="16"/>
      <c r="CBP52" s="16"/>
      <c r="CBQ52" s="16"/>
      <c r="CBR52" s="16"/>
      <c r="CBS52" s="16"/>
      <c r="CBT52" s="16"/>
      <c r="CBU52" s="16"/>
      <c r="CBV52" s="16"/>
      <c r="CBW52" s="16"/>
      <c r="CBX52" s="16"/>
      <c r="CBY52" s="16"/>
      <c r="CBZ52" s="16"/>
      <c r="CCA52" s="16"/>
      <c r="CCB52" s="16"/>
      <c r="CCC52" s="16"/>
      <c r="CCD52" s="16"/>
      <c r="CCE52" s="16"/>
      <c r="CCF52" s="16"/>
      <c r="CCG52" s="16"/>
      <c r="CCH52" s="16"/>
      <c r="CCI52" s="16"/>
      <c r="CCJ52" s="16"/>
      <c r="CCK52" s="16"/>
      <c r="CCL52" s="16"/>
      <c r="CCM52" s="16"/>
      <c r="CCN52" s="16"/>
      <c r="CCO52" s="16"/>
      <c r="CCP52" s="16"/>
      <c r="CCQ52" s="16"/>
      <c r="CCR52" s="16"/>
      <c r="CCS52" s="16"/>
      <c r="CCT52" s="16"/>
      <c r="CCU52" s="16"/>
      <c r="CCV52" s="16"/>
      <c r="CCW52" s="16"/>
      <c r="CCX52" s="16"/>
      <c r="CCY52" s="16"/>
      <c r="CCZ52" s="16"/>
      <c r="CDA52" s="16"/>
      <c r="CDB52" s="16"/>
      <c r="CDC52" s="16"/>
      <c r="CDD52" s="16"/>
      <c r="CDE52" s="16"/>
      <c r="CDF52" s="16"/>
      <c r="CDG52" s="16"/>
      <c r="CDH52" s="16"/>
      <c r="CDI52" s="16"/>
      <c r="CDJ52" s="16"/>
      <c r="CDK52" s="16"/>
      <c r="CDL52" s="16"/>
      <c r="CDM52" s="16"/>
      <c r="CDN52" s="16"/>
      <c r="CDO52" s="16"/>
      <c r="CDP52" s="16"/>
      <c r="CDQ52" s="16"/>
      <c r="CDR52" s="16"/>
      <c r="CDS52" s="16"/>
      <c r="CDT52" s="16"/>
      <c r="CDU52" s="16"/>
      <c r="CDV52" s="16"/>
      <c r="CDW52" s="16"/>
      <c r="CDX52" s="16"/>
      <c r="CDY52" s="16"/>
      <c r="CDZ52" s="16"/>
      <c r="CEA52" s="16"/>
      <c r="CEB52" s="16"/>
      <c r="CEC52" s="16"/>
      <c r="CED52" s="16"/>
      <c r="CEE52" s="16"/>
      <c r="CEF52" s="16"/>
      <c r="CEG52" s="16"/>
      <c r="CEH52" s="16"/>
      <c r="CEI52" s="16"/>
      <c r="CEJ52" s="16"/>
      <c r="CEK52" s="16"/>
      <c r="CEL52" s="16"/>
      <c r="CEM52" s="16"/>
      <c r="CEN52" s="16"/>
      <c r="CEO52" s="16"/>
      <c r="CEP52" s="16"/>
      <c r="CEQ52" s="16"/>
      <c r="CER52" s="16"/>
      <c r="CES52" s="16"/>
      <c r="CET52" s="16"/>
      <c r="CEU52" s="16"/>
      <c r="CEV52" s="16"/>
      <c r="CEW52" s="16"/>
      <c r="CEX52" s="16"/>
      <c r="CEY52" s="16"/>
      <c r="CEZ52" s="16"/>
      <c r="CFA52" s="16"/>
      <c r="CFB52" s="16"/>
      <c r="CFC52" s="16"/>
      <c r="CFD52" s="16"/>
      <c r="CFE52" s="16"/>
      <c r="CFF52" s="16"/>
      <c r="CFG52" s="16"/>
      <c r="CFH52" s="16"/>
      <c r="CFI52" s="16"/>
      <c r="CFJ52" s="16"/>
      <c r="CFK52" s="16"/>
      <c r="CFL52" s="16"/>
      <c r="CFM52" s="16"/>
      <c r="CFN52" s="16"/>
      <c r="CFO52" s="16"/>
      <c r="CFP52" s="16"/>
      <c r="CFQ52" s="16"/>
      <c r="CFR52" s="16"/>
      <c r="CFS52" s="16"/>
      <c r="CFT52" s="16"/>
      <c r="CFU52" s="16"/>
      <c r="CFV52" s="16"/>
      <c r="CFW52" s="16"/>
      <c r="CFX52" s="16"/>
      <c r="CFY52" s="16"/>
      <c r="CFZ52" s="16"/>
      <c r="CGA52" s="16"/>
      <c r="CGB52" s="16"/>
      <c r="CGC52" s="16"/>
      <c r="CGD52" s="16"/>
      <c r="CGE52" s="16"/>
      <c r="CGF52" s="16"/>
      <c r="CGG52" s="16"/>
      <c r="CGH52" s="16"/>
      <c r="CGI52" s="16"/>
      <c r="CGJ52" s="16"/>
      <c r="CGK52" s="16"/>
      <c r="CGL52" s="16"/>
      <c r="CGM52" s="16"/>
      <c r="CGN52" s="16"/>
      <c r="CGO52" s="16"/>
      <c r="CGP52" s="16"/>
      <c r="CGQ52" s="16"/>
      <c r="CGR52" s="16"/>
      <c r="CGS52" s="16"/>
      <c r="CGT52" s="16"/>
      <c r="CGU52" s="16"/>
      <c r="CGV52" s="16"/>
      <c r="CGW52" s="16"/>
      <c r="CGX52" s="16"/>
      <c r="CGY52" s="16"/>
      <c r="CGZ52" s="16"/>
      <c r="CHA52" s="16"/>
      <c r="CHB52" s="16"/>
      <c r="CHC52" s="16"/>
      <c r="CHD52" s="16"/>
      <c r="CHE52" s="16"/>
      <c r="CHF52" s="16"/>
      <c r="CHG52" s="16"/>
      <c r="CHH52" s="16"/>
      <c r="CHI52" s="16"/>
      <c r="CHJ52" s="16"/>
      <c r="CHK52" s="16"/>
      <c r="CHL52" s="16"/>
      <c r="CHM52" s="16"/>
      <c r="CHN52" s="16"/>
      <c r="CHO52" s="16"/>
      <c r="CHP52" s="16"/>
      <c r="CHQ52" s="16"/>
      <c r="CHR52" s="16"/>
      <c r="CHS52" s="16"/>
      <c r="CHT52" s="16"/>
      <c r="CHU52" s="16"/>
      <c r="CHV52" s="16"/>
      <c r="CHW52" s="16"/>
      <c r="CHX52" s="16"/>
      <c r="CHY52" s="16"/>
      <c r="CHZ52" s="16"/>
      <c r="CIA52" s="16"/>
      <c r="CIB52" s="16"/>
      <c r="CIC52" s="16"/>
      <c r="CID52" s="16"/>
      <c r="CIE52" s="16"/>
      <c r="CIF52" s="16"/>
      <c r="CIG52" s="16"/>
      <c r="CIH52" s="16"/>
      <c r="CII52" s="16"/>
      <c r="CIJ52" s="16"/>
      <c r="CIK52" s="16"/>
      <c r="CIL52" s="16"/>
      <c r="CIM52" s="16"/>
      <c r="CIN52" s="16"/>
      <c r="CIO52" s="16"/>
      <c r="CIP52" s="16"/>
      <c r="CIQ52" s="16"/>
      <c r="CIR52" s="16"/>
      <c r="CIS52" s="16"/>
      <c r="CIT52" s="16"/>
      <c r="CIU52" s="16"/>
      <c r="CIV52" s="16"/>
      <c r="CIW52" s="16"/>
      <c r="CIX52" s="16"/>
      <c r="CIY52" s="16"/>
      <c r="CIZ52" s="16"/>
      <c r="CJA52" s="16"/>
      <c r="CJB52" s="16"/>
      <c r="CJC52" s="16"/>
      <c r="CJD52" s="16"/>
      <c r="CJE52" s="16"/>
      <c r="CJF52" s="16"/>
      <c r="CJG52" s="16"/>
      <c r="CJH52" s="16"/>
      <c r="CJI52" s="16"/>
      <c r="CJJ52" s="16"/>
      <c r="CJK52" s="16"/>
      <c r="CJL52" s="16"/>
      <c r="CJM52" s="16"/>
      <c r="CJN52" s="16"/>
      <c r="CJO52" s="16"/>
      <c r="CJP52" s="16"/>
      <c r="CJQ52" s="16"/>
      <c r="CJR52" s="16"/>
      <c r="CJS52" s="16"/>
      <c r="CJT52" s="16"/>
      <c r="CJU52" s="16"/>
      <c r="CJV52" s="16"/>
      <c r="CJW52" s="16"/>
      <c r="CJX52" s="16"/>
      <c r="CJY52" s="16"/>
      <c r="CJZ52" s="16"/>
      <c r="CKA52" s="16"/>
      <c r="CKB52" s="16"/>
      <c r="CKC52" s="16"/>
      <c r="CKD52" s="16"/>
      <c r="CKE52" s="16"/>
      <c r="CKF52" s="16"/>
      <c r="CKG52" s="16"/>
      <c r="CKH52" s="16"/>
      <c r="CKI52" s="16"/>
      <c r="CKJ52" s="16"/>
      <c r="CKK52" s="16"/>
      <c r="CKL52" s="16"/>
      <c r="CKM52" s="16"/>
      <c r="CKN52" s="16"/>
      <c r="CKO52" s="16"/>
      <c r="CKP52" s="16"/>
      <c r="CKQ52" s="16"/>
      <c r="CKR52" s="16"/>
      <c r="CKS52" s="16"/>
      <c r="CKT52" s="16"/>
      <c r="CKU52" s="16"/>
      <c r="CKV52" s="16"/>
      <c r="CKW52" s="16"/>
      <c r="CKX52" s="16"/>
      <c r="CKY52" s="16"/>
      <c r="CKZ52" s="16"/>
      <c r="CLA52" s="16"/>
      <c r="CLB52" s="16"/>
      <c r="CLC52" s="16"/>
      <c r="CLD52" s="16"/>
      <c r="CLE52" s="16"/>
      <c r="CLF52" s="16"/>
      <c r="CLG52" s="16"/>
      <c r="CLH52" s="16"/>
      <c r="CLI52" s="16"/>
      <c r="CLJ52" s="16"/>
      <c r="CLK52" s="16"/>
      <c r="CLL52" s="16"/>
      <c r="CLM52" s="16"/>
      <c r="CLN52" s="16"/>
      <c r="CLO52" s="16"/>
      <c r="CLP52" s="16"/>
      <c r="CLQ52" s="16"/>
      <c r="CLR52" s="16"/>
      <c r="CLS52" s="16"/>
      <c r="CLT52" s="16"/>
      <c r="CLU52" s="16"/>
      <c r="CLV52" s="16"/>
      <c r="CLW52" s="16"/>
      <c r="CLX52" s="16"/>
      <c r="CLY52" s="16"/>
      <c r="CLZ52" s="16"/>
      <c r="CMA52" s="16"/>
      <c r="CMB52" s="16"/>
      <c r="CMC52" s="16"/>
      <c r="CMD52" s="16"/>
      <c r="CME52" s="16"/>
      <c r="CMF52" s="16"/>
      <c r="CMG52" s="16"/>
      <c r="CMH52" s="16"/>
      <c r="CMI52" s="16"/>
      <c r="CMJ52" s="16"/>
      <c r="CMK52" s="16"/>
      <c r="CML52" s="16"/>
      <c r="CMM52" s="16"/>
      <c r="CMN52" s="16"/>
      <c r="CMO52" s="16"/>
      <c r="CMP52" s="16"/>
      <c r="CMQ52" s="16"/>
      <c r="CMR52" s="16"/>
      <c r="CMS52" s="16"/>
      <c r="CMT52" s="16"/>
      <c r="CMU52" s="16"/>
      <c r="CMV52" s="16"/>
      <c r="CMW52" s="16"/>
      <c r="CMX52" s="16"/>
      <c r="CMY52" s="16"/>
      <c r="CMZ52" s="16"/>
      <c r="CNA52" s="16"/>
      <c r="CNB52" s="16"/>
      <c r="CNC52" s="16"/>
      <c r="CND52" s="16"/>
      <c r="CNE52" s="16"/>
      <c r="CNF52" s="16"/>
      <c r="CNG52" s="16"/>
      <c r="CNH52" s="16"/>
      <c r="CNI52" s="16"/>
      <c r="CNJ52" s="16"/>
      <c r="CNK52" s="16"/>
      <c r="CNL52" s="16"/>
      <c r="CNM52" s="16"/>
      <c r="CNN52" s="16"/>
      <c r="CNO52" s="16"/>
      <c r="CNP52" s="16"/>
      <c r="CNQ52" s="16"/>
      <c r="CNR52" s="16"/>
      <c r="CNS52" s="16"/>
      <c r="CNT52" s="16"/>
      <c r="CNU52" s="16"/>
      <c r="CNV52" s="16"/>
      <c r="CNW52" s="16"/>
      <c r="CNX52" s="16"/>
      <c r="CNY52" s="16"/>
      <c r="CNZ52" s="16"/>
      <c r="COA52" s="16"/>
      <c r="COB52" s="16"/>
      <c r="COC52" s="16"/>
      <c r="COD52" s="16"/>
      <c r="COE52" s="16"/>
      <c r="COF52" s="16"/>
      <c r="COG52" s="16"/>
      <c r="COH52" s="16"/>
      <c r="COI52" s="16"/>
      <c r="COJ52" s="16"/>
      <c r="COK52" s="16"/>
      <c r="COL52" s="16"/>
      <c r="COM52" s="16"/>
      <c r="CON52" s="16"/>
      <c r="COO52" s="16"/>
      <c r="COP52" s="16"/>
      <c r="COQ52" s="16"/>
      <c r="COR52" s="16"/>
      <c r="COS52" s="16"/>
      <c r="COT52" s="16"/>
      <c r="COU52" s="16"/>
      <c r="COV52" s="16"/>
      <c r="COW52" s="16"/>
      <c r="COX52" s="16"/>
      <c r="COY52" s="16"/>
      <c r="COZ52" s="16"/>
      <c r="CPA52" s="16"/>
      <c r="CPB52" s="16"/>
      <c r="CPC52" s="16"/>
      <c r="CPD52" s="16"/>
      <c r="CPE52" s="16"/>
      <c r="CPF52" s="16"/>
      <c r="CPG52" s="16"/>
      <c r="CPH52" s="16"/>
      <c r="CPI52" s="16"/>
      <c r="CPJ52" s="16"/>
      <c r="CPK52" s="16"/>
      <c r="CPL52" s="16"/>
      <c r="CPM52" s="16"/>
      <c r="CPN52" s="16"/>
      <c r="CPO52" s="16"/>
      <c r="CPP52" s="16"/>
      <c r="CPQ52" s="16"/>
      <c r="CPR52" s="16"/>
      <c r="CPS52" s="16"/>
      <c r="CPT52" s="16"/>
      <c r="CPU52" s="16"/>
      <c r="CPV52" s="16"/>
      <c r="CPW52" s="16"/>
      <c r="CPX52" s="16"/>
      <c r="CPY52" s="16"/>
      <c r="CPZ52" s="16"/>
      <c r="CQA52" s="16"/>
      <c r="CQB52" s="16"/>
      <c r="CQC52" s="16"/>
      <c r="CQD52" s="16"/>
      <c r="CQE52" s="16"/>
      <c r="CQF52" s="16"/>
      <c r="CQG52" s="16"/>
      <c r="CQH52" s="16"/>
      <c r="CQI52" s="16"/>
      <c r="CQJ52" s="16"/>
      <c r="CQK52" s="16"/>
      <c r="CQL52" s="16"/>
      <c r="CQM52" s="16"/>
      <c r="CQN52" s="16"/>
      <c r="CQO52" s="16"/>
      <c r="CQP52" s="16"/>
      <c r="CQQ52" s="16"/>
      <c r="CQR52" s="16"/>
      <c r="CQS52" s="16"/>
      <c r="CQT52" s="16"/>
      <c r="CQU52" s="16"/>
      <c r="CQV52" s="16"/>
      <c r="CQW52" s="16"/>
      <c r="CQX52" s="16"/>
      <c r="CQY52" s="16"/>
      <c r="CQZ52" s="16"/>
      <c r="CRA52" s="16"/>
      <c r="CRB52" s="16"/>
      <c r="CRC52" s="16"/>
      <c r="CRD52" s="16"/>
      <c r="CRE52" s="16"/>
      <c r="CRF52" s="16"/>
      <c r="CRG52" s="16"/>
      <c r="CRH52" s="16"/>
      <c r="CRI52" s="16"/>
      <c r="CRJ52" s="16"/>
      <c r="CRK52" s="16"/>
      <c r="CRL52" s="16"/>
      <c r="CRM52" s="16"/>
      <c r="CRN52" s="16"/>
      <c r="CRO52" s="16"/>
      <c r="CRP52" s="16"/>
      <c r="CRQ52" s="16"/>
      <c r="CRR52" s="16"/>
      <c r="CRS52" s="16"/>
      <c r="CRT52" s="16"/>
      <c r="CRU52" s="16"/>
      <c r="CRV52" s="16"/>
      <c r="CRW52" s="16"/>
      <c r="CRX52" s="16"/>
      <c r="CRY52" s="16"/>
      <c r="CRZ52" s="16"/>
      <c r="CSA52" s="16"/>
      <c r="CSB52" s="16"/>
      <c r="CSC52" s="16"/>
      <c r="CSD52" s="16"/>
      <c r="CSE52" s="16"/>
      <c r="CSF52" s="16"/>
      <c r="CSG52" s="16"/>
      <c r="CSH52" s="16"/>
      <c r="CSI52" s="16"/>
      <c r="CSJ52" s="16"/>
      <c r="CSK52" s="54" t="str">
        <f t="shared" si="166"/>
        <v>X</v>
      </c>
      <c r="CSL52" s="35">
        <f t="shared" ca="1" si="209"/>
        <v>1</v>
      </c>
      <c r="CSM52" s="35">
        <f t="shared" ca="1" si="209"/>
        <v>1</v>
      </c>
      <c r="CSN52" s="35">
        <f t="shared" ca="1" si="209"/>
        <v>1</v>
      </c>
      <c r="CSO52" s="35">
        <f t="shared" ca="1" si="209"/>
        <v>1</v>
      </c>
      <c r="CSP52" s="35">
        <f t="shared" ca="1" si="209"/>
        <v>1</v>
      </c>
      <c r="CSQ52" s="72">
        <f t="shared" ca="1" si="209"/>
        <v>1</v>
      </c>
      <c r="CSR52" s="35">
        <f t="shared" ca="1" si="209"/>
        <v>1</v>
      </c>
      <c r="CSS52" s="35">
        <f t="shared" ca="1" si="209"/>
        <v>1</v>
      </c>
      <c r="CST52" s="35" t="str">
        <f t="shared" ca="1" si="209"/>
        <v/>
      </c>
      <c r="CSU52" s="35" t="str">
        <f t="shared" ca="1" si="209"/>
        <v/>
      </c>
      <c r="CSV52" s="35" t="str">
        <f t="shared" ca="1" si="210"/>
        <v/>
      </c>
      <c r="CSW52" s="35">
        <f t="shared" ca="1" si="210"/>
        <v>1</v>
      </c>
      <c r="CSX52" s="35">
        <f t="shared" ca="1" si="210"/>
        <v>1</v>
      </c>
      <c r="CSY52" s="35">
        <f t="shared" ca="1" si="210"/>
        <v>1</v>
      </c>
      <c r="CSZ52" s="35" t="str">
        <f t="shared" ca="1" si="210"/>
        <v/>
      </c>
      <c r="CTA52" s="35" t="str">
        <f t="shared" ca="1" si="210"/>
        <v/>
      </c>
      <c r="CTB52" s="35" t="str">
        <f t="shared" ca="1" si="210"/>
        <v/>
      </c>
      <c r="CTC52" s="35" t="str">
        <f t="shared" ca="1" si="210"/>
        <v/>
      </c>
      <c r="CTD52" s="35" t="str">
        <f t="shared" ca="1" si="210"/>
        <v/>
      </c>
      <c r="CTE52" s="35" t="str">
        <f t="shared" ca="1" si="210"/>
        <v/>
      </c>
      <c r="CTF52" s="35" t="str">
        <f t="shared" ca="1" si="211"/>
        <v/>
      </c>
      <c r="CTG52" s="35" t="str">
        <f t="shared" ca="1" si="211"/>
        <v/>
      </c>
      <c r="CTH52" s="35" t="str">
        <f t="shared" ca="1" si="211"/>
        <v/>
      </c>
      <c r="CTI52" s="35" t="str">
        <f t="shared" ca="1" si="211"/>
        <v/>
      </c>
      <c r="CTJ52" s="35" t="str">
        <f t="shared" ca="1" si="211"/>
        <v/>
      </c>
      <c r="CTK52" s="35" t="str">
        <f t="shared" ca="1" si="211"/>
        <v/>
      </c>
      <c r="CTL52" s="35" t="str">
        <f t="shared" ca="1" si="211"/>
        <v/>
      </c>
      <c r="CTM52" s="35" t="str">
        <f t="shared" ca="1" si="211"/>
        <v/>
      </c>
      <c r="CTN52" s="35" t="str">
        <f t="shared" ca="1" si="211"/>
        <v/>
      </c>
      <c r="CTO52" s="35" t="str">
        <f t="shared" ca="1" si="211"/>
        <v/>
      </c>
      <c r="CTP52" s="35" t="str">
        <f t="shared" ca="1" si="212"/>
        <v/>
      </c>
      <c r="CTQ52" s="35" t="str">
        <f t="shared" ca="1" si="212"/>
        <v/>
      </c>
      <c r="CTR52" s="35" t="str">
        <f t="shared" ca="1" si="212"/>
        <v/>
      </c>
      <c r="CTS52" s="35" t="str">
        <f t="shared" ca="1" si="212"/>
        <v/>
      </c>
      <c r="CTT52" s="35" t="str">
        <f t="shared" ca="1" si="212"/>
        <v/>
      </c>
      <c r="CTU52" s="35" t="str">
        <f t="shared" ca="1" si="212"/>
        <v/>
      </c>
      <c r="CTV52" s="35" t="str">
        <f t="shared" ca="1" si="212"/>
        <v/>
      </c>
      <c r="CTW52" s="35" t="str">
        <f t="shared" ca="1" si="212"/>
        <v/>
      </c>
      <c r="CTX52" s="35" t="str">
        <f t="shared" ca="1" si="212"/>
        <v/>
      </c>
      <c r="CTY52" s="35" t="str">
        <f t="shared" ca="1" si="212"/>
        <v/>
      </c>
      <c r="CTZ52" s="56" t="str">
        <f t="shared" si="167"/>
        <v>X</v>
      </c>
      <c r="CUA52" s="58">
        <f t="shared" ca="1" si="168"/>
        <v>8</v>
      </c>
      <c r="CUB52" s="16">
        <f t="shared" ca="1" si="169"/>
        <v>4</v>
      </c>
      <c r="CUC52" s="16">
        <f t="shared" ca="1" si="170"/>
        <v>7</v>
      </c>
      <c r="CUD52" s="16">
        <f t="shared" ca="1" si="171"/>
        <v>7</v>
      </c>
      <c r="CUE52" s="16">
        <f t="shared" ca="1" si="172"/>
        <v>6</v>
      </c>
      <c r="CUF52" s="16">
        <f t="shared" ca="1" si="173"/>
        <v>3</v>
      </c>
      <c r="CUG52" s="16">
        <f t="shared" ca="1" si="174"/>
        <v>7</v>
      </c>
      <c r="CUH52" s="16">
        <f t="shared" ca="1" si="175"/>
        <v>4</v>
      </c>
      <c r="CUI52" s="16" t="str">
        <f t="shared" ca="1" si="176"/>
        <v/>
      </c>
      <c r="CUJ52" s="16" t="str">
        <f t="shared" ca="1" si="177"/>
        <v/>
      </c>
      <c r="CUK52" s="16" t="str">
        <f t="shared" ca="1" si="178"/>
        <v/>
      </c>
      <c r="CUL52" s="16">
        <f t="shared" ca="1" si="179"/>
        <v>2</v>
      </c>
      <c r="CUM52" s="16">
        <f t="shared" ca="1" si="180"/>
        <v>6</v>
      </c>
      <c r="CUN52" s="16">
        <f t="shared" ca="1" si="181"/>
        <v>4</v>
      </c>
      <c r="CUO52" s="16" t="str">
        <f t="shared" ca="1" si="182"/>
        <v/>
      </c>
      <c r="CUP52" s="16" t="str">
        <f t="shared" ca="1" si="183"/>
        <v/>
      </c>
      <c r="CUQ52" s="16" t="str">
        <f t="shared" ca="1" si="184"/>
        <v/>
      </c>
      <c r="CUR52" s="16" t="str">
        <f t="shared" ca="1" si="185"/>
        <v/>
      </c>
      <c r="CUS52" s="16" t="str">
        <f t="shared" ca="1" si="186"/>
        <v/>
      </c>
      <c r="CUT52" s="16" t="str">
        <f t="shared" ca="1" si="187"/>
        <v/>
      </c>
      <c r="CUU52" s="16" t="str">
        <f t="shared" ca="1" si="188"/>
        <v/>
      </c>
      <c r="CUV52" s="16" t="str">
        <f t="shared" ca="1" si="189"/>
        <v/>
      </c>
      <c r="CUW52" s="16" t="str">
        <f t="shared" ca="1" si="190"/>
        <v/>
      </c>
      <c r="CUX52" s="16" t="str">
        <f t="shared" ca="1" si="191"/>
        <v/>
      </c>
      <c r="CUY52" s="16" t="str">
        <f t="shared" ca="1" si="192"/>
        <v/>
      </c>
      <c r="CUZ52" s="16" t="str">
        <f t="shared" ca="1" si="193"/>
        <v/>
      </c>
      <c r="CVA52" s="16" t="str">
        <f t="shared" ca="1" si="194"/>
        <v/>
      </c>
      <c r="CVB52" s="16" t="str">
        <f t="shared" ca="1" si="195"/>
        <v/>
      </c>
      <c r="CVC52" s="16" t="str">
        <f t="shared" ca="1" si="196"/>
        <v/>
      </c>
      <c r="CVD52" s="16" t="str">
        <f t="shared" ca="1" si="197"/>
        <v/>
      </c>
      <c r="CVE52" s="16" t="str">
        <f t="shared" ca="1" si="198"/>
        <v/>
      </c>
      <c r="CVF52" s="16" t="str">
        <f t="shared" ca="1" si="199"/>
        <v/>
      </c>
      <c r="CVG52" s="16" t="str">
        <f t="shared" ca="1" si="200"/>
        <v/>
      </c>
      <c r="CVH52" s="16" t="str">
        <f t="shared" ca="1" si="201"/>
        <v/>
      </c>
      <c r="CVI52" s="16" t="str">
        <f t="shared" ca="1" si="202"/>
        <v/>
      </c>
      <c r="CVJ52" s="16" t="str">
        <f t="shared" ca="1" si="203"/>
        <v/>
      </c>
      <c r="CVK52" s="16" t="str">
        <f t="shared" ca="1" si="204"/>
        <v/>
      </c>
      <c r="CVL52" s="16" t="str">
        <f t="shared" ca="1" si="205"/>
        <v/>
      </c>
      <c r="CVM52" s="16" t="str">
        <f t="shared" ca="1" si="206"/>
        <v/>
      </c>
      <c r="CVN52" s="16" t="str">
        <f t="shared" ca="1" si="207"/>
        <v/>
      </c>
      <c r="CVO52" s="58" t="str">
        <f t="shared" si="208"/>
        <v>беловтимофей</v>
      </c>
      <c r="CVP52" s="58" t="str">
        <f>IFERROR(VLOOKUP(CVO52,'Внешние данные'!A:Z,4,FALSE),"")</f>
        <v/>
      </c>
    </row>
    <row r="53" spans="1:2616" ht="13.8" x14ac:dyDescent="0.25">
      <c r="A53" s="2" t="s">
        <v>2386</v>
      </c>
      <c r="B53" s="2" t="s">
        <v>2463</v>
      </c>
      <c r="C53" s="57" t="s">
        <v>2562</v>
      </c>
      <c r="D53" s="35">
        <v>6</v>
      </c>
      <c r="E53" s="58">
        <v>179</v>
      </c>
      <c r="G53" s="16" t="s">
        <v>1393</v>
      </c>
      <c r="H53" s="53">
        <f t="shared" ca="1" si="162"/>
        <v>0.6428571428571429</v>
      </c>
      <c r="I53" s="35">
        <f t="shared" ca="1" si="163"/>
        <v>1</v>
      </c>
      <c r="J53" s="35">
        <f t="shared" ca="1" si="164"/>
        <v>8</v>
      </c>
      <c r="K53" s="49">
        <f t="shared" ca="1" si="165"/>
        <v>4.5</v>
      </c>
      <c r="L53" s="16">
        <v>305</v>
      </c>
      <c r="M53" s="12"/>
      <c r="N53" s="12">
        <v>445</v>
      </c>
      <c r="O53" s="4">
        <v>203</v>
      </c>
      <c r="P53" s="4">
        <v>203</v>
      </c>
      <c r="Q53" s="4">
        <v>203</v>
      </c>
      <c r="R53" s="4">
        <v>203</v>
      </c>
      <c r="S53" s="4">
        <v>203</v>
      </c>
      <c r="T53" s="4">
        <v>203</v>
      </c>
      <c r="V53" s="4">
        <v>203</v>
      </c>
      <c r="W53" s="4">
        <v>203</v>
      </c>
      <c r="X53" s="4">
        <v>203</v>
      </c>
      <c r="Y53" s="4">
        <v>203</v>
      </c>
      <c r="Z53" s="4">
        <v>203</v>
      </c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>
        <v>1</v>
      </c>
      <c r="DL53" s="16">
        <v>1</v>
      </c>
      <c r="DM53" s="16"/>
      <c r="DN53" s="16">
        <v>1</v>
      </c>
      <c r="DO53" s="16">
        <v>1</v>
      </c>
      <c r="DP53" s="16">
        <v>1</v>
      </c>
      <c r="DQ53" s="16"/>
      <c r="DR53" s="16">
        <v>1</v>
      </c>
      <c r="DS53" s="16">
        <v>1</v>
      </c>
      <c r="DT53" s="16"/>
      <c r="DU53" s="16"/>
      <c r="DV53" s="16">
        <v>1</v>
      </c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 t="s">
        <v>2962</v>
      </c>
      <c r="FW53" s="16" t="s">
        <v>2962</v>
      </c>
      <c r="FX53" s="16"/>
      <c r="FY53" s="16" t="s">
        <v>2962</v>
      </c>
      <c r="FZ53" s="16" t="s">
        <v>2962</v>
      </c>
      <c r="GA53" s="16" t="s">
        <v>2962</v>
      </c>
      <c r="GB53" s="16" t="s">
        <v>2962</v>
      </c>
      <c r="GC53" s="16"/>
      <c r="GD53" s="16" t="s">
        <v>2962</v>
      </c>
      <c r="GE53" s="16" t="s">
        <v>2962</v>
      </c>
      <c r="GF53" s="16" t="s">
        <v>2962</v>
      </c>
      <c r="GG53" s="16" t="s">
        <v>2962</v>
      </c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>
        <v>1</v>
      </c>
      <c r="IF53" s="16" t="s">
        <v>2962</v>
      </c>
      <c r="IG53" s="16" t="s">
        <v>2962</v>
      </c>
      <c r="IH53" s="16" t="s">
        <v>2962</v>
      </c>
      <c r="II53" s="16"/>
      <c r="IJ53" s="16" t="s">
        <v>2962</v>
      </c>
      <c r="IK53" s="16" t="s">
        <v>2962</v>
      </c>
      <c r="IL53" s="16" t="s">
        <v>2962</v>
      </c>
      <c r="IM53" s="16" t="s">
        <v>2962</v>
      </c>
      <c r="IN53" s="16" t="s">
        <v>2962</v>
      </c>
      <c r="IO53" s="16" t="s">
        <v>2962</v>
      </c>
      <c r="IP53" s="16" t="s">
        <v>2962</v>
      </c>
      <c r="IQ53" s="16" t="s">
        <v>2962</v>
      </c>
      <c r="IR53" s="16"/>
      <c r="IS53" s="16" t="s">
        <v>2962</v>
      </c>
      <c r="IT53" s="16"/>
      <c r="IU53" s="16"/>
      <c r="IV53" s="16"/>
      <c r="IW53" s="16"/>
      <c r="IX53" s="16" t="s">
        <v>2962</v>
      </c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>
        <v>1</v>
      </c>
      <c r="KP53" s="16"/>
      <c r="KQ53" s="16"/>
      <c r="KR53" s="16"/>
      <c r="KS53" s="16">
        <v>1</v>
      </c>
      <c r="KT53" s="16"/>
      <c r="KU53" s="16"/>
      <c r="KV53" s="16">
        <v>1</v>
      </c>
      <c r="KW53" s="16"/>
      <c r="KX53" s="16"/>
      <c r="KY53" s="16"/>
      <c r="KZ53" s="16"/>
      <c r="LA53" s="16"/>
      <c r="LB53" s="16"/>
      <c r="LC53" s="16"/>
      <c r="LD53" s="16"/>
      <c r="LE53" s="16"/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/>
      <c r="LR53" s="16"/>
      <c r="LS53" s="16"/>
      <c r="LT53" s="16"/>
      <c r="LU53" s="16" t="s">
        <v>2962</v>
      </c>
      <c r="LV53" s="16" t="s">
        <v>2962</v>
      </c>
      <c r="LW53" s="16" t="s">
        <v>2962</v>
      </c>
      <c r="LX53" s="16"/>
      <c r="LY53" s="16" t="s">
        <v>2962</v>
      </c>
      <c r="LZ53" s="16"/>
      <c r="MA53" s="16"/>
      <c r="MB53" s="16"/>
      <c r="MC53" s="16"/>
      <c r="MD53" s="16"/>
      <c r="ME53" s="16" t="s">
        <v>2962</v>
      </c>
      <c r="MF53" s="16"/>
      <c r="MG53" s="16"/>
      <c r="MH53" s="16"/>
      <c r="MI53" s="16"/>
      <c r="MJ53" s="16"/>
      <c r="MK53" s="16"/>
      <c r="ML53" s="16"/>
      <c r="MM53" s="16"/>
      <c r="MN53" s="16"/>
      <c r="MO53" s="16"/>
      <c r="MP53" s="16"/>
      <c r="MQ53" s="16"/>
      <c r="MR53" s="16"/>
      <c r="MS53" s="16"/>
      <c r="MT53" s="16"/>
      <c r="MU53" s="16"/>
      <c r="MV53" s="16"/>
      <c r="MW53" s="16"/>
      <c r="MX53" s="16"/>
      <c r="MY53" s="16">
        <v>1</v>
      </c>
      <c r="MZ53" s="16">
        <v>1</v>
      </c>
      <c r="NA53" s="16" t="s">
        <v>2962</v>
      </c>
      <c r="NB53" s="16">
        <v>1</v>
      </c>
      <c r="NC53" s="16" t="s">
        <v>2962</v>
      </c>
      <c r="ND53" s="16">
        <v>1</v>
      </c>
      <c r="NE53" s="16">
        <v>1</v>
      </c>
      <c r="NF53" s="16">
        <v>1</v>
      </c>
      <c r="NG53" s="16"/>
      <c r="NH53" s="16"/>
      <c r="NI53" s="16"/>
      <c r="NJ53" s="16" t="s">
        <v>2962</v>
      </c>
      <c r="NK53" s="16"/>
      <c r="NL53" s="16"/>
      <c r="NM53" s="16"/>
      <c r="NN53" s="16"/>
      <c r="NO53" s="16"/>
      <c r="NP53" s="16"/>
      <c r="NQ53" s="16"/>
      <c r="NR53" s="16"/>
      <c r="NS53" s="16"/>
      <c r="NT53" s="16"/>
      <c r="NU53" s="16"/>
      <c r="NV53" s="16"/>
      <c r="NW53" s="16"/>
      <c r="NX53" s="16"/>
      <c r="NY53" s="16"/>
      <c r="NZ53" s="16"/>
      <c r="OA53" s="16"/>
      <c r="OB53" s="16"/>
      <c r="OC53" s="16"/>
      <c r="OD53" s="16"/>
      <c r="OE53" s="16"/>
      <c r="OF53" s="16"/>
      <c r="OG53" s="16"/>
      <c r="OH53" s="16"/>
      <c r="OI53" s="16"/>
      <c r="OJ53" s="16"/>
      <c r="OK53" s="16"/>
      <c r="OL53" s="16"/>
      <c r="OM53" s="16"/>
      <c r="ON53" s="16"/>
      <c r="OO53" s="16"/>
      <c r="OP53" s="16"/>
      <c r="OQ53" s="16"/>
      <c r="OR53" s="16"/>
      <c r="OS53" s="16"/>
      <c r="OT53" s="16"/>
      <c r="OU53" s="16"/>
      <c r="OV53" s="16"/>
      <c r="OW53" s="16"/>
      <c r="OX53" s="16"/>
      <c r="OY53" s="16"/>
      <c r="OZ53" s="16"/>
      <c r="PA53" s="16"/>
      <c r="PB53" s="16"/>
      <c r="PC53" s="16"/>
      <c r="PD53" s="16"/>
      <c r="PE53" s="16"/>
      <c r="PF53" s="16"/>
      <c r="PG53" s="16"/>
      <c r="PH53" s="16"/>
      <c r="PI53" s="16">
        <v>1</v>
      </c>
      <c r="PJ53" s="16">
        <v>1</v>
      </c>
      <c r="PK53" s="16">
        <v>1</v>
      </c>
      <c r="PL53" s="16">
        <v>1</v>
      </c>
      <c r="PM53" s="16">
        <v>1</v>
      </c>
      <c r="PN53" s="16">
        <v>1</v>
      </c>
      <c r="PO53" s="16">
        <v>1</v>
      </c>
      <c r="PP53" s="16">
        <v>1</v>
      </c>
      <c r="PQ53" s="16">
        <v>1</v>
      </c>
      <c r="PR53" s="16">
        <v>1</v>
      </c>
      <c r="PS53" s="16" t="s">
        <v>2962</v>
      </c>
      <c r="PT53" s="16" t="s">
        <v>2962</v>
      </c>
      <c r="PU53" s="16" t="s">
        <v>2962</v>
      </c>
      <c r="PV53" s="16"/>
      <c r="PW53" s="16" t="s">
        <v>2962</v>
      </c>
      <c r="PX53" s="16" t="s">
        <v>2962</v>
      </c>
      <c r="PY53" s="16"/>
      <c r="PZ53" s="16"/>
      <c r="QA53" s="16"/>
      <c r="QB53" s="16"/>
      <c r="QC53" s="16"/>
      <c r="QD53" s="16"/>
      <c r="QE53" s="16"/>
      <c r="QF53" s="16"/>
      <c r="QG53" s="16"/>
      <c r="QH53" s="16"/>
      <c r="QI53" s="16"/>
      <c r="QJ53" s="16"/>
      <c r="QK53" s="16"/>
      <c r="QL53" s="16"/>
      <c r="QM53" s="16"/>
      <c r="QN53" s="16"/>
      <c r="QO53" s="16"/>
      <c r="QP53" s="16"/>
      <c r="QQ53" s="16"/>
      <c r="QR53" s="16"/>
      <c r="QS53" s="16"/>
      <c r="QT53" s="16"/>
      <c r="QU53" s="16"/>
      <c r="QV53" s="16"/>
      <c r="QW53" s="16"/>
      <c r="QX53" s="16"/>
      <c r="QY53" s="16"/>
      <c r="QZ53" s="16"/>
      <c r="RA53" s="16"/>
      <c r="RB53" s="16"/>
      <c r="RC53" s="16"/>
      <c r="RD53" s="16"/>
      <c r="RE53" s="16"/>
      <c r="RF53" s="16"/>
      <c r="RG53" s="16"/>
      <c r="RH53" s="16"/>
      <c r="RI53" s="16"/>
      <c r="RJ53" s="16"/>
      <c r="RK53" s="16"/>
      <c r="RL53" s="16"/>
      <c r="RM53" s="16"/>
      <c r="RN53" s="16"/>
      <c r="RO53" s="16"/>
      <c r="RP53" s="16"/>
      <c r="RQ53" s="16"/>
      <c r="RR53" s="16"/>
      <c r="RS53" s="16">
        <v>1</v>
      </c>
      <c r="RT53" s="16">
        <v>1</v>
      </c>
      <c r="RU53" s="16"/>
      <c r="RV53" s="16"/>
      <c r="RW53" s="16"/>
      <c r="RX53" s="16">
        <v>1</v>
      </c>
      <c r="RY53" s="16">
        <v>1</v>
      </c>
      <c r="RZ53" s="16">
        <v>1</v>
      </c>
      <c r="SA53" s="16">
        <v>1</v>
      </c>
      <c r="SB53" s="16">
        <v>1</v>
      </c>
      <c r="SC53" s="16"/>
      <c r="SD53" s="16"/>
      <c r="SE53" s="16"/>
      <c r="SF53" s="16"/>
      <c r="SG53" s="16"/>
      <c r="SH53" s="16"/>
      <c r="SI53" s="16"/>
      <c r="SJ53" s="16"/>
      <c r="SK53" s="16"/>
      <c r="SL53" s="16"/>
      <c r="SM53" s="16"/>
      <c r="SN53" s="16"/>
      <c r="SO53" s="16"/>
      <c r="SP53" s="16"/>
      <c r="SQ53" s="16"/>
      <c r="SR53" s="16"/>
      <c r="SS53" s="16"/>
      <c r="ST53" s="16"/>
      <c r="SU53" s="16"/>
      <c r="SV53" s="16"/>
      <c r="SW53" s="16"/>
      <c r="SX53" s="16"/>
      <c r="SY53" s="16"/>
      <c r="SZ53" s="16"/>
      <c r="TA53" s="16"/>
      <c r="TB53" s="16"/>
      <c r="TC53" s="16"/>
      <c r="TD53" s="16"/>
      <c r="TE53" s="16"/>
      <c r="TF53" s="16"/>
      <c r="TG53" s="16"/>
      <c r="TH53" s="16"/>
      <c r="TI53" s="16"/>
      <c r="TJ53" s="16"/>
      <c r="TK53" s="16"/>
      <c r="TL53" s="16"/>
      <c r="TM53" s="16"/>
      <c r="TN53" s="16"/>
      <c r="TO53" s="16"/>
      <c r="TP53" s="16"/>
      <c r="TQ53" s="16"/>
      <c r="TR53" s="16"/>
      <c r="TS53" s="16"/>
      <c r="TT53" s="16"/>
      <c r="TU53" s="16"/>
      <c r="TV53" s="16"/>
      <c r="TW53" s="16"/>
      <c r="TX53" s="16"/>
      <c r="TY53" s="16"/>
      <c r="TZ53" s="16"/>
      <c r="UA53" s="16"/>
      <c r="UB53" s="16"/>
      <c r="UC53" s="16"/>
      <c r="UD53" s="16"/>
      <c r="UE53" s="16"/>
      <c r="UF53" s="16"/>
      <c r="UG53" s="16"/>
      <c r="UH53" s="16"/>
      <c r="UI53" s="16"/>
      <c r="UJ53" s="16"/>
      <c r="UK53" s="16"/>
      <c r="UL53" s="16"/>
      <c r="UM53" s="16"/>
      <c r="UN53" s="16"/>
      <c r="UO53" s="16"/>
      <c r="UP53" s="16"/>
      <c r="UQ53" s="16"/>
      <c r="UR53" s="16"/>
      <c r="US53" s="16"/>
      <c r="UT53" s="16"/>
      <c r="UU53" s="16"/>
      <c r="UV53" s="16"/>
      <c r="UW53" s="16"/>
      <c r="UX53" s="16"/>
      <c r="UY53" s="16"/>
      <c r="UZ53" s="16"/>
      <c r="VA53" s="16"/>
      <c r="VB53" s="16"/>
      <c r="VC53" s="16"/>
      <c r="VD53" s="16"/>
      <c r="VE53" s="16"/>
      <c r="VF53" s="16"/>
      <c r="VG53" s="16"/>
      <c r="VH53" s="16"/>
      <c r="VI53" s="16"/>
      <c r="VJ53" s="16"/>
      <c r="VK53" s="16"/>
      <c r="VL53" s="16"/>
      <c r="VM53" s="16"/>
      <c r="VN53" s="16"/>
      <c r="VO53" s="16"/>
      <c r="VP53" s="16"/>
      <c r="VQ53" s="16"/>
      <c r="VR53" s="16"/>
      <c r="VS53" s="16"/>
      <c r="VT53" s="16"/>
      <c r="VU53" s="16"/>
      <c r="VV53" s="16"/>
      <c r="VW53" s="16"/>
      <c r="VX53" s="16"/>
      <c r="VY53" s="16"/>
      <c r="VZ53" s="16"/>
      <c r="WA53" s="16"/>
      <c r="WB53" s="16"/>
      <c r="WC53" s="16"/>
      <c r="WD53" s="16"/>
      <c r="WE53" s="16"/>
      <c r="WF53" s="16"/>
      <c r="WG53" s="16"/>
      <c r="WH53" s="16"/>
      <c r="WI53" s="16"/>
      <c r="WJ53" s="16"/>
      <c r="WK53" s="16"/>
      <c r="WL53" s="16"/>
      <c r="WM53" s="16">
        <v>1</v>
      </c>
      <c r="WN53" s="16">
        <v>1</v>
      </c>
      <c r="WO53" s="16"/>
      <c r="WP53" s="16"/>
      <c r="WQ53" s="16"/>
      <c r="WR53" s="16"/>
      <c r="WS53" s="16"/>
      <c r="WT53" s="16">
        <v>1</v>
      </c>
      <c r="WU53" s="16">
        <v>1</v>
      </c>
      <c r="WV53" s="16"/>
      <c r="WW53" s="16">
        <v>1</v>
      </c>
      <c r="WX53" s="16">
        <v>1</v>
      </c>
      <c r="WY53" s="16"/>
      <c r="WZ53" s="16"/>
      <c r="XA53" s="16"/>
      <c r="XB53" s="16"/>
      <c r="XC53" s="16"/>
      <c r="XD53" s="16"/>
      <c r="XE53" s="16"/>
      <c r="XF53" s="16"/>
      <c r="XG53" s="16"/>
      <c r="XH53" s="16"/>
      <c r="XI53" s="16"/>
      <c r="XJ53" s="16"/>
      <c r="XK53" s="16"/>
      <c r="XL53" s="16"/>
      <c r="XM53" s="16"/>
      <c r="XN53" s="16"/>
      <c r="XO53" s="16"/>
      <c r="XP53" s="16"/>
      <c r="XQ53" s="16"/>
      <c r="XR53" s="16"/>
      <c r="XS53" s="16"/>
      <c r="XT53" s="16"/>
      <c r="XU53" s="16"/>
      <c r="XV53" s="16"/>
      <c r="XW53" s="16"/>
      <c r="XX53" s="16"/>
      <c r="XY53" s="16"/>
      <c r="XZ53" s="16"/>
      <c r="YA53" s="16"/>
      <c r="YB53" s="16"/>
      <c r="YC53" s="16"/>
      <c r="YD53" s="16"/>
      <c r="YE53" s="16"/>
      <c r="YF53" s="16"/>
      <c r="YG53" s="16"/>
      <c r="YH53" s="16"/>
      <c r="YI53" s="16"/>
      <c r="YJ53" s="16"/>
      <c r="YK53" s="16"/>
      <c r="YL53" s="16"/>
      <c r="YM53" s="16"/>
      <c r="YN53" s="16"/>
      <c r="YO53" s="16"/>
      <c r="YP53" s="16"/>
      <c r="YQ53" s="16"/>
      <c r="YR53" s="16"/>
      <c r="YS53" s="16"/>
      <c r="YT53" s="16"/>
      <c r="YU53" s="16"/>
      <c r="YV53" s="16"/>
      <c r="YW53" s="16" t="s">
        <v>2961</v>
      </c>
      <c r="YX53" s="16"/>
      <c r="YY53" s="16"/>
      <c r="YZ53" s="16"/>
      <c r="ZA53" s="16"/>
      <c r="ZB53" s="16"/>
      <c r="ZC53" s="16"/>
      <c r="ZD53" s="16"/>
      <c r="ZE53" s="16"/>
      <c r="ZF53" s="16"/>
      <c r="ZG53" s="16"/>
      <c r="ZH53" s="16"/>
      <c r="ZI53" s="16"/>
      <c r="ZJ53" s="16"/>
      <c r="ZK53" s="16"/>
      <c r="ZL53" s="16"/>
      <c r="ZM53" s="16"/>
      <c r="ZN53" s="16"/>
      <c r="ZO53" s="16"/>
      <c r="ZP53" s="16"/>
      <c r="ZQ53" s="16"/>
      <c r="ZR53" s="16"/>
      <c r="ZS53" s="16"/>
      <c r="ZT53" s="16"/>
      <c r="ZU53" s="16"/>
      <c r="ZV53" s="16"/>
      <c r="ZW53" s="16"/>
      <c r="ZX53" s="16"/>
      <c r="ZY53" s="16"/>
      <c r="ZZ53" s="16"/>
      <c r="AAA53" s="16"/>
      <c r="AAB53" s="16"/>
      <c r="AAC53" s="16"/>
      <c r="AAD53" s="16"/>
      <c r="AAE53" s="16"/>
      <c r="AAF53" s="16"/>
      <c r="AAG53" s="16"/>
      <c r="AAH53" s="16"/>
      <c r="AAI53" s="16"/>
      <c r="AAJ53" s="16"/>
      <c r="AAK53" s="16"/>
      <c r="AAL53" s="16"/>
      <c r="AAM53" s="16"/>
      <c r="AAN53" s="16"/>
      <c r="AAO53" s="16"/>
      <c r="AAP53" s="16"/>
      <c r="AAQ53" s="16"/>
      <c r="AAR53" s="16"/>
      <c r="AAS53" s="16"/>
      <c r="AAT53" s="16"/>
      <c r="AAU53" s="16"/>
      <c r="AAV53" s="16"/>
      <c r="AAW53" s="16"/>
      <c r="AAX53" s="16"/>
      <c r="AAY53" s="16"/>
      <c r="AAZ53" s="16"/>
      <c r="ABA53" s="16"/>
      <c r="ABB53" s="16"/>
      <c r="ABC53" s="16"/>
      <c r="ABD53" s="16"/>
      <c r="ABE53" s="16"/>
      <c r="ABF53" s="16"/>
      <c r="ABG53" s="16" t="s">
        <v>2961</v>
      </c>
      <c r="ABH53" s="16"/>
      <c r="ABI53" s="16"/>
      <c r="ABJ53" s="16"/>
      <c r="ABK53" s="16"/>
      <c r="ABL53" s="16"/>
      <c r="ABM53" s="16"/>
      <c r="ABN53" s="16"/>
      <c r="ABO53" s="16"/>
      <c r="ABP53" s="16"/>
      <c r="ABQ53" s="16"/>
      <c r="ABR53" s="16"/>
      <c r="ABS53" s="16"/>
      <c r="ABT53" s="16"/>
      <c r="ABU53" s="16"/>
      <c r="ABV53" s="16"/>
      <c r="ABW53" s="16"/>
      <c r="ABX53" s="16"/>
      <c r="ABY53" s="16"/>
      <c r="ABZ53" s="16"/>
      <c r="ACA53" s="16"/>
      <c r="ACB53" s="16"/>
      <c r="ACC53" s="16"/>
      <c r="ACD53" s="16"/>
      <c r="ACE53" s="16"/>
      <c r="ACF53" s="16"/>
      <c r="ACG53" s="16"/>
      <c r="ACH53" s="16"/>
      <c r="ACI53" s="16"/>
      <c r="ACJ53" s="16"/>
      <c r="ACK53" s="16"/>
      <c r="ACL53" s="16"/>
      <c r="ACM53" s="16"/>
      <c r="ACN53" s="16"/>
      <c r="ACO53" s="16"/>
      <c r="ACP53" s="16"/>
      <c r="ACQ53" s="16"/>
      <c r="ACR53" s="16"/>
      <c r="ACS53" s="16"/>
      <c r="ACT53" s="16"/>
      <c r="ACU53" s="16"/>
      <c r="ACV53" s="16"/>
      <c r="ACW53" s="16"/>
      <c r="ACX53" s="16"/>
      <c r="ACY53" s="16"/>
      <c r="ACZ53" s="16"/>
      <c r="ADA53" s="16"/>
      <c r="ADB53" s="16"/>
      <c r="ADC53" s="16"/>
      <c r="ADD53" s="16"/>
      <c r="ADE53" s="16"/>
      <c r="ADF53" s="16"/>
      <c r="ADG53" s="16"/>
      <c r="ADH53" s="16"/>
      <c r="ADI53" s="16"/>
      <c r="ADJ53" s="16"/>
      <c r="ADK53" s="16"/>
      <c r="ADL53" s="16"/>
      <c r="ADM53" s="16"/>
      <c r="ADN53" s="16"/>
      <c r="ADO53" s="16"/>
      <c r="ADP53" s="16"/>
      <c r="ADQ53" s="16">
        <v>1</v>
      </c>
      <c r="ADR53" s="16"/>
      <c r="ADS53" s="16"/>
      <c r="ADT53" s="16">
        <v>1</v>
      </c>
      <c r="ADU53" s="16">
        <v>1</v>
      </c>
      <c r="ADV53" s="16"/>
      <c r="ADW53" s="16"/>
      <c r="ADX53" s="16"/>
      <c r="ADY53" s="16"/>
      <c r="ADZ53" s="16"/>
      <c r="AEA53" s="16"/>
      <c r="AEB53" s="16"/>
      <c r="AEC53" s="16"/>
      <c r="AED53" s="16"/>
      <c r="AEE53" s="16"/>
      <c r="AEF53" s="16"/>
      <c r="AEG53" s="16"/>
      <c r="AEH53" s="16"/>
      <c r="AEI53" s="16"/>
      <c r="AEJ53" s="16"/>
      <c r="AEK53" s="16"/>
      <c r="AEL53" s="16"/>
      <c r="AEM53" s="16"/>
      <c r="AEN53" s="16"/>
      <c r="AEO53" s="16"/>
      <c r="AEP53" s="16"/>
      <c r="AEQ53" s="16"/>
      <c r="AER53" s="16"/>
      <c r="AES53" s="16"/>
      <c r="AET53" s="16"/>
      <c r="AEU53" s="16"/>
      <c r="AEV53" s="16"/>
      <c r="AEW53" s="16"/>
      <c r="AEX53" s="16"/>
      <c r="AEY53" s="16"/>
      <c r="AEZ53" s="16"/>
      <c r="AFA53" s="16"/>
      <c r="AFB53" s="16"/>
      <c r="AFC53" s="16"/>
      <c r="AFD53" s="16"/>
      <c r="AFE53" s="16"/>
      <c r="AFF53" s="16"/>
      <c r="AFG53" s="16"/>
      <c r="AFH53" s="16"/>
      <c r="AFI53" s="16"/>
      <c r="AFJ53" s="16"/>
      <c r="AFK53" s="16"/>
      <c r="AFL53" s="16"/>
      <c r="AFM53" s="16"/>
      <c r="AFN53" s="16"/>
      <c r="AFO53" s="16"/>
      <c r="AFP53" s="16"/>
      <c r="AFQ53" s="16"/>
      <c r="AFR53" s="16"/>
      <c r="AFS53" s="16"/>
      <c r="AFT53" s="16"/>
      <c r="AFU53" s="16"/>
      <c r="AFV53" s="16"/>
      <c r="AFW53" s="16"/>
      <c r="AFX53" s="16"/>
      <c r="AFY53" s="16"/>
      <c r="AFZ53" s="16"/>
      <c r="AGA53" s="16" t="s">
        <v>2961</v>
      </c>
      <c r="AGB53" s="16"/>
      <c r="AGC53" s="16"/>
      <c r="AGD53" s="16"/>
      <c r="AGE53" s="16"/>
      <c r="AGF53" s="16"/>
      <c r="AGG53" s="16"/>
      <c r="AGH53" s="16"/>
      <c r="AGI53" s="16"/>
      <c r="AGJ53" s="16"/>
      <c r="AGK53" s="16"/>
      <c r="AGL53" s="16"/>
      <c r="AGM53" s="16"/>
      <c r="AGN53" s="16"/>
      <c r="AGO53" s="16"/>
      <c r="AGP53" s="16"/>
      <c r="AGQ53" s="16"/>
      <c r="AGR53" s="16"/>
      <c r="AGS53" s="16"/>
      <c r="AGT53" s="16"/>
      <c r="AGU53" s="16"/>
      <c r="AGV53" s="16"/>
      <c r="AGW53" s="16"/>
      <c r="AGX53" s="16"/>
      <c r="AGY53" s="16"/>
      <c r="AGZ53" s="16"/>
      <c r="AHA53" s="16"/>
      <c r="AHB53" s="16"/>
      <c r="AHC53" s="16"/>
      <c r="AHD53" s="16"/>
      <c r="AHE53" s="16"/>
      <c r="AHF53" s="16"/>
      <c r="AHG53" s="16"/>
      <c r="AHH53" s="16"/>
      <c r="AHI53" s="16"/>
      <c r="AHJ53" s="16"/>
      <c r="AHK53" s="16"/>
      <c r="AHL53" s="16"/>
      <c r="AHM53" s="16"/>
      <c r="AHN53" s="16"/>
      <c r="AHO53" s="16"/>
      <c r="AHP53" s="16"/>
      <c r="AHQ53" s="16"/>
      <c r="AHR53" s="16"/>
      <c r="AHS53" s="16"/>
      <c r="AHT53" s="16"/>
      <c r="AHU53" s="16"/>
      <c r="AHV53" s="16"/>
      <c r="AHW53" s="16"/>
      <c r="AHX53" s="16"/>
      <c r="AHY53" s="16"/>
      <c r="AHZ53" s="16"/>
      <c r="AIA53" s="16"/>
      <c r="AIB53" s="16"/>
      <c r="AIC53" s="16"/>
      <c r="AID53" s="16"/>
      <c r="AIE53" s="16"/>
      <c r="AIF53" s="16"/>
      <c r="AIG53" s="16"/>
      <c r="AIH53" s="16"/>
      <c r="AII53" s="16"/>
      <c r="AIJ53" s="16"/>
      <c r="AIK53" s="16"/>
      <c r="AIL53" s="16"/>
      <c r="AIM53" s="16"/>
      <c r="AIN53" s="16"/>
      <c r="AIO53" s="16"/>
      <c r="AIP53" s="16"/>
      <c r="AIQ53" s="16"/>
      <c r="AIR53" s="16"/>
      <c r="AIS53" s="16"/>
      <c r="AIT53" s="16"/>
      <c r="AIU53" s="16"/>
      <c r="AIV53" s="16"/>
      <c r="AIW53" s="16"/>
      <c r="AIX53" s="16"/>
      <c r="AIY53" s="16"/>
      <c r="AIZ53" s="16"/>
      <c r="AJA53" s="16"/>
      <c r="AJB53" s="16"/>
      <c r="AJC53" s="16"/>
      <c r="AJD53" s="16"/>
      <c r="AJE53" s="16"/>
      <c r="AJF53" s="16"/>
      <c r="AJG53" s="16"/>
      <c r="AJH53" s="16"/>
      <c r="AJI53" s="16"/>
      <c r="AJJ53" s="16"/>
      <c r="AJK53" s="16"/>
      <c r="AJL53" s="16"/>
      <c r="AJM53" s="16"/>
      <c r="AJN53" s="16"/>
      <c r="AJO53" s="16"/>
      <c r="AJP53" s="16"/>
      <c r="AJQ53" s="16"/>
      <c r="AJR53" s="16"/>
      <c r="AJS53" s="16"/>
      <c r="AJT53" s="16"/>
      <c r="AJU53" s="16"/>
      <c r="AJV53" s="16"/>
      <c r="AJW53" s="16"/>
      <c r="AJX53" s="16"/>
      <c r="AJY53" s="16"/>
      <c r="AJZ53" s="16"/>
      <c r="AKA53" s="16"/>
      <c r="AKB53" s="16"/>
      <c r="AKC53" s="16"/>
      <c r="AKD53" s="16"/>
      <c r="AKE53" s="16"/>
      <c r="AKF53" s="16"/>
      <c r="AKG53" s="16"/>
      <c r="AKH53" s="16"/>
      <c r="AKI53" s="16"/>
      <c r="AKJ53" s="16"/>
      <c r="AKK53" s="16"/>
      <c r="AKL53" s="16"/>
      <c r="AKM53" s="16"/>
      <c r="AKN53" s="16"/>
      <c r="AKO53" s="16"/>
      <c r="AKP53" s="16"/>
      <c r="AKQ53" s="16"/>
      <c r="AKR53" s="16"/>
      <c r="AKS53" s="16"/>
      <c r="AKT53" s="16"/>
      <c r="AKU53" s="16"/>
      <c r="AKV53" s="16"/>
      <c r="AKW53" s="16"/>
      <c r="AKX53" s="16"/>
      <c r="AKY53" s="16"/>
      <c r="AKZ53" s="16"/>
      <c r="ALA53" s="16"/>
      <c r="ALB53" s="16"/>
      <c r="ALC53" s="16"/>
      <c r="ALD53" s="16"/>
      <c r="ALE53" s="16"/>
      <c r="ALF53" s="16"/>
      <c r="ALG53" s="16"/>
      <c r="ALH53" s="16"/>
      <c r="ALI53" s="16"/>
      <c r="ALJ53" s="16"/>
      <c r="ALK53" s="16"/>
      <c r="ALL53" s="16"/>
      <c r="ALM53" s="16"/>
      <c r="ALN53" s="16"/>
      <c r="ALO53" s="16"/>
      <c r="ALP53" s="16"/>
      <c r="ALQ53" s="16"/>
      <c r="ALR53" s="16"/>
      <c r="ALS53" s="16"/>
      <c r="ALT53" s="16"/>
      <c r="ALU53" s="16"/>
      <c r="ALV53" s="16"/>
      <c r="ALW53" s="16"/>
      <c r="ALX53" s="16"/>
      <c r="ALY53" s="16"/>
      <c r="ALZ53" s="16"/>
      <c r="AMA53" s="16"/>
      <c r="AMB53" s="16"/>
      <c r="AMC53" s="16"/>
      <c r="AMD53" s="16"/>
      <c r="AME53" s="16"/>
      <c r="AMF53" s="16"/>
      <c r="AMG53" s="16"/>
      <c r="AMH53" s="16"/>
      <c r="AMI53" s="16"/>
      <c r="AMJ53" s="16"/>
      <c r="AMK53" s="16"/>
      <c r="AML53" s="16"/>
      <c r="AMM53" s="16"/>
      <c r="AMN53" s="16"/>
      <c r="AMO53" s="16"/>
      <c r="AMP53" s="16"/>
      <c r="AMQ53" s="16"/>
      <c r="AMR53" s="16"/>
      <c r="AMS53" s="16"/>
      <c r="AMT53" s="16"/>
      <c r="AMU53" s="16"/>
      <c r="AMV53" s="16"/>
      <c r="AMW53" s="16"/>
      <c r="AMX53" s="16"/>
      <c r="AMY53" s="16"/>
      <c r="AMZ53" s="16"/>
      <c r="ANA53" s="16"/>
      <c r="ANB53" s="16"/>
      <c r="ANC53" s="16"/>
      <c r="AND53" s="16"/>
      <c r="ANE53" s="16"/>
      <c r="ANF53" s="16"/>
      <c r="ANG53" s="16"/>
      <c r="ANH53" s="16"/>
      <c r="ANI53" s="16"/>
      <c r="ANJ53" s="16"/>
      <c r="ANK53" s="16"/>
      <c r="ANL53" s="16"/>
      <c r="ANM53" s="16"/>
      <c r="ANN53" s="16"/>
      <c r="ANO53" s="16"/>
      <c r="ANP53" s="16"/>
      <c r="ANQ53" s="16"/>
      <c r="ANR53" s="16"/>
      <c r="ANS53" s="16"/>
      <c r="ANT53" s="16"/>
      <c r="ANU53" s="16"/>
      <c r="ANV53" s="16"/>
      <c r="ANW53" s="16"/>
      <c r="ANX53" s="16"/>
      <c r="ANY53" s="16"/>
      <c r="ANZ53" s="16"/>
      <c r="AOA53" s="16"/>
      <c r="AOB53" s="16"/>
      <c r="AOC53" s="16"/>
      <c r="AOD53" s="16"/>
      <c r="AOE53" s="16"/>
      <c r="AOF53" s="16"/>
      <c r="AOG53" s="16"/>
      <c r="AOH53" s="16"/>
      <c r="AOI53" s="16"/>
      <c r="AOJ53" s="16"/>
      <c r="AOK53" s="16"/>
      <c r="AOL53" s="16"/>
      <c r="AOM53" s="16"/>
      <c r="AON53" s="16"/>
      <c r="AOO53" s="16"/>
      <c r="AOP53" s="16"/>
      <c r="AOQ53" s="16"/>
      <c r="AOR53" s="16"/>
      <c r="AOS53" s="16"/>
      <c r="AOT53" s="16"/>
      <c r="AOU53" s="16"/>
      <c r="AOV53" s="16"/>
      <c r="AOW53" s="16"/>
      <c r="AOX53" s="16"/>
      <c r="AOY53" s="16"/>
      <c r="AOZ53" s="16"/>
      <c r="APA53" s="16"/>
      <c r="APB53" s="16"/>
      <c r="APC53" s="16"/>
      <c r="APD53" s="16"/>
      <c r="APE53" s="16"/>
      <c r="APF53" s="16"/>
      <c r="APG53" s="16"/>
      <c r="APH53" s="16"/>
      <c r="API53" s="16"/>
      <c r="APJ53" s="16"/>
      <c r="APK53" s="16"/>
      <c r="APL53" s="16"/>
      <c r="APM53" s="16"/>
      <c r="APN53" s="16"/>
      <c r="APO53" s="16"/>
      <c r="APP53" s="16"/>
      <c r="APQ53" s="16"/>
      <c r="APR53" s="16"/>
      <c r="APS53" s="16"/>
      <c r="APT53" s="16"/>
      <c r="APU53" s="16"/>
      <c r="APV53" s="16"/>
      <c r="APW53" s="16"/>
      <c r="APX53" s="16"/>
      <c r="APY53" s="16"/>
      <c r="APZ53" s="16"/>
      <c r="AQA53" s="16"/>
      <c r="AQB53" s="16"/>
      <c r="AQC53" s="16"/>
      <c r="AQD53" s="16"/>
      <c r="AQE53" s="16"/>
      <c r="AQF53" s="16"/>
      <c r="AQG53" s="16"/>
      <c r="AQH53" s="16"/>
      <c r="AQI53" s="16"/>
      <c r="AQJ53" s="16"/>
      <c r="AQK53" s="16"/>
      <c r="AQL53" s="16"/>
      <c r="AQM53" s="16"/>
      <c r="AQN53" s="16"/>
      <c r="AQO53" s="16"/>
      <c r="AQP53" s="16"/>
      <c r="AQQ53" s="16"/>
      <c r="AQR53" s="16"/>
      <c r="AQS53" s="16"/>
      <c r="AQT53" s="16"/>
      <c r="AQU53" s="16"/>
      <c r="AQV53" s="16"/>
      <c r="AQW53" s="16"/>
      <c r="AQX53" s="16"/>
      <c r="AQY53" s="16"/>
      <c r="AQZ53" s="16"/>
      <c r="ARA53" s="16"/>
      <c r="ARB53" s="16"/>
      <c r="ARC53" s="16"/>
      <c r="ARD53" s="16"/>
      <c r="ARE53" s="16"/>
      <c r="ARF53" s="16"/>
      <c r="ARG53" s="16"/>
      <c r="ARH53" s="16"/>
      <c r="ARI53" s="16"/>
      <c r="ARJ53" s="16"/>
      <c r="ARK53" s="16"/>
      <c r="ARL53" s="16"/>
      <c r="ARM53" s="16"/>
      <c r="ARN53" s="16"/>
      <c r="ARO53" s="16"/>
      <c r="ARP53" s="16"/>
      <c r="ARQ53" s="16"/>
      <c r="ARR53" s="16"/>
      <c r="ARS53" s="16"/>
      <c r="ART53" s="16"/>
      <c r="ARU53" s="16"/>
      <c r="ARV53" s="16"/>
      <c r="ARW53" s="16"/>
      <c r="ARX53" s="16"/>
      <c r="ARY53" s="16"/>
      <c r="ARZ53" s="16"/>
      <c r="ASA53" s="16"/>
      <c r="ASB53" s="16"/>
      <c r="ASC53" s="16"/>
      <c r="ASD53" s="16"/>
      <c r="ASE53" s="16"/>
      <c r="ASF53" s="16"/>
      <c r="ASG53" s="16"/>
      <c r="ASH53" s="16"/>
      <c r="ASI53" s="16"/>
      <c r="ASJ53" s="16"/>
      <c r="ASK53" s="16"/>
      <c r="ASL53" s="16"/>
      <c r="ASM53" s="16"/>
      <c r="ASN53" s="16"/>
      <c r="ASO53" s="16"/>
      <c r="ASP53" s="16"/>
      <c r="ASQ53" s="16"/>
      <c r="ASR53" s="16"/>
      <c r="ASS53" s="16"/>
      <c r="AST53" s="16"/>
      <c r="ASU53" s="16"/>
      <c r="ASV53" s="16"/>
      <c r="ASW53" s="16"/>
      <c r="ASX53" s="16"/>
      <c r="ASY53" s="16"/>
      <c r="ASZ53" s="16"/>
      <c r="ATA53" s="16"/>
      <c r="ATB53" s="16"/>
      <c r="ATC53" s="16"/>
      <c r="ATD53" s="16"/>
      <c r="ATE53" s="16"/>
      <c r="ATF53" s="16"/>
      <c r="ATG53" s="16"/>
      <c r="ATH53" s="16"/>
      <c r="ATI53" s="16"/>
      <c r="ATJ53" s="16"/>
      <c r="ATK53" s="16"/>
      <c r="ATL53" s="16"/>
      <c r="ATM53" s="16"/>
      <c r="ATN53" s="16"/>
      <c r="ATO53" s="16"/>
      <c r="ATP53" s="16"/>
      <c r="ATQ53" s="16"/>
      <c r="ATR53" s="16"/>
      <c r="ATS53" s="16"/>
      <c r="ATT53" s="16"/>
      <c r="ATU53" s="16"/>
      <c r="ATV53" s="16"/>
      <c r="ATW53" s="16"/>
      <c r="ATX53" s="16"/>
      <c r="ATY53" s="16"/>
      <c r="ATZ53" s="16"/>
      <c r="AUA53" s="16"/>
      <c r="AUB53" s="16"/>
      <c r="AUC53" s="16"/>
      <c r="AUD53" s="16"/>
      <c r="AUE53" s="16"/>
      <c r="AUF53" s="16"/>
      <c r="AUG53" s="16"/>
      <c r="AUH53" s="16"/>
      <c r="AUI53" s="16"/>
      <c r="AUJ53" s="16"/>
      <c r="AUK53" s="16"/>
      <c r="AUL53" s="16"/>
      <c r="AUM53" s="16"/>
      <c r="AUN53" s="16"/>
      <c r="AUO53" s="16"/>
      <c r="AUP53" s="16"/>
      <c r="AUQ53" s="16"/>
      <c r="AUR53" s="16"/>
      <c r="AUS53" s="16"/>
      <c r="AUT53" s="16"/>
      <c r="AUU53" s="16"/>
      <c r="AUV53" s="16"/>
      <c r="AUW53" s="16"/>
      <c r="AUX53" s="16"/>
      <c r="AUY53" s="16"/>
      <c r="AUZ53" s="16"/>
      <c r="AVA53" s="16"/>
      <c r="AVB53" s="16"/>
      <c r="AVC53" s="16"/>
      <c r="AVD53" s="16"/>
      <c r="AVE53" s="16"/>
      <c r="AVF53" s="16"/>
      <c r="AVG53" s="16"/>
      <c r="AVH53" s="16"/>
      <c r="AVI53" s="16"/>
      <c r="AVJ53" s="16"/>
      <c r="AVK53" s="16"/>
      <c r="AVL53" s="16"/>
      <c r="AVM53" s="16"/>
      <c r="AVN53" s="16"/>
      <c r="AVO53" s="16"/>
      <c r="AVP53" s="16"/>
      <c r="AVQ53" s="16"/>
      <c r="AVR53" s="16"/>
      <c r="AVS53" s="16"/>
      <c r="AVT53" s="16"/>
      <c r="AVU53" s="16"/>
      <c r="AVV53" s="16"/>
      <c r="AVW53" s="16"/>
      <c r="AVX53" s="16"/>
      <c r="AVY53" s="16"/>
      <c r="AVZ53" s="16"/>
      <c r="AWA53" s="16"/>
      <c r="AWB53" s="16"/>
      <c r="AWC53" s="16"/>
      <c r="AWD53" s="16"/>
      <c r="AWE53" s="16"/>
      <c r="AWF53" s="16"/>
      <c r="AWG53" s="16"/>
      <c r="AWH53" s="16"/>
      <c r="AWI53" s="16"/>
      <c r="AWJ53" s="16"/>
      <c r="AWK53" s="16"/>
      <c r="AWL53" s="16"/>
      <c r="AWM53" s="16"/>
      <c r="AWN53" s="16"/>
      <c r="AWO53" s="16"/>
      <c r="AWP53" s="16"/>
      <c r="AWQ53" s="16"/>
      <c r="AWR53" s="16"/>
      <c r="AWS53" s="16"/>
      <c r="AWT53" s="16"/>
      <c r="AWU53" s="16"/>
      <c r="AWV53" s="16"/>
      <c r="AWW53" s="16"/>
      <c r="AWX53" s="16"/>
      <c r="AWY53" s="16"/>
      <c r="AWZ53" s="16"/>
      <c r="AXA53" s="16"/>
      <c r="AXB53" s="16"/>
      <c r="AXC53" s="16"/>
      <c r="AXD53" s="16"/>
      <c r="AXE53" s="16"/>
      <c r="AXF53" s="16"/>
      <c r="AXG53" s="16"/>
      <c r="AXH53" s="16"/>
      <c r="AXI53" s="16"/>
      <c r="AXJ53" s="16"/>
      <c r="AXK53" s="16"/>
      <c r="AXL53" s="16"/>
      <c r="AXM53" s="16"/>
      <c r="AXN53" s="16"/>
      <c r="AXO53" s="16"/>
      <c r="AXP53" s="16"/>
      <c r="AXQ53" s="16"/>
      <c r="AXR53" s="16"/>
      <c r="AXS53" s="16"/>
      <c r="AXT53" s="16"/>
      <c r="AXU53" s="16"/>
      <c r="AXV53" s="16"/>
      <c r="AXW53" s="16"/>
      <c r="AXX53" s="16"/>
      <c r="AXY53" s="16"/>
      <c r="AXZ53" s="16"/>
      <c r="AYA53" s="16"/>
      <c r="AYB53" s="16"/>
      <c r="AYC53" s="16"/>
      <c r="AYD53" s="16"/>
      <c r="AYE53" s="16"/>
      <c r="AYF53" s="16"/>
      <c r="AYG53" s="16"/>
      <c r="AYH53" s="16"/>
      <c r="AYI53" s="16"/>
      <c r="AYJ53" s="16"/>
      <c r="AYK53" s="16"/>
      <c r="AYL53" s="16"/>
      <c r="AYM53" s="16"/>
      <c r="AYN53" s="16"/>
      <c r="AYO53" s="16"/>
      <c r="AYP53" s="16"/>
      <c r="AYQ53" s="16"/>
      <c r="AYR53" s="16"/>
      <c r="AYS53" s="16"/>
      <c r="AYT53" s="16"/>
      <c r="AYU53" s="16"/>
      <c r="AYV53" s="16"/>
      <c r="AYW53" s="16"/>
      <c r="AYX53" s="16"/>
      <c r="AYY53" s="16"/>
      <c r="AYZ53" s="16"/>
      <c r="AZA53" s="16"/>
      <c r="AZB53" s="16"/>
      <c r="AZC53" s="16"/>
      <c r="AZD53" s="16"/>
      <c r="AZE53" s="16"/>
      <c r="AZF53" s="16"/>
      <c r="AZG53" s="16"/>
      <c r="AZH53" s="16"/>
      <c r="AZI53" s="16"/>
      <c r="AZJ53" s="16"/>
      <c r="AZK53" s="16"/>
      <c r="AZL53" s="16"/>
      <c r="AZM53" s="16"/>
      <c r="AZN53" s="16"/>
      <c r="AZO53" s="16"/>
      <c r="AZP53" s="16"/>
      <c r="AZQ53" s="16"/>
      <c r="AZR53" s="16"/>
      <c r="AZS53" s="16"/>
      <c r="AZT53" s="16"/>
      <c r="AZU53" s="16"/>
      <c r="AZV53" s="16"/>
      <c r="AZW53" s="16"/>
      <c r="AZX53" s="16"/>
      <c r="AZY53" s="16"/>
      <c r="AZZ53" s="16"/>
      <c r="BAA53" s="16"/>
      <c r="BAB53" s="16"/>
      <c r="BAC53" s="16"/>
      <c r="BAD53" s="16"/>
      <c r="BAE53" s="16"/>
      <c r="BAF53" s="16"/>
      <c r="BAG53" s="16"/>
      <c r="BAH53" s="16"/>
      <c r="BAI53" s="16"/>
      <c r="BAJ53" s="16"/>
      <c r="BAK53" s="16"/>
      <c r="BAL53" s="16"/>
      <c r="BAM53" s="16"/>
      <c r="BAN53" s="16"/>
      <c r="BAO53" s="16"/>
      <c r="BAP53" s="16"/>
      <c r="BAQ53" s="16"/>
      <c r="BAR53" s="16"/>
      <c r="BAS53" s="16"/>
      <c r="BAT53" s="16"/>
      <c r="BAU53" s="16"/>
      <c r="BAV53" s="16"/>
      <c r="BAW53" s="16"/>
      <c r="BAX53" s="16"/>
      <c r="BAY53" s="16"/>
      <c r="BAZ53" s="16"/>
      <c r="BBA53" s="16"/>
      <c r="BBB53" s="16"/>
      <c r="BBC53" s="16"/>
      <c r="BBD53" s="16"/>
      <c r="BBE53" s="16"/>
      <c r="BBF53" s="16"/>
      <c r="BBG53" s="16"/>
      <c r="BBH53" s="16"/>
      <c r="BBI53" s="16"/>
      <c r="BBJ53" s="16"/>
      <c r="BBK53" s="16"/>
      <c r="BBL53" s="16"/>
      <c r="BBM53" s="16"/>
      <c r="BBN53" s="16"/>
      <c r="BBO53" s="16"/>
      <c r="BBP53" s="16"/>
      <c r="BBQ53" s="16"/>
      <c r="BBR53" s="16"/>
      <c r="BBS53" s="16"/>
      <c r="BBT53" s="16"/>
      <c r="BBU53" s="16"/>
      <c r="BBV53" s="16"/>
      <c r="BBW53" s="16"/>
      <c r="BBX53" s="16"/>
      <c r="BBY53" s="16"/>
      <c r="BBZ53" s="16"/>
      <c r="BCA53" s="16"/>
      <c r="BCB53" s="16"/>
      <c r="BCC53" s="16"/>
      <c r="BCD53" s="16"/>
      <c r="BCE53" s="16"/>
      <c r="BCF53" s="16"/>
      <c r="BCG53" s="16"/>
      <c r="BCH53" s="16"/>
      <c r="BCI53" s="16"/>
      <c r="BCJ53" s="16"/>
      <c r="BCK53" s="16"/>
      <c r="BCL53" s="16"/>
      <c r="BCM53" s="16"/>
      <c r="BCN53" s="16"/>
      <c r="BCO53" s="16"/>
      <c r="BCP53" s="16"/>
      <c r="BCQ53" s="16"/>
      <c r="BCR53" s="16"/>
      <c r="BCS53" s="16"/>
      <c r="BCT53" s="16"/>
      <c r="BCU53" s="16"/>
      <c r="BCV53" s="16"/>
      <c r="BCW53" s="16"/>
      <c r="BCX53" s="16"/>
      <c r="BCY53" s="16"/>
      <c r="BCZ53" s="16"/>
      <c r="BDA53" s="16"/>
      <c r="BDB53" s="16"/>
      <c r="BDC53" s="16"/>
      <c r="BDD53" s="16"/>
      <c r="BDE53" s="16"/>
      <c r="BDF53" s="16"/>
      <c r="BDG53" s="16"/>
      <c r="BDH53" s="16"/>
      <c r="BDI53" s="16"/>
      <c r="BDJ53" s="16"/>
      <c r="BDK53" s="16"/>
      <c r="BDL53" s="16"/>
      <c r="BDM53" s="16"/>
      <c r="BDN53" s="16"/>
      <c r="BDO53" s="16"/>
      <c r="BDP53" s="16"/>
      <c r="BDQ53" s="16"/>
      <c r="BDR53" s="16"/>
      <c r="BDS53" s="16"/>
      <c r="BDT53" s="16"/>
      <c r="BDU53" s="16"/>
      <c r="BDV53" s="16"/>
      <c r="BDW53" s="16"/>
      <c r="BDX53" s="16"/>
      <c r="BDY53" s="16"/>
      <c r="BDZ53" s="16"/>
      <c r="BEA53" s="16"/>
      <c r="BEB53" s="16"/>
      <c r="BEC53" s="16"/>
      <c r="BED53" s="16"/>
      <c r="BEE53" s="16"/>
      <c r="BEF53" s="16"/>
      <c r="BEG53" s="16"/>
      <c r="BEH53" s="16"/>
      <c r="BEI53" s="16"/>
      <c r="BEJ53" s="16"/>
      <c r="BEK53" s="16"/>
      <c r="BEL53" s="16"/>
      <c r="BEM53" s="16"/>
      <c r="BEN53" s="16"/>
      <c r="BEO53" s="16"/>
      <c r="BEP53" s="16"/>
      <c r="BEQ53" s="16"/>
      <c r="BER53" s="16"/>
      <c r="BES53" s="16"/>
      <c r="BET53" s="16"/>
      <c r="BEU53" s="16"/>
      <c r="BEV53" s="16"/>
      <c r="BEW53" s="16"/>
      <c r="BEX53" s="16"/>
      <c r="BEY53" s="16"/>
      <c r="BEZ53" s="16"/>
      <c r="BFA53" s="16"/>
      <c r="BFB53" s="16"/>
      <c r="BFC53" s="16"/>
      <c r="BFD53" s="16"/>
      <c r="BFE53" s="16"/>
      <c r="BFF53" s="16"/>
      <c r="BFG53" s="16"/>
      <c r="BFH53" s="16"/>
      <c r="BFI53" s="16"/>
      <c r="BFJ53" s="16"/>
      <c r="BFK53" s="16"/>
      <c r="BFL53" s="16"/>
      <c r="BFM53" s="16"/>
      <c r="BFN53" s="16"/>
      <c r="BFO53" s="16"/>
      <c r="BFP53" s="16"/>
      <c r="BFQ53" s="16"/>
      <c r="BFR53" s="16"/>
      <c r="BFS53" s="16"/>
      <c r="BFT53" s="16"/>
      <c r="BFU53" s="16"/>
      <c r="BFV53" s="16"/>
      <c r="BFW53" s="16"/>
      <c r="BFX53" s="16"/>
      <c r="BFY53" s="16"/>
      <c r="BFZ53" s="16"/>
      <c r="BGA53" s="16"/>
      <c r="BGB53" s="16"/>
      <c r="BGC53" s="16"/>
      <c r="BGD53" s="16"/>
      <c r="BGE53" s="16"/>
      <c r="BGF53" s="16"/>
      <c r="BGG53" s="16"/>
      <c r="BGH53" s="16"/>
      <c r="BGI53" s="16"/>
      <c r="BGJ53" s="16"/>
      <c r="BGK53" s="16"/>
      <c r="BGL53" s="16"/>
      <c r="BGM53" s="16"/>
      <c r="BGN53" s="16"/>
      <c r="BGO53" s="16"/>
      <c r="BGP53" s="16"/>
      <c r="BGQ53" s="16"/>
      <c r="BGR53" s="16"/>
      <c r="BGS53" s="16"/>
      <c r="BGT53" s="16"/>
      <c r="BGU53" s="16"/>
      <c r="BGV53" s="16"/>
      <c r="BGW53" s="16"/>
      <c r="BGX53" s="16"/>
      <c r="BGY53" s="16"/>
      <c r="BGZ53" s="16"/>
      <c r="BHA53" s="16"/>
      <c r="BHB53" s="16"/>
      <c r="BHC53" s="16"/>
      <c r="BHD53" s="16"/>
      <c r="BHE53" s="16"/>
      <c r="BHF53" s="16"/>
      <c r="BHG53" s="16"/>
      <c r="BHH53" s="16"/>
      <c r="BHI53" s="16"/>
      <c r="BHJ53" s="16"/>
      <c r="BHK53" s="16"/>
      <c r="BHL53" s="16"/>
      <c r="BHM53" s="16"/>
      <c r="BHN53" s="16"/>
      <c r="BHO53" s="16"/>
      <c r="BHP53" s="16"/>
      <c r="BHQ53" s="16"/>
      <c r="BHR53" s="16"/>
      <c r="BHS53" s="16"/>
      <c r="BHT53" s="16"/>
      <c r="BHU53" s="16"/>
      <c r="BHV53" s="16"/>
      <c r="BHW53" s="16"/>
      <c r="BHX53" s="16"/>
      <c r="BHY53" s="16"/>
      <c r="BHZ53" s="16"/>
      <c r="BIA53" s="16"/>
      <c r="BIB53" s="16"/>
      <c r="BIC53" s="16"/>
      <c r="BID53" s="16"/>
      <c r="BIE53" s="16"/>
      <c r="BIF53" s="16"/>
      <c r="BIG53" s="16"/>
      <c r="BIH53" s="16"/>
      <c r="BII53" s="16"/>
      <c r="BIJ53" s="16"/>
      <c r="BIK53" s="16"/>
      <c r="BIL53" s="16"/>
      <c r="BIM53" s="16"/>
      <c r="BIN53" s="16"/>
      <c r="BIO53" s="16"/>
      <c r="BIP53" s="16"/>
      <c r="BIQ53" s="16"/>
      <c r="BIR53" s="16"/>
      <c r="BIS53" s="16"/>
      <c r="BIT53" s="16"/>
      <c r="BIU53" s="16"/>
      <c r="BIV53" s="16"/>
      <c r="BIW53" s="16"/>
      <c r="BIX53" s="16"/>
      <c r="BIY53" s="16"/>
      <c r="BIZ53" s="16"/>
      <c r="BJA53" s="16"/>
      <c r="BJB53" s="16"/>
      <c r="BJC53" s="16"/>
      <c r="BJD53" s="16"/>
      <c r="BJE53" s="16"/>
      <c r="BJF53" s="16"/>
      <c r="BJG53" s="16"/>
      <c r="BJH53" s="16"/>
      <c r="BJI53" s="16"/>
      <c r="BJJ53" s="16"/>
      <c r="BJK53" s="16"/>
      <c r="BJL53" s="16"/>
      <c r="BJM53" s="16"/>
      <c r="BJN53" s="16"/>
      <c r="BJO53" s="16"/>
      <c r="BJP53" s="16"/>
      <c r="BJQ53" s="16"/>
      <c r="BJR53" s="16"/>
      <c r="BJS53" s="16"/>
      <c r="BJT53" s="16"/>
      <c r="BJU53" s="16"/>
      <c r="BJV53" s="16"/>
      <c r="BJW53" s="16"/>
      <c r="BJX53" s="16"/>
      <c r="BJY53" s="16"/>
      <c r="BJZ53" s="16"/>
      <c r="BKA53" s="16"/>
      <c r="BKB53" s="16"/>
      <c r="BKC53" s="16"/>
      <c r="BKD53" s="16"/>
      <c r="BKE53" s="16"/>
      <c r="BKF53" s="16"/>
      <c r="BKG53" s="16"/>
      <c r="BKH53" s="16"/>
      <c r="BKI53" s="16"/>
      <c r="BKJ53" s="16"/>
      <c r="BKK53" s="16"/>
      <c r="BKL53" s="16"/>
      <c r="BKM53" s="16"/>
      <c r="BKN53" s="16"/>
      <c r="BKO53" s="16"/>
      <c r="BKP53" s="16"/>
      <c r="BKQ53" s="16"/>
      <c r="BKR53" s="16"/>
      <c r="BKS53" s="16"/>
      <c r="BKT53" s="16"/>
      <c r="BKU53" s="16"/>
      <c r="BKV53" s="16"/>
      <c r="BKW53" s="16"/>
      <c r="BKX53" s="16"/>
      <c r="BKY53" s="16"/>
      <c r="BKZ53" s="16"/>
      <c r="BLA53" s="16"/>
      <c r="BLB53" s="16"/>
      <c r="BLC53" s="16"/>
      <c r="BLD53" s="16"/>
      <c r="BLE53" s="16"/>
      <c r="BLF53" s="16"/>
      <c r="BLG53" s="16"/>
      <c r="BLH53" s="16"/>
      <c r="BLI53" s="16"/>
      <c r="BLJ53" s="16"/>
      <c r="BLK53" s="16"/>
      <c r="BLL53" s="16"/>
      <c r="BLM53" s="16"/>
      <c r="BLN53" s="16"/>
      <c r="BLO53" s="16"/>
      <c r="BLP53" s="16"/>
      <c r="BLQ53" s="16"/>
      <c r="BLR53" s="16"/>
      <c r="BLS53" s="16"/>
      <c r="BLT53" s="16"/>
      <c r="BLU53" s="16"/>
      <c r="BLV53" s="16"/>
      <c r="BLW53" s="16"/>
      <c r="BLX53" s="16"/>
      <c r="BLY53" s="16"/>
      <c r="BLZ53" s="16"/>
      <c r="BMA53" s="16"/>
      <c r="BMB53" s="16"/>
      <c r="BMC53" s="16"/>
      <c r="BMD53" s="16"/>
      <c r="BME53" s="16"/>
      <c r="BMF53" s="16"/>
      <c r="BMG53" s="16"/>
      <c r="BMH53" s="16"/>
      <c r="BMI53" s="16"/>
      <c r="BMJ53" s="16"/>
      <c r="BMK53" s="16"/>
      <c r="BML53" s="16"/>
      <c r="BMM53" s="16"/>
      <c r="BMN53" s="16"/>
      <c r="BMO53" s="16"/>
      <c r="BMP53" s="16"/>
      <c r="BMQ53" s="16"/>
      <c r="BMR53" s="16"/>
      <c r="BMS53" s="16"/>
      <c r="BMT53" s="16"/>
      <c r="BMU53" s="16"/>
      <c r="BMV53" s="16"/>
      <c r="BMW53" s="16"/>
      <c r="BMX53" s="16"/>
      <c r="BMY53" s="16"/>
      <c r="BMZ53" s="16"/>
      <c r="BNA53" s="16"/>
      <c r="BNB53" s="16"/>
      <c r="BNC53" s="16"/>
      <c r="BND53" s="16"/>
      <c r="BNE53" s="16"/>
      <c r="BNF53" s="16"/>
      <c r="BNG53" s="16"/>
      <c r="BNH53" s="16"/>
      <c r="BNI53" s="16"/>
      <c r="BNJ53" s="16"/>
      <c r="BNK53" s="16"/>
      <c r="BNL53" s="16"/>
      <c r="BNM53" s="16"/>
      <c r="BNN53" s="16"/>
      <c r="BNO53" s="16"/>
      <c r="BNP53" s="16"/>
      <c r="BNQ53" s="16"/>
      <c r="BNR53" s="16"/>
      <c r="BNS53" s="16"/>
      <c r="BNT53" s="16"/>
      <c r="BNU53" s="16"/>
      <c r="BNV53" s="16"/>
      <c r="BNW53" s="16"/>
      <c r="BNX53" s="16"/>
      <c r="BNY53" s="16"/>
      <c r="BNZ53" s="16"/>
      <c r="BOA53" s="16"/>
      <c r="BOB53" s="16"/>
      <c r="BOC53" s="16"/>
      <c r="BOD53" s="16"/>
      <c r="BOE53" s="16"/>
      <c r="BOF53" s="16"/>
      <c r="BOG53" s="16"/>
      <c r="BOH53" s="16"/>
      <c r="BOI53" s="16"/>
      <c r="BOJ53" s="16"/>
      <c r="BOK53" s="16"/>
      <c r="BOL53" s="16"/>
      <c r="BOM53" s="16"/>
      <c r="BON53" s="16"/>
      <c r="BOO53" s="16"/>
      <c r="BOP53" s="16"/>
      <c r="BOQ53" s="16"/>
      <c r="BOR53" s="16"/>
      <c r="BOS53" s="16"/>
      <c r="BOT53" s="16"/>
      <c r="BOU53" s="16"/>
      <c r="BOV53" s="16"/>
      <c r="BOW53" s="16"/>
      <c r="BOX53" s="16"/>
      <c r="BOY53" s="16"/>
      <c r="BOZ53" s="16"/>
      <c r="BPA53" s="16"/>
      <c r="BPB53" s="16"/>
      <c r="BPC53" s="16"/>
      <c r="BPD53" s="16"/>
      <c r="BPE53" s="16"/>
      <c r="BPF53" s="16"/>
      <c r="BPG53" s="16"/>
      <c r="BPH53" s="16"/>
      <c r="BPI53" s="16"/>
      <c r="BPJ53" s="16"/>
      <c r="BPK53" s="16"/>
      <c r="BPL53" s="16"/>
      <c r="BPM53" s="16"/>
      <c r="BPN53" s="16"/>
      <c r="BPO53" s="16"/>
      <c r="BPP53" s="16"/>
      <c r="BPQ53" s="16"/>
      <c r="BPR53" s="16"/>
      <c r="BPS53" s="16"/>
      <c r="BPT53" s="16"/>
      <c r="BPU53" s="16"/>
      <c r="BPV53" s="16"/>
      <c r="BPW53" s="16"/>
      <c r="BPX53" s="16"/>
      <c r="BPY53" s="16"/>
      <c r="BPZ53" s="16"/>
      <c r="BQA53" s="16"/>
      <c r="BQB53" s="16"/>
      <c r="BQC53" s="16"/>
      <c r="BQD53" s="16"/>
      <c r="BQE53" s="16"/>
      <c r="BQF53" s="16"/>
      <c r="BQG53" s="16"/>
      <c r="BQH53" s="16"/>
      <c r="BQI53" s="16"/>
      <c r="BQJ53" s="16"/>
      <c r="BQK53" s="16"/>
      <c r="BQL53" s="16"/>
      <c r="BQM53" s="16"/>
      <c r="BQN53" s="16"/>
      <c r="BQO53" s="16"/>
      <c r="BQP53" s="16"/>
      <c r="BQQ53" s="16"/>
      <c r="BQR53" s="16"/>
      <c r="BQS53" s="16"/>
      <c r="BQT53" s="16"/>
      <c r="BQU53" s="16"/>
      <c r="BQV53" s="16"/>
      <c r="BQW53" s="16"/>
      <c r="BQX53" s="16"/>
      <c r="BQY53" s="16"/>
      <c r="BQZ53" s="16"/>
      <c r="BRA53" s="16"/>
      <c r="BRB53" s="16"/>
      <c r="BRC53" s="16"/>
      <c r="BRD53" s="16"/>
      <c r="BRE53" s="16"/>
      <c r="BRF53" s="16"/>
      <c r="BRG53" s="16"/>
      <c r="BRH53" s="16"/>
      <c r="BRI53" s="16"/>
      <c r="BRJ53" s="16"/>
      <c r="BRK53" s="16"/>
      <c r="BRL53" s="16"/>
      <c r="BRM53" s="16"/>
      <c r="BRN53" s="16"/>
      <c r="BRO53" s="16"/>
      <c r="BRP53" s="16"/>
      <c r="BRQ53" s="16"/>
      <c r="BRR53" s="16"/>
      <c r="BRS53" s="16"/>
      <c r="BRT53" s="16"/>
      <c r="BRU53" s="16"/>
      <c r="BRV53" s="16"/>
      <c r="BRW53" s="16"/>
      <c r="BRX53" s="16"/>
      <c r="BRY53" s="16"/>
      <c r="BRZ53" s="16"/>
      <c r="BSA53" s="16"/>
      <c r="BSB53" s="16"/>
      <c r="BSC53" s="16"/>
      <c r="BSD53" s="16"/>
      <c r="BSE53" s="16"/>
      <c r="BSF53" s="16"/>
      <c r="BSG53" s="16"/>
      <c r="BSH53" s="16"/>
      <c r="BSI53" s="16"/>
      <c r="BSJ53" s="16"/>
      <c r="BSK53" s="16"/>
      <c r="BSL53" s="16"/>
      <c r="BSM53" s="16"/>
      <c r="BSN53" s="16"/>
      <c r="BSO53" s="16"/>
      <c r="BSP53" s="16"/>
      <c r="BSQ53" s="16"/>
      <c r="BSR53" s="16"/>
      <c r="BSS53" s="16"/>
      <c r="BST53" s="16"/>
      <c r="BSU53" s="16"/>
      <c r="BSV53" s="16"/>
      <c r="BSW53" s="16"/>
      <c r="BSX53" s="16"/>
      <c r="BSY53" s="16"/>
      <c r="BSZ53" s="16"/>
      <c r="BTA53" s="16"/>
      <c r="BTB53" s="16"/>
      <c r="BTC53" s="16"/>
      <c r="BTD53" s="16"/>
      <c r="BTE53" s="16"/>
      <c r="BTF53" s="16"/>
      <c r="BTG53" s="16"/>
      <c r="BTH53" s="16"/>
      <c r="BTI53" s="16"/>
      <c r="BTJ53" s="16"/>
      <c r="BTK53" s="16"/>
      <c r="BTL53" s="16"/>
      <c r="BTM53" s="16"/>
      <c r="BTN53" s="16"/>
      <c r="BTO53" s="16"/>
      <c r="BTP53" s="16"/>
      <c r="BTQ53" s="16"/>
      <c r="BTR53" s="16"/>
      <c r="BTS53" s="16"/>
      <c r="BTT53" s="16"/>
      <c r="BTU53" s="16"/>
      <c r="BTV53" s="16"/>
      <c r="BTW53" s="16"/>
      <c r="BTX53" s="16"/>
      <c r="BTY53" s="16"/>
      <c r="BTZ53" s="16"/>
      <c r="BUA53" s="16"/>
      <c r="BUB53" s="16"/>
      <c r="BUC53" s="16"/>
      <c r="BUD53" s="16"/>
      <c r="BUE53" s="16"/>
      <c r="BUF53" s="16"/>
      <c r="BUG53" s="16"/>
      <c r="BUH53" s="16"/>
      <c r="BUI53" s="16"/>
      <c r="BUJ53" s="16"/>
      <c r="BUK53" s="16"/>
      <c r="BUL53" s="16"/>
      <c r="BUM53" s="16"/>
      <c r="BUN53" s="16"/>
      <c r="BUO53" s="16"/>
      <c r="BUP53" s="16"/>
      <c r="BUQ53" s="16"/>
      <c r="BUR53" s="16"/>
      <c r="BUS53" s="16"/>
      <c r="BUT53" s="16"/>
      <c r="BUU53" s="16"/>
      <c r="BUV53" s="16"/>
      <c r="BUW53" s="16"/>
      <c r="BUX53" s="16"/>
      <c r="BUY53" s="16"/>
      <c r="BUZ53" s="16"/>
      <c r="BVA53" s="16"/>
      <c r="BVB53" s="16"/>
      <c r="BVC53" s="16"/>
      <c r="BVD53" s="16"/>
      <c r="BVE53" s="16"/>
      <c r="BVF53" s="16"/>
      <c r="BVG53" s="16"/>
      <c r="BVH53" s="16"/>
      <c r="BVI53" s="16"/>
      <c r="BVJ53" s="16"/>
      <c r="BVK53" s="16"/>
      <c r="BVL53" s="16"/>
      <c r="BVM53" s="16"/>
      <c r="BVN53" s="16"/>
      <c r="BVO53" s="16"/>
      <c r="BVP53" s="16"/>
      <c r="BVQ53" s="16"/>
      <c r="BVR53" s="16"/>
      <c r="BVS53" s="16"/>
      <c r="BVT53" s="16"/>
      <c r="BVU53" s="16"/>
      <c r="BVV53" s="16"/>
      <c r="BVW53" s="16"/>
      <c r="BVX53" s="16"/>
      <c r="BVY53" s="16"/>
      <c r="BVZ53" s="16"/>
      <c r="BWA53" s="16"/>
      <c r="BWB53" s="16"/>
      <c r="BWC53" s="16"/>
      <c r="BWD53" s="16"/>
      <c r="BWE53" s="16"/>
      <c r="BWF53" s="16"/>
      <c r="BWG53" s="16"/>
      <c r="BWH53" s="16"/>
      <c r="BWI53" s="16"/>
      <c r="BWJ53" s="16"/>
      <c r="BWK53" s="16"/>
      <c r="BWL53" s="16"/>
      <c r="BWM53" s="16"/>
      <c r="BWN53" s="16"/>
      <c r="BWO53" s="16"/>
      <c r="BWP53" s="16"/>
      <c r="BWQ53" s="16"/>
      <c r="BWR53" s="16"/>
      <c r="BWS53" s="16"/>
      <c r="BWT53" s="16"/>
      <c r="BWU53" s="16"/>
      <c r="BWV53" s="16"/>
      <c r="BWW53" s="16"/>
      <c r="BWX53" s="16"/>
      <c r="BWY53" s="16"/>
      <c r="BWZ53" s="16"/>
      <c r="BXA53" s="16"/>
      <c r="BXB53" s="16"/>
      <c r="BXC53" s="16"/>
      <c r="BXD53" s="16"/>
      <c r="BXE53" s="16"/>
      <c r="BXF53" s="16"/>
      <c r="BXG53" s="16"/>
      <c r="BXH53" s="16"/>
      <c r="BXI53" s="16"/>
      <c r="BXJ53" s="16"/>
      <c r="BXK53" s="16"/>
      <c r="BXL53" s="16"/>
      <c r="BXM53" s="16"/>
      <c r="BXN53" s="16"/>
      <c r="BXO53" s="16"/>
      <c r="BXP53" s="16"/>
      <c r="BXQ53" s="16"/>
      <c r="BXR53" s="16"/>
      <c r="BXS53" s="16"/>
      <c r="BXT53" s="16"/>
      <c r="BXU53" s="16"/>
      <c r="BXV53" s="16"/>
      <c r="BXW53" s="16"/>
      <c r="BXX53" s="16"/>
      <c r="BXY53" s="16"/>
      <c r="BXZ53" s="16"/>
      <c r="BYA53" s="16"/>
      <c r="BYB53" s="16"/>
      <c r="BYC53" s="16"/>
      <c r="BYD53" s="16"/>
      <c r="BYE53" s="16"/>
      <c r="BYF53" s="16"/>
      <c r="BYG53" s="16"/>
      <c r="BYH53" s="16"/>
      <c r="BYI53" s="16"/>
      <c r="BYJ53" s="16"/>
      <c r="BYK53" s="16"/>
      <c r="BYL53" s="16"/>
      <c r="BYM53" s="16"/>
      <c r="BYN53" s="16"/>
      <c r="BYO53" s="16"/>
      <c r="BYP53" s="16"/>
      <c r="BYQ53" s="16"/>
      <c r="BYR53" s="16"/>
      <c r="BYS53" s="16"/>
      <c r="BYT53" s="16"/>
      <c r="BYU53" s="16"/>
      <c r="BYV53" s="16"/>
      <c r="BYW53" s="16"/>
      <c r="BYX53" s="16"/>
      <c r="BYY53" s="16"/>
      <c r="BYZ53" s="16"/>
      <c r="BZA53" s="16"/>
      <c r="BZB53" s="16"/>
      <c r="BZC53" s="16"/>
      <c r="BZD53" s="16"/>
      <c r="BZE53" s="16"/>
      <c r="BZF53" s="16"/>
      <c r="BZG53" s="16"/>
      <c r="BZH53" s="16"/>
      <c r="BZI53" s="16"/>
      <c r="BZJ53" s="16"/>
      <c r="BZK53" s="16"/>
      <c r="BZL53" s="16"/>
      <c r="BZM53" s="16"/>
      <c r="BZN53" s="16"/>
      <c r="BZO53" s="16"/>
      <c r="BZP53" s="16"/>
      <c r="BZQ53" s="16"/>
      <c r="BZR53" s="16"/>
      <c r="BZS53" s="16"/>
      <c r="BZT53" s="16"/>
      <c r="BZU53" s="16"/>
      <c r="BZV53" s="16"/>
      <c r="BZW53" s="16"/>
      <c r="BZX53" s="16"/>
      <c r="BZY53" s="16"/>
      <c r="BZZ53" s="16"/>
      <c r="CAA53" s="16"/>
      <c r="CAB53" s="16"/>
      <c r="CAC53" s="16"/>
      <c r="CAD53" s="16"/>
      <c r="CAE53" s="16"/>
      <c r="CAF53" s="16"/>
      <c r="CAG53" s="16"/>
      <c r="CAH53" s="16"/>
      <c r="CAI53" s="16"/>
      <c r="CAJ53" s="16"/>
      <c r="CAK53" s="16"/>
      <c r="CAL53" s="16"/>
      <c r="CAM53" s="16"/>
      <c r="CAN53" s="16"/>
      <c r="CAO53" s="16"/>
      <c r="CAP53" s="16"/>
      <c r="CAQ53" s="16"/>
      <c r="CAR53" s="16"/>
      <c r="CAS53" s="16"/>
      <c r="CAT53" s="16"/>
      <c r="CAU53" s="16"/>
      <c r="CAV53" s="16"/>
      <c r="CAW53" s="16"/>
      <c r="CAX53" s="16"/>
      <c r="CAY53" s="16"/>
      <c r="CAZ53" s="16"/>
      <c r="CBA53" s="16"/>
      <c r="CBB53" s="16"/>
      <c r="CBC53" s="16"/>
      <c r="CBD53" s="16"/>
      <c r="CBE53" s="16"/>
      <c r="CBF53" s="16"/>
      <c r="CBG53" s="16"/>
      <c r="CBH53" s="16"/>
      <c r="CBI53" s="16"/>
      <c r="CBJ53" s="16"/>
      <c r="CBK53" s="16"/>
      <c r="CBL53" s="16"/>
      <c r="CBM53" s="16"/>
      <c r="CBN53" s="16"/>
      <c r="CBO53" s="16"/>
      <c r="CBP53" s="16"/>
      <c r="CBQ53" s="16"/>
      <c r="CBR53" s="16"/>
      <c r="CBS53" s="16"/>
      <c r="CBT53" s="16"/>
      <c r="CBU53" s="16"/>
      <c r="CBV53" s="16"/>
      <c r="CBW53" s="16"/>
      <c r="CBX53" s="16"/>
      <c r="CBY53" s="16"/>
      <c r="CBZ53" s="16"/>
      <c r="CCA53" s="16"/>
      <c r="CCB53" s="16"/>
      <c r="CCC53" s="16"/>
      <c r="CCD53" s="16"/>
      <c r="CCE53" s="16"/>
      <c r="CCF53" s="16"/>
      <c r="CCG53" s="16"/>
      <c r="CCH53" s="16"/>
      <c r="CCI53" s="16"/>
      <c r="CCJ53" s="16"/>
      <c r="CCK53" s="16"/>
      <c r="CCL53" s="16"/>
      <c r="CCM53" s="16"/>
      <c r="CCN53" s="16"/>
      <c r="CCO53" s="16"/>
      <c r="CCP53" s="16"/>
      <c r="CCQ53" s="16"/>
      <c r="CCR53" s="16"/>
      <c r="CCS53" s="16"/>
      <c r="CCT53" s="16"/>
      <c r="CCU53" s="16"/>
      <c r="CCV53" s="16"/>
      <c r="CCW53" s="16"/>
      <c r="CCX53" s="16"/>
      <c r="CCY53" s="16"/>
      <c r="CCZ53" s="16"/>
      <c r="CDA53" s="16"/>
      <c r="CDB53" s="16"/>
      <c r="CDC53" s="16"/>
      <c r="CDD53" s="16"/>
      <c r="CDE53" s="16"/>
      <c r="CDF53" s="16"/>
      <c r="CDG53" s="16"/>
      <c r="CDH53" s="16"/>
      <c r="CDI53" s="16"/>
      <c r="CDJ53" s="16"/>
      <c r="CDK53" s="16"/>
      <c r="CDL53" s="16"/>
      <c r="CDM53" s="16"/>
      <c r="CDN53" s="16"/>
      <c r="CDO53" s="16"/>
      <c r="CDP53" s="16"/>
      <c r="CDQ53" s="16"/>
      <c r="CDR53" s="16"/>
      <c r="CDS53" s="16"/>
      <c r="CDT53" s="16"/>
      <c r="CDU53" s="16"/>
      <c r="CDV53" s="16"/>
      <c r="CDW53" s="16"/>
      <c r="CDX53" s="16"/>
      <c r="CDY53" s="16"/>
      <c r="CDZ53" s="16"/>
      <c r="CEA53" s="16"/>
      <c r="CEB53" s="16"/>
      <c r="CEC53" s="16"/>
      <c r="CED53" s="16"/>
      <c r="CEE53" s="16"/>
      <c r="CEF53" s="16"/>
      <c r="CEG53" s="16"/>
      <c r="CEH53" s="16"/>
      <c r="CEI53" s="16"/>
      <c r="CEJ53" s="16"/>
      <c r="CEK53" s="16"/>
      <c r="CEL53" s="16"/>
      <c r="CEM53" s="16"/>
      <c r="CEN53" s="16"/>
      <c r="CEO53" s="16"/>
      <c r="CEP53" s="16"/>
      <c r="CEQ53" s="16"/>
      <c r="CER53" s="16"/>
      <c r="CES53" s="16"/>
      <c r="CET53" s="16"/>
      <c r="CEU53" s="16"/>
      <c r="CEV53" s="16"/>
      <c r="CEW53" s="16"/>
      <c r="CEX53" s="16"/>
      <c r="CEY53" s="16"/>
      <c r="CEZ53" s="16"/>
      <c r="CFA53" s="16"/>
      <c r="CFB53" s="16"/>
      <c r="CFC53" s="16"/>
      <c r="CFD53" s="16"/>
      <c r="CFE53" s="16"/>
      <c r="CFF53" s="16"/>
      <c r="CFG53" s="16"/>
      <c r="CFH53" s="16"/>
      <c r="CFI53" s="16"/>
      <c r="CFJ53" s="16"/>
      <c r="CFK53" s="16"/>
      <c r="CFL53" s="16"/>
      <c r="CFM53" s="16"/>
      <c r="CFN53" s="16"/>
      <c r="CFO53" s="16"/>
      <c r="CFP53" s="16"/>
      <c r="CFQ53" s="16"/>
      <c r="CFR53" s="16"/>
      <c r="CFS53" s="16"/>
      <c r="CFT53" s="16"/>
      <c r="CFU53" s="16"/>
      <c r="CFV53" s="16"/>
      <c r="CFW53" s="16"/>
      <c r="CFX53" s="16"/>
      <c r="CFY53" s="16"/>
      <c r="CFZ53" s="16"/>
      <c r="CGA53" s="16"/>
      <c r="CGB53" s="16"/>
      <c r="CGC53" s="16"/>
      <c r="CGD53" s="16"/>
      <c r="CGE53" s="16"/>
      <c r="CGF53" s="16"/>
      <c r="CGG53" s="16"/>
      <c r="CGH53" s="16"/>
      <c r="CGI53" s="16"/>
      <c r="CGJ53" s="16"/>
      <c r="CGK53" s="16"/>
      <c r="CGL53" s="16"/>
      <c r="CGM53" s="16"/>
      <c r="CGN53" s="16"/>
      <c r="CGO53" s="16"/>
      <c r="CGP53" s="16"/>
      <c r="CGQ53" s="16"/>
      <c r="CGR53" s="16"/>
      <c r="CGS53" s="16"/>
      <c r="CGT53" s="16"/>
      <c r="CGU53" s="16"/>
      <c r="CGV53" s="16"/>
      <c r="CGW53" s="16"/>
      <c r="CGX53" s="16"/>
      <c r="CGY53" s="16"/>
      <c r="CGZ53" s="16"/>
      <c r="CHA53" s="16"/>
      <c r="CHB53" s="16"/>
      <c r="CHC53" s="16"/>
      <c r="CHD53" s="16"/>
      <c r="CHE53" s="16"/>
      <c r="CHF53" s="16"/>
      <c r="CHG53" s="16"/>
      <c r="CHH53" s="16"/>
      <c r="CHI53" s="16"/>
      <c r="CHJ53" s="16"/>
      <c r="CHK53" s="16"/>
      <c r="CHL53" s="16"/>
      <c r="CHM53" s="16"/>
      <c r="CHN53" s="16"/>
      <c r="CHO53" s="16"/>
      <c r="CHP53" s="16"/>
      <c r="CHQ53" s="16"/>
      <c r="CHR53" s="16"/>
      <c r="CHS53" s="16"/>
      <c r="CHT53" s="16"/>
      <c r="CHU53" s="16"/>
      <c r="CHV53" s="16"/>
      <c r="CHW53" s="16"/>
      <c r="CHX53" s="16"/>
      <c r="CHY53" s="16"/>
      <c r="CHZ53" s="16"/>
      <c r="CIA53" s="16"/>
      <c r="CIB53" s="16"/>
      <c r="CIC53" s="16"/>
      <c r="CID53" s="16"/>
      <c r="CIE53" s="16"/>
      <c r="CIF53" s="16"/>
      <c r="CIG53" s="16"/>
      <c r="CIH53" s="16"/>
      <c r="CII53" s="16"/>
      <c r="CIJ53" s="16"/>
      <c r="CIK53" s="16"/>
      <c r="CIL53" s="16"/>
      <c r="CIM53" s="16"/>
      <c r="CIN53" s="16"/>
      <c r="CIO53" s="16"/>
      <c r="CIP53" s="16"/>
      <c r="CIQ53" s="16"/>
      <c r="CIR53" s="16"/>
      <c r="CIS53" s="16"/>
      <c r="CIT53" s="16"/>
      <c r="CIU53" s="16"/>
      <c r="CIV53" s="16"/>
      <c r="CIW53" s="16"/>
      <c r="CIX53" s="16"/>
      <c r="CIY53" s="16"/>
      <c r="CIZ53" s="16"/>
      <c r="CJA53" s="16"/>
      <c r="CJB53" s="16"/>
      <c r="CJC53" s="16"/>
      <c r="CJD53" s="16"/>
      <c r="CJE53" s="16"/>
      <c r="CJF53" s="16"/>
      <c r="CJG53" s="16"/>
      <c r="CJH53" s="16"/>
      <c r="CJI53" s="16"/>
      <c r="CJJ53" s="16"/>
      <c r="CJK53" s="16"/>
      <c r="CJL53" s="16"/>
      <c r="CJM53" s="16"/>
      <c r="CJN53" s="16"/>
      <c r="CJO53" s="16"/>
      <c r="CJP53" s="16"/>
      <c r="CJQ53" s="16"/>
      <c r="CJR53" s="16"/>
      <c r="CJS53" s="16"/>
      <c r="CJT53" s="16"/>
      <c r="CJU53" s="16"/>
      <c r="CJV53" s="16"/>
      <c r="CJW53" s="16"/>
      <c r="CJX53" s="16"/>
      <c r="CJY53" s="16"/>
      <c r="CJZ53" s="16"/>
      <c r="CKA53" s="16"/>
      <c r="CKB53" s="16"/>
      <c r="CKC53" s="16"/>
      <c r="CKD53" s="16"/>
      <c r="CKE53" s="16"/>
      <c r="CKF53" s="16"/>
      <c r="CKG53" s="16"/>
      <c r="CKH53" s="16"/>
      <c r="CKI53" s="16"/>
      <c r="CKJ53" s="16"/>
      <c r="CKK53" s="16"/>
      <c r="CKL53" s="16"/>
      <c r="CKM53" s="16"/>
      <c r="CKN53" s="16"/>
      <c r="CKO53" s="16"/>
      <c r="CKP53" s="16"/>
      <c r="CKQ53" s="16"/>
      <c r="CKR53" s="16"/>
      <c r="CKS53" s="16"/>
      <c r="CKT53" s="16"/>
      <c r="CKU53" s="16"/>
      <c r="CKV53" s="16"/>
      <c r="CKW53" s="16"/>
      <c r="CKX53" s="16"/>
      <c r="CKY53" s="16"/>
      <c r="CKZ53" s="16"/>
      <c r="CLA53" s="16"/>
      <c r="CLB53" s="16"/>
      <c r="CLC53" s="16"/>
      <c r="CLD53" s="16"/>
      <c r="CLE53" s="16"/>
      <c r="CLF53" s="16"/>
      <c r="CLG53" s="16"/>
      <c r="CLH53" s="16"/>
      <c r="CLI53" s="16"/>
      <c r="CLJ53" s="16"/>
      <c r="CLK53" s="16"/>
      <c r="CLL53" s="16"/>
      <c r="CLM53" s="16"/>
      <c r="CLN53" s="16"/>
      <c r="CLO53" s="16"/>
      <c r="CLP53" s="16"/>
      <c r="CLQ53" s="16"/>
      <c r="CLR53" s="16"/>
      <c r="CLS53" s="16"/>
      <c r="CLT53" s="16"/>
      <c r="CLU53" s="16"/>
      <c r="CLV53" s="16"/>
      <c r="CLW53" s="16"/>
      <c r="CLX53" s="16"/>
      <c r="CLY53" s="16"/>
      <c r="CLZ53" s="16"/>
      <c r="CMA53" s="16"/>
      <c r="CMB53" s="16"/>
      <c r="CMC53" s="16"/>
      <c r="CMD53" s="16"/>
      <c r="CME53" s="16"/>
      <c r="CMF53" s="16"/>
      <c r="CMG53" s="16"/>
      <c r="CMH53" s="16"/>
      <c r="CMI53" s="16"/>
      <c r="CMJ53" s="16"/>
      <c r="CMK53" s="16"/>
      <c r="CML53" s="16"/>
      <c r="CMM53" s="16"/>
      <c r="CMN53" s="16"/>
      <c r="CMO53" s="16"/>
      <c r="CMP53" s="16"/>
      <c r="CMQ53" s="16"/>
      <c r="CMR53" s="16"/>
      <c r="CMS53" s="16"/>
      <c r="CMT53" s="16"/>
      <c r="CMU53" s="16"/>
      <c r="CMV53" s="16"/>
      <c r="CMW53" s="16"/>
      <c r="CMX53" s="16"/>
      <c r="CMY53" s="16"/>
      <c r="CMZ53" s="16"/>
      <c r="CNA53" s="16"/>
      <c r="CNB53" s="16"/>
      <c r="CNC53" s="16"/>
      <c r="CND53" s="16"/>
      <c r="CNE53" s="16"/>
      <c r="CNF53" s="16"/>
      <c r="CNG53" s="16"/>
      <c r="CNH53" s="16"/>
      <c r="CNI53" s="16"/>
      <c r="CNJ53" s="16"/>
      <c r="CNK53" s="16"/>
      <c r="CNL53" s="16"/>
      <c r="CNM53" s="16"/>
      <c r="CNN53" s="16"/>
      <c r="CNO53" s="16"/>
      <c r="CNP53" s="16"/>
      <c r="CNQ53" s="16"/>
      <c r="CNR53" s="16"/>
      <c r="CNS53" s="16"/>
      <c r="CNT53" s="16"/>
      <c r="CNU53" s="16"/>
      <c r="CNV53" s="16"/>
      <c r="CNW53" s="16"/>
      <c r="CNX53" s="16"/>
      <c r="CNY53" s="16"/>
      <c r="CNZ53" s="16"/>
      <c r="COA53" s="16"/>
      <c r="COB53" s="16"/>
      <c r="COC53" s="16"/>
      <c r="COD53" s="16"/>
      <c r="COE53" s="16"/>
      <c r="COF53" s="16"/>
      <c r="COG53" s="16"/>
      <c r="COH53" s="16"/>
      <c r="COI53" s="16"/>
      <c r="COJ53" s="16"/>
      <c r="COK53" s="16"/>
      <c r="COL53" s="16"/>
      <c r="COM53" s="16"/>
      <c r="CON53" s="16"/>
      <c r="COO53" s="16"/>
      <c r="COP53" s="16"/>
      <c r="COQ53" s="16"/>
      <c r="COR53" s="16"/>
      <c r="COS53" s="16"/>
      <c r="COT53" s="16"/>
      <c r="COU53" s="16"/>
      <c r="COV53" s="16"/>
      <c r="COW53" s="16"/>
      <c r="COX53" s="16"/>
      <c r="COY53" s="16"/>
      <c r="COZ53" s="16"/>
      <c r="CPA53" s="16"/>
      <c r="CPB53" s="16"/>
      <c r="CPC53" s="16"/>
      <c r="CPD53" s="16"/>
      <c r="CPE53" s="16"/>
      <c r="CPF53" s="16"/>
      <c r="CPG53" s="16"/>
      <c r="CPH53" s="16"/>
      <c r="CPI53" s="16"/>
      <c r="CPJ53" s="16"/>
      <c r="CPK53" s="16"/>
      <c r="CPL53" s="16"/>
      <c r="CPM53" s="16"/>
      <c r="CPN53" s="16"/>
      <c r="CPO53" s="16"/>
      <c r="CPP53" s="16"/>
      <c r="CPQ53" s="16"/>
      <c r="CPR53" s="16"/>
      <c r="CPS53" s="16"/>
      <c r="CPT53" s="16"/>
      <c r="CPU53" s="16"/>
      <c r="CPV53" s="16"/>
      <c r="CPW53" s="16"/>
      <c r="CPX53" s="16"/>
      <c r="CPY53" s="16"/>
      <c r="CPZ53" s="16"/>
      <c r="CQA53" s="16"/>
      <c r="CQB53" s="16"/>
      <c r="CQC53" s="16"/>
      <c r="CQD53" s="16"/>
      <c r="CQE53" s="16"/>
      <c r="CQF53" s="16"/>
      <c r="CQG53" s="16"/>
      <c r="CQH53" s="16"/>
      <c r="CQI53" s="16"/>
      <c r="CQJ53" s="16"/>
      <c r="CQK53" s="16"/>
      <c r="CQL53" s="16"/>
      <c r="CQM53" s="16"/>
      <c r="CQN53" s="16"/>
      <c r="CQO53" s="16"/>
      <c r="CQP53" s="16"/>
      <c r="CQQ53" s="16"/>
      <c r="CQR53" s="16"/>
      <c r="CQS53" s="16"/>
      <c r="CQT53" s="16"/>
      <c r="CQU53" s="16"/>
      <c r="CQV53" s="16"/>
      <c r="CQW53" s="16"/>
      <c r="CQX53" s="16"/>
      <c r="CQY53" s="16"/>
      <c r="CQZ53" s="16"/>
      <c r="CRA53" s="16"/>
      <c r="CRB53" s="16"/>
      <c r="CRC53" s="16"/>
      <c r="CRD53" s="16"/>
      <c r="CRE53" s="16"/>
      <c r="CRF53" s="16"/>
      <c r="CRG53" s="16"/>
      <c r="CRH53" s="16"/>
      <c r="CRI53" s="16"/>
      <c r="CRJ53" s="16"/>
      <c r="CRK53" s="16"/>
      <c r="CRL53" s="16"/>
      <c r="CRM53" s="16"/>
      <c r="CRN53" s="16"/>
      <c r="CRO53" s="16"/>
      <c r="CRP53" s="16"/>
      <c r="CRQ53" s="16"/>
      <c r="CRR53" s="16"/>
      <c r="CRS53" s="16"/>
      <c r="CRT53" s="16"/>
      <c r="CRU53" s="16"/>
      <c r="CRV53" s="16"/>
      <c r="CRW53" s="16"/>
      <c r="CRX53" s="16"/>
      <c r="CRY53" s="16"/>
      <c r="CRZ53" s="16"/>
      <c r="CSA53" s="16"/>
      <c r="CSB53" s="16"/>
      <c r="CSC53" s="16"/>
      <c r="CSD53" s="16"/>
      <c r="CSE53" s="16"/>
      <c r="CSF53" s="16"/>
      <c r="CSG53" s="16"/>
      <c r="CSH53" s="16"/>
      <c r="CSI53" s="16"/>
      <c r="CSJ53" s="16"/>
      <c r="CSK53" s="54" t="str">
        <f t="shared" si="166"/>
        <v>X</v>
      </c>
      <c r="CSL53" s="35" t="str">
        <f t="shared" ca="1" si="209"/>
        <v/>
      </c>
      <c r="CSM53" s="35">
        <f t="shared" ca="1" si="209"/>
        <v>1</v>
      </c>
      <c r="CSN53" s="35" t="str">
        <f t="shared" ca="1" si="209"/>
        <v/>
      </c>
      <c r="CSO53" s="35">
        <f t="shared" ca="1" si="209"/>
        <v>1</v>
      </c>
      <c r="CSP53" s="35">
        <f t="shared" ca="1" si="209"/>
        <v>1</v>
      </c>
      <c r="CSQ53" s="72">
        <f t="shared" ca="1" si="209"/>
        <v>1</v>
      </c>
      <c r="CSR53" s="35">
        <f t="shared" ca="1" si="209"/>
        <v>1</v>
      </c>
      <c r="CSS53" s="35">
        <f t="shared" ca="1" si="209"/>
        <v>1</v>
      </c>
      <c r="CST53" s="35" t="str">
        <f t="shared" ca="1" si="209"/>
        <v/>
      </c>
      <c r="CSU53" s="35">
        <f t="shared" ca="1" si="209"/>
        <v>1</v>
      </c>
      <c r="CSV53" s="35" t="str">
        <f t="shared" ca="1" si="210"/>
        <v/>
      </c>
      <c r="CSW53" s="35" t="str">
        <f t="shared" ca="1" si="210"/>
        <v/>
      </c>
      <c r="CSX53" s="35">
        <f t="shared" ca="1" si="210"/>
        <v>1</v>
      </c>
      <c r="CSY53" s="35" t="str">
        <f t="shared" ca="1" si="210"/>
        <v/>
      </c>
      <c r="CSZ53" s="35" t="str">
        <f t="shared" ca="1" si="210"/>
        <v/>
      </c>
      <c r="CTA53" s="35" t="str">
        <f t="shared" ca="1" si="210"/>
        <v/>
      </c>
      <c r="CTB53" s="35" t="str">
        <f t="shared" ca="1" si="210"/>
        <v/>
      </c>
      <c r="CTC53" s="35" t="str">
        <f t="shared" ca="1" si="210"/>
        <v/>
      </c>
      <c r="CTD53" s="35" t="str">
        <f t="shared" ca="1" si="210"/>
        <v/>
      </c>
      <c r="CTE53" s="35" t="str">
        <f t="shared" ca="1" si="210"/>
        <v/>
      </c>
      <c r="CTF53" s="35" t="str">
        <f t="shared" ca="1" si="211"/>
        <v/>
      </c>
      <c r="CTG53" s="35" t="str">
        <f t="shared" ca="1" si="211"/>
        <v/>
      </c>
      <c r="CTH53" s="35" t="str">
        <f t="shared" ca="1" si="211"/>
        <v/>
      </c>
      <c r="CTI53" s="35" t="str">
        <f t="shared" ca="1" si="211"/>
        <v/>
      </c>
      <c r="CTJ53" s="35" t="str">
        <f t="shared" ca="1" si="211"/>
        <v/>
      </c>
      <c r="CTK53" s="35" t="str">
        <f t="shared" ca="1" si="211"/>
        <v/>
      </c>
      <c r="CTL53" s="35" t="str">
        <f t="shared" ca="1" si="211"/>
        <v/>
      </c>
      <c r="CTM53" s="35" t="str">
        <f t="shared" ca="1" si="211"/>
        <v/>
      </c>
      <c r="CTN53" s="35" t="str">
        <f t="shared" ca="1" si="211"/>
        <v/>
      </c>
      <c r="CTO53" s="35" t="str">
        <f t="shared" ca="1" si="211"/>
        <v/>
      </c>
      <c r="CTP53" s="35" t="str">
        <f t="shared" ca="1" si="212"/>
        <v/>
      </c>
      <c r="CTQ53" s="35" t="str">
        <f t="shared" ca="1" si="212"/>
        <v/>
      </c>
      <c r="CTR53" s="35" t="str">
        <f t="shared" ca="1" si="212"/>
        <v/>
      </c>
      <c r="CTS53" s="35" t="str">
        <f t="shared" ca="1" si="212"/>
        <v/>
      </c>
      <c r="CTT53" s="35" t="str">
        <f t="shared" ca="1" si="212"/>
        <v/>
      </c>
      <c r="CTU53" s="35" t="str">
        <f t="shared" ca="1" si="212"/>
        <v/>
      </c>
      <c r="CTV53" s="35" t="str">
        <f t="shared" ca="1" si="212"/>
        <v/>
      </c>
      <c r="CTW53" s="35" t="str">
        <f t="shared" ca="1" si="212"/>
        <v/>
      </c>
      <c r="CTX53" s="35" t="str">
        <f t="shared" ca="1" si="212"/>
        <v/>
      </c>
      <c r="CTY53" s="35" t="str">
        <f t="shared" ca="1" si="212"/>
        <v/>
      </c>
      <c r="CTZ53" s="56" t="str">
        <f t="shared" si="167"/>
        <v>X</v>
      </c>
      <c r="CUA53" s="58" t="str">
        <f t="shared" ca="1" si="168"/>
        <v/>
      </c>
      <c r="CUB53" s="16">
        <f t="shared" ca="1" si="169"/>
        <v>7</v>
      </c>
      <c r="CUC53" s="16" t="str">
        <f t="shared" ca="1" si="170"/>
        <v/>
      </c>
      <c r="CUD53" s="16">
        <f t="shared" ca="1" si="171"/>
        <v>0</v>
      </c>
      <c r="CUE53" s="16">
        <f t="shared" ca="1" si="172"/>
        <v>2</v>
      </c>
      <c r="CUF53" s="16">
        <f t="shared" ca="1" si="173"/>
        <v>5</v>
      </c>
      <c r="CUG53" s="16">
        <f t="shared" ca="1" si="174"/>
        <v>9</v>
      </c>
      <c r="CUH53" s="16">
        <f t="shared" ca="1" si="175"/>
        <v>6</v>
      </c>
      <c r="CUI53" s="16" t="str">
        <f t="shared" ca="1" si="176"/>
        <v/>
      </c>
      <c r="CUJ53" s="16">
        <f t="shared" ca="1" si="177"/>
        <v>5</v>
      </c>
      <c r="CUK53" s="16" t="str">
        <f t="shared" ca="1" si="178"/>
        <v/>
      </c>
      <c r="CUL53" s="16" t="str">
        <f t="shared" ca="1" si="179"/>
        <v/>
      </c>
      <c r="CUM53" s="16">
        <f t="shared" ca="1" si="180"/>
        <v>2</v>
      </c>
      <c r="CUN53" s="16" t="str">
        <f t="shared" ca="1" si="181"/>
        <v/>
      </c>
      <c r="CUO53" s="16" t="str">
        <f t="shared" ca="1" si="182"/>
        <v/>
      </c>
      <c r="CUP53" s="16" t="str">
        <f t="shared" ca="1" si="183"/>
        <v/>
      </c>
      <c r="CUQ53" s="16" t="str">
        <f t="shared" ca="1" si="184"/>
        <v/>
      </c>
      <c r="CUR53" s="16" t="str">
        <f t="shared" ca="1" si="185"/>
        <v/>
      </c>
      <c r="CUS53" s="16" t="str">
        <f t="shared" ca="1" si="186"/>
        <v/>
      </c>
      <c r="CUT53" s="16" t="str">
        <f t="shared" ca="1" si="187"/>
        <v/>
      </c>
      <c r="CUU53" s="16" t="str">
        <f t="shared" ca="1" si="188"/>
        <v/>
      </c>
      <c r="CUV53" s="16" t="str">
        <f t="shared" ca="1" si="189"/>
        <v/>
      </c>
      <c r="CUW53" s="16" t="str">
        <f t="shared" ca="1" si="190"/>
        <v/>
      </c>
      <c r="CUX53" s="16" t="str">
        <f t="shared" ca="1" si="191"/>
        <v/>
      </c>
      <c r="CUY53" s="16" t="str">
        <f t="shared" ca="1" si="192"/>
        <v/>
      </c>
      <c r="CUZ53" s="16" t="str">
        <f t="shared" ca="1" si="193"/>
        <v/>
      </c>
      <c r="CVA53" s="16" t="str">
        <f t="shared" ca="1" si="194"/>
        <v/>
      </c>
      <c r="CVB53" s="16" t="str">
        <f t="shared" ca="1" si="195"/>
        <v/>
      </c>
      <c r="CVC53" s="16" t="str">
        <f t="shared" ca="1" si="196"/>
        <v/>
      </c>
      <c r="CVD53" s="16" t="str">
        <f t="shared" ca="1" si="197"/>
        <v/>
      </c>
      <c r="CVE53" s="16" t="str">
        <f t="shared" ca="1" si="198"/>
        <v/>
      </c>
      <c r="CVF53" s="16" t="str">
        <f t="shared" ca="1" si="199"/>
        <v/>
      </c>
      <c r="CVG53" s="16" t="str">
        <f t="shared" ca="1" si="200"/>
        <v/>
      </c>
      <c r="CVH53" s="16" t="str">
        <f t="shared" ca="1" si="201"/>
        <v/>
      </c>
      <c r="CVI53" s="16" t="str">
        <f t="shared" ca="1" si="202"/>
        <v/>
      </c>
      <c r="CVJ53" s="16" t="str">
        <f t="shared" ca="1" si="203"/>
        <v/>
      </c>
      <c r="CVK53" s="16" t="str">
        <f t="shared" ca="1" si="204"/>
        <v/>
      </c>
      <c r="CVL53" s="16" t="str">
        <f t="shared" ca="1" si="205"/>
        <v/>
      </c>
      <c r="CVM53" s="16" t="str">
        <f t="shared" ca="1" si="206"/>
        <v/>
      </c>
      <c r="CVN53" s="16" t="str">
        <f t="shared" ca="1" si="207"/>
        <v/>
      </c>
      <c r="CVO53" s="58" t="str">
        <f t="shared" si="208"/>
        <v>медведевгеоргий</v>
      </c>
      <c r="CVP53" s="58" t="str">
        <f>IFERROR(VLOOKUP(CVO53,'Внешние данные'!A:Z,4,FALSE),"")</f>
        <v/>
      </c>
    </row>
    <row r="54" spans="1:2616" ht="13.8" x14ac:dyDescent="0.25">
      <c r="A54" s="2" t="s">
        <v>2387</v>
      </c>
      <c r="B54" s="2" t="s">
        <v>2476</v>
      </c>
      <c r="C54" s="57" t="s">
        <v>2563</v>
      </c>
      <c r="D54" s="35">
        <v>5</v>
      </c>
      <c r="E54" s="58" t="s">
        <v>2303</v>
      </c>
      <c r="G54" s="16" t="s">
        <v>1392</v>
      </c>
      <c r="H54" s="53" t="str">
        <f t="shared" ca="1" si="162"/>
        <v/>
      </c>
      <c r="I54" s="35" t="str">
        <f t="shared" ca="1" si="163"/>
        <v/>
      </c>
      <c r="J54" s="35">
        <f t="shared" ca="1" si="164"/>
        <v>0</v>
      </c>
      <c r="K54" s="49" t="str">
        <f t="shared" ca="1" si="165"/>
        <v/>
      </c>
      <c r="L54" s="16">
        <v>308</v>
      </c>
      <c r="M54" s="12"/>
      <c r="N54" s="12"/>
      <c r="R54" s="4">
        <v>415</v>
      </c>
      <c r="T54" s="4">
        <v>425</v>
      </c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6"/>
      <c r="LU54" s="16"/>
      <c r="LV54" s="16"/>
      <c r="LW54" s="16"/>
      <c r="LX54" s="16"/>
      <c r="LY54" s="16"/>
      <c r="LZ54" s="16"/>
      <c r="MA54" s="16"/>
      <c r="MB54" s="16"/>
      <c r="MC54" s="16"/>
      <c r="MD54" s="16"/>
      <c r="ME54" s="16"/>
      <c r="MF54" s="16"/>
      <c r="MG54" s="16"/>
      <c r="MH54" s="16"/>
      <c r="MI54" s="16"/>
      <c r="MJ54" s="16"/>
      <c r="MK54" s="16"/>
      <c r="ML54" s="16"/>
      <c r="MM54" s="16"/>
      <c r="MN54" s="16"/>
      <c r="MO54" s="16"/>
      <c r="MP54" s="16"/>
      <c r="MQ54" s="16"/>
      <c r="MR54" s="16"/>
      <c r="MS54" s="16"/>
      <c r="MT54" s="16"/>
      <c r="MU54" s="16"/>
      <c r="MV54" s="16"/>
      <c r="MW54" s="16"/>
      <c r="MX54" s="16"/>
      <c r="MY54" s="16"/>
      <c r="MZ54" s="16"/>
      <c r="NA54" s="16"/>
      <c r="NB54" s="16"/>
      <c r="NC54" s="16"/>
      <c r="ND54" s="16"/>
      <c r="NE54" s="16"/>
      <c r="NF54" s="16"/>
      <c r="NG54" s="16"/>
      <c r="NH54" s="16"/>
      <c r="NI54" s="16"/>
      <c r="NJ54" s="16"/>
      <c r="NK54" s="16"/>
      <c r="NL54" s="16"/>
      <c r="NM54" s="16"/>
      <c r="NN54" s="16"/>
      <c r="NO54" s="16"/>
      <c r="NP54" s="16"/>
      <c r="NQ54" s="16"/>
      <c r="NR54" s="16"/>
      <c r="NS54" s="16"/>
      <c r="NT54" s="16"/>
      <c r="NU54" s="16"/>
      <c r="NV54" s="16"/>
      <c r="NW54" s="16"/>
      <c r="NX54" s="16"/>
      <c r="NY54" s="16"/>
      <c r="NZ54" s="16"/>
      <c r="OA54" s="16"/>
      <c r="OB54" s="16"/>
      <c r="OC54" s="16"/>
      <c r="OD54" s="16"/>
      <c r="OE54" s="16"/>
      <c r="OF54" s="16"/>
      <c r="OG54" s="16"/>
      <c r="OH54" s="16"/>
      <c r="OI54" s="16"/>
      <c r="OJ54" s="16"/>
      <c r="OK54" s="16"/>
      <c r="OL54" s="16"/>
      <c r="OM54" s="16"/>
      <c r="ON54" s="16"/>
      <c r="OO54" s="16"/>
      <c r="OP54" s="16"/>
      <c r="OQ54" s="16"/>
      <c r="OR54" s="16"/>
      <c r="OS54" s="16"/>
      <c r="OT54" s="16"/>
      <c r="OU54" s="16"/>
      <c r="OV54" s="16"/>
      <c r="OW54" s="16"/>
      <c r="OX54" s="16"/>
      <c r="OY54" s="16"/>
      <c r="OZ54" s="16"/>
      <c r="PA54" s="16"/>
      <c r="PB54" s="16"/>
      <c r="PC54" s="16"/>
      <c r="PD54" s="16"/>
      <c r="PE54" s="16"/>
      <c r="PF54" s="16"/>
      <c r="PG54" s="16"/>
      <c r="PH54" s="16"/>
      <c r="PI54" s="16" t="s">
        <v>2961</v>
      </c>
      <c r="PJ54" s="16"/>
      <c r="PK54" s="16"/>
      <c r="PL54" s="16"/>
      <c r="PM54" s="16"/>
      <c r="PN54" s="16"/>
      <c r="PO54" s="16"/>
      <c r="PP54" s="16"/>
      <c r="PQ54" s="16"/>
      <c r="PR54" s="16"/>
      <c r="PS54" s="16"/>
      <c r="PT54" s="16"/>
      <c r="PU54" s="16"/>
      <c r="PV54" s="16"/>
      <c r="PW54" s="16"/>
      <c r="PX54" s="16"/>
      <c r="PY54" s="16"/>
      <c r="PZ54" s="16"/>
      <c r="QA54" s="16"/>
      <c r="QB54" s="16"/>
      <c r="QC54" s="16"/>
      <c r="QD54" s="16"/>
      <c r="QE54" s="16"/>
      <c r="QF54" s="16"/>
      <c r="QG54" s="16"/>
      <c r="QH54" s="16"/>
      <c r="QI54" s="16"/>
      <c r="QJ54" s="16"/>
      <c r="QK54" s="16"/>
      <c r="QL54" s="16"/>
      <c r="QM54" s="16"/>
      <c r="QN54" s="16"/>
      <c r="QO54" s="16"/>
      <c r="QP54" s="16"/>
      <c r="QQ54" s="16"/>
      <c r="QR54" s="16"/>
      <c r="QS54" s="16"/>
      <c r="QT54" s="16"/>
      <c r="QU54" s="16"/>
      <c r="QV54" s="16"/>
      <c r="QW54" s="16"/>
      <c r="QX54" s="16"/>
      <c r="QY54" s="16"/>
      <c r="QZ54" s="16"/>
      <c r="RA54" s="16"/>
      <c r="RB54" s="16"/>
      <c r="RC54" s="16"/>
      <c r="RD54" s="16"/>
      <c r="RE54" s="16"/>
      <c r="RF54" s="16"/>
      <c r="RG54" s="16"/>
      <c r="RH54" s="16"/>
      <c r="RI54" s="16"/>
      <c r="RJ54" s="16"/>
      <c r="RK54" s="16"/>
      <c r="RL54" s="16"/>
      <c r="RM54" s="16"/>
      <c r="RN54" s="16"/>
      <c r="RO54" s="16"/>
      <c r="RP54" s="16"/>
      <c r="RQ54" s="16"/>
      <c r="RR54" s="16"/>
      <c r="RS54" s="16" t="s">
        <v>2961</v>
      </c>
      <c r="RT54" s="16"/>
      <c r="RU54" s="16"/>
      <c r="RV54" s="16"/>
      <c r="RW54" s="16"/>
      <c r="RX54" s="16"/>
      <c r="RY54" s="16"/>
      <c r="RZ54" s="16"/>
      <c r="SA54" s="16"/>
      <c r="SB54" s="16"/>
      <c r="SC54" s="16"/>
      <c r="SD54" s="16"/>
      <c r="SE54" s="16"/>
      <c r="SF54" s="16"/>
      <c r="SG54" s="16"/>
      <c r="SH54" s="16"/>
      <c r="SI54" s="16"/>
      <c r="SJ54" s="16"/>
      <c r="SK54" s="16"/>
      <c r="SL54" s="16"/>
      <c r="SM54" s="16"/>
      <c r="SN54" s="16"/>
      <c r="SO54" s="16"/>
      <c r="SP54" s="16"/>
      <c r="SQ54" s="16"/>
      <c r="SR54" s="16"/>
      <c r="SS54" s="16"/>
      <c r="ST54" s="16"/>
      <c r="SU54" s="16"/>
      <c r="SV54" s="16"/>
      <c r="SW54" s="16"/>
      <c r="SX54" s="16"/>
      <c r="SY54" s="16"/>
      <c r="SZ54" s="16"/>
      <c r="TA54" s="16"/>
      <c r="TB54" s="16"/>
      <c r="TC54" s="16"/>
      <c r="TD54" s="16"/>
      <c r="TE54" s="16"/>
      <c r="TF54" s="16"/>
      <c r="TG54" s="16"/>
      <c r="TH54" s="16"/>
      <c r="TI54" s="16"/>
      <c r="TJ54" s="16"/>
      <c r="TK54" s="16"/>
      <c r="TL54" s="16"/>
      <c r="TM54" s="16"/>
      <c r="TN54" s="16"/>
      <c r="TO54" s="16"/>
      <c r="TP54" s="16"/>
      <c r="TQ54" s="16"/>
      <c r="TR54" s="16"/>
      <c r="TS54" s="16"/>
      <c r="TT54" s="16"/>
      <c r="TU54" s="16"/>
      <c r="TV54" s="16"/>
      <c r="TW54" s="16"/>
      <c r="TX54" s="16"/>
      <c r="TY54" s="16"/>
      <c r="TZ54" s="16"/>
      <c r="UA54" s="16"/>
      <c r="UB54" s="16"/>
      <c r="UC54" s="16"/>
      <c r="UD54" s="16"/>
      <c r="UE54" s="16"/>
      <c r="UF54" s="16"/>
      <c r="UG54" s="16"/>
      <c r="UH54" s="16"/>
      <c r="UI54" s="16"/>
      <c r="UJ54" s="16"/>
      <c r="UK54" s="16"/>
      <c r="UL54" s="16"/>
      <c r="UM54" s="16"/>
      <c r="UN54" s="16"/>
      <c r="UO54" s="16"/>
      <c r="UP54" s="16"/>
      <c r="UQ54" s="16"/>
      <c r="UR54" s="16"/>
      <c r="US54" s="16"/>
      <c r="UT54" s="16"/>
      <c r="UU54" s="16"/>
      <c r="UV54" s="16"/>
      <c r="UW54" s="16"/>
      <c r="UX54" s="16"/>
      <c r="UY54" s="16"/>
      <c r="UZ54" s="16"/>
      <c r="VA54" s="16"/>
      <c r="VB54" s="16"/>
      <c r="VC54" s="16"/>
      <c r="VD54" s="16"/>
      <c r="VE54" s="16"/>
      <c r="VF54" s="16"/>
      <c r="VG54" s="16"/>
      <c r="VH54" s="16"/>
      <c r="VI54" s="16"/>
      <c r="VJ54" s="16"/>
      <c r="VK54" s="16"/>
      <c r="VL54" s="16"/>
      <c r="VM54" s="16"/>
      <c r="VN54" s="16"/>
      <c r="VO54" s="16"/>
      <c r="VP54" s="16"/>
      <c r="VQ54" s="16"/>
      <c r="VR54" s="16"/>
      <c r="VS54" s="16"/>
      <c r="VT54" s="16"/>
      <c r="VU54" s="16"/>
      <c r="VV54" s="16"/>
      <c r="VW54" s="16"/>
      <c r="VX54" s="16"/>
      <c r="VY54" s="16"/>
      <c r="VZ54" s="16"/>
      <c r="WA54" s="16"/>
      <c r="WB54" s="16"/>
      <c r="WC54" s="16"/>
      <c r="WD54" s="16"/>
      <c r="WE54" s="16"/>
      <c r="WF54" s="16"/>
      <c r="WG54" s="16"/>
      <c r="WH54" s="16"/>
      <c r="WI54" s="16"/>
      <c r="WJ54" s="16"/>
      <c r="WK54" s="16"/>
      <c r="WL54" s="16"/>
      <c r="WM54" s="16" t="s">
        <v>2961</v>
      </c>
      <c r="WN54" s="16"/>
      <c r="WO54" s="16"/>
      <c r="WP54" s="16"/>
      <c r="WQ54" s="16"/>
      <c r="WR54" s="16"/>
      <c r="WS54" s="16"/>
      <c r="WT54" s="16"/>
      <c r="WU54" s="16"/>
      <c r="WV54" s="16"/>
      <c r="WW54" s="16"/>
      <c r="WX54" s="16"/>
      <c r="WY54" s="16"/>
      <c r="WZ54" s="16"/>
      <c r="XA54" s="16"/>
      <c r="XB54" s="16"/>
      <c r="XC54" s="16"/>
      <c r="XD54" s="16"/>
      <c r="XE54" s="16"/>
      <c r="XF54" s="16"/>
      <c r="XG54" s="16"/>
      <c r="XH54" s="16"/>
      <c r="XI54" s="16"/>
      <c r="XJ54" s="16"/>
      <c r="XK54" s="16"/>
      <c r="XL54" s="16"/>
      <c r="XM54" s="16"/>
      <c r="XN54" s="16"/>
      <c r="XO54" s="16"/>
      <c r="XP54" s="16"/>
      <c r="XQ54" s="16"/>
      <c r="XR54" s="16"/>
      <c r="XS54" s="16"/>
      <c r="XT54" s="16"/>
      <c r="XU54" s="16"/>
      <c r="XV54" s="16"/>
      <c r="XW54" s="16"/>
      <c r="XX54" s="16"/>
      <c r="XY54" s="16"/>
      <c r="XZ54" s="16"/>
      <c r="YA54" s="16"/>
      <c r="YB54" s="16"/>
      <c r="YC54" s="16"/>
      <c r="YD54" s="16"/>
      <c r="YE54" s="16"/>
      <c r="YF54" s="16"/>
      <c r="YG54" s="16"/>
      <c r="YH54" s="16"/>
      <c r="YI54" s="16"/>
      <c r="YJ54" s="16"/>
      <c r="YK54" s="16"/>
      <c r="YL54" s="16"/>
      <c r="YM54" s="16"/>
      <c r="YN54" s="16"/>
      <c r="YO54" s="16"/>
      <c r="YP54" s="16"/>
      <c r="YQ54" s="16"/>
      <c r="YR54" s="16"/>
      <c r="YS54" s="16"/>
      <c r="YT54" s="16"/>
      <c r="YU54" s="16"/>
      <c r="YV54" s="16"/>
      <c r="YW54" s="16" t="s">
        <v>2961</v>
      </c>
      <c r="YX54" s="16"/>
      <c r="YY54" s="16"/>
      <c r="YZ54" s="16"/>
      <c r="ZA54" s="16"/>
      <c r="ZB54" s="16"/>
      <c r="ZC54" s="16"/>
      <c r="ZD54" s="16"/>
      <c r="ZE54" s="16"/>
      <c r="ZF54" s="16"/>
      <c r="ZG54" s="16"/>
      <c r="ZH54" s="16"/>
      <c r="ZI54" s="16"/>
      <c r="ZJ54" s="16"/>
      <c r="ZK54" s="16"/>
      <c r="ZL54" s="16"/>
      <c r="ZM54" s="16"/>
      <c r="ZN54" s="16"/>
      <c r="ZO54" s="16"/>
      <c r="ZP54" s="16"/>
      <c r="ZQ54" s="16"/>
      <c r="ZR54" s="16"/>
      <c r="ZS54" s="16"/>
      <c r="ZT54" s="16"/>
      <c r="ZU54" s="16"/>
      <c r="ZV54" s="16"/>
      <c r="ZW54" s="16"/>
      <c r="ZX54" s="16"/>
      <c r="ZY54" s="16"/>
      <c r="ZZ54" s="16"/>
      <c r="AAA54" s="16"/>
      <c r="AAB54" s="16"/>
      <c r="AAC54" s="16"/>
      <c r="AAD54" s="16"/>
      <c r="AAE54" s="16"/>
      <c r="AAF54" s="16"/>
      <c r="AAG54" s="16"/>
      <c r="AAH54" s="16"/>
      <c r="AAI54" s="16"/>
      <c r="AAJ54" s="16"/>
      <c r="AAK54" s="16"/>
      <c r="AAL54" s="16"/>
      <c r="AAM54" s="16"/>
      <c r="AAN54" s="16"/>
      <c r="AAO54" s="16"/>
      <c r="AAP54" s="16"/>
      <c r="AAQ54" s="16"/>
      <c r="AAR54" s="16"/>
      <c r="AAS54" s="16"/>
      <c r="AAT54" s="16"/>
      <c r="AAU54" s="16"/>
      <c r="AAV54" s="16"/>
      <c r="AAW54" s="16"/>
      <c r="AAX54" s="16"/>
      <c r="AAY54" s="16"/>
      <c r="AAZ54" s="16"/>
      <c r="ABA54" s="16"/>
      <c r="ABB54" s="16"/>
      <c r="ABC54" s="16"/>
      <c r="ABD54" s="16"/>
      <c r="ABE54" s="16"/>
      <c r="ABF54" s="16"/>
      <c r="ABG54" s="16"/>
      <c r="ABH54" s="16"/>
      <c r="ABI54" s="16"/>
      <c r="ABJ54" s="16"/>
      <c r="ABK54" s="16"/>
      <c r="ABL54" s="16"/>
      <c r="ABM54" s="16"/>
      <c r="ABN54" s="16"/>
      <c r="ABO54" s="16"/>
      <c r="ABP54" s="16"/>
      <c r="ABQ54" s="16"/>
      <c r="ABR54" s="16"/>
      <c r="ABS54" s="16"/>
      <c r="ABT54" s="16"/>
      <c r="ABU54" s="16"/>
      <c r="ABV54" s="16"/>
      <c r="ABW54" s="16"/>
      <c r="ABX54" s="16"/>
      <c r="ABY54" s="16"/>
      <c r="ABZ54" s="16"/>
      <c r="ACA54" s="16"/>
      <c r="ACB54" s="16"/>
      <c r="ACC54" s="16"/>
      <c r="ACD54" s="16"/>
      <c r="ACE54" s="16"/>
      <c r="ACF54" s="16"/>
      <c r="ACG54" s="16"/>
      <c r="ACH54" s="16"/>
      <c r="ACI54" s="16"/>
      <c r="ACJ54" s="16"/>
      <c r="ACK54" s="16"/>
      <c r="ACL54" s="16"/>
      <c r="ACM54" s="16"/>
      <c r="ACN54" s="16"/>
      <c r="ACO54" s="16"/>
      <c r="ACP54" s="16"/>
      <c r="ACQ54" s="16"/>
      <c r="ACR54" s="16"/>
      <c r="ACS54" s="16"/>
      <c r="ACT54" s="16"/>
      <c r="ACU54" s="16"/>
      <c r="ACV54" s="16"/>
      <c r="ACW54" s="16"/>
      <c r="ACX54" s="16"/>
      <c r="ACY54" s="16"/>
      <c r="ACZ54" s="16"/>
      <c r="ADA54" s="16"/>
      <c r="ADB54" s="16"/>
      <c r="ADC54" s="16"/>
      <c r="ADD54" s="16"/>
      <c r="ADE54" s="16"/>
      <c r="ADF54" s="16"/>
      <c r="ADG54" s="16"/>
      <c r="ADH54" s="16"/>
      <c r="ADI54" s="16"/>
      <c r="ADJ54" s="16"/>
      <c r="ADK54" s="16"/>
      <c r="ADL54" s="16"/>
      <c r="ADM54" s="16"/>
      <c r="ADN54" s="16"/>
      <c r="ADO54" s="16"/>
      <c r="ADP54" s="16"/>
      <c r="ADQ54" s="16"/>
      <c r="ADR54" s="16"/>
      <c r="ADS54" s="16"/>
      <c r="ADT54" s="16"/>
      <c r="ADU54" s="16"/>
      <c r="ADV54" s="16"/>
      <c r="ADW54" s="16"/>
      <c r="ADX54" s="16"/>
      <c r="ADY54" s="16"/>
      <c r="ADZ54" s="16"/>
      <c r="AEA54" s="16"/>
      <c r="AEB54" s="16"/>
      <c r="AEC54" s="16"/>
      <c r="AED54" s="16"/>
      <c r="AEE54" s="16"/>
      <c r="AEF54" s="16"/>
      <c r="AEG54" s="16"/>
      <c r="AEH54" s="16"/>
      <c r="AEI54" s="16"/>
      <c r="AEJ54" s="16"/>
      <c r="AEK54" s="16"/>
      <c r="AEL54" s="16"/>
      <c r="AEM54" s="16"/>
      <c r="AEN54" s="16"/>
      <c r="AEO54" s="16"/>
      <c r="AEP54" s="16"/>
      <c r="AEQ54" s="16"/>
      <c r="AER54" s="16"/>
      <c r="AES54" s="16"/>
      <c r="AET54" s="16"/>
      <c r="AEU54" s="16"/>
      <c r="AEV54" s="16"/>
      <c r="AEW54" s="16"/>
      <c r="AEX54" s="16"/>
      <c r="AEY54" s="16"/>
      <c r="AEZ54" s="16"/>
      <c r="AFA54" s="16"/>
      <c r="AFB54" s="16"/>
      <c r="AFC54" s="16"/>
      <c r="AFD54" s="16"/>
      <c r="AFE54" s="16"/>
      <c r="AFF54" s="16"/>
      <c r="AFG54" s="16"/>
      <c r="AFH54" s="16"/>
      <c r="AFI54" s="16"/>
      <c r="AFJ54" s="16"/>
      <c r="AFK54" s="16"/>
      <c r="AFL54" s="16"/>
      <c r="AFM54" s="16"/>
      <c r="AFN54" s="16"/>
      <c r="AFO54" s="16"/>
      <c r="AFP54" s="16"/>
      <c r="AFQ54" s="16"/>
      <c r="AFR54" s="16"/>
      <c r="AFS54" s="16"/>
      <c r="AFT54" s="16"/>
      <c r="AFU54" s="16"/>
      <c r="AFV54" s="16"/>
      <c r="AFW54" s="16"/>
      <c r="AFX54" s="16"/>
      <c r="AFY54" s="16"/>
      <c r="AFZ54" s="16"/>
      <c r="AGA54" s="16" t="s">
        <v>2961</v>
      </c>
      <c r="AGB54" s="16"/>
      <c r="AGC54" s="16"/>
      <c r="AGD54" s="16"/>
      <c r="AGE54" s="16"/>
      <c r="AGF54" s="16"/>
      <c r="AGG54" s="16"/>
      <c r="AGH54" s="16"/>
      <c r="AGI54" s="16"/>
      <c r="AGJ54" s="16"/>
      <c r="AGK54" s="16"/>
      <c r="AGL54" s="16"/>
      <c r="AGM54" s="16"/>
      <c r="AGN54" s="16"/>
      <c r="AGO54" s="16"/>
      <c r="AGP54" s="16"/>
      <c r="AGQ54" s="16"/>
      <c r="AGR54" s="16"/>
      <c r="AGS54" s="16"/>
      <c r="AGT54" s="16"/>
      <c r="AGU54" s="16"/>
      <c r="AGV54" s="16"/>
      <c r="AGW54" s="16"/>
      <c r="AGX54" s="16"/>
      <c r="AGY54" s="16"/>
      <c r="AGZ54" s="16"/>
      <c r="AHA54" s="16"/>
      <c r="AHB54" s="16"/>
      <c r="AHC54" s="16"/>
      <c r="AHD54" s="16"/>
      <c r="AHE54" s="16"/>
      <c r="AHF54" s="16"/>
      <c r="AHG54" s="16"/>
      <c r="AHH54" s="16"/>
      <c r="AHI54" s="16"/>
      <c r="AHJ54" s="16"/>
      <c r="AHK54" s="16"/>
      <c r="AHL54" s="16"/>
      <c r="AHM54" s="16"/>
      <c r="AHN54" s="16"/>
      <c r="AHO54" s="16"/>
      <c r="AHP54" s="16"/>
      <c r="AHQ54" s="16"/>
      <c r="AHR54" s="16"/>
      <c r="AHS54" s="16"/>
      <c r="AHT54" s="16"/>
      <c r="AHU54" s="16"/>
      <c r="AHV54" s="16"/>
      <c r="AHW54" s="16"/>
      <c r="AHX54" s="16"/>
      <c r="AHY54" s="16"/>
      <c r="AHZ54" s="16"/>
      <c r="AIA54" s="16"/>
      <c r="AIB54" s="16"/>
      <c r="AIC54" s="16"/>
      <c r="AID54" s="16"/>
      <c r="AIE54" s="16"/>
      <c r="AIF54" s="16"/>
      <c r="AIG54" s="16"/>
      <c r="AIH54" s="16"/>
      <c r="AII54" s="16"/>
      <c r="AIJ54" s="16"/>
      <c r="AIK54" s="16"/>
      <c r="AIL54" s="16"/>
      <c r="AIM54" s="16"/>
      <c r="AIN54" s="16"/>
      <c r="AIO54" s="16"/>
      <c r="AIP54" s="16"/>
      <c r="AIQ54" s="16"/>
      <c r="AIR54" s="16"/>
      <c r="AIS54" s="16"/>
      <c r="AIT54" s="16"/>
      <c r="AIU54" s="16"/>
      <c r="AIV54" s="16"/>
      <c r="AIW54" s="16"/>
      <c r="AIX54" s="16"/>
      <c r="AIY54" s="16"/>
      <c r="AIZ54" s="16"/>
      <c r="AJA54" s="16"/>
      <c r="AJB54" s="16"/>
      <c r="AJC54" s="16"/>
      <c r="AJD54" s="16"/>
      <c r="AJE54" s="16"/>
      <c r="AJF54" s="16"/>
      <c r="AJG54" s="16"/>
      <c r="AJH54" s="16"/>
      <c r="AJI54" s="16"/>
      <c r="AJJ54" s="16"/>
      <c r="AJK54" s="16"/>
      <c r="AJL54" s="16"/>
      <c r="AJM54" s="16"/>
      <c r="AJN54" s="16"/>
      <c r="AJO54" s="16"/>
      <c r="AJP54" s="16"/>
      <c r="AJQ54" s="16"/>
      <c r="AJR54" s="16"/>
      <c r="AJS54" s="16"/>
      <c r="AJT54" s="16"/>
      <c r="AJU54" s="16"/>
      <c r="AJV54" s="16"/>
      <c r="AJW54" s="16"/>
      <c r="AJX54" s="16"/>
      <c r="AJY54" s="16"/>
      <c r="AJZ54" s="16"/>
      <c r="AKA54" s="16"/>
      <c r="AKB54" s="16"/>
      <c r="AKC54" s="16"/>
      <c r="AKD54" s="16"/>
      <c r="AKE54" s="16"/>
      <c r="AKF54" s="16"/>
      <c r="AKG54" s="16"/>
      <c r="AKH54" s="16"/>
      <c r="AKI54" s="16"/>
      <c r="AKJ54" s="16"/>
      <c r="AKK54" s="16"/>
      <c r="AKL54" s="16"/>
      <c r="AKM54" s="16"/>
      <c r="AKN54" s="16"/>
      <c r="AKO54" s="16"/>
      <c r="AKP54" s="16"/>
      <c r="AKQ54" s="16"/>
      <c r="AKR54" s="16"/>
      <c r="AKS54" s="16"/>
      <c r="AKT54" s="16"/>
      <c r="AKU54" s="16"/>
      <c r="AKV54" s="16"/>
      <c r="AKW54" s="16"/>
      <c r="AKX54" s="16"/>
      <c r="AKY54" s="16"/>
      <c r="AKZ54" s="16"/>
      <c r="ALA54" s="16"/>
      <c r="ALB54" s="16"/>
      <c r="ALC54" s="16"/>
      <c r="ALD54" s="16"/>
      <c r="ALE54" s="16"/>
      <c r="ALF54" s="16"/>
      <c r="ALG54" s="16"/>
      <c r="ALH54" s="16"/>
      <c r="ALI54" s="16"/>
      <c r="ALJ54" s="16"/>
      <c r="ALK54" s="16"/>
      <c r="ALL54" s="16"/>
      <c r="ALM54" s="16"/>
      <c r="ALN54" s="16"/>
      <c r="ALO54" s="16"/>
      <c r="ALP54" s="16"/>
      <c r="ALQ54" s="16"/>
      <c r="ALR54" s="16"/>
      <c r="ALS54" s="16"/>
      <c r="ALT54" s="16"/>
      <c r="ALU54" s="16"/>
      <c r="ALV54" s="16"/>
      <c r="ALW54" s="16"/>
      <c r="ALX54" s="16"/>
      <c r="ALY54" s="16"/>
      <c r="ALZ54" s="16"/>
      <c r="AMA54" s="16"/>
      <c r="AMB54" s="16"/>
      <c r="AMC54" s="16"/>
      <c r="AMD54" s="16"/>
      <c r="AME54" s="16"/>
      <c r="AMF54" s="16"/>
      <c r="AMG54" s="16"/>
      <c r="AMH54" s="16"/>
      <c r="AMI54" s="16"/>
      <c r="AMJ54" s="16"/>
      <c r="AMK54" s="16"/>
      <c r="AML54" s="16"/>
      <c r="AMM54" s="16"/>
      <c r="AMN54" s="16"/>
      <c r="AMO54" s="16"/>
      <c r="AMP54" s="16"/>
      <c r="AMQ54" s="16"/>
      <c r="AMR54" s="16"/>
      <c r="AMS54" s="16"/>
      <c r="AMT54" s="16"/>
      <c r="AMU54" s="16"/>
      <c r="AMV54" s="16"/>
      <c r="AMW54" s="16"/>
      <c r="AMX54" s="16"/>
      <c r="AMY54" s="16"/>
      <c r="AMZ54" s="16"/>
      <c r="ANA54" s="16"/>
      <c r="ANB54" s="16"/>
      <c r="ANC54" s="16"/>
      <c r="AND54" s="16"/>
      <c r="ANE54" s="16"/>
      <c r="ANF54" s="16"/>
      <c r="ANG54" s="16"/>
      <c r="ANH54" s="16"/>
      <c r="ANI54" s="16"/>
      <c r="ANJ54" s="16"/>
      <c r="ANK54" s="16"/>
      <c r="ANL54" s="16"/>
      <c r="ANM54" s="16"/>
      <c r="ANN54" s="16"/>
      <c r="ANO54" s="16"/>
      <c r="ANP54" s="16"/>
      <c r="ANQ54" s="16"/>
      <c r="ANR54" s="16"/>
      <c r="ANS54" s="16"/>
      <c r="ANT54" s="16"/>
      <c r="ANU54" s="16"/>
      <c r="ANV54" s="16"/>
      <c r="ANW54" s="16"/>
      <c r="ANX54" s="16"/>
      <c r="ANY54" s="16"/>
      <c r="ANZ54" s="16"/>
      <c r="AOA54" s="16"/>
      <c r="AOB54" s="16"/>
      <c r="AOC54" s="16"/>
      <c r="AOD54" s="16"/>
      <c r="AOE54" s="16"/>
      <c r="AOF54" s="16"/>
      <c r="AOG54" s="16"/>
      <c r="AOH54" s="16"/>
      <c r="AOI54" s="16"/>
      <c r="AOJ54" s="16"/>
      <c r="AOK54" s="16"/>
      <c r="AOL54" s="16"/>
      <c r="AOM54" s="16"/>
      <c r="AON54" s="16"/>
      <c r="AOO54" s="16"/>
      <c r="AOP54" s="16"/>
      <c r="AOQ54" s="16"/>
      <c r="AOR54" s="16"/>
      <c r="AOS54" s="16"/>
      <c r="AOT54" s="16"/>
      <c r="AOU54" s="16"/>
      <c r="AOV54" s="16"/>
      <c r="AOW54" s="16"/>
      <c r="AOX54" s="16"/>
      <c r="AOY54" s="16"/>
      <c r="AOZ54" s="16"/>
      <c r="APA54" s="16"/>
      <c r="APB54" s="16"/>
      <c r="APC54" s="16"/>
      <c r="APD54" s="16"/>
      <c r="APE54" s="16"/>
      <c r="APF54" s="16"/>
      <c r="APG54" s="16"/>
      <c r="APH54" s="16"/>
      <c r="API54" s="16"/>
      <c r="APJ54" s="16"/>
      <c r="APK54" s="16"/>
      <c r="APL54" s="16"/>
      <c r="APM54" s="16"/>
      <c r="APN54" s="16"/>
      <c r="APO54" s="16"/>
      <c r="APP54" s="16"/>
      <c r="APQ54" s="16"/>
      <c r="APR54" s="16"/>
      <c r="APS54" s="16"/>
      <c r="APT54" s="16"/>
      <c r="APU54" s="16"/>
      <c r="APV54" s="16"/>
      <c r="APW54" s="16"/>
      <c r="APX54" s="16"/>
      <c r="APY54" s="16"/>
      <c r="APZ54" s="16"/>
      <c r="AQA54" s="16"/>
      <c r="AQB54" s="16"/>
      <c r="AQC54" s="16"/>
      <c r="AQD54" s="16"/>
      <c r="AQE54" s="16"/>
      <c r="AQF54" s="16"/>
      <c r="AQG54" s="16"/>
      <c r="AQH54" s="16"/>
      <c r="AQI54" s="16"/>
      <c r="AQJ54" s="16"/>
      <c r="AQK54" s="16"/>
      <c r="AQL54" s="16"/>
      <c r="AQM54" s="16"/>
      <c r="AQN54" s="16"/>
      <c r="AQO54" s="16"/>
      <c r="AQP54" s="16"/>
      <c r="AQQ54" s="16"/>
      <c r="AQR54" s="16"/>
      <c r="AQS54" s="16"/>
      <c r="AQT54" s="16"/>
      <c r="AQU54" s="16"/>
      <c r="AQV54" s="16"/>
      <c r="AQW54" s="16"/>
      <c r="AQX54" s="16"/>
      <c r="AQY54" s="16"/>
      <c r="AQZ54" s="16"/>
      <c r="ARA54" s="16"/>
      <c r="ARB54" s="16"/>
      <c r="ARC54" s="16"/>
      <c r="ARD54" s="16"/>
      <c r="ARE54" s="16"/>
      <c r="ARF54" s="16"/>
      <c r="ARG54" s="16"/>
      <c r="ARH54" s="16"/>
      <c r="ARI54" s="16"/>
      <c r="ARJ54" s="16"/>
      <c r="ARK54" s="16"/>
      <c r="ARL54" s="16"/>
      <c r="ARM54" s="16"/>
      <c r="ARN54" s="16"/>
      <c r="ARO54" s="16"/>
      <c r="ARP54" s="16"/>
      <c r="ARQ54" s="16"/>
      <c r="ARR54" s="16"/>
      <c r="ARS54" s="16"/>
      <c r="ART54" s="16"/>
      <c r="ARU54" s="16"/>
      <c r="ARV54" s="16"/>
      <c r="ARW54" s="16"/>
      <c r="ARX54" s="16"/>
      <c r="ARY54" s="16"/>
      <c r="ARZ54" s="16"/>
      <c r="ASA54" s="16"/>
      <c r="ASB54" s="16"/>
      <c r="ASC54" s="16"/>
      <c r="ASD54" s="16"/>
      <c r="ASE54" s="16"/>
      <c r="ASF54" s="16"/>
      <c r="ASG54" s="16"/>
      <c r="ASH54" s="16"/>
      <c r="ASI54" s="16"/>
      <c r="ASJ54" s="16"/>
      <c r="ASK54" s="16"/>
      <c r="ASL54" s="16"/>
      <c r="ASM54" s="16"/>
      <c r="ASN54" s="16"/>
      <c r="ASO54" s="16"/>
      <c r="ASP54" s="16"/>
      <c r="ASQ54" s="16"/>
      <c r="ASR54" s="16"/>
      <c r="ASS54" s="16"/>
      <c r="AST54" s="16"/>
      <c r="ASU54" s="16"/>
      <c r="ASV54" s="16"/>
      <c r="ASW54" s="16"/>
      <c r="ASX54" s="16"/>
      <c r="ASY54" s="16"/>
      <c r="ASZ54" s="16"/>
      <c r="ATA54" s="16"/>
      <c r="ATB54" s="16"/>
      <c r="ATC54" s="16"/>
      <c r="ATD54" s="16"/>
      <c r="ATE54" s="16"/>
      <c r="ATF54" s="16"/>
      <c r="ATG54" s="16"/>
      <c r="ATH54" s="16"/>
      <c r="ATI54" s="16"/>
      <c r="ATJ54" s="16"/>
      <c r="ATK54" s="16"/>
      <c r="ATL54" s="16"/>
      <c r="ATM54" s="16"/>
      <c r="ATN54" s="16"/>
      <c r="ATO54" s="16"/>
      <c r="ATP54" s="16"/>
      <c r="ATQ54" s="16"/>
      <c r="ATR54" s="16"/>
      <c r="ATS54" s="16"/>
      <c r="ATT54" s="16"/>
      <c r="ATU54" s="16"/>
      <c r="ATV54" s="16"/>
      <c r="ATW54" s="16"/>
      <c r="ATX54" s="16"/>
      <c r="ATY54" s="16"/>
      <c r="ATZ54" s="16"/>
      <c r="AUA54" s="16"/>
      <c r="AUB54" s="16"/>
      <c r="AUC54" s="16"/>
      <c r="AUD54" s="16"/>
      <c r="AUE54" s="16"/>
      <c r="AUF54" s="16"/>
      <c r="AUG54" s="16"/>
      <c r="AUH54" s="16"/>
      <c r="AUI54" s="16"/>
      <c r="AUJ54" s="16"/>
      <c r="AUK54" s="16"/>
      <c r="AUL54" s="16"/>
      <c r="AUM54" s="16"/>
      <c r="AUN54" s="16"/>
      <c r="AUO54" s="16"/>
      <c r="AUP54" s="16"/>
      <c r="AUQ54" s="16"/>
      <c r="AUR54" s="16"/>
      <c r="AUS54" s="16"/>
      <c r="AUT54" s="16"/>
      <c r="AUU54" s="16"/>
      <c r="AUV54" s="16"/>
      <c r="AUW54" s="16"/>
      <c r="AUX54" s="16"/>
      <c r="AUY54" s="16"/>
      <c r="AUZ54" s="16"/>
      <c r="AVA54" s="16"/>
      <c r="AVB54" s="16"/>
      <c r="AVC54" s="16"/>
      <c r="AVD54" s="16"/>
      <c r="AVE54" s="16"/>
      <c r="AVF54" s="16"/>
      <c r="AVG54" s="16"/>
      <c r="AVH54" s="16"/>
      <c r="AVI54" s="16"/>
      <c r="AVJ54" s="16"/>
      <c r="AVK54" s="16"/>
      <c r="AVL54" s="16"/>
      <c r="AVM54" s="16"/>
      <c r="AVN54" s="16"/>
      <c r="AVO54" s="16"/>
      <c r="AVP54" s="16"/>
      <c r="AVQ54" s="16"/>
      <c r="AVR54" s="16"/>
      <c r="AVS54" s="16"/>
      <c r="AVT54" s="16"/>
      <c r="AVU54" s="16"/>
      <c r="AVV54" s="16"/>
      <c r="AVW54" s="16"/>
      <c r="AVX54" s="16"/>
      <c r="AVY54" s="16"/>
      <c r="AVZ54" s="16"/>
      <c r="AWA54" s="16"/>
      <c r="AWB54" s="16"/>
      <c r="AWC54" s="16"/>
      <c r="AWD54" s="16"/>
      <c r="AWE54" s="16"/>
      <c r="AWF54" s="16"/>
      <c r="AWG54" s="16"/>
      <c r="AWH54" s="16"/>
      <c r="AWI54" s="16"/>
      <c r="AWJ54" s="16"/>
      <c r="AWK54" s="16"/>
      <c r="AWL54" s="16"/>
      <c r="AWM54" s="16"/>
      <c r="AWN54" s="16"/>
      <c r="AWO54" s="16"/>
      <c r="AWP54" s="16"/>
      <c r="AWQ54" s="16"/>
      <c r="AWR54" s="16"/>
      <c r="AWS54" s="16"/>
      <c r="AWT54" s="16"/>
      <c r="AWU54" s="16"/>
      <c r="AWV54" s="16"/>
      <c r="AWW54" s="16"/>
      <c r="AWX54" s="16"/>
      <c r="AWY54" s="16"/>
      <c r="AWZ54" s="16"/>
      <c r="AXA54" s="16"/>
      <c r="AXB54" s="16"/>
      <c r="AXC54" s="16"/>
      <c r="AXD54" s="16"/>
      <c r="AXE54" s="16"/>
      <c r="AXF54" s="16"/>
      <c r="AXG54" s="16"/>
      <c r="AXH54" s="16"/>
      <c r="AXI54" s="16"/>
      <c r="AXJ54" s="16"/>
      <c r="AXK54" s="16"/>
      <c r="AXL54" s="16"/>
      <c r="AXM54" s="16"/>
      <c r="AXN54" s="16"/>
      <c r="AXO54" s="16"/>
      <c r="AXP54" s="16"/>
      <c r="AXQ54" s="16"/>
      <c r="AXR54" s="16"/>
      <c r="AXS54" s="16"/>
      <c r="AXT54" s="16"/>
      <c r="AXU54" s="16"/>
      <c r="AXV54" s="16"/>
      <c r="AXW54" s="16"/>
      <c r="AXX54" s="16"/>
      <c r="AXY54" s="16"/>
      <c r="AXZ54" s="16"/>
      <c r="AYA54" s="16"/>
      <c r="AYB54" s="16"/>
      <c r="AYC54" s="16"/>
      <c r="AYD54" s="16"/>
      <c r="AYE54" s="16"/>
      <c r="AYF54" s="16"/>
      <c r="AYG54" s="16"/>
      <c r="AYH54" s="16"/>
      <c r="AYI54" s="16"/>
      <c r="AYJ54" s="16"/>
      <c r="AYK54" s="16"/>
      <c r="AYL54" s="16"/>
      <c r="AYM54" s="16"/>
      <c r="AYN54" s="16"/>
      <c r="AYO54" s="16"/>
      <c r="AYP54" s="16"/>
      <c r="AYQ54" s="16"/>
      <c r="AYR54" s="16"/>
      <c r="AYS54" s="16"/>
      <c r="AYT54" s="16"/>
      <c r="AYU54" s="16"/>
      <c r="AYV54" s="16"/>
      <c r="AYW54" s="16"/>
      <c r="AYX54" s="16"/>
      <c r="AYY54" s="16"/>
      <c r="AYZ54" s="16"/>
      <c r="AZA54" s="16"/>
      <c r="AZB54" s="16"/>
      <c r="AZC54" s="16"/>
      <c r="AZD54" s="16"/>
      <c r="AZE54" s="16"/>
      <c r="AZF54" s="16"/>
      <c r="AZG54" s="16"/>
      <c r="AZH54" s="16"/>
      <c r="AZI54" s="16"/>
      <c r="AZJ54" s="16"/>
      <c r="AZK54" s="16"/>
      <c r="AZL54" s="16"/>
      <c r="AZM54" s="16"/>
      <c r="AZN54" s="16"/>
      <c r="AZO54" s="16"/>
      <c r="AZP54" s="16"/>
      <c r="AZQ54" s="16"/>
      <c r="AZR54" s="16"/>
      <c r="AZS54" s="16"/>
      <c r="AZT54" s="16"/>
      <c r="AZU54" s="16"/>
      <c r="AZV54" s="16"/>
      <c r="AZW54" s="16"/>
      <c r="AZX54" s="16"/>
      <c r="AZY54" s="16"/>
      <c r="AZZ54" s="16"/>
      <c r="BAA54" s="16"/>
      <c r="BAB54" s="16"/>
      <c r="BAC54" s="16"/>
      <c r="BAD54" s="16"/>
      <c r="BAE54" s="16"/>
      <c r="BAF54" s="16"/>
      <c r="BAG54" s="16"/>
      <c r="BAH54" s="16"/>
      <c r="BAI54" s="16"/>
      <c r="BAJ54" s="16"/>
      <c r="BAK54" s="16"/>
      <c r="BAL54" s="16"/>
      <c r="BAM54" s="16"/>
      <c r="BAN54" s="16"/>
      <c r="BAO54" s="16"/>
      <c r="BAP54" s="16"/>
      <c r="BAQ54" s="16"/>
      <c r="BAR54" s="16"/>
      <c r="BAS54" s="16"/>
      <c r="BAT54" s="16"/>
      <c r="BAU54" s="16"/>
      <c r="BAV54" s="16"/>
      <c r="BAW54" s="16"/>
      <c r="BAX54" s="16"/>
      <c r="BAY54" s="16"/>
      <c r="BAZ54" s="16"/>
      <c r="BBA54" s="16"/>
      <c r="BBB54" s="16"/>
      <c r="BBC54" s="16"/>
      <c r="BBD54" s="16"/>
      <c r="BBE54" s="16"/>
      <c r="BBF54" s="16"/>
      <c r="BBG54" s="16"/>
      <c r="BBH54" s="16"/>
      <c r="BBI54" s="16"/>
      <c r="BBJ54" s="16"/>
      <c r="BBK54" s="16"/>
      <c r="BBL54" s="16"/>
      <c r="BBM54" s="16"/>
      <c r="BBN54" s="16"/>
      <c r="BBO54" s="16"/>
      <c r="BBP54" s="16"/>
      <c r="BBQ54" s="16"/>
      <c r="BBR54" s="16"/>
      <c r="BBS54" s="16"/>
      <c r="BBT54" s="16"/>
      <c r="BBU54" s="16"/>
      <c r="BBV54" s="16"/>
      <c r="BBW54" s="16"/>
      <c r="BBX54" s="16"/>
      <c r="BBY54" s="16"/>
      <c r="BBZ54" s="16"/>
      <c r="BCA54" s="16"/>
      <c r="BCB54" s="16"/>
      <c r="BCC54" s="16"/>
      <c r="BCD54" s="16"/>
      <c r="BCE54" s="16"/>
      <c r="BCF54" s="16"/>
      <c r="BCG54" s="16"/>
      <c r="BCH54" s="16"/>
      <c r="BCI54" s="16"/>
      <c r="BCJ54" s="16"/>
      <c r="BCK54" s="16"/>
      <c r="BCL54" s="16"/>
      <c r="BCM54" s="16"/>
      <c r="BCN54" s="16"/>
      <c r="BCO54" s="16"/>
      <c r="BCP54" s="16"/>
      <c r="BCQ54" s="16"/>
      <c r="BCR54" s="16"/>
      <c r="BCS54" s="16"/>
      <c r="BCT54" s="16"/>
      <c r="BCU54" s="16"/>
      <c r="BCV54" s="16"/>
      <c r="BCW54" s="16"/>
      <c r="BCX54" s="16"/>
      <c r="BCY54" s="16"/>
      <c r="BCZ54" s="16"/>
      <c r="BDA54" s="16"/>
      <c r="BDB54" s="16"/>
      <c r="BDC54" s="16"/>
      <c r="BDD54" s="16"/>
      <c r="BDE54" s="16"/>
      <c r="BDF54" s="16"/>
      <c r="BDG54" s="16"/>
      <c r="BDH54" s="16"/>
      <c r="BDI54" s="16"/>
      <c r="BDJ54" s="16"/>
      <c r="BDK54" s="16"/>
      <c r="BDL54" s="16"/>
      <c r="BDM54" s="16"/>
      <c r="BDN54" s="16"/>
      <c r="BDO54" s="16"/>
      <c r="BDP54" s="16"/>
      <c r="BDQ54" s="16"/>
      <c r="BDR54" s="16"/>
      <c r="BDS54" s="16"/>
      <c r="BDT54" s="16"/>
      <c r="BDU54" s="16"/>
      <c r="BDV54" s="16"/>
      <c r="BDW54" s="16"/>
      <c r="BDX54" s="16"/>
      <c r="BDY54" s="16"/>
      <c r="BDZ54" s="16"/>
      <c r="BEA54" s="16"/>
      <c r="BEB54" s="16"/>
      <c r="BEC54" s="16"/>
      <c r="BED54" s="16"/>
      <c r="BEE54" s="16"/>
      <c r="BEF54" s="16"/>
      <c r="BEG54" s="16"/>
      <c r="BEH54" s="16"/>
      <c r="BEI54" s="16"/>
      <c r="BEJ54" s="16"/>
      <c r="BEK54" s="16"/>
      <c r="BEL54" s="16"/>
      <c r="BEM54" s="16"/>
      <c r="BEN54" s="16"/>
      <c r="BEO54" s="16"/>
      <c r="BEP54" s="16"/>
      <c r="BEQ54" s="16"/>
      <c r="BER54" s="16"/>
      <c r="BES54" s="16"/>
      <c r="BET54" s="16"/>
      <c r="BEU54" s="16"/>
      <c r="BEV54" s="16"/>
      <c r="BEW54" s="16"/>
      <c r="BEX54" s="16"/>
      <c r="BEY54" s="16"/>
      <c r="BEZ54" s="16"/>
      <c r="BFA54" s="16"/>
      <c r="BFB54" s="16"/>
      <c r="BFC54" s="16"/>
      <c r="BFD54" s="16"/>
      <c r="BFE54" s="16"/>
      <c r="BFF54" s="16"/>
      <c r="BFG54" s="16"/>
      <c r="BFH54" s="16"/>
      <c r="BFI54" s="16"/>
      <c r="BFJ54" s="16"/>
      <c r="BFK54" s="16"/>
      <c r="BFL54" s="16"/>
      <c r="BFM54" s="16"/>
      <c r="BFN54" s="16"/>
      <c r="BFO54" s="16"/>
      <c r="BFP54" s="16"/>
      <c r="BFQ54" s="16"/>
      <c r="BFR54" s="16"/>
      <c r="BFS54" s="16"/>
      <c r="BFT54" s="16"/>
      <c r="BFU54" s="16"/>
      <c r="BFV54" s="16"/>
      <c r="BFW54" s="16"/>
      <c r="BFX54" s="16"/>
      <c r="BFY54" s="16"/>
      <c r="BFZ54" s="16"/>
      <c r="BGA54" s="16"/>
      <c r="BGB54" s="16"/>
      <c r="BGC54" s="16"/>
      <c r="BGD54" s="16"/>
      <c r="BGE54" s="16"/>
      <c r="BGF54" s="16"/>
      <c r="BGG54" s="16"/>
      <c r="BGH54" s="16"/>
      <c r="BGI54" s="16"/>
      <c r="BGJ54" s="16"/>
      <c r="BGK54" s="16"/>
      <c r="BGL54" s="16"/>
      <c r="BGM54" s="16"/>
      <c r="BGN54" s="16"/>
      <c r="BGO54" s="16"/>
      <c r="BGP54" s="16"/>
      <c r="BGQ54" s="16"/>
      <c r="BGR54" s="16"/>
      <c r="BGS54" s="16"/>
      <c r="BGT54" s="16"/>
      <c r="BGU54" s="16"/>
      <c r="BGV54" s="16"/>
      <c r="BGW54" s="16"/>
      <c r="BGX54" s="16"/>
      <c r="BGY54" s="16"/>
      <c r="BGZ54" s="16"/>
      <c r="BHA54" s="16"/>
      <c r="BHB54" s="16"/>
      <c r="BHC54" s="16"/>
      <c r="BHD54" s="16"/>
      <c r="BHE54" s="16"/>
      <c r="BHF54" s="16"/>
      <c r="BHG54" s="16"/>
      <c r="BHH54" s="16"/>
      <c r="BHI54" s="16"/>
      <c r="BHJ54" s="16"/>
      <c r="BHK54" s="16"/>
      <c r="BHL54" s="16"/>
      <c r="BHM54" s="16"/>
      <c r="BHN54" s="16"/>
      <c r="BHO54" s="16"/>
      <c r="BHP54" s="16"/>
      <c r="BHQ54" s="16"/>
      <c r="BHR54" s="16"/>
      <c r="BHS54" s="16"/>
      <c r="BHT54" s="16"/>
      <c r="BHU54" s="16"/>
      <c r="BHV54" s="16"/>
      <c r="BHW54" s="16"/>
      <c r="BHX54" s="16"/>
      <c r="BHY54" s="16"/>
      <c r="BHZ54" s="16"/>
      <c r="BIA54" s="16"/>
      <c r="BIB54" s="16"/>
      <c r="BIC54" s="16"/>
      <c r="BID54" s="16"/>
      <c r="BIE54" s="16"/>
      <c r="BIF54" s="16"/>
      <c r="BIG54" s="16"/>
      <c r="BIH54" s="16"/>
      <c r="BII54" s="16"/>
      <c r="BIJ54" s="16"/>
      <c r="BIK54" s="16"/>
      <c r="BIL54" s="16"/>
      <c r="BIM54" s="16"/>
      <c r="BIN54" s="16"/>
      <c r="BIO54" s="16"/>
      <c r="BIP54" s="16"/>
      <c r="BIQ54" s="16"/>
      <c r="BIR54" s="16"/>
      <c r="BIS54" s="16"/>
      <c r="BIT54" s="16"/>
      <c r="BIU54" s="16"/>
      <c r="BIV54" s="16"/>
      <c r="BIW54" s="16"/>
      <c r="BIX54" s="16"/>
      <c r="BIY54" s="16"/>
      <c r="BIZ54" s="16"/>
      <c r="BJA54" s="16"/>
      <c r="BJB54" s="16"/>
      <c r="BJC54" s="16"/>
      <c r="BJD54" s="16"/>
      <c r="BJE54" s="16"/>
      <c r="BJF54" s="16"/>
      <c r="BJG54" s="16"/>
      <c r="BJH54" s="16"/>
      <c r="BJI54" s="16"/>
      <c r="BJJ54" s="16"/>
      <c r="BJK54" s="16"/>
      <c r="BJL54" s="16"/>
      <c r="BJM54" s="16"/>
      <c r="BJN54" s="16"/>
      <c r="BJO54" s="16"/>
      <c r="BJP54" s="16"/>
      <c r="BJQ54" s="16"/>
      <c r="BJR54" s="16"/>
      <c r="BJS54" s="16"/>
      <c r="BJT54" s="16"/>
      <c r="BJU54" s="16"/>
      <c r="BJV54" s="16"/>
      <c r="BJW54" s="16"/>
      <c r="BJX54" s="16"/>
      <c r="BJY54" s="16"/>
      <c r="BJZ54" s="16"/>
      <c r="BKA54" s="16"/>
      <c r="BKB54" s="16"/>
      <c r="BKC54" s="16"/>
      <c r="BKD54" s="16"/>
      <c r="BKE54" s="16"/>
      <c r="BKF54" s="16"/>
      <c r="BKG54" s="16"/>
      <c r="BKH54" s="16"/>
      <c r="BKI54" s="16"/>
      <c r="BKJ54" s="16"/>
      <c r="BKK54" s="16"/>
      <c r="BKL54" s="16"/>
      <c r="BKM54" s="16"/>
      <c r="BKN54" s="16"/>
      <c r="BKO54" s="16"/>
      <c r="BKP54" s="16"/>
      <c r="BKQ54" s="16"/>
      <c r="BKR54" s="16"/>
      <c r="BKS54" s="16"/>
      <c r="BKT54" s="16"/>
      <c r="BKU54" s="16"/>
      <c r="BKV54" s="16"/>
      <c r="BKW54" s="16"/>
      <c r="BKX54" s="16"/>
      <c r="BKY54" s="16"/>
      <c r="BKZ54" s="16"/>
      <c r="BLA54" s="16"/>
      <c r="BLB54" s="16"/>
      <c r="BLC54" s="16"/>
      <c r="BLD54" s="16"/>
      <c r="BLE54" s="16"/>
      <c r="BLF54" s="16"/>
      <c r="BLG54" s="16"/>
      <c r="BLH54" s="16"/>
      <c r="BLI54" s="16"/>
      <c r="BLJ54" s="16"/>
      <c r="BLK54" s="16"/>
      <c r="BLL54" s="16"/>
      <c r="BLM54" s="16"/>
      <c r="BLN54" s="16"/>
      <c r="BLO54" s="16"/>
      <c r="BLP54" s="16"/>
      <c r="BLQ54" s="16"/>
      <c r="BLR54" s="16"/>
      <c r="BLS54" s="16"/>
      <c r="BLT54" s="16"/>
      <c r="BLU54" s="16"/>
      <c r="BLV54" s="16"/>
      <c r="BLW54" s="16"/>
      <c r="BLX54" s="16"/>
      <c r="BLY54" s="16"/>
      <c r="BLZ54" s="16"/>
      <c r="BMA54" s="16"/>
      <c r="BMB54" s="16"/>
      <c r="BMC54" s="16"/>
      <c r="BMD54" s="16"/>
      <c r="BME54" s="16"/>
      <c r="BMF54" s="16"/>
      <c r="BMG54" s="16"/>
      <c r="BMH54" s="16"/>
      <c r="BMI54" s="16"/>
      <c r="BMJ54" s="16"/>
      <c r="BMK54" s="16"/>
      <c r="BML54" s="16"/>
      <c r="BMM54" s="16"/>
      <c r="BMN54" s="16"/>
      <c r="BMO54" s="16"/>
      <c r="BMP54" s="16"/>
      <c r="BMQ54" s="16"/>
      <c r="BMR54" s="16"/>
      <c r="BMS54" s="16"/>
      <c r="BMT54" s="16"/>
      <c r="BMU54" s="16"/>
      <c r="BMV54" s="16"/>
      <c r="BMW54" s="16"/>
      <c r="BMX54" s="16"/>
      <c r="BMY54" s="16"/>
      <c r="BMZ54" s="16"/>
      <c r="BNA54" s="16"/>
      <c r="BNB54" s="16"/>
      <c r="BNC54" s="16"/>
      <c r="BND54" s="16"/>
      <c r="BNE54" s="16"/>
      <c r="BNF54" s="16"/>
      <c r="BNG54" s="16"/>
      <c r="BNH54" s="16"/>
      <c r="BNI54" s="16"/>
      <c r="BNJ54" s="16"/>
      <c r="BNK54" s="16"/>
      <c r="BNL54" s="16"/>
      <c r="BNM54" s="16"/>
      <c r="BNN54" s="16"/>
      <c r="BNO54" s="16"/>
      <c r="BNP54" s="16"/>
      <c r="BNQ54" s="16"/>
      <c r="BNR54" s="16"/>
      <c r="BNS54" s="16"/>
      <c r="BNT54" s="16"/>
      <c r="BNU54" s="16"/>
      <c r="BNV54" s="16"/>
      <c r="BNW54" s="16"/>
      <c r="BNX54" s="16"/>
      <c r="BNY54" s="16"/>
      <c r="BNZ54" s="16"/>
      <c r="BOA54" s="16"/>
      <c r="BOB54" s="16"/>
      <c r="BOC54" s="16"/>
      <c r="BOD54" s="16"/>
      <c r="BOE54" s="16"/>
      <c r="BOF54" s="16"/>
      <c r="BOG54" s="16"/>
      <c r="BOH54" s="16"/>
      <c r="BOI54" s="16"/>
      <c r="BOJ54" s="16"/>
      <c r="BOK54" s="16"/>
      <c r="BOL54" s="16"/>
      <c r="BOM54" s="16"/>
      <c r="BON54" s="16"/>
      <c r="BOO54" s="16"/>
      <c r="BOP54" s="16"/>
      <c r="BOQ54" s="16"/>
      <c r="BOR54" s="16"/>
      <c r="BOS54" s="16"/>
      <c r="BOT54" s="16"/>
      <c r="BOU54" s="16"/>
      <c r="BOV54" s="16"/>
      <c r="BOW54" s="16"/>
      <c r="BOX54" s="16"/>
      <c r="BOY54" s="16"/>
      <c r="BOZ54" s="16"/>
      <c r="BPA54" s="16"/>
      <c r="BPB54" s="16"/>
      <c r="BPC54" s="16"/>
      <c r="BPD54" s="16"/>
      <c r="BPE54" s="16"/>
      <c r="BPF54" s="16"/>
      <c r="BPG54" s="16"/>
      <c r="BPH54" s="16"/>
      <c r="BPI54" s="16"/>
      <c r="BPJ54" s="16"/>
      <c r="BPK54" s="16"/>
      <c r="BPL54" s="16"/>
      <c r="BPM54" s="16"/>
      <c r="BPN54" s="16"/>
      <c r="BPO54" s="16"/>
      <c r="BPP54" s="16"/>
      <c r="BPQ54" s="16"/>
      <c r="BPR54" s="16"/>
      <c r="BPS54" s="16"/>
      <c r="BPT54" s="16"/>
      <c r="BPU54" s="16"/>
      <c r="BPV54" s="16"/>
      <c r="BPW54" s="16"/>
      <c r="BPX54" s="16"/>
      <c r="BPY54" s="16"/>
      <c r="BPZ54" s="16"/>
      <c r="BQA54" s="16"/>
      <c r="BQB54" s="16"/>
      <c r="BQC54" s="16"/>
      <c r="BQD54" s="16"/>
      <c r="BQE54" s="16"/>
      <c r="BQF54" s="16"/>
      <c r="BQG54" s="16"/>
      <c r="BQH54" s="16"/>
      <c r="BQI54" s="16"/>
      <c r="BQJ54" s="16"/>
      <c r="BQK54" s="16"/>
      <c r="BQL54" s="16"/>
      <c r="BQM54" s="16"/>
      <c r="BQN54" s="16"/>
      <c r="BQO54" s="16"/>
      <c r="BQP54" s="16"/>
      <c r="BQQ54" s="16"/>
      <c r="BQR54" s="16"/>
      <c r="BQS54" s="16"/>
      <c r="BQT54" s="16"/>
      <c r="BQU54" s="16"/>
      <c r="BQV54" s="16"/>
      <c r="BQW54" s="16"/>
      <c r="BQX54" s="16"/>
      <c r="BQY54" s="16"/>
      <c r="BQZ54" s="16"/>
      <c r="BRA54" s="16"/>
      <c r="BRB54" s="16"/>
      <c r="BRC54" s="16"/>
      <c r="BRD54" s="16"/>
      <c r="BRE54" s="16"/>
      <c r="BRF54" s="16"/>
      <c r="BRG54" s="16"/>
      <c r="BRH54" s="16"/>
      <c r="BRI54" s="16"/>
      <c r="BRJ54" s="16"/>
      <c r="BRK54" s="16"/>
      <c r="BRL54" s="16"/>
      <c r="BRM54" s="16"/>
      <c r="BRN54" s="16"/>
      <c r="BRO54" s="16"/>
      <c r="BRP54" s="16"/>
      <c r="BRQ54" s="16"/>
      <c r="BRR54" s="16"/>
      <c r="BRS54" s="16"/>
      <c r="BRT54" s="16"/>
      <c r="BRU54" s="16"/>
      <c r="BRV54" s="16"/>
      <c r="BRW54" s="16"/>
      <c r="BRX54" s="16"/>
      <c r="BRY54" s="16"/>
      <c r="BRZ54" s="16"/>
      <c r="BSA54" s="16"/>
      <c r="BSB54" s="16"/>
      <c r="BSC54" s="16"/>
      <c r="BSD54" s="16"/>
      <c r="BSE54" s="16"/>
      <c r="BSF54" s="16"/>
      <c r="BSG54" s="16"/>
      <c r="BSH54" s="16"/>
      <c r="BSI54" s="16"/>
      <c r="BSJ54" s="16"/>
      <c r="BSK54" s="16"/>
      <c r="BSL54" s="16"/>
      <c r="BSM54" s="16"/>
      <c r="BSN54" s="16"/>
      <c r="BSO54" s="16"/>
      <c r="BSP54" s="16"/>
      <c r="BSQ54" s="16"/>
      <c r="BSR54" s="16"/>
      <c r="BSS54" s="16"/>
      <c r="BST54" s="16"/>
      <c r="BSU54" s="16"/>
      <c r="BSV54" s="16"/>
      <c r="BSW54" s="16"/>
      <c r="BSX54" s="16"/>
      <c r="BSY54" s="16"/>
      <c r="BSZ54" s="16"/>
      <c r="BTA54" s="16"/>
      <c r="BTB54" s="16"/>
      <c r="BTC54" s="16"/>
      <c r="BTD54" s="16"/>
      <c r="BTE54" s="16"/>
      <c r="BTF54" s="16"/>
      <c r="BTG54" s="16"/>
      <c r="BTH54" s="16"/>
      <c r="BTI54" s="16"/>
      <c r="BTJ54" s="16"/>
      <c r="BTK54" s="16"/>
      <c r="BTL54" s="16"/>
      <c r="BTM54" s="16"/>
      <c r="BTN54" s="16"/>
      <c r="BTO54" s="16"/>
      <c r="BTP54" s="16"/>
      <c r="BTQ54" s="16"/>
      <c r="BTR54" s="16"/>
      <c r="BTS54" s="16"/>
      <c r="BTT54" s="16"/>
      <c r="BTU54" s="16"/>
      <c r="BTV54" s="16"/>
      <c r="BTW54" s="16"/>
      <c r="BTX54" s="16"/>
      <c r="BTY54" s="16"/>
      <c r="BTZ54" s="16"/>
      <c r="BUA54" s="16"/>
      <c r="BUB54" s="16"/>
      <c r="BUC54" s="16"/>
      <c r="BUD54" s="16"/>
      <c r="BUE54" s="16"/>
      <c r="BUF54" s="16"/>
      <c r="BUG54" s="16"/>
      <c r="BUH54" s="16"/>
      <c r="BUI54" s="16"/>
      <c r="BUJ54" s="16"/>
      <c r="BUK54" s="16"/>
      <c r="BUL54" s="16"/>
      <c r="BUM54" s="16"/>
      <c r="BUN54" s="16"/>
      <c r="BUO54" s="16"/>
      <c r="BUP54" s="16"/>
      <c r="BUQ54" s="16"/>
      <c r="BUR54" s="16"/>
      <c r="BUS54" s="16"/>
      <c r="BUT54" s="16"/>
      <c r="BUU54" s="16"/>
      <c r="BUV54" s="16"/>
      <c r="BUW54" s="16"/>
      <c r="BUX54" s="16"/>
      <c r="BUY54" s="16"/>
      <c r="BUZ54" s="16"/>
      <c r="BVA54" s="16"/>
      <c r="BVB54" s="16"/>
      <c r="BVC54" s="16"/>
      <c r="BVD54" s="16"/>
      <c r="BVE54" s="16"/>
      <c r="BVF54" s="16"/>
      <c r="BVG54" s="16"/>
      <c r="BVH54" s="16"/>
      <c r="BVI54" s="16"/>
      <c r="BVJ54" s="16"/>
      <c r="BVK54" s="16"/>
      <c r="BVL54" s="16"/>
      <c r="BVM54" s="16"/>
      <c r="BVN54" s="16"/>
      <c r="BVO54" s="16"/>
      <c r="BVP54" s="16"/>
      <c r="BVQ54" s="16"/>
      <c r="BVR54" s="16"/>
      <c r="BVS54" s="16"/>
      <c r="BVT54" s="16"/>
      <c r="BVU54" s="16"/>
      <c r="BVV54" s="16"/>
      <c r="BVW54" s="16"/>
      <c r="BVX54" s="16"/>
      <c r="BVY54" s="16"/>
      <c r="BVZ54" s="16"/>
      <c r="BWA54" s="16"/>
      <c r="BWB54" s="16"/>
      <c r="BWC54" s="16"/>
      <c r="BWD54" s="16"/>
      <c r="BWE54" s="16"/>
      <c r="BWF54" s="16"/>
      <c r="BWG54" s="16"/>
      <c r="BWH54" s="16"/>
      <c r="BWI54" s="16"/>
      <c r="BWJ54" s="16"/>
      <c r="BWK54" s="16"/>
      <c r="BWL54" s="16"/>
      <c r="BWM54" s="16"/>
      <c r="BWN54" s="16"/>
      <c r="BWO54" s="16"/>
      <c r="BWP54" s="16"/>
      <c r="BWQ54" s="16"/>
      <c r="BWR54" s="16"/>
      <c r="BWS54" s="16"/>
      <c r="BWT54" s="16"/>
      <c r="BWU54" s="16"/>
      <c r="BWV54" s="16"/>
      <c r="BWW54" s="16"/>
      <c r="BWX54" s="16"/>
      <c r="BWY54" s="16"/>
      <c r="BWZ54" s="16"/>
      <c r="BXA54" s="16"/>
      <c r="BXB54" s="16"/>
      <c r="BXC54" s="16"/>
      <c r="BXD54" s="16"/>
      <c r="BXE54" s="16"/>
      <c r="BXF54" s="16"/>
      <c r="BXG54" s="16"/>
      <c r="BXH54" s="16"/>
      <c r="BXI54" s="16"/>
      <c r="BXJ54" s="16"/>
      <c r="BXK54" s="16"/>
      <c r="BXL54" s="16"/>
      <c r="BXM54" s="16"/>
      <c r="BXN54" s="16"/>
      <c r="BXO54" s="16"/>
      <c r="BXP54" s="16"/>
      <c r="BXQ54" s="16"/>
      <c r="BXR54" s="16"/>
      <c r="BXS54" s="16"/>
      <c r="BXT54" s="16"/>
      <c r="BXU54" s="16"/>
      <c r="BXV54" s="16"/>
      <c r="BXW54" s="16"/>
      <c r="BXX54" s="16"/>
      <c r="BXY54" s="16"/>
      <c r="BXZ54" s="16"/>
      <c r="BYA54" s="16"/>
      <c r="BYB54" s="16"/>
      <c r="BYC54" s="16"/>
      <c r="BYD54" s="16"/>
      <c r="BYE54" s="16"/>
      <c r="BYF54" s="16"/>
      <c r="BYG54" s="16"/>
      <c r="BYH54" s="16"/>
      <c r="BYI54" s="16"/>
      <c r="BYJ54" s="16"/>
      <c r="BYK54" s="16"/>
      <c r="BYL54" s="16"/>
      <c r="BYM54" s="16"/>
      <c r="BYN54" s="16"/>
      <c r="BYO54" s="16"/>
      <c r="BYP54" s="16"/>
      <c r="BYQ54" s="16"/>
      <c r="BYR54" s="16"/>
      <c r="BYS54" s="16"/>
      <c r="BYT54" s="16"/>
      <c r="BYU54" s="16"/>
      <c r="BYV54" s="16"/>
      <c r="BYW54" s="16"/>
      <c r="BYX54" s="16"/>
      <c r="BYY54" s="16"/>
      <c r="BYZ54" s="16"/>
      <c r="BZA54" s="16"/>
      <c r="BZB54" s="16"/>
      <c r="BZC54" s="16"/>
      <c r="BZD54" s="16"/>
      <c r="BZE54" s="16"/>
      <c r="BZF54" s="16"/>
      <c r="BZG54" s="16"/>
      <c r="BZH54" s="16"/>
      <c r="BZI54" s="16"/>
      <c r="BZJ54" s="16"/>
      <c r="BZK54" s="16"/>
      <c r="BZL54" s="16"/>
      <c r="BZM54" s="16"/>
      <c r="BZN54" s="16"/>
      <c r="BZO54" s="16"/>
      <c r="BZP54" s="16"/>
      <c r="BZQ54" s="16"/>
      <c r="BZR54" s="16"/>
      <c r="BZS54" s="16"/>
      <c r="BZT54" s="16"/>
      <c r="BZU54" s="16"/>
      <c r="BZV54" s="16"/>
      <c r="BZW54" s="16"/>
      <c r="BZX54" s="16"/>
      <c r="BZY54" s="16"/>
      <c r="BZZ54" s="16"/>
      <c r="CAA54" s="16"/>
      <c r="CAB54" s="16"/>
      <c r="CAC54" s="16"/>
      <c r="CAD54" s="16"/>
      <c r="CAE54" s="16"/>
      <c r="CAF54" s="16"/>
      <c r="CAG54" s="16"/>
      <c r="CAH54" s="16"/>
      <c r="CAI54" s="16"/>
      <c r="CAJ54" s="16"/>
      <c r="CAK54" s="16"/>
      <c r="CAL54" s="16"/>
      <c r="CAM54" s="16"/>
      <c r="CAN54" s="16"/>
      <c r="CAO54" s="16"/>
      <c r="CAP54" s="16"/>
      <c r="CAQ54" s="16"/>
      <c r="CAR54" s="16"/>
      <c r="CAS54" s="16"/>
      <c r="CAT54" s="16"/>
      <c r="CAU54" s="16"/>
      <c r="CAV54" s="16"/>
      <c r="CAW54" s="16"/>
      <c r="CAX54" s="16"/>
      <c r="CAY54" s="16"/>
      <c r="CAZ54" s="16"/>
      <c r="CBA54" s="16"/>
      <c r="CBB54" s="16"/>
      <c r="CBC54" s="16"/>
      <c r="CBD54" s="16"/>
      <c r="CBE54" s="16"/>
      <c r="CBF54" s="16"/>
      <c r="CBG54" s="16"/>
      <c r="CBH54" s="16"/>
      <c r="CBI54" s="16"/>
      <c r="CBJ54" s="16"/>
      <c r="CBK54" s="16"/>
      <c r="CBL54" s="16"/>
      <c r="CBM54" s="16"/>
      <c r="CBN54" s="16"/>
      <c r="CBO54" s="16"/>
      <c r="CBP54" s="16"/>
      <c r="CBQ54" s="16"/>
      <c r="CBR54" s="16"/>
      <c r="CBS54" s="16"/>
      <c r="CBT54" s="16"/>
      <c r="CBU54" s="16"/>
      <c r="CBV54" s="16"/>
      <c r="CBW54" s="16"/>
      <c r="CBX54" s="16"/>
      <c r="CBY54" s="16"/>
      <c r="CBZ54" s="16"/>
      <c r="CCA54" s="16"/>
      <c r="CCB54" s="16"/>
      <c r="CCC54" s="16"/>
      <c r="CCD54" s="16"/>
      <c r="CCE54" s="16"/>
      <c r="CCF54" s="16"/>
      <c r="CCG54" s="16"/>
      <c r="CCH54" s="16"/>
      <c r="CCI54" s="16"/>
      <c r="CCJ54" s="16"/>
      <c r="CCK54" s="16"/>
      <c r="CCL54" s="16"/>
      <c r="CCM54" s="16"/>
      <c r="CCN54" s="16"/>
      <c r="CCO54" s="16"/>
      <c r="CCP54" s="16"/>
      <c r="CCQ54" s="16"/>
      <c r="CCR54" s="16"/>
      <c r="CCS54" s="16"/>
      <c r="CCT54" s="16"/>
      <c r="CCU54" s="16"/>
      <c r="CCV54" s="16"/>
      <c r="CCW54" s="16"/>
      <c r="CCX54" s="16"/>
      <c r="CCY54" s="16"/>
      <c r="CCZ54" s="16"/>
      <c r="CDA54" s="16"/>
      <c r="CDB54" s="16"/>
      <c r="CDC54" s="16"/>
      <c r="CDD54" s="16"/>
      <c r="CDE54" s="16"/>
      <c r="CDF54" s="16"/>
      <c r="CDG54" s="16"/>
      <c r="CDH54" s="16"/>
      <c r="CDI54" s="16"/>
      <c r="CDJ54" s="16"/>
      <c r="CDK54" s="16"/>
      <c r="CDL54" s="16"/>
      <c r="CDM54" s="16"/>
      <c r="CDN54" s="16"/>
      <c r="CDO54" s="16"/>
      <c r="CDP54" s="16"/>
      <c r="CDQ54" s="16"/>
      <c r="CDR54" s="16"/>
      <c r="CDS54" s="16"/>
      <c r="CDT54" s="16"/>
      <c r="CDU54" s="16"/>
      <c r="CDV54" s="16"/>
      <c r="CDW54" s="16"/>
      <c r="CDX54" s="16"/>
      <c r="CDY54" s="16"/>
      <c r="CDZ54" s="16"/>
      <c r="CEA54" s="16"/>
      <c r="CEB54" s="16"/>
      <c r="CEC54" s="16"/>
      <c r="CED54" s="16"/>
      <c r="CEE54" s="16"/>
      <c r="CEF54" s="16"/>
      <c r="CEG54" s="16"/>
      <c r="CEH54" s="16"/>
      <c r="CEI54" s="16"/>
      <c r="CEJ54" s="16"/>
      <c r="CEK54" s="16"/>
      <c r="CEL54" s="16"/>
      <c r="CEM54" s="16"/>
      <c r="CEN54" s="16"/>
      <c r="CEO54" s="16"/>
      <c r="CEP54" s="16"/>
      <c r="CEQ54" s="16"/>
      <c r="CER54" s="16"/>
      <c r="CES54" s="16"/>
      <c r="CET54" s="16"/>
      <c r="CEU54" s="16"/>
      <c r="CEV54" s="16"/>
      <c r="CEW54" s="16"/>
      <c r="CEX54" s="16"/>
      <c r="CEY54" s="16"/>
      <c r="CEZ54" s="16"/>
      <c r="CFA54" s="16"/>
      <c r="CFB54" s="16"/>
      <c r="CFC54" s="16"/>
      <c r="CFD54" s="16"/>
      <c r="CFE54" s="16"/>
      <c r="CFF54" s="16"/>
      <c r="CFG54" s="16"/>
      <c r="CFH54" s="16"/>
      <c r="CFI54" s="16"/>
      <c r="CFJ54" s="16"/>
      <c r="CFK54" s="16"/>
      <c r="CFL54" s="16"/>
      <c r="CFM54" s="16"/>
      <c r="CFN54" s="16"/>
      <c r="CFO54" s="16"/>
      <c r="CFP54" s="16"/>
      <c r="CFQ54" s="16"/>
      <c r="CFR54" s="16"/>
      <c r="CFS54" s="16"/>
      <c r="CFT54" s="16"/>
      <c r="CFU54" s="16"/>
      <c r="CFV54" s="16"/>
      <c r="CFW54" s="16"/>
      <c r="CFX54" s="16"/>
      <c r="CFY54" s="16"/>
      <c r="CFZ54" s="16"/>
      <c r="CGA54" s="16"/>
      <c r="CGB54" s="16"/>
      <c r="CGC54" s="16"/>
      <c r="CGD54" s="16"/>
      <c r="CGE54" s="16"/>
      <c r="CGF54" s="16"/>
      <c r="CGG54" s="16"/>
      <c r="CGH54" s="16"/>
      <c r="CGI54" s="16"/>
      <c r="CGJ54" s="16"/>
      <c r="CGK54" s="16"/>
      <c r="CGL54" s="16"/>
      <c r="CGM54" s="16"/>
      <c r="CGN54" s="16"/>
      <c r="CGO54" s="16"/>
      <c r="CGP54" s="16"/>
      <c r="CGQ54" s="16"/>
      <c r="CGR54" s="16"/>
      <c r="CGS54" s="16"/>
      <c r="CGT54" s="16"/>
      <c r="CGU54" s="16"/>
      <c r="CGV54" s="16"/>
      <c r="CGW54" s="16"/>
      <c r="CGX54" s="16"/>
      <c r="CGY54" s="16"/>
      <c r="CGZ54" s="16"/>
      <c r="CHA54" s="16"/>
      <c r="CHB54" s="16"/>
      <c r="CHC54" s="16"/>
      <c r="CHD54" s="16"/>
      <c r="CHE54" s="16"/>
      <c r="CHF54" s="16"/>
      <c r="CHG54" s="16"/>
      <c r="CHH54" s="16"/>
      <c r="CHI54" s="16"/>
      <c r="CHJ54" s="16"/>
      <c r="CHK54" s="16"/>
      <c r="CHL54" s="16"/>
      <c r="CHM54" s="16"/>
      <c r="CHN54" s="16"/>
      <c r="CHO54" s="16"/>
      <c r="CHP54" s="16"/>
      <c r="CHQ54" s="16"/>
      <c r="CHR54" s="16"/>
      <c r="CHS54" s="16"/>
      <c r="CHT54" s="16"/>
      <c r="CHU54" s="16"/>
      <c r="CHV54" s="16"/>
      <c r="CHW54" s="16"/>
      <c r="CHX54" s="16"/>
      <c r="CHY54" s="16"/>
      <c r="CHZ54" s="16"/>
      <c r="CIA54" s="16"/>
      <c r="CIB54" s="16"/>
      <c r="CIC54" s="16"/>
      <c r="CID54" s="16"/>
      <c r="CIE54" s="16"/>
      <c r="CIF54" s="16"/>
      <c r="CIG54" s="16"/>
      <c r="CIH54" s="16"/>
      <c r="CII54" s="16"/>
      <c r="CIJ54" s="16"/>
      <c r="CIK54" s="16"/>
      <c r="CIL54" s="16"/>
      <c r="CIM54" s="16"/>
      <c r="CIN54" s="16"/>
      <c r="CIO54" s="16"/>
      <c r="CIP54" s="16"/>
      <c r="CIQ54" s="16"/>
      <c r="CIR54" s="16"/>
      <c r="CIS54" s="16"/>
      <c r="CIT54" s="16"/>
      <c r="CIU54" s="16"/>
      <c r="CIV54" s="16"/>
      <c r="CIW54" s="16"/>
      <c r="CIX54" s="16"/>
      <c r="CIY54" s="16"/>
      <c r="CIZ54" s="16"/>
      <c r="CJA54" s="16"/>
      <c r="CJB54" s="16"/>
      <c r="CJC54" s="16"/>
      <c r="CJD54" s="16"/>
      <c r="CJE54" s="16"/>
      <c r="CJF54" s="16"/>
      <c r="CJG54" s="16"/>
      <c r="CJH54" s="16"/>
      <c r="CJI54" s="16"/>
      <c r="CJJ54" s="16"/>
      <c r="CJK54" s="16"/>
      <c r="CJL54" s="16"/>
      <c r="CJM54" s="16"/>
      <c r="CJN54" s="16"/>
      <c r="CJO54" s="16"/>
      <c r="CJP54" s="16"/>
      <c r="CJQ54" s="16"/>
      <c r="CJR54" s="16"/>
      <c r="CJS54" s="16"/>
      <c r="CJT54" s="16"/>
      <c r="CJU54" s="16"/>
      <c r="CJV54" s="16"/>
      <c r="CJW54" s="16"/>
      <c r="CJX54" s="16"/>
      <c r="CJY54" s="16"/>
      <c r="CJZ54" s="16"/>
      <c r="CKA54" s="16"/>
      <c r="CKB54" s="16"/>
      <c r="CKC54" s="16"/>
      <c r="CKD54" s="16"/>
      <c r="CKE54" s="16"/>
      <c r="CKF54" s="16"/>
      <c r="CKG54" s="16"/>
      <c r="CKH54" s="16"/>
      <c r="CKI54" s="16"/>
      <c r="CKJ54" s="16"/>
      <c r="CKK54" s="16"/>
      <c r="CKL54" s="16"/>
      <c r="CKM54" s="16"/>
      <c r="CKN54" s="16"/>
      <c r="CKO54" s="16"/>
      <c r="CKP54" s="16"/>
      <c r="CKQ54" s="16"/>
      <c r="CKR54" s="16"/>
      <c r="CKS54" s="16"/>
      <c r="CKT54" s="16"/>
      <c r="CKU54" s="16"/>
      <c r="CKV54" s="16"/>
      <c r="CKW54" s="16"/>
      <c r="CKX54" s="16"/>
      <c r="CKY54" s="16"/>
      <c r="CKZ54" s="16"/>
      <c r="CLA54" s="16"/>
      <c r="CLB54" s="16"/>
      <c r="CLC54" s="16"/>
      <c r="CLD54" s="16"/>
      <c r="CLE54" s="16"/>
      <c r="CLF54" s="16"/>
      <c r="CLG54" s="16"/>
      <c r="CLH54" s="16"/>
      <c r="CLI54" s="16"/>
      <c r="CLJ54" s="16"/>
      <c r="CLK54" s="16"/>
      <c r="CLL54" s="16"/>
      <c r="CLM54" s="16"/>
      <c r="CLN54" s="16"/>
      <c r="CLO54" s="16"/>
      <c r="CLP54" s="16"/>
      <c r="CLQ54" s="16"/>
      <c r="CLR54" s="16"/>
      <c r="CLS54" s="16"/>
      <c r="CLT54" s="16"/>
      <c r="CLU54" s="16"/>
      <c r="CLV54" s="16"/>
      <c r="CLW54" s="16"/>
      <c r="CLX54" s="16"/>
      <c r="CLY54" s="16"/>
      <c r="CLZ54" s="16"/>
      <c r="CMA54" s="16"/>
      <c r="CMB54" s="16"/>
      <c r="CMC54" s="16"/>
      <c r="CMD54" s="16"/>
      <c r="CME54" s="16"/>
      <c r="CMF54" s="16"/>
      <c r="CMG54" s="16"/>
      <c r="CMH54" s="16"/>
      <c r="CMI54" s="16"/>
      <c r="CMJ54" s="16"/>
      <c r="CMK54" s="16"/>
      <c r="CML54" s="16"/>
      <c r="CMM54" s="16"/>
      <c r="CMN54" s="16"/>
      <c r="CMO54" s="16"/>
      <c r="CMP54" s="16"/>
      <c r="CMQ54" s="16"/>
      <c r="CMR54" s="16"/>
      <c r="CMS54" s="16"/>
      <c r="CMT54" s="16"/>
      <c r="CMU54" s="16"/>
      <c r="CMV54" s="16"/>
      <c r="CMW54" s="16"/>
      <c r="CMX54" s="16"/>
      <c r="CMY54" s="16"/>
      <c r="CMZ54" s="16"/>
      <c r="CNA54" s="16"/>
      <c r="CNB54" s="16"/>
      <c r="CNC54" s="16"/>
      <c r="CND54" s="16"/>
      <c r="CNE54" s="16"/>
      <c r="CNF54" s="16"/>
      <c r="CNG54" s="16"/>
      <c r="CNH54" s="16"/>
      <c r="CNI54" s="16"/>
      <c r="CNJ54" s="16"/>
      <c r="CNK54" s="16"/>
      <c r="CNL54" s="16"/>
      <c r="CNM54" s="16"/>
      <c r="CNN54" s="16"/>
      <c r="CNO54" s="16"/>
      <c r="CNP54" s="16"/>
      <c r="CNQ54" s="16"/>
      <c r="CNR54" s="16"/>
      <c r="CNS54" s="16"/>
      <c r="CNT54" s="16"/>
      <c r="CNU54" s="16"/>
      <c r="CNV54" s="16"/>
      <c r="CNW54" s="16"/>
      <c r="CNX54" s="16"/>
      <c r="CNY54" s="16"/>
      <c r="CNZ54" s="16"/>
      <c r="COA54" s="16"/>
      <c r="COB54" s="16"/>
      <c r="COC54" s="16"/>
      <c r="COD54" s="16"/>
      <c r="COE54" s="16"/>
      <c r="COF54" s="16"/>
      <c r="COG54" s="16"/>
      <c r="COH54" s="16"/>
      <c r="COI54" s="16"/>
      <c r="COJ54" s="16"/>
      <c r="COK54" s="16"/>
      <c r="COL54" s="16"/>
      <c r="COM54" s="16"/>
      <c r="CON54" s="16"/>
      <c r="COO54" s="16"/>
      <c r="COP54" s="16"/>
      <c r="COQ54" s="16"/>
      <c r="COR54" s="16"/>
      <c r="COS54" s="16"/>
      <c r="COT54" s="16"/>
      <c r="COU54" s="16"/>
      <c r="COV54" s="16"/>
      <c r="COW54" s="16"/>
      <c r="COX54" s="16"/>
      <c r="COY54" s="16"/>
      <c r="COZ54" s="16"/>
      <c r="CPA54" s="16"/>
      <c r="CPB54" s="16"/>
      <c r="CPC54" s="16"/>
      <c r="CPD54" s="16"/>
      <c r="CPE54" s="16"/>
      <c r="CPF54" s="16"/>
      <c r="CPG54" s="16"/>
      <c r="CPH54" s="16"/>
      <c r="CPI54" s="16"/>
      <c r="CPJ54" s="16"/>
      <c r="CPK54" s="16"/>
      <c r="CPL54" s="16"/>
      <c r="CPM54" s="16"/>
      <c r="CPN54" s="16"/>
      <c r="CPO54" s="16"/>
      <c r="CPP54" s="16"/>
      <c r="CPQ54" s="16"/>
      <c r="CPR54" s="16"/>
      <c r="CPS54" s="16"/>
      <c r="CPT54" s="16"/>
      <c r="CPU54" s="16"/>
      <c r="CPV54" s="16"/>
      <c r="CPW54" s="16"/>
      <c r="CPX54" s="16"/>
      <c r="CPY54" s="16"/>
      <c r="CPZ54" s="16"/>
      <c r="CQA54" s="16"/>
      <c r="CQB54" s="16"/>
      <c r="CQC54" s="16"/>
      <c r="CQD54" s="16"/>
      <c r="CQE54" s="16"/>
      <c r="CQF54" s="16"/>
      <c r="CQG54" s="16"/>
      <c r="CQH54" s="16"/>
      <c r="CQI54" s="16"/>
      <c r="CQJ54" s="16"/>
      <c r="CQK54" s="16"/>
      <c r="CQL54" s="16"/>
      <c r="CQM54" s="16"/>
      <c r="CQN54" s="16"/>
      <c r="CQO54" s="16"/>
      <c r="CQP54" s="16"/>
      <c r="CQQ54" s="16"/>
      <c r="CQR54" s="16"/>
      <c r="CQS54" s="16"/>
      <c r="CQT54" s="16"/>
      <c r="CQU54" s="16"/>
      <c r="CQV54" s="16"/>
      <c r="CQW54" s="16"/>
      <c r="CQX54" s="16"/>
      <c r="CQY54" s="16"/>
      <c r="CQZ54" s="16"/>
      <c r="CRA54" s="16"/>
      <c r="CRB54" s="16"/>
      <c r="CRC54" s="16"/>
      <c r="CRD54" s="16"/>
      <c r="CRE54" s="16"/>
      <c r="CRF54" s="16"/>
      <c r="CRG54" s="16"/>
      <c r="CRH54" s="16"/>
      <c r="CRI54" s="16"/>
      <c r="CRJ54" s="16"/>
      <c r="CRK54" s="16"/>
      <c r="CRL54" s="16"/>
      <c r="CRM54" s="16"/>
      <c r="CRN54" s="16"/>
      <c r="CRO54" s="16"/>
      <c r="CRP54" s="16"/>
      <c r="CRQ54" s="16"/>
      <c r="CRR54" s="16"/>
      <c r="CRS54" s="16"/>
      <c r="CRT54" s="16"/>
      <c r="CRU54" s="16"/>
      <c r="CRV54" s="16"/>
      <c r="CRW54" s="16"/>
      <c r="CRX54" s="16"/>
      <c r="CRY54" s="16"/>
      <c r="CRZ54" s="16"/>
      <c r="CSA54" s="16"/>
      <c r="CSB54" s="16"/>
      <c r="CSC54" s="16"/>
      <c r="CSD54" s="16"/>
      <c r="CSE54" s="16"/>
      <c r="CSF54" s="16"/>
      <c r="CSG54" s="16"/>
      <c r="CSH54" s="16"/>
      <c r="CSI54" s="16"/>
      <c r="CSJ54" s="16"/>
      <c r="CSK54" s="54" t="str">
        <f t="shared" si="166"/>
        <v>X</v>
      </c>
      <c r="CSL54" s="35" t="str">
        <f t="shared" ca="1" si="209"/>
        <v/>
      </c>
      <c r="CSM54" s="35" t="str">
        <f t="shared" ca="1" si="209"/>
        <v/>
      </c>
      <c r="CSN54" s="35" t="str">
        <f t="shared" ca="1" si="209"/>
        <v/>
      </c>
      <c r="CSO54" s="35" t="str">
        <f t="shared" ca="1" si="209"/>
        <v/>
      </c>
      <c r="CSP54" s="35" t="str">
        <f t="shared" ca="1" si="209"/>
        <v/>
      </c>
      <c r="CSQ54" s="72" t="str">
        <f t="shared" ca="1" si="209"/>
        <v/>
      </c>
      <c r="CSR54" s="35" t="str">
        <f t="shared" ca="1" si="209"/>
        <v/>
      </c>
      <c r="CSS54" s="35" t="str">
        <f t="shared" ca="1" si="209"/>
        <v/>
      </c>
      <c r="CST54" s="35" t="str">
        <f t="shared" ca="1" si="209"/>
        <v/>
      </c>
      <c r="CSU54" s="35" t="str">
        <f t="shared" ca="1" si="209"/>
        <v/>
      </c>
      <c r="CSV54" s="35" t="str">
        <f t="shared" ca="1" si="210"/>
        <v/>
      </c>
      <c r="CSW54" s="35" t="str">
        <f t="shared" ca="1" si="210"/>
        <v/>
      </c>
      <c r="CSX54" s="35" t="str">
        <f t="shared" ca="1" si="210"/>
        <v/>
      </c>
      <c r="CSY54" s="35" t="str">
        <f t="shared" ca="1" si="210"/>
        <v/>
      </c>
      <c r="CSZ54" s="35" t="str">
        <f t="shared" ca="1" si="210"/>
        <v/>
      </c>
      <c r="CTA54" s="35" t="str">
        <f t="shared" ca="1" si="210"/>
        <v/>
      </c>
      <c r="CTB54" s="35" t="str">
        <f t="shared" ca="1" si="210"/>
        <v/>
      </c>
      <c r="CTC54" s="35" t="str">
        <f t="shared" ca="1" si="210"/>
        <v/>
      </c>
      <c r="CTD54" s="35" t="str">
        <f t="shared" ca="1" si="210"/>
        <v/>
      </c>
      <c r="CTE54" s="35" t="str">
        <f t="shared" ca="1" si="210"/>
        <v/>
      </c>
      <c r="CTF54" s="35" t="str">
        <f t="shared" ca="1" si="211"/>
        <v/>
      </c>
      <c r="CTG54" s="35" t="str">
        <f t="shared" ca="1" si="211"/>
        <v/>
      </c>
      <c r="CTH54" s="35" t="str">
        <f t="shared" ca="1" si="211"/>
        <v/>
      </c>
      <c r="CTI54" s="35" t="str">
        <f t="shared" ca="1" si="211"/>
        <v/>
      </c>
      <c r="CTJ54" s="35" t="str">
        <f t="shared" ca="1" si="211"/>
        <v/>
      </c>
      <c r="CTK54" s="35" t="str">
        <f t="shared" ca="1" si="211"/>
        <v/>
      </c>
      <c r="CTL54" s="35" t="str">
        <f t="shared" ca="1" si="211"/>
        <v/>
      </c>
      <c r="CTM54" s="35" t="str">
        <f t="shared" ca="1" si="211"/>
        <v/>
      </c>
      <c r="CTN54" s="35" t="str">
        <f t="shared" ca="1" si="211"/>
        <v/>
      </c>
      <c r="CTO54" s="35" t="str">
        <f t="shared" ca="1" si="211"/>
        <v/>
      </c>
      <c r="CTP54" s="35" t="str">
        <f t="shared" ca="1" si="212"/>
        <v/>
      </c>
      <c r="CTQ54" s="35" t="str">
        <f t="shared" ca="1" si="212"/>
        <v/>
      </c>
      <c r="CTR54" s="35" t="str">
        <f t="shared" ca="1" si="212"/>
        <v/>
      </c>
      <c r="CTS54" s="35" t="str">
        <f t="shared" ca="1" si="212"/>
        <v/>
      </c>
      <c r="CTT54" s="35" t="str">
        <f t="shared" ca="1" si="212"/>
        <v/>
      </c>
      <c r="CTU54" s="35" t="str">
        <f t="shared" ca="1" si="212"/>
        <v/>
      </c>
      <c r="CTV54" s="35" t="str">
        <f t="shared" ca="1" si="212"/>
        <v/>
      </c>
      <c r="CTW54" s="35" t="str">
        <f t="shared" ca="1" si="212"/>
        <v/>
      </c>
      <c r="CTX54" s="35" t="str">
        <f t="shared" ca="1" si="212"/>
        <v/>
      </c>
      <c r="CTY54" s="35" t="str">
        <f t="shared" ca="1" si="212"/>
        <v/>
      </c>
      <c r="CTZ54" s="56" t="str">
        <f t="shared" si="167"/>
        <v>X</v>
      </c>
      <c r="CUA54" s="58" t="str">
        <f t="shared" ca="1" si="168"/>
        <v/>
      </c>
      <c r="CUB54" s="16" t="str">
        <f t="shared" ca="1" si="169"/>
        <v/>
      </c>
      <c r="CUC54" s="16" t="str">
        <f t="shared" ca="1" si="170"/>
        <v/>
      </c>
      <c r="CUD54" s="16" t="str">
        <f t="shared" ca="1" si="171"/>
        <v/>
      </c>
      <c r="CUE54" s="16" t="str">
        <f t="shared" ca="1" si="172"/>
        <v/>
      </c>
      <c r="CUF54" s="16" t="str">
        <f t="shared" ca="1" si="173"/>
        <v/>
      </c>
      <c r="CUG54" s="16" t="str">
        <f t="shared" ca="1" si="174"/>
        <v/>
      </c>
      <c r="CUH54" s="16" t="str">
        <f t="shared" ca="1" si="175"/>
        <v/>
      </c>
      <c r="CUI54" s="16" t="str">
        <f t="shared" ca="1" si="176"/>
        <v/>
      </c>
      <c r="CUJ54" s="16" t="str">
        <f t="shared" ca="1" si="177"/>
        <v/>
      </c>
      <c r="CUK54" s="16" t="str">
        <f t="shared" ca="1" si="178"/>
        <v/>
      </c>
      <c r="CUL54" s="16" t="str">
        <f t="shared" ca="1" si="179"/>
        <v/>
      </c>
      <c r="CUM54" s="16" t="str">
        <f t="shared" ca="1" si="180"/>
        <v/>
      </c>
      <c r="CUN54" s="16" t="str">
        <f t="shared" ca="1" si="181"/>
        <v/>
      </c>
      <c r="CUO54" s="16" t="str">
        <f t="shared" ca="1" si="182"/>
        <v/>
      </c>
      <c r="CUP54" s="16" t="str">
        <f t="shared" ca="1" si="183"/>
        <v/>
      </c>
      <c r="CUQ54" s="16" t="str">
        <f t="shared" ca="1" si="184"/>
        <v/>
      </c>
      <c r="CUR54" s="16" t="str">
        <f t="shared" ca="1" si="185"/>
        <v/>
      </c>
      <c r="CUS54" s="16" t="str">
        <f t="shared" ca="1" si="186"/>
        <v/>
      </c>
      <c r="CUT54" s="16" t="str">
        <f t="shared" ca="1" si="187"/>
        <v/>
      </c>
      <c r="CUU54" s="16" t="str">
        <f t="shared" ca="1" si="188"/>
        <v/>
      </c>
      <c r="CUV54" s="16" t="str">
        <f t="shared" ca="1" si="189"/>
        <v/>
      </c>
      <c r="CUW54" s="16" t="str">
        <f t="shared" ca="1" si="190"/>
        <v/>
      </c>
      <c r="CUX54" s="16" t="str">
        <f t="shared" ca="1" si="191"/>
        <v/>
      </c>
      <c r="CUY54" s="16" t="str">
        <f t="shared" ca="1" si="192"/>
        <v/>
      </c>
      <c r="CUZ54" s="16" t="str">
        <f t="shared" ca="1" si="193"/>
        <v/>
      </c>
      <c r="CVA54" s="16" t="str">
        <f t="shared" ca="1" si="194"/>
        <v/>
      </c>
      <c r="CVB54" s="16" t="str">
        <f t="shared" ca="1" si="195"/>
        <v/>
      </c>
      <c r="CVC54" s="16" t="str">
        <f t="shared" ca="1" si="196"/>
        <v/>
      </c>
      <c r="CVD54" s="16" t="str">
        <f t="shared" ca="1" si="197"/>
        <v/>
      </c>
      <c r="CVE54" s="16" t="str">
        <f t="shared" ca="1" si="198"/>
        <v/>
      </c>
      <c r="CVF54" s="16" t="str">
        <f t="shared" ca="1" si="199"/>
        <v/>
      </c>
      <c r="CVG54" s="16" t="str">
        <f t="shared" ca="1" si="200"/>
        <v/>
      </c>
      <c r="CVH54" s="16" t="str">
        <f t="shared" ca="1" si="201"/>
        <v/>
      </c>
      <c r="CVI54" s="16" t="str">
        <f t="shared" ca="1" si="202"/>
        <v/>
      </c>
      <c r="CVJ54" s="16" t="str">
        <f t="shared" ca="1" si="203"/>
        <v/>
      </c>
      <c r="CVK54" s="16" t="str">
        <f t="shared" ca="1" si="204"/>
        <v/>
      </c>
      <c r="CVL54" s="16" t="str">
        <f t="shared" ca="1" si="205"/>
        <v/>
      </c>
      <c r="CVM54" s="16" t="str">
        <f t="shared" ca="1" si="206"/>
        <v/>
      </c>
      <c r="CVN54" s="16" t="str">
        <f t="shared" ca="1" si="207"/>
        <v/>
      </c>
      <c r="CVO54" s="58" t="str">
        <f t="shared" si="208"/>
        <v>антоновлеонид</v>
      </c>
      <c r="CVP54" s="58" t="str">
        <f>IFERROR(VLOOKUP(CVO54,'Внешние данные'!A:Z,4,FALSE),"")</f>
        <v/>
      </c>
    </row>
    <row r="55" spans="1:2616" ht="13.8" x14ac:dyDescent="0.25">
      <c r="A55" s="2" t="s">
        <v>2388</v>
      </c>
      <c r="B55" s="2" t="s">
        <v>2450</v>
      </c>
      <c r="C55" s="57" t="s">
        <v>2564</v>
      </c>
      <c r="D55" s="35">
        <v>6</v>
      </c>
      <c r="E55" s="58">
        <v>444</v>
      </c>
      <c r="G55" s="16" t="s">
        <v>1393</v>
      </c>
      <c r="H55" s="53" t="str">
        <f t="shared" ca="1" si="162"/>
        <v/>
      </c>
      <c r="I55" s="35" t="str">
        <f t="shared" ca="1" si="163"/>
        <v/>
      </c>
      <c r="J55" s="35">
        <f t="shared" ca="1" si="164"/>
        <v>0</v>
      </c>
      <c r="K55" s="49" t="str">
        <f t="shared" ca="1" si="165"/>
        <v/>
      </c>
      <c r="L55" s="16">
        <v>205</v>
      </c>
      <c r="M55" s="12"/>
      <c r="N55" s="12"/>
      <c r="S55" s="4">
        <v>425</v>
      </c>
      <c r="T55" s="4">
        <v>425</v>
      </c>
      <c r="V55" s="4">
        <v>425</v>
      </c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/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/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/>
      <c r="LT55" s="16"/>
      <c r="LU55" s="16"/>
      <c r="LV55" s="16"/>
      <c r="LW55" s="16"/>
      <c r="LX55" s="16"/>
      <c r="LY55" s="16"/>
      <c r="LZ55" s="16"/>
      <c r="MA55" s="16"/>
      <c r="MB55" s="16"/>
      <c r="MC55" s="16"/>
      <c r="MD55" s="16"/>
      <c r="ME55" s="16"/>
      <c r="MF55" s="16"/>
      <c r="MG55" s="16"/>
      <c r="MH55" s="16"/>
      <c r="MI55" s="16"/>
      <c r="MJ55" s="16"/>
      <c r="MK55" s="16"/>
      <c r="ML55" s="16"/>
      <c r="MM55" s="16"/>
      <c r="MN55" s="16"/>
      <c r="MO55" s="16"/>
      <c r="MP55" s="16"/>
      <c r="MQ55" s="16"/>
      <c r="MR55" s="16"/>
      <c r="MS55" s="16"/>
      <c r="MT55" s="16"/>
      <c r="MU55" s="16"/>
      <c r="MV55" s="16"/>
      <c r="MW55" s="16"/>
      <c r="MX55" s="16"/>
      <c r="MY55" s="16"/>
      <c r="MZ55" s="16"/>
      <c r="NA55" s="16"/>
      <c r="NB55" s="16"/>
      <c r="NC55" s="16"/>
      <c r="ND55" s="16"/>
      <c r="NE55" s="16"/>
      <c r="NF55" s="16"/>
      <c r="NG55" s="16"/>
      <c r="NH55" s="16"/>
      <c r="NI55" s="16"/>
      <c r="NJ55" s="16"/>
      <c r="NK55" s="16"/>
      <c r="NL55" s="16"/>
      <c r="NM55" s="16"/>
      <c r="NN55" s="16"/>
      <c r="NO55" s="16"/>
      <c r="NP55" s="16"/>
      <c r="NQ55" s="16"/>
      <c r="NR55" s="16"/>
      <c r="NS55" s="16"/>
      <c r="NT55" s="16"/>
      <c r="NU55" s="16"/>
      <c r="NV55" s="16"/>
      <c r="NW55" s="16"/>
      <c r="NX55" s="16"/>
      <c r="NY55" s="16"/>
      <c r="NZ55" s="16"/>
      <c r="OA55" s="16"/>
      <c r="OB55" s="16"/>
      <c r="OC55" s="16"/>
      <c r="OD55" s="16"/>
      <c r="OE55" s="16"/>
      <c r="OF55" s="16"/>
      <c r="OG55" s="16"/>
      <c r="OH55" s="16"/>
      <c r="OI55" s="16"/>
      <c r="OJ55" s="16"/>
      <c r="OK55" s="16"/>
      <c r="OL55" s="16"/>
      <c r="OM55" s="16"/>
      <c r="ON55" s="16"/>
      <c r="OO55" s="16"/>
      <c r="OP55" s="16"/>
      <c r="OQ55" s="16"/>
      <c r="OR55" s="16"/>
      <c r="OS55" s="16"/>
      <c r="OT55" s="16"/>
      <c r="OU55" s="16"/>
      <c r="OV55" s="16"/>
      <c r="OW55" s="16"/>
      <c r="OX55" s="16"/>
      <c r="OY55" s="16"/>
      <c r="OZ55" s="16"/>
      <c r="PA55" s="16"/>
      <c r="PB55" s="16"/>
      <c r="PC55" s="16"/>
      <c r="PD55" s="16"/>
      <c r="PE55" s="16"/>
      <c r="PF55" s="16"/>
      <c r="PG55" s="16"/>
      <c r="PH55" s="16"/>
      <c r="PI55" s="16" t="s">
        <v>2961</v>
      </c>
      <c r="PJ55" s="16"/>
      <c r="PK55" s="16"/>
      <c r="PL55" s="16"/>
      <c r="PM55" s="16"/>
      <c r="PN55" s="16"/>
      <c r="PO55" s="16"/>
      <c r="PP55" s="16"/>
      <c r="PQ55" s="16"/>
      <c r="PR55" s="16"/>
      <c r="PS55" s="16"/>
      <c r="PT55" s="16"/>
      <c r="PU55" s="16"/>
      <c r="PV55" s="16"/>
      <c r="PW55" s="16"/>
      <c r="PX55" s="16"/>
      <c r="PY55" s="16"/>
      <c r="PZ55" s="16"/>
      <c r="QA55" s="16"/>
      <c r="QB55" s="16"/>
      <c r="QC55" s="16"/>
      <c r="QD55" s="16"/>
      <c r="QE55" s="16"/>
      <c r="QF55" s="16"/>
      <c r="QG55" s="16"/>
      <c r="QH55" s="16"/>
      <c r="QI55" s="16"/>
      <c r="QJ55" s="16"/>
      <c r="QK55" s="16"/>
      <c r="QL55" s="16"/>
      <c r="QM55" s="16"/>
      <c r="QN55" s="16"/>
      <c r="QO55" s="16"/>
      <c r="QP55" s="16"/>
      <c r="QQ55" s="16"/>
      <c r="QR55" s="16"/>
      <c r="QS55" s="16"/>
      <c r="QT55" s="16"/>
      <c r="QU55" s="16"/>
      <c r="QV55" s="16"/>
      <c r="QW55" s="16"/>
      <c r="QX55" s="16"/>
      <c r="QY55" s="16"/>
      <c r="QZ55" s="16"/>
      <c r="RA55" s="16"/>
      <c r="RB55" s="16"/>
      <c r="RC55" s="16"/>
      <c r="RD55" s="16"/>
      <c r="RE55" s="16"/>
      <c r="RF55" s="16"/>
      <c r="RG55" s="16"/>
      <c r="RH55" s="16"/>
      <c r="RI55" s="16"/>
      <c r="RJ55" s="16"/>
      <c r="RK55" s="16"/>
      <c r="RL55" s="16"/>
      <c r="RM55" s="16"/>
      <c r="RN55" s="16"/>
      <c r="RO55" s="16"/>
      <c r="RP55" s="16"/>
      <c r="RQ55" s="16"/>
      <c r="RR55" s="16"/>
      <c r="RS55" s="16" t="s">
        <v>2961</v>
      </c>
      <c r="RT55" s="16"/>
      <c r="RU55" s="16"/>
      <c r="RV55" s="16"/>
      <c r="RW55" s="16"/>
      <c r="RX55" s="16"/>
      <c r="RY55" s="16"/>
      <c r="RZ55" s="16"/>
      <c r="SA55" s="16"/>
      <c r="SB55" s="16"/>
      <c r="SC55" s="16"/>
      <c r="SD55" s="16"/>
      <c r="SE55" s="16"/>
      <c r="SF55" s="16"/>
      <c r="SG55" s="16"/>
      <c r="SH55" s="16"/>
      <c r="SI55" s="16"/>
      <c r="SJ55" s="16"/>
      <c r="SK55" s="16"/>
      <c r="SL55" s="16"/>
      <c r="SM55" s="16"/>
      <c r="SN55" s="16"/>
      <c r="SO55" s="16"/>
      <c r="SP55" s="16"/>
      <c r="SQ55" s="16"/>
      <c r="SR55" s="16"/>
      <c r="SS55" s="16"/>
      <c r="ST55" s="16"/>
      <c r="SU55" s="16"/>
      <c r="SV55" s="16"/>
      <c r="SW55" s="16"/>
      <c r="SX55" s="16"/>
      <c r="SY55" s="16"/>
      <c r="SZ55" s="16"/>
      <c r="TA55" s="16"/>
      <c r="TB55" s="16"/>
      <c r="TC55" s="16"/>
      <c r="TD55" s="16"/>
      <c r="TE55" s="16"/>
      <c r="TF55" s="16"/>
      <c r="TG55" s="16"/>
      <c r="TH55" s="16"/>
      <c r="TI55" s="16"/>
      <c r="TJ55" s="16"/>
      <c r="TK55" s="16"/>
      <c r="TL55" s="16"/>
      <c r="TM55" s="16"/>
      <c r="TN55" s="16"/>
      <c r="TO55" s="16"/>
      <c r="TP55" s="16"/>
      <c r="TQ55" s="16"/>
      <c r="TR55" s="16"/>
      <c r="TS55" s="16"/>
      <c r="TT55" s="16"/>
      <c r="TU55" s="16"/>
      <c r="TV55" s="16"/>
      <c r="TW55" s="16"/>
      <c r="TX55" s="16"/>
      <c r="TY55" s="16"/>
      <c r="TZ55" s="16"/>
      <c r="UA55" s="16"/>
      <c r="UB55" s="16"/>
      <c r="UC55" s="16"/>
      <c r="UD55" s="16"/>
      <c r="UE55" s="16"/>
      <c r="UF55" s="16"/>
      <c r="UG55" s="16"/>
      <c r="UH55" s="16"/>
      <c r="UI55" s="16"/>
      <c r="UJ55" s="16"/>
      <c r="UK55" s="16"/>
      <c r="UL55" s="16"/>
      <c r="UM55" s="16"/>
      <c r="UN55" s="16"/>
      <c r="UO55" s="16"/>
      <c r="UP55" s="16"/>
      <c r="UQ55" s="16"/>
      <c r="UR55" s="16"/>
      <c r="US55" s="16"/>
      <c r="UT55" s="16"/>
      <c r="UU55" s="16"/>
      <c r="UV55" s="16"/>
      <c r="UW55" s="16"/>
      <c r="UX55" s="16"/>
      <c r="UY55" s="16"/>
      <c r="UZ55" s="16"/>
      <c r="VA55" s="16"/>
      <c r="VB55" s="16"/>
      <c r="VC55" s="16"/>
      <c r="VD55" s="16"/>
      <c r="VE55" s="16"/>
      <c r="VF55" s="16"/>
      <c r="VG55" s="16"/>
      <c r="VH55" s="16"/>
      <c r="VI55" s="16"/>
      <c r="VJ55" s="16"/>
      <c r="VK55" s="16"/>
      <c r="VL55" s="16"/>
      <c r="VM55" s="16"/>
      <c r="VN55" s="16"/>
      <c r="VO55" s="16"/>
      <c r="VP55" s="16"/>
      <c r="VQ55" s="16"/>
      <c r="VR55" s="16"/>
      <c r="VS55" s="16"/>
      <c r="VT55" s="16"/>
      <c r="VU55" s="16"/>
      <c r="VV55" s="16"/>
      <c r="VW55" s="16"/>
      <c r="VX55" s="16"/>
      <c r="VY55" s="16"/>
      <c r="VZ55" s="16"/>
      <c r="WA55" s="16"/>
      <c r="WB55" s="16"/>
      <c r="WC55" s="16"/>
      <c r="WD55" s="16"/>
      <c r="WE55" s="16"/>
      <c r="WF55" s="16"/>
      <c r="WG55" s="16"/>
      <c r="WH55" s="16"/>
      <c r="WI55" s="16"/>
      <c r="WJ55" s="16"/>
      <c r="WK55" s="16"/>
      <c r="WL55" s="16"/>
      <c r="WM55" s="16" t="s">
        <v>2961</v>
      </c>
      <c r="WN55" s="16"/>
      <c r="WO55" s="16"/>
      <c r="WP55" s="16"/>
      <c r="WQ55" s="16"/>
      <c r="WR55" s="16"/>
      <c r="WS55" s="16"/>
      <c r="WT55" s="16"/>
      <c r="WU55" s="16"/>
      <c r="WV55" s="16"/>
      <c r="WW55" s="16"/>
      <c r="WX55" s="16"/>
      <c r="WY55" s="16"/>
      <c r="WZ55" s="16"/>
      <c r="XA55" s="16"/>
      <c r="XB55" s="16"/>
      <c r="XC55" s="16"/>
      <c r="XD55" s="16"/>
      <c r="XE55" s="16"/>
      <c r="XF55" s="16"/>
      <c r="XG55" s="16"/>
      <c r="XH55" s="16"/>
      <c r="XI55" s="16"/>
      <c r="XJ55" s="16"/>
      <c r="XK55" s="16"/>
      <c r="XL55" s="16"/>
      <c r="XM55" s="16"/>
      <c r="XN55" s="16"/>
      <c r="XO55" s="16"/>
      <c r="XP55" s="16"/>
      <c r="XQ55" s="16"/>
      <c r="XR55" s="16"/>
      <c r="XS55" s="16"/>
      <c r="XT55" s="16"/>
      <c r="XU55" s="16"/>
      <c r="XV55" s="16"/>
      <c r="XW55" s="16"/>
      <c r="XX55" s="16"/>
      <c r="XY55" s="16"/>
      <c r="XZ55" s="16"/>
      <c r="YA55" s="16"/>
      <c r="YB55" s="16"/>
      <c r="YC55" s="16"/>
      <c r="YD55" s="16"/>
      <c r="YE55" s="16"/>
      <c r="YF55" s="16"/>
      <c r="YG55" s="16"/>
      <c r="YH55" s="16"/>
      <c r="YI55" s="16"/>
      <c r="YJ55" s="16"/>
      <c r="YK55" s="16"/>
      <c r="YL55" s="16"/>
      <c r="YM55" s="16"/>
      <c r="YN55" s="16"/>
      <c r="YO55" s="16"/>
      <c r="YP55" s="16"/>
      <c r="YQ55" s="16"/>
      <c r="YR55" s="16"/>
      <c r="YS55" s="16"/>
      <c r="YT55" s="16"/>
      <c r="YU55" s="16"/>
      <c r="YV55" s="16"/>
      <c r="YW55" s="16" t="s">
        <v>2961</v>
      </c>
      <c r="YX55" s="16"/>
      <c r="YY55" s="16"/>
      <c r="YZ55" s="16"/>
      <c r="ZA55" s="16"/>
      <c r="ZB55" s="16"/>
      <c r="ZC55" s="16"/>
      <c r="ZD55" s="16"/>
      <c r="ZE55" s="16"/>
      <c r="ZF55" s="16"/>
      <c r="ZG55" s="16"/>
      <c r="ZH55" s="16"/>
      <c r="ZI55" s="16"/>
      <c r="ZJ55" s="16"/>
      <c r="ZK55" s="16"/>
      <c r="ZL55" s="16"/>
      <c r="ZM55" s="16"/>
      <c r="ZN55" s="16"/>
      <c r="ZO55" s="16"/>
      <c r="ZP55" s="16"/>
      <c r="ZQ55" s="16"/>
      <c r="ZR55" s="16"/>
      <c r="ZS55" s="16"/>
      <c r="ZT55" s="16"/>
      <c r="ZU55" s="16"/>
      <c r="ZV55" s="16"/>
      <c r="ZW55" s="16"/>
      <c r="ZX55" s="16"/>
      <c r="ZY55" s="16"/>
      <c r="ZZ55" s="16"/>
      <c r="AAA55" s="16"/>
      <c r="AAB55" s="16"/>
      <c r="AAC55" s="16"/>
      <c r="AAD55" s="16"/>
      <c r="AAE55" s="16"/>
      <c r="AAF55" s="16"/>
      <c r="AAG55" s="16"/>
      <c r="AAH55" s="16"/>
      <c r="AAI55" s="16"/>
      <c r="AAJ55" s="16"/>
      <c r="AAK55" s="16"/>
      <c r="AAL55" s="16"/>
      <c r="AAM55" s="16"/>
      <c r="AAN55" s="16"/>
      <c r="AAO55" s="16"/>
      <c r="AAP55" s="16"/>
      <c r="AAQ55" s="16"/>
      <c r="AAR55" s="16"/>
      <c r="AAS55" s="16"/>
      <c r="AAT55" s="16"/>
      <c r="AAU55" s="16"/>
      <c r="AAV55" s="16"/>
      <c r="AAW55" s="16"/>
      <c r="AAX55" s="16"/>
      <c r="AAY55" s="16"/>
      <c r="AAZ55" s="16"/>
      <c r="ABA55" s="16"/>
      <c r="ABB55" s="16"/>
      <c r="ABC55" s="16"/>
      <c r="ABD55" s="16"/>
      <c r="ABE55" s="16"/>
      <c r="ABF55" s="16"/>
      <c r="ABG55" s="16"/>
      <c r="ABH55" s="16"/>
      <c r="ABI55" s="16"/>
      <c r="ABJ55" s="16"/>
      <c r="ABK55" s="16"/>
      <c r="ABL55" s="16"/>
      <c r="ABM55" s="16"/>
      <c r="ABN55" s="16"/>
      <c r="ABO55" s="16"/>
      <c r="ABP55" s="16"/>
      <c r="ABQ55" s="16"/>
      <c r="ABR55" s="16"/>
      <c r="ABS55" s="16"/>
      <c r="ABT55" s="16"/>
      <c r="ABU55" s="16"/>
      <c r="ABV55" s="16"/>
      <c r="ABW55" s="16"/>
      <c r="ABX55" s="16"/>
      <c r="ABY55" s="16"/>
      <c r="ABZ55" s="16"/>
      <c r="ACA55" s="16"/>
      <c r="ACB55" s="16"/>
      <c r="ACC55" s="16"/>
      <c r="ACD55" s="16"/>
      <c r="ACE55" s="16"/>
      <c r="ACF55" s="16"/>
      <c r="ACG55" s="16"/>
      <c r="ACH55" s="16"/>
      <c r="ACI55" s="16"/>
      <c r="ACJ55" s="16"/>
      <c r="ACK55" s="16"/>
      <c r="ACL55" s="16"/>
      <c r="ACM55" s="16"/>
      <c r="ACN55" s="16"/>
      <c r="ACO55" s="16"/>
      <c r="ACP55" s="16"/>
      <c r="ACQ55" s="16"/>
      <c r="ACR55" s="16"/>
      <c r="ACS55" s="16"/>
      <c r="ACT55" s="16"/>
      <c r="ACU55" s="16"/>
      <c r="ACV55" s="16"/>
      <c r="ACW55" s="16"/>
      <c r="ACX55" s="16"/>
      <c r="ACY55" s="16"/>
      <c r="ACZ55" s="16"/>
      <c r="ADA55" s="16"/>
      <c r="ADB55" s="16"/>
      <c r="ADC55" s="16"/>
      <c r="ADD55" s="16"/>
      <c r="ADE55" s="16"/>
      <c r="ADF55" s="16"/>
      <c r="ADG55" s="16"/>
      <c r="ADH55" s="16"/>
      <c r="ADI55" s="16"/>
      <c r="ADJ55" s="16"/>
      <c r="ADK55" s="16"/>
      <c r="ADL55" s="16"/>
      <c r="ADM55" s="16"/>
      <c r="ADN55" s="16"/>
      <c r="ADO55" s="16"/>
      <c r="ADP55" s="16"/>
      <c r="ADQ55" s="16"/>
      <c r="ADR55" s="16"/>
      <c r="ADS55" s="16"/>
      <c r="ADT55" s="16"/>
      <c r="ADU55" s="16"/>
      <c r="ADV55" s="16"/>
      <c r="ADW55" s="16"/>
      <c r="ADX55" s="16"/>
      <c r="ADY55" s="16"/>
      <c r="ADZ55" s="16"/>
      <c r="AEA55" s="16"/>
      <c r="AEB55" s="16"/>
      <c r="AEC55" s="16"/>
      <c r="AED55" s="16"/>
      <c r="AEE55" s="16"/>
      <c r="AEF55" s="16"/>
      <c r="AEG55" s="16"/>
      <c r="AEH55" s="16"/>
      <c r="AEI55" s="16"/>
      <c r="AEJ55" s="16"/>
      <c r="AEK55" s="16"/>
      <c r="AEL55" s="16"/>
      <c r="AEM55" s="16"/>
      <c r="AEN55" s="16"/>
      <c r="AEO55" s="16"/>
      <c r="AEP55" s="16"/>
      <c r="AEQ55" s="16"/>
      <c r="AER55" s="16"/>
      <c r="AES55" s="16"/>
      <c r="AET55" s="16"/>
      <c r="AEU55" s="16"/>
      <c r="AEV55" s="16"/>
      <c r="AEW55" s="16"/>
      <c r="AEX55" s="16"/>
      <c r="AEY55" s="16"/>
      <c r="AEZ55" s="16"/>
      <c r="AFA55" s="16"/>
      <c r="AFB55" s="16"/>
      <c r="AFC55" s="16"/>
      <c r="AFD55" s="16"/>
      <c r="AFE55" s="16"/>
      <c r="AFF55" s="16"/>
      <c r="AFG55" s="16"/>
      <c r="AFH55" s="16"/>
      <c r="AFI55" s="16"/>
      <c r="AFJ55" s="16"/>
      <c r="AFK55" s="16"/>
      <c r="AFL55" s="16"/>
      <c r="AFM55" s="16"/>
      <c r="AFN55" s="16"/>
      <c r="AFO55" s="16"/>
      <c r="AFP55" s="16"/>
      <c r="AFQ55" s="16"/>
      <c r="AFR55" s="16"/>
      <c r="AFS55" s="16"/>
      <c r="AFT55" s="16"/>
      <c r="AFU55" s="16"/>
      <c r="AFV55" s="16"/>
      <c r="AFW55" s="16"/>
      <c r="AFX55" s="16"/>
      <c r="AFY55" s="16"/>
      <c r="AFZ55" s="16"/>
      <c r="AGA55" s="16" t="s">
        <v>2961</v>
      </c>
      <c r="AGB55" s="16"/>
      <c r="AGC55" s="16"/>
      <c r="AGD55" s="16"/>
      <c r="AGE55" s="16"/>
      <c r="AGF55" s="16"/>
      <c r="AGG55" s="16"/>
      <c r="AGH55" s="16"/>
      <c r="AGI55" s="16"/>
      <c r="AGJ55" s="16"/>
      <c r="AGK55" s="16"/>
      <c r="AGL55" s="16"/>
      <c r="AGM55" s="16"/>
      <c r="AGN55" s="16"/>
      <c r="AGO55" s="16"/>
      <c r="AGP55" s="16"/>
      <c r="AGQ55" s="16"/>
      <c r="AGR55" s="16"/>
      <c r="AGS55" s="16"/>
      <c r="AGT55" s="16"/>
      <c r="AGU55" s="16"/>
      <c r="AGV55" s="16"/>
      <c r="AGW55" s="16"/>
      <c r="AGX55" s="16"/>
      <c r="AGY55" s="16"/>
      <c r="AGZ55" s="16"/>
      <c r="AHA55" s="16"/>
      <c r="AHB55" s="16"/>
      <c r="AHC55" s="16"/>
      <c r="AHD55" s="16"/>
      <c r="AHE55" s="16"/>
      <c r="AHF55" s="16"/>
      <c r="AHG55" s="16"/>
      <c r="AHH55" s="16"/>
      <c r="AHI55" s="16"/>
      <c r="AHJ55" s="16"/>
      <c r="AHK55" s="16"/>
      <c r="AHL55" s="16"/>
      <c r="AHM55" s="16"/>
      <c r="AHN55" s="16"/>
      <c r="AHO55" s="16"/>
      <c r="AHP55" s="16"/>
      <c r="AHQ55" s="16"/>
      <c r="AHR55" s="16"/>
      <c r="AHS55" s="16"/>
      <c r="AHT55" s="16"/>
      <c r="AHU55" s="16"/>
      <c r="AHV55" s="16"/>
      <c r="AHW55" s="16"/>
      <c r="AHX55" s="16"/>
      <c r="AHY55" s="16"/>
      <c r="AHZ55" s="16"/>
      <c r="AIA55" s="16"/>
      <c r="AIB55" s="16"/>
      <c r="AIC55" s="16"/>
      <c r="AID55" s="16"/>
      <c r="AIE55" s="16"/>
      <c r="AIF55" s="16"/>
      <c r="AIG55" s="16"/>
      <c r="AIH55" s="16"/>
      <c r="AII55" s="16"/>
      <c r="AIJ55" s="16"/>
      <c r="AIK55" s="16"/>
      <c r="AIL55" s="16"/>
      <c r="AIM55" s="16"/>
      <c r="AIN55" s="16"/>
      <c r="AIO55" s="16"/>
      <c r="AIP55" s="16"/>
      <c r="AIQ55" s="16"/>
      <c r="AIR55" s="16"/>
      <c r="AIS55" s="16"/>
      <c r="AIT55" s="16"/>
      <c r="AIU55" s="16"/>
      <c r="AIV55" s="16"/>
      <c r="AIW55" s="16"/>
      <c r="AIX55" s="16"/>
      <c r="AIY55" s="16"/>
      <c r="AIZ55" s="16"/>
      <c r="AJA55" s="16"/>
      <c r="AJB55" s="16"/>
      <c r="AJC55" s="16"/>
      <c r="AJD55" s="16"/>
      <c r="AJE55" s="16"/>
      <c r="AJF55" s="16"/>
      <c r="AJG55" s="16"/>
      <c r="AJH55" s="16"/>
      <c r="AJI55" s="16"/>
      <c r="AJJ55" s="16"/>
      <c r="AJK55" s="16"/>
      <c r="AJL55" s="16"/>
      <c r="AJM55" s="16"/>
      <c r="AJN55" s="16"/>
      <c r="AJO55" s="16"/>
      <c r="AJP55" s="16"/>
      <c r="AJQ55" s="16"/>
      <c r="AJR55" s="16"/>
      <c r="AJS55" s="16"/>
      <c r="AJT55" s="16"/>
      <c r="AJU55" s="16"/>
      <c r="AJV55" s="16"/>
      <c r="AJW55" s="16"/>
      <c r="AJX55" s="16"/>
      <c r="AJY55" s="16"/>
      <c r="AJZ55" s="16"/>
      <c r="AKA55" s="16"/>
      <c r="AKB55" s="16"/>
      <c r="AKC55" s="16"/>
      <c r="AKD55" s="16"/>
      <c r="AKE55" s="16"/>
      <c r="AKF55" s="16"/>
      <c r="AKG55" s="16"/>
      <c r="AKH55" s="16"/>
      <c r="AKI55" s="16"/>
      <c r="AKJ55" s="16"/>
      <c r="AKK55" s="16"/>
      <c r="AKL55" s="16"/>
      <c r="AKM55" s="16"/>
      <c r="AKN55" s="16"/>
      <c r="AKO55" s="16"/>
      <c r="AKP55" s="16"/>
      <c r="AKQ55" s="16"/>
      <c r="AKR55" s="16"/>
      <c r="AKS55" s="16"/>
      <c r="AKT55" s="16"/>
      <c r="AKU55" s="16"/>
      <c r="AKV55" s="16"/>
      <c r="AKW55" s="16"/>
      <c r="AKX55" s="16"/>
      <c r="AKY55" s="16"/>
      <c r="AKZ55" s="16"/>
      <c r="ALA55" s="16"/>
      <c r="ALB55" s="16"/>
      <c r="ALC55" s="16"/>
      <c r="ALD55" s="16"/>
      <c r="ALE55" s="16"/>
      <c r="ALF55" s="16"/>
      <c r="ALG55" s="16"/>
      <c r="ALH55" s="16"/>
      <c r="ALI55" s="16"/>
      <c r="ALJ55" s="16"/>
      <c r="ALK55" s="16"/>
      <c r="ALL55" s="16"/>
      <c r="ALM55" s="16"/>
      <c r="ALN55" s="16"/>
      <c r="ALO55" s="16"/>
      <c r="ALP55" s="16"/>
      <c r="ALQ55" s="16"/>
      <c r="ALR55" s="16"/>
      <c r="ALS55" s="16"/>
      <c r="ALT55" s="16"/>
      <c r="ALU55" s="16"/>
      <c r="ALV55" s="16"/>
      <c r="ALW55" s="16"/>
      <c r="ALX55" s="16"/>
      <c r="ALY55" s="16"/>
      <c r="ALZ55" s="16"/>
      <c r="AMA55" s="16"/>
      <c r="AMB55" s="16"/>
      <c r="AMC55" s="16"/>
      <c r="AMD55" s="16"/>
      <c r="AME55" s="16"/>
      <c r="AMF55" s="16"/>
      <c r="AMG55" s="16"/>
      <c r="AMH55" s="16"/>
      <c r="AMI55" s="16"/>
      <c r="AMJ55" s="16"/>
      <c r="AMK55" s="16"/>
      <c r="AML55" s="16"/>
      <c r="AMM55" s="16"/>
      <c r="AMN55" s="16"/>
      <c r="AMO55" s="16"/>
      <c r="AMP55" s="16"/>
      <c r="AMQ55" s="16"/>
      <c r="AMR55" s="16"/>
      <c r="AMS55" s="16"/>
      <c r="AMT55" s="16"/>
      <c r="AMU55" s="16"/>
      <c r="AMV55" s="16"/>
      <c r="AMW55" s="16"/>
      <c r="AMX55" s="16"/>
      <c r="AMY55" s="16"/>
      <c r="AMZ55" s="16"/>
      <c r="ANA55" s="16"/>
      <c r="ANB55" s="16"/>
      <c r="ANC55" s="16"/>
      <c r="AND55" s="16"/>
      <c r="ANE55" s="16"/>
      <c r="ANF55" s="16"/>
      <c r="ANG55" s="16"/>
      <c r="ANH55" s="16"/>
      <c r="ANI55" s="16"/>
      <c r="ANJ55" s="16"/>
      <c r="ANK55" s="16"/>
      <c r="ANL55" s="16"/>
      <c r="ANM55" s="16"/>
      <c r="ANN55" s="16"/>
      <c r="ANO55" s="16"/>
      <c r="ANP55" s="16"/>
      <c r="ANQ55" s="16"/>
      <c r="ANR55" s="16"/>
      <c r="ANS55" s="16"/>
      <c r="ANT55" s="16"/>
      <c r="ANU55" s="16"/>
      <c r="ANV55" s="16"/>
      <c r="ANW55" s="16"/>
      <c r="ANX55" s="16"/>
      <c r="ANY55" s="16"/>
      <c r="ANZ55" s="16"/>
      <c r="AOA55" s="16"/>
      <c r="AOB55" s="16"/>
      <c r="AOC55" s="16"/>
      <c r="AOD55" s="16"/>
      <c r="AOE55" s="16"/>
      <c r="AOF55" s="16"/>
      <c r="AOG55" s="16"/>
      <c r="AOH55" s="16"/>
      <c r="AOI55" s="16"/>
      <c r="AOJ55" s="16"/>
      <c r="AOK55" s="16"/>
      <c r="AOL55" s="16"/>
      <c r="AOM55" s="16"/>
      <c r="AON55" s="16"/>
      <c r="AOO55" s="16"/>
      <c r="AOP55" s="16"/>
      <c r="AOQ55" s="16"/>
      <c r="AOR55" s="16"/>
      <c r="AOS55" s="16"/>
      <c r="AOT55" s="16"/>
      <c r="AOU55" s="16"/>
      <c r="AOV55" s="16"/>
      <c r="AOW55" s="16"/>
      <c r="AOX55" s="16"/>
      <c r="AOY55" s="16"/>
      <c r="AOZ55" s="16"/>
      <c r="APA55" s="16"/>
      <c r="APB55" s="16"/>
      <c r="APC55" s="16"/>
      <c r="APD55" s="16"/>
      <c r="APE55" s="16"/>
      <c r="APF55" s="16"/>
      <c r="APG55" s="16"/>
      <c r="APH55" s="16"/>
      <c r="API55" s="16"/>
      <c r="APJ55" s="16"/>
      <c r="APK55" s="16"/>
      <c r="APL55" s="16"/>
      <c r="APM55" s="16"/>
      <c r="APN55" s="16"/>
      <c r="APO55" s="16"/>
      <c r="APP55" s="16"/>
      <c r="APQ55" s="16"/>
      <c r="APR55" s="16"/>
      <c r="APS55" s="16"/>
      <c r="APT55" s="16"/>
      <c r="APU55" s="16"/>
      <c r="APV55" s="16"/>
      <c r="APW55" s="16"/>
      <c r="APX55" s="16"/>
      <c r="APY55" s="16"/>
      <c r="APZ55" s="16"/>
      <c r="AQA55" s="16"/>
      <c r="AQB55" s="16"/>
      <c r="AQC55" s="16"/>
      <c r="AQD55" s="16"/>
      <c r="AQE55" s="16"/>
      <c r="AQF55" s="16"/>
      <c r="AQG55" s="16"/>
      <c r="AQH55" s="16"/>
      <c r="AQI55" s="16"/>
      <c r="AQJ55" s="16"/>
      <c r="AQK55" s="16"/>
      <c r="AQL55" s="16"/>
      <c r="AQM55" s="16"/>
      <c r="AQN55" s="16"/>
      <c r="AQO55" s="16"/>
      <c r="AQP55" s="16"/>
      <c r="AQQ55" s="16"/>
      <c r="AQR55" s="16"/>
      <c r="AQS55" s="16"/>
      <c r="AQT55" s="16"/>
      <c r="AQU55" s="16"/>
      <c r="AQV55" s="16"/>
      <c r="AQW55" s="16"/>
      <c r="AQX55" s="16"/>
      <c r="AQY55" s="16"/>
      <c r="AQZ55" s="16"/>
      <c r="ARA55" s="16"/>
      <c r="ARB55" s="16"/>
      <c r="ARC55" s="16"/>
      <c r="ARD55" s="16"/>
      <c r="ARE55" s="16"/>
      <c r="ARF55" s="16"/>
      <c r="ARG55" s="16"/>
      <c r="ARH55" s="16"/>
      <c r="ARI55" s="16"/>
      <c r="ARJ55" s="16"/>
      <c r="ARK55" s="16"/>
      <c r="ARL55" s="16"/>
      <c r="ARM55" s="16"/>
      <c r="ARN55" s="16"/>
      <c r="ARO55" s="16"/>
      <c r="ARP55" s="16"/>
      <c r="ARQ55" s="16"/>
      <c r="ARR55" s="16"/>
      <c r="ARS55" s="16"/>
      <c r="ART55" s="16"/>
      <c r="ARU55" s="16"/>
      <c r="ARV55" s="16"/>
      <c r="ARW55" s="16"/>
      <c r="ARX55" s="16"/>
      <c r="ARY55" s="16"/>
      <c r="ARZ55" s="16"/>
      <c r="ASA55" s="16"/>
      <c r="ASB55" s="16"/>
      <c r="ASC55" s="16"/>
      <c r="ASD55" s="16"/>
      <c r="ASE55" s="16"/>
      <c r="ASF55" s="16"/>
      <c r="ASG55" s="16"/>
      <c r="ASH55" s="16"/>
      <c r="ASI55" s="16"/>
      <c r="ASJ55" s="16"/>
      <c r="ASK55" s="16"/>
      <c r="ASL55" s="16"/>
      <c r="ASM55" s="16"/>
      <c r="ASN55" s="16"/>
      <c r="ASO55" s="16"/>
      <c r="ASP55" s="16"/>
      <c r="ASQ55" s="16"/>
      <c r="ASR55" s="16"/>
      <c r="ASS55" s="16"/>
      <c r="AST55" s="16"/>
      <c r="ASU55" s="16"/>
      <c r="ASV55" s="16"/>
      <c r="ASW55" s="16"/>
      <c r="ASX55" s="16"/>
      <c r="ASY55" s="16"/>
      <c r="ASZ55" s="16"/>
      <c r="ATA55" s="16"/>
      <c r="ATB55" s="16"/>
      <c r="ATC55" s="16"/>
      <c r="ATD55" s="16"/>
      <c r="ATE55" s="16"/>
      <c r="ATF55" s="16"/>
      <c r="ATG55" s="16"/>
      <c r="ATH55" s="16"/>
      <c r="ATI55" s="16"/>
      <c r="ATJ55" s="16"/>
      <c r="ATK55" s="16"/>
      <c r="ATL55" s="16"/>
      <c r="ATM55" s="16"/>
      <c r="ATN55" s="16"/>
      <c r="ATO55" s="16"/>
      <c r="ATP55" s="16"/>
      <c r="ATQ55" s="16"/>
      <c r="ATR55" s="16"/>
      <c r="ATS55" s="16"/>
      <c r="ATT55" s="16"/>
      <c r="ATU55" s="16"/>
      <c r="ATV55" s="16"/>
      <c r="ATW55" s="16"/>
      <c r="ATX55" s="16"/>
      <c r="ATY55" s="16"/>
      <c r="ATZ55" s="16"/>
      <c r="AUA55" s="16"/>
      <c r="AUB55" s="16"/>
      <c r="AUC55" s="16"/>
      <c r="AUD55" s="16"/>
      <c r="AUE55" s="16"/>
      <c r="AUF55" s="16"/>
      <c r="AUG55" s="16"/>
      <c r="AUH55" s="16"/>
      <c r="AUI55" s="16"/>
      <c r="AUJ55" s="16"/>
      <c r="AUK55" s="16"/>
      <c r="AUL55" s="16"/>
      <c r="AUM55" s="16"/>
      <c r="AUN55" s="16"/>
      <c r="AUO55" s="16"/>
      <c r="AUP55" s="16"/>
      <c r="AUQ55" s="16"/>
      <c r="AUR55" s="16"/>
      <c r="AUS55" s="16"/>
      <c r="AUT55" s="16"/>
      <c r="AUU55" s="16"/>
      <c r="AUV55" s="16"/>
      <c r="AUW55" s="16"/>
      <c r="AUX55" s="16"/>
      <c r="AUY55" s="16"/>
      <c r="AUZ55" s="16"/>
      <c r="AVA55" s="16"/>
      <c r="AVB55" s="16"/>
      <c r="AVC55" s="16"/>
      <c r="AVD55" s="16"/>
      <c r="AVE55" s="16"/>
      <c r="AVF55" s="16"/>
      <c r="AVG55" s="16"/>
      <c r="AVH55" s="16"/>
      <c r="AVI55" s="16"/>
      <c r="AVJ55" s="16"/>
      <c r="AVK55" s="16"/>
      <c r="AVL55" s="16"/>
      <c r="AVM55" s="16"/>
      <c r="AVN55" s="16"/>
      <c r="AVO55" s="16"/>
      <c r="AVP55" s="16"/>
      <c r="AVQ55" s="16"/>
      <c r="AVR55" s="16"/>
      <c r="AVS55" s="16"/>
      <c r="AVT55" s="16"/>
      <c r="AVU55" s="16"/>
      <c r="AVV55" s="16"/>
      <c r="AVW55" s="16"/>
      <c r="AVX55" s="16"/>
      <c r="AVY55" s="16"/>
      <c r="AVZ55" s="16"/>
      <c r="AWA55" s="16"/>
      <c r="AWB55" s="16"/>
      <c r="AWC55" s="16"/>
      <c r="AWD55" s="16"/>
      <c r="AWE55" s="16"/>
      <c r="AWF55" s="16"/>
      <c r="AWG55" s="16"/>
      <c r="AWH55" s="16"/>
      <c r="AWI55" s="16"/>
      <c r="AWJ55" s="16"/>
      <c r="AWK55" s="16"/>
      <c r="AWL55" s="16"/>
      <c r="AWM55" s="16"/>
      <c r="AWN55" s="16"/>
      <c r="AWO55" s="16"/>
      <c r="AWP55" s="16"/>
      <c r="AWQ55" s="16"/>
      <c r="AWR55" s="16"/>
      <c r="AWS55" s="16"/>
      <c r="AWT55" s="16"/>
      <c r="AWU55" s="16"/>
      <c r="AWV55" s="16"/>
      <c r="AWW55" s="16"/>
      <c r="AWX55" s="16"/>
      <c r="AWY55" s="16"/>
      <c r="AWZ55" s="16"/>
      <c r="AXA55" s="16"/>
      <c r="AXB55" s="16"/>
      <c r="AXC55" s="16"/>
      <c r="AXD55" s="16"/>
      <c r="AXE55" s="16"/>
      <c r="AXF55" s="16"/>
      <c r="AXG55" s="16"/>
      <c r="AXH55" s="16"/>
      <c r="AXI55" s="16"/>
      <c r="AXJ55" s="16"/>
      <c r="AXK55" s="16"/>
      <c r="AXL55" s="16"/>
      <c r="AXM55" s="16"/>
      <c r="AXN55" s="16"/>
      <c r="AXO55" s="16"/>
      <c r="AXP55" s="16"/>
      <c r="AXQ55" s="16"/>
      <c r="AXR55" s="16"/>
      <c r="AXS55" s="16"/>
      <c r="AXT55" s="16"/>
      <c r="AXU55" s="16"/>
      <c r="AXV55" s="16"/>
      <c r="AXW55" s="16"/>
      <c r="AXX55" s="16"/>
      <c r="AXY55" s="16"/>
      <c r="AXZ55" s="16"/>
      <c r="AYA55" s="16"/>
      <c r="AYB55" s="16"/>
      <c r="AYC55" s="16"/>
      <c r="AYD55" s="16"/>
      <c r="AYE55" s="16"/>
      <c r="AYF55" s="16"/>
      <c r="AYG55" s="16"/>
      <c r="AYH55" s="16"/>
      <c r="AYI55" s="16"/>
      <c r="AYJ55" s="16"/>
      <c r="AYK55" s="16"/>
      <c r="AYL55" s="16"/>
      <c r="AYM55" s="16"/>
      <c r="AYN55" s="16"/>
      <c r="AYO55" s="16"/>
      <c r="AYP55" s="16"/>
      <c r="AYQ55" s="16"/>
      <c r="AYR55" s="16"/>
      <c r="AYS55" s="16"/>
      <c r="AYT55" s="16"/>
      <c r="AYU55" s="16"/>
      <c r="AYV55" s="16"/>
      <c r="AYW55" s="16"/>
      <c r="AYX55" s="16"/>
      <c r="AYY55" s="16"/>
      <c r="AYZ55" s="16"/>
      <c r="AZA55" s="16"/>
      <c r="AZB55" s="16"/>
      <c r="AZC55" s="16"/>
      <c r="AZD55" s="16"/>
      <c r="AZE55" s="16"/>
      <c r="AZF55" s="16"/>
      <c r="AZG55" s="16"/>
      <c r="AZH55" s="16"/>
      <c r="AZI55" s="16"/>
      <c r="AZJ55" s="16"/>
      <c r="AZK55" s="16"/>
      <c r="AZL55" s="16"/>
      <c r="AZM55" s="16"/>
      <c r="AZN55" s="16"/>
      <c r="AZO55" s="16"/>
      <c r="AZP55" s="16"/>
      <c r="AZQ55" s="16"/>
      <c r="AZR55" s="16"/>
      <c r="AZS55" s="16"/>
      <c r="AZT55" s="16"/>
      <c r="AZU55" s="16"/>
      <c r="AZV55" s="16"/>
      <c r="AZW55" s="16"/>
      <c r="AZX55" s="16"/>
      <c r="AZY55" s="16"/>
      <c r="AZZ55" s="16"/>
      <c r="BAA55" s="16"/>
      <c r="BAB55" s="16"/>
      <c r="BAC55" s="16"/>
      <c r="BAD55" s="16"/>
      <c r="BAE55" s="16"/>
      <c r="BAF55" s="16"/>
      <c r="BAG55" s="16"/>
      <c r="BAH55" s="16"/>
      <c r="BAI55" s="16"/>
      <c r="BAJ55" s="16"/>
      <c r="BAK55" s="16"/>
      <c r="BAL55" s="16"/>
      <c r="BAM55" s="16"/>
      <c r="BAN55" s="16"/>
      <c r="BAO55" s="16"/>
      <c r="BAP55" s="16"/>
      <c r="BAQ55" s="16"/>
      <c r="BAR55" s="16"/>
      <c r="BAS55" s="16"/>
      <c r="BAT55" s="16"/>
      <c r="BAU55" s="16"/>
      <c r="BAV55" s="16"/>
      <c r="BAW55" s="16"/>
      <c r="BAX55" s="16"/>
      <c r="BAY55" s="16"/>
      <c r="BAZ55" s="16"/>
      <c r="BBA55" s="16"/>
      <c r="BBB55" s="16"/>
      <c r="BBC55" s="16"/>
      <c r="BBD55" s="16"/>
      <c r="BBE55" s="16"/>
      <c r="BBF55" s="16"/>
      <c r="BBG55" s="16"/>
      <c r="BBH55" s="16"/>
      <c r="BBI55" s="16"/>
      <c r="BBJ55" s="16"/>
      <c r="BBK55" s="16"/>
      <c r="BBL55" s="16"/>
      <c r="BBM55" s="16"/>
      <c r="BBN55" s="16"/>
      <c r="BBO55" s="16"/>
      <c r="BBP55" s="16"/>
      <c r="BBQ55" s="16"/>
      <c r="BBR55" s="16"/>
      <c r="BBS55" s="16"/>
      <c r="BBT55" s="16"/>
      <c r="BBU55" s="16"/>
      <c r="BBV55" s="16"/>
      <c r="BBW55" s="16"/>
      <c r="BBX55" s="16"/>
      <c r="BBY55" s="16"/>
      <c r="BBZ55" s="16"/>
      <c r="BCA55" s="16"/>
      <c r="BCB55" s="16"/>
      <c r="BCC55" s="16"/>
      <c r="BCD55" s="16"/>
      <c r="BCE55" s="16"/>
      <c r="BCF55" s="16"/>
      <c r="BCG55" s="16"/>
      <c r="BCH55" s="16"/>
      <c r="BCI55" s="16"/>
      <c r="BCJ55" s="16"/>
      <c r="BCK55" s="16"/>
      <c r="BCL55" s="16"/>
      <c r="BCM55" s="16"/>
      <c r="BCN55" s="16"/>
      <c r="BCO55" s="16"/>
      <c r="BCP55" s="16"/>
      <c r="BCQ55" s="16"/>
      <c r="BCR55" s="16"/>
      <c r="BCS55" s="16"/>
      <c r="BCT55" s="16"/>
      <c r="BCU55" s="16"/>
      <c r="BCV55" s="16"/>
      <c r="BCW55" s="16"/>
      <c r="BCX55" s="16"/>
      <c r="BCY55" s="16"/>
      <c r="BCZ55" s="16"/>
      <c r="BDA55" s="16"/>
      <c r="BDB55" s="16"/>
      <c r="BDC55" s="16"/>
      <c r="BDD55" s="16"/>
      <c r="BDE55" s="16"/>
      <c r="BDF55" s="16"/>
      <c r="BDG55" s="16"/>
      <c r="BDH55" s="16"/>
      <c r="BDI55" s="16"/>
      <c r="BDJ55" s="16"/>
      <c r="BDK55" s="16"/>
      <c r="BDL55" s="16"/>
      <c r="BDM55" s="16"/>
      <c r="BDN55" s="16"/>
      <c r="BDO55" s="16"/>
      <c r="BDP55" s="16"/>
      <c r="BDQ55" s="16"/>
      <c r="BDR55" s="16"/>
      <c r="BDS55" s="16"/>
      <c r="BDT55" s="16"/>
      <c r="BDU55" s="16"/>
      <c r="BDV55" s="16"/>
      <c r="BDW55" s="16"/>
      <c r="BDX55" s="16"/>
      <c r="BDY55" s="16"/>
      <c r="BDZ55" s="16"/>
      <c r="BEA55" s="16"/>
      <c r="BEB55" s="16"/>
      <c r="BEC55" s="16"/>
      <c r="BED55" s="16"/>
      <c r="BEE55" s="16"/>
      <c r="BEF55" s="16"/>
      <c r="BEG55" s="16"/>
      <c r="BEH55" s="16"/>
      <c r="BEI55" s="16"/>
      <c r="BEJ55" s="16"/>
      <c r="BEK55" s="16"/>
      <c r="BEL55" s="16"/>
      <c r="BEM55" s="16"/>
      <c r="BEN55" s="16"/>
      <c r="BEO55" s="16"/>
      <c r="BEP55" s="16"/>
      <c r="BEQ55" s="16"/>
      <c r="BER55" s="16"/>
      <c r="BES55" s="16"/>
      <c r="BET55" s="16"/>
      <c r="BEU55" s="16"/>
      <c r="BEV55" s="16"/>
      <c r="BEW55" s="16"/>
      <c r="BEX55" s="16"/>
      <c r="BEY55" s="16"/>
      <c r="BEZ55" s="16"/>
      <c r="BFA55" s="16"/>
      <c r="BFB55" s="16"/>
      <c r="BFC55" s="16"/>
      <c r="BFD55" s="16"/>
      <c r="BFE55" s="16"/>
      <c r="BFF55" s="16"/>
      <c r="BFG55" s="16"/>
      <c r="BFH55" s="16"/>
      <c r="BFI55" s="16"/>
      <c r="BFJ55" s="16"/>
      <c r="BFK55" s="16"/>
      <c r="BFL55" s="16"/>
      <c r="BFM55" s="16"/>
      <c r="BFN55" s="16"/>
      <c r="BFO55" s="16"/>
      <c r="BFP55" s="16"/>
      <c r="BFQ55" s="16"/>
      <c r="BFR55" s="16"/>
      <c r="BFS55" s="16"/>
      <c r="BFT55" s="16"/>
      <c r="BFU55" s="16"/>
      <c r="BFV55" s="16"/>
      <c r="BFW55" s="16"/>
      <c r="BFX55" s="16"/>
      <c r="BFY55" s="16"/>
      <c r="BFZ55" s="16"/>
      <c r="BGA55" s="16"/>
      <c r="BGB55" s="16"/>
      <c r="BGC55" s="16"/>
      <c r="BGD55" s="16"/>
      <c r="BGE55" s="16"/>
      <c r="BGF55" s="16"/>
      <c r="BGG55" s="16"/>
      <c r="BGH55" s="16"/>
      <c r="BGI55" s="16"/>
      <c r="BGJ55" s="16"/>
      <c r="BGK55" s="16"/>
      <c r="BGL55" s="16"/>
      <c r="BGM55" s="16"/>
      <c r="BGN55" s="16"/>
      <c r="BGO55" s="16"/>
      <c r="BGP55" s="16"/>
      <c r="BGQ55" s="16"/>
      <c r="BGR55" s="16"/>
      <c r="BGS55" s="16"/>
      <c r="BGT55" s="16"/>
      <c r="BGU55" s="16"/>
      <c r="BGV55" s="16"/>
      <c r="BGW55" s="16"/>
      <c r="BGX55" s="16"/>
      <c r="BGY55" s="16"/>
      <c r="BGZ55" s="16"/>
      <c r="BHA55" s="16"/>
      <c r="BHB55" s="16"/>
      <c r="BHC55" s="16"/>
      <c r="BHD55" s="16"/>
      <c r="BHE55" s="16"/>
      <c r="BHF55" s="16"/>
      <c r="BHG55" s="16"/>
      <c r="BHH55" s="16"/>
      <c r="BHI55" s="16"/>
      <c r="BHJ55" s="16"/>
      <c r="BHK55" s="16"/>
      <c r="BHL55" s="16"/>
      <c r="BHM55" s="16"/>
      <c r="BHN55" s="16"/>
      <c r="BHO55" s="16"/>
      <c r="BHP55" s="16"/>
      <c r="BHQ55" s="16"/>
      <c r="BHR55" s="16"/>
      <c r="BHS55" s="16"/>
      <c r="BHT55" s="16"/>
      <c r="BHU55" s="16"/>
      <c r="BHV55" s="16"/>
      <c r="BHW55" s="16"/>
      <c r="BHX55" s="16"/>
      <c r="BHY55" s="16"/>
      <c r="BHZ55" s="16"/>
      <c r="BIA55" s="16"/>
      <c r="BIB55" s="16"/>
      <c r="BIC55" s="16"/>
      <c r="BID55" s="16"/>
      <c r="BIE55" s="16"/>
      <c r="BIF55" s="16"/>
      <c r="BIG55" s="16"/>
      <c r="BIH55" s="16"/>
      <c r="BII55" s="16"/>
      <c r="BIJ55" s="16"/>
      <c r="BIK55" s="16"/>
      <c r="BIL55" s="16"/>
      <c r="BIM55" s="16"/>
      <c r="BIN55" s="16"/>
      <c r="BIO55" s="16"/>
      <c r="BIP55" s="16"/>
      <c r="BIQ55" s="16"/>
      <c r="BIR55" s="16"/>
      <c r="BIS55" s="16"/>
      <c r="BIT55" s="16"/>
      <c r="BIU55" s="16"/>
      <c r="BIV55" s="16"/>
      <c r="BIW55" s="16"/>
      <c r="BIX55" s="16"/>
      <c r="BIY55" s="16"/>
      <c r="BIZ55" s="16"/>
      <c r="BJA55" s="16"/>
      <c r="BJB55" s="16"/>
      <c r="BJC55" s="16"/>
      <c r="BJD55" s="16"/>
      <c r="BJE55" s="16"/>
      <c r="BJF55" s="16"/>
      <c r="BJG55" s="16"/>
      <c r="BJH55" s="16"/>
      <c r="BJI55" s="16"/>
      <c r="BJJ55" s="16"/>
      <c r="BJK55" s="16"/>
      <c r="BJL55" s="16"/>
      <c r="BJM55" s="16"/>
      <c r="BJN55" s="16"/>
      <c r="BJO55" s="16"/>
      <c r="BJP55" s="16"/>
      <c r="BJQ55" s="16"/>
      <c r="BJR55" s="16"/>
      <c r="BJS55" s="16"/>
      <c r="BJT55" s="16"/>
      <c r="BJU55" s="16"/>
      <c r="BJV55" s="16"/>
      <c r="BJW55" s="16"/>
      <c r="BJX55" s="16"/>
      <c r="BJY55" s="16"/>
      <c r="BJZ55" s="16"/>
      <c r="BKA55" s="16"/>
      <c r="BKB55" s="16"/>
      <c r="BKC55" s="16"/>
      <c r="BKD55" s="16"/>
      <c r="BKE55" s="16"/>
      <c r="BKF55" s="16"/>
      <c r="BKG55" s="16"/>
      <c r="BKH55" s="16"/>
      <c r="BKI55" s="16"/>
      <c r="BKJ55" s="16"/>
      <c r="BKK55" s="16"/>
      <c r="BKL55" s="16"/>
      <c r="BKM55" s="16"/>
      <c r="BKN55" s="16"/>
      <c r="BKO55" s="16"/>
      <c r="BKP55" s="16"/>
      <c r="BKQ55" s="16"/>
      <c r="BKR55" s="16"/>
      <c r="BKS55" s="16"/>
      <c r="BKT55" s="16"/>
      <c r="BKU55" s="16"/>
      <c r="BKV55" s="16"/>
      <c r="BKW55" s="16"/>
      <c r="BKX55" s="16"/>
      <c r="BKY55" s="16"/>
      <c r="BKZ55" s="16"/>
      <c r="BLA55" s="16"/>
      <c r="BLB55" s="16"/>
      <c r="BLC55" s="16"/>
      <c r="BLD55" s="16"/>
      <c r="BLE55" s="16"/>
      <c r="BLF55" s="16"/>
      <c r="BLG55" s="16"/>
      <c r="BLH55" s="16"/>
      <c r="BLI55" s="16"/>
      <c r="BLJ55" s="16"/>
      <c r="BLK55" s="16"/>
      <c r="BLL55" s="16"/>
      <c r="BLM55" s="16"/>
      <c r="BLN55" s="16"/>
      <c r="BLO55" s="16"/>
      <c r="BLP55" s="16"/>
      <c r="BLQ55" s="16"/>
      <c r="BLR55" s="16"/>
      <c r="BLS55" s="16"/>
      <c r="BLT55" s="16"/>
      <c r="BLU55" s="16"/>
      <c r="BLV55" s="16"/>
      <c r="BLW55" s="16"/>
      <c r="BLX55" s="16"/>
      <c r="BLY55" s="16"/>
      <c r="BLZ55" s="16"/>
      <c r="BMA55" s="16"/>
      <c r="BMB55" s="16"/>
      <c r="BMC55" s="16"/>
      <c r="BMD55" s="16"/>
      <c r="BME55" s="16"/>
      <c r="BMF55" s="16"/>
      <c r="BMG55" s="16"/>
      <c r="BMH55" s="16"/>
      <c r="BMI55" s="16"/>
      <c r="BMJ55" s="16"/>
      <c r="BMK55" s="16"/>
      <c r="BML55" s="16"/>
      <c r="BMM55" s="16"/>
      <c r="BMN55" s="16"/>
      <c r="BMO55" s="16"/>
      <c r="BMP55" s="16"/>
      <c r="BMQ55" s="16"/>
      <c r="BMR55" s="16"/>
      <c r="BMS55" s="16"/>
      <c r="BMT55" s="16"/>
      <c r="BMU55" s="16"/>
      <c r="BMV55" s="16"/>
      <c r="BMW55" s="16"/>
      <c r="BMX55" s="16"/>
      <c r="BMY55" s="16"/>
      <c r="BMZ55" s="16"/>
      <c r="BNA55" s="16"/>
      <c r="BNB55" s="16"/>
      <c r="BNC55" s="16"/>
      <c r="BND55" s="16"/>
      <c r="BNE55" s="16"/>
      <c r="BNF55" s="16"/>
      <c r="BNG55" s="16"/>
      <c r="BNH55" s="16"/>
      <c r="BNI55" s="16"/>
      <c r="BNJ55" s="16"/>
      <c r="BNK55" s="16"/>
      <c r="BNL55" s="16"/>
      <c r="BNM55" s="16"/>
      <c r="BNN55" s="16"/>
      <c r="BNO55" s="16"/>
      <c r="BNP55" s="16"/>
      <c r="BNQ55" s="16"/>
      <c r="BNR55" s="16"/>
      <c r="BNS55" s="16"/>
      <c r="BNT55" s="16"/>
      <c r="BNU55" s="16"/>
      <c r="BNV55" s="16"/>
      <c r="BNW55" s="16"/>
      <c r="BNX55" s="16"/>
      <c r="BNY55" s="16"/>
      <c r="BNZ55" s="16"/>
      <c r="BOA55" s="16"/>
      <c r="BOB55" s="16"/>
      <c r="BOC55" s="16"/>
      <c r="BOD55" s="16"/>
      <c r="BOE55" s="16"/>
      <c r="BOF55" s="16"/>
      <c r="BOG55" s="16"/>
      <c r="BOH55" s="16"/>
      <c r="BOI55" s="16"/>
      <c r="BOJ55" s="16"/>
      <c r="BOK55" s="16"/>
      <c r="BOL55" s="16"/>
      <c r="BOM55" s="16"/>
      <c r="BON55" s="16"/>
      <c r="BOO55" s="16"/>
      <c r="BOP55" s="16"/>
      <c r="BOQ55" s="16"/>
      <c r="BOR55" s="16"/>
      <c r="BOS55" s="16"/>
      <c r="BOT55" s="16"/>
      <c r="BOU55" s="16"/>
      <c r="BOV55" s="16"/>
      <c r="BOW55" s="16"/>
      <c r="BOX55" s="16"/>
      <c r="BOY55" s="16"/>
      <c r="BOZ55" s="16"/>
      <c r="BPA55" s="16"/>
      <c r="BPB55" s="16"/>
      <c r="BPC55" s="16"/>
      <c r="BPD55" s="16"/>
      <c r="BPE55" s="16"/>
      <c r="BPF55" s="16"/>
      <c r="BPG55" s="16"/>
      <c r="BPH55" s="16"/>
      <c r="BPI55" s="16"/>
      <c r="BPJ55" s="16"/>
      <c r="BPK55" s="16"/>
      <c r="BPL55" s="16"/>
      <c r="BPM55" s="16"/>
      <c r="BPN55" s="16"/>
      <c r="BPO55" s="16"/>
      <c r="BPP55" s="16"/>
      <c r="BPQ55" s="16"/>
      <c r="BPR55" s="16"/>
      <c r="BPS55" s="16"/>
      <c r="BPT55" s="16"/>
      <c r="BPU55" s="16"/>
      <c r="BPV55" s="16"/>
      <c r="BPW55" s="16"/>
      <c r="BPX55" s="16"/>
      <c r="BPY55" s="16"/>
      <c r="BPZ55" s="16"/>
      <c r="BQA55" s="16"/>
      <c r="BQB55" s="16"/>
      <c r="BQC55" s="16"/>
      <c r="BQD55" s="16"/>
      <c r="BQE55" s="16"/>
      <c r="BQF55" s="16"/>
      <c r="BQG55" s="16"/>
      <c r="BQH55" s="16"/>
      <c r="BQI55" s="16"/>
      <c r="BQJ55" s="16"/>
      <c r="BQK55" s="16"/>
      <c r="BQL55" s="16"/>
      <c r="BQM55" s="16"/>
      <c r="BQN55" s="16"/>
      <c r="BQO55" s="16"/>
      <c r="BQP55" s="16"/>
      <c r="BQQ55" s="16"/>
      <c r="BQR55" s="16"/>
      <c r="BQS55" s="16"/>
      <c r="BQT55" s="16"/>
      <c r="BQU55" s="16"/>
      <c r="BQV55" s="16"/>
      <c r="BQW55" s="16"/>
      <c r="BQX55" s="16"/>
      <c r="BQY55" s="16"/>
      <c r="BQZ55" s="16"/>
      <c r="BRA55" s="16"/>
      <c r="BRB55" s="16"/>
      <c r="BRC55" s="16"/>
      <c r="BRD55" s="16"/>
      <c r="BRE55" s="16"/>
      <c r="BRF55" s="16"/>
      <c r="BRG55" s="16"/>
      <c r="BRH55" s="16"/>
      <c r="BRI55" s="16"/>
      <c r="BRJ55" s="16"/>
      <c r="BRK55" s="16"/>
      <c r="BRL55" s="16"/>
      <c r="BRM55" s="16"/>
      <c r="BRN55" s="16"/>
      <c r="BRO55" s="16"/>
      <c r="BRP55" s="16"/>
      <c r="BRQ55" s="16"/>
      <c r="BRR55" s="16"/>
      <c r="BRS55" s="16"/>
      <c r="BRT55" s="16"/>
      <c r="BRU55" s="16"/>
      <c r="BRV55" s="16"/>
      <c r="BRW55" s="16"/>
      <c r="BRX55" s="16"/>
      <c r="BRY55" s="16"/>
      <c r="BRZ55" s="16"/>
      <c r="BSA55" s="16"/>
      <c r="BSB55" s="16"/>
      <c r="BSC55" s="16"/>
      <c r="BSD55" s="16"/>
      <c r="BSE55" s="16"/>
      <c r="BSF55" s="16"/>
      <c r="BSG55" s="16"/>
      <c r="BSH55" s="16"/>
      <c r="BSI55" s="16"/>
      <c r="BSJ55" s="16"/>
      <c r="BSK55" s="16"/>
      <c r="BSL55" s="16"/>
      <c r="BSM55" s="16"/>
      <c r="BSN55" s="16"/>
      <c r="BSO55" s="16"/>
      <c r="BSP55" s="16"/>
      <c r="BSQ55" s="16"/>
      <c r="BSR55" s="16"/>
      <c r="BSS55" s="16"/>
      <c r="BST55" s="16"/>
      <c r="BSU55" s="16"/>
      <c r="BSV55" s="16"/>
      <c r="BSW55" s="16"/>
      <c r="BSX55" s="16"/>
      <c r="BSY55" s="16"/>
      <c r="BSZ55" s="16"/>
      <c r="BTA55" s="16"/>
      <c r="BTB55" s="16"/>
      <c r="BTC55" s="16"/>
      <c r="BTD55" s="16"/>
      <c r="BTE55" s="16"/>
      <c r="BTF55" s="16"/>
      <c r="BTG55" s="16"/>
      <c r="BTH55" s="16"/>
      <c r="BTI55" s="16"/>
      <c r="BTJ55" s="16"/>
      <c r="BTK55" s="16"/>
      <c r="BTL55" s="16"/>
      <c r="BTM55" s="16"/>
      <c r="BTN55" s="16"/>
      <c r="BTO55" s="16"/>
      <c r="BTP55" s="16"/>
      <c r="BTQ55" s="16"/>
      <c r="BTR55" s="16"/>
      <c r="BTS55" s="16"/>
      <c r="BTT55" s="16"/>
      <c r="BTU55" s="16"/>
      <c r="BTV55" s="16"/>
      <c r="BTW55" s="16"/>
      <c r="BTX55" s="16"/>
      <c r="BTY55" s="16"/>
      <c r="BTZ55" s="16"/>
      <c r="BUA55" s="16"/>
      <c r="BUB55" s="16"/>
      <c r="BUC55" s="16"/>
      <c r="BUD55" s="16"/>
      <c r="BUE55" s="16"/>
      <c r="BUF55" s="16"/>
      <c r="BUG55" s="16"/>
      <c r="BUH55" s="16"/>
      <c r="BUI55" s="16"/>
      <c r="BUJ55" s="16"/>
      <c r="BUK55" s="16"/>
      <c r="BUL55" s="16"/>
      <c r="BUM55" s="16"/>
      <c r="BUN55" s="16"/>
      <c r="BUO55" s="16"/>
      <c r="BUP55" s="16"/>
      <c r="BUQ55" s="16"/>
      <c r="BUR55" s="16"/>
      <c r="BUS55" s="16"/>
      <c r="BUT55" s="16"/>
      <c r="BUU55" s="16"/>
      <c r="BUV55" s="16"/>
      <c r="BUW55" s="16"/>
      <c r="BUX55" s="16"/>
      <c r="BUY55" s="16"/>
      <c r="BUZ55" s="16"/>
      <c r="BVA55" s="16"/>
      <c r="BVB55" s="16"/>
      <c r="BVC55" s="16"/>
      <c r="BVD55" s="16"/>
      <c r="BVE55" s="16"/>
      <c r="BVF55" s="16"/>
      <c r="BVG55" s="16"/>
      <c r="BVH55" s="16"/>
      <c r="BVI55" s="16"/>
      <c r="BVJ55" s="16"/>
      <c r="BVK55" s="16"/>
      <c r="BVL55" s="16"/>
      <c r="BVM55" s="16"/>
      <c r="BVN55" s="16"/>
      <c r="BVO55" s="16"/>
      <c r="BVP55" s="16"/>
      <c r="BVQ55" s="16"/>
      <c r="BVR55" s="16"/>
      <c r="BVS55" s="16"/>
      <c r="BVT55" s="16"/>
      <c r="BVU55" s="16"/>
      <c r="BVV55" s="16"/>
      <c r="BVW55" s="16"/>
      <c r="BVX55" s="16"/>
      <c r="BVY55" s="16"/>
      <c r="BVZ55" s="16"/>
      <c r="BWA55" s="16"/>
      <c r="BWB55" s="16"/>
      <c r="BWC55" s="16"/>
      <c r="BWD55" s="16"/>
      <c r="BWE55" s="16"/>
      <c r="BWF55" s="16"/>
      <c r="BWG55" s="16"/>
      <c r="BWH55" s="16"/>
      <c r="BWI55" s="16"/>
      <c r="BWJ55" s="16"/>
      <c r="BWK55" s="16"/>
      <c r="BWL55" s="16"/>
      <c r="BWM55" s="16"/>
      <c r="BWN55" s="16"/>
      <c r="BWO55" s="16"/>
      <c r="BWP55" s="16"/>
      <c r="BWQ55" s="16"/>
      <c r="BWR55" s="16"/>
      <c r="BWS55" s="16"/>
      <c r="BWT55" s="16"/>
      <c r="BWU55" s="16"/>
      <c r="BWV55" s="16"/>
      <c r="BWW55" s="16"/>
      <c r="BWX55" s="16"/>
      <c r="BWY55" s="16"/>
      <c r="BWZ55" s="16"/>
      <c r="BXA55" s="16"/>
      <c r="BXB55" s="16"/>
      <c r="BXC55" s="16"/>
      <c r="BXD55" s="16"/>
      <c r="BXE55" s="16"/>
      <c r="BXF55" s="16"/>
      <c r="BXG55" s="16"/>
      <c r="BXH55" s="16"/>
      <c r="BXI55" s="16"/>
      <c r="BXJ55" s="16"/>
      <c r="BXK55" s="16"/>
      <c r="BXL55" s="16"/>
      <c r="BXM55" s="16"/>
      <c r="BXN55" s="16"/>
      <c r="BXO55" s="16"/>
      <c r="BXP55" s="16"/>
      <c r="BXQ55" s="16"/>
      <c r="BXR55" s="16"/>
      <c r="BXS55" s="16"/>
      <c r="BXT55" s="16"/>
      <c r="BXU55" s="16"/>
      <c r="BXV55" s="16"/>
      <c r="BXW55" s="16"/>
      <c r="BXX55" s="16"/>
      <c r="BXY55" s="16"/>
      <c r="BXZ55" s="16"/>
      <c r="BYA55" s="16"/>
      <c r="BYB55" s="16"/>
      <c r="BYC55" s="16"/>
      <c r="BYD55" s="16"/>
      <c r="BYE55" s="16"/>
      <c r="BYF55" s="16"/>
      <c r="BYG55" s="16"/>
      <c r="BYH55" s="16"/>
      <c r="BYI55" s="16"/>
      <c r="BYJ55" s="16"/>
      <c r="BYK55" s="16"/>
      <c r="BYL55" s="16"/>
      <c r="BYM55" s="16"/>
      <c r="BYN55" s="16"/>
      <c r="BYO55" s="16"/>
      <c r="BYP55" s="16"/>
      <c r="BYQ55" s="16"/>
      <c r="BYR55" s="16"/>
      <c r="BYS55" s="16"/>
      <c r="BYT55" s="16"/>
      <c r="BYU55" s="16"/>
      <c r="BYV55" s="16"/>
      <c r="BYW55" s="16"/>
      <c r="BYX55" s="16"/>
      <c r="BYY55" s="16"/>
      <c r="BYZ55" s="16"/>
      <c r="BZA55" s="16"/>
      <c r="BZB55" s="16"/>
      <c r="BZC55" s="16"/>
      <c r="BZD55" s="16"/>
      <c r="BZE55" s="16"/>
      <c r="BZF55" s="16"/>
      <c r="BZG55" s="16"/>
      <c r="BZH55" s="16"/>
      <c r="BZI55" s="16"/>
      <c r="BZJ55" s="16"/>
      <c r="BZK55" s="16"/>
      <c r="BZL55" s="16"/>
      <c r="BZM55" s="16"/>
      <c r="BZN55" s="16"/>
      <c r="BZO55" s="16"/>
      <c r="BZP55" s="16"/>
      <c r="BZQ55" s="16"/>
      <c r="BZR55" s="16"/>
      <c r="BZS55" s="16"/>
      <c r="BZT55" s="16"/>
      <c r="BZU55" s="16"/>
      <c r="BZV55" s="16"/>
      <c r="BZW55" s="16"/>
      <c r="BZX55" s="16"/>
      <c r="BZY55" s="16"/>
      <c r="BZZ55" s="16"/>
      <c r="CAA55" s="16"/>
      <c r="CAB55" s="16"/>
      <c r="CAC55" s="16"/>
      <c r="CAD55" s="16"/>
      <c r="CAE55" s="16"/>
      <c r="CAF55" s="16"/>
      <c r="CAG55" s="16"/>
      <c r="CAH55" s="16"/>
      <c r="CAI55" s="16"/>
      <c r="CAJ55" s="16"/>
      <c r="CAK55" s="16"/>
      <c r="CAL55" s="16"/>
      <c r="CAM55" s="16"/>
      <c r="CAN55" s="16"/>
      <c r="CAO55" s="16"/>
      <c r="CAP55" s="16"/>
      <c r="CAQ55" s="16"/>
      <c r="CAR55" s="16"/>
      <c r="CAS55" s="16"/>
      <c r="CAT55" s="16"/>
      <c r="CAU55" s="16"/>
      <c r="CAV55" s="16"/>
      <c r="CAW55" s="16"/>
      <c r="CAX55" s="16"/>
      <c r="CAY55" s="16"/>
      <c r="CAZ55" s="16"/>
      <c r="CBA55" s="16"/>
      <c r="CBB55" s="16"/>
      <c r="CBC55" s="16"/>
      <c r="CBD55" s="16"/>
      <c r="CBE55" s="16"/>
      <c r="CBF55" s="16"/>
      <c r="CBG55" s="16"/>
      <c r="CBH55" s="16"/>
      <c r="CBI55" s="16"/>
      <c r="CBJ55" s="16"/>
      <c r="CBK55" s="16"/>
      <c r="CBL55" s="16"/>
      <c r="CBM55" s="16"/>
      <c r="CBN55" s="16"/>
      <c r="CBO55" s="16"/>
      <c r="CBP55" s="16"/>
      <c r="CBQ55" s="16"/>
      <c r="CBR55" s="16"/>
      <c r="CBS55" s="16"/>
      <c r="CBT55" s="16"/>
      <c r="CBU55" s="16"/>
      <c r="CBV55" s="16"/>
      <c r="CBW55" s="16"/>
      <c r="CBX55" s="16"/>
      <c r="CBY55" s="16"/>
      <c r="CBZ55" s="16"/>
      <c r="CCA55" s="16"/>
      <c r="CCB55" s="16"/>
      <c r="CCC55" s="16"/>
      <c r="CCD55" s="16"/>
      <c r="CCE55" s="16"/>
      <c r="CCF55" s="16"/>
      <c r="CCG55" s="16"/>
      <c r="CCH55" s="16"/>
      <c r="CCI55" s="16"/>
      <c r="CCJ55" s="16"/>
      <c r="CCK55" s="16"/>
      <c r="CCL55" s="16"/>
      <c r="CCM55" s="16"/>
      <c r="CCN55" s="16"/>
      <c r="CCO55" s="16"/>
      <c r="CCP55" s="16"/>
      <c r="CCQ55" s="16"/>
      <c r="CCR55" s="16"/>
      <c r="CCS55" s="16"/>
      <c r="CCT55" s="16"/>
      <c r="CCU55" s="16"/>
      <c r="CCV55" s="16"/>
      <c r="CCW55" s="16"/>
      <c r="CCX55" s="16"/>
      <c r="CCY55" s="16"/>
      <c r="CCZ55" s="16"/>
      <c r="CDA55" s="16"/>
      <c r="CDB55" s="16"/>
      <c r="CDC55" s="16"/>
      <c r="CDD55" s="16"/>
      <c r="CDE55" s="16"/>
      <c r="CDF55" s="16"/>
      <c r="CDG55" s="16"/>
      <c r="CDH55" s="16"/>
      <c r="CDI55" s="16"/>
      <c r="CDJ55" s="16"/>
      <c r="CDK55" s="16"/>
      <c r="CDL55" s="16"/>
      <c r="CDM55" s="16"/>
      <c r="CDN55" s="16"/>
      <c r="CDO55" s="16"/>
      <c r="CDP55" s="16"/>
      <c r="CDQ55" s="16"/>
      <c r="CDR55" s="16"/>
      <c r="CDS55" s="16"/>
      <c r="CDT55" s="16"/>
      <c r="CDU55" s="16"/>
      <c r="CDV55" s="16"/>
      <c r="CDW55" s="16"/>
      <c r="CDX55" s="16"/>
      <c r="CDY55" s="16"/>
      <c r="CDZ55" s="16"/>
      <c r="CEA55" s="16"/>
      <c r="CEB55" s="16"/>
      <c r="CEC55" s="16"/>
      <c r="CED55" s="16"/>
      <c r="CEE55" s="16"/>
      <c r="CEF55" s="16"/>
      <c r="CEG55" s="16"/>
      <c r="CEH55" s="16"/>
      <c r="CEI55" s="16"/>
      <c r="CEJ55" s="16"/>
      <c r="CEK55" s="16"/>
      <c r="CEL55" s="16"/>
      <c r="CEM55" s="16"/>
      <c r="CEN55" s="16"/>
      <c r="CEO55" s="16"/>
      <c r="CEP55" s="16"/>
      <c r="CEQ55" s="16"/>
      <c r="CER55" s="16"/>
      <c r="CES55" s="16"/>
      <c r="CET55" s="16"/>
      <c r="CEU55" s="16"/>
      <c r="CEV55" s="16"/>
      <c r="CEW55" s="16"/>
      <c r="CEX55" s="16"/>
      <c r="CEY55" s="16"/>
      <c r="CEZ55" s="16"/>
      <c r="CFA55" s="16"/>
      <c r="CFB55" s="16"/>
      <c r="CFC55" s="16"/>
      <c r="CFD55" s="16"/>
      <c r="CFE55" s="16"/>
      <c r="CFF55" s="16"/>
      <c r="CFG55" s="16"/>
      <c r="CFH55" s="16"/>
      <c r="CFI55" s="16"/>
      <c r="CFJ55" s="16"/>
      <c r="CFK55" s="16"/>
      <c r="CFL55" s="16"/>
      <c r="CFM55" s="16"/>
      <c r="CFN55" s="16"/>
      <c r="CFO55" s="16"/>
      <c r="CFP55" s="16"/>
      <c r="CFQ55" s="16"/>
      <c r="CFR55" s="16"/>
      <c r="CFS55" s="16"/>
      <c r="CFT55" s="16"/>
      <c r="CFU55" s="16"/>
      <c r="CFV55" s="16"/>
      <c r="CFW55" s="16"/>
      <c r="CFX55" s="16"/>
      <c r="CFY55" s="16"/>
      <c r="CFZ55" s="16"/>
      <c r="CGA55" s="16"/>
      <c r="CGB55" s="16"/>
      <c r="CGC55" s="16"/>
      <c r="CGD55" s="16"/>
      <c r="CGE55" s="16"/>
      <c r="CGF55" s="16"/>
      <c r="CGG55" s="16"/>
      <c r="CGH55" s="16"/>
      <c r="CGI55" s="16"/>
      <c r="CGJ55" s="16"/>
      <c r="CGK55" s="16"/>
      <c r="CGL55" s="16"/>
      <c r="CGM55" s="16"/>
      <c r="CGN55" s="16"/>
      <c r="CGO55" s="16"/>
      <c r="CGP55" s="16"/>
      <c r="CGQ55" s="16"/>
      <c r="CGR55" s="16"/>
      <c r="CGS55" s="16"/>
      <c r="CGT55" s="16"/>
      <c r="CGU55" s="16"/>
      <c r="CGV55" s="16"/>
      <c r="CGW55" s="16"/>
      <c r="CGX55" s="16"/>
      <c r="CGY55" s="16"/>
      <c r="CGZ55" s="16"/>
      <c r="CHA55" s="16"/>
      <c r="CHB55" s="16"/>
      <c r="CHC55" s="16"/>
      <c r="CHD55" s="16"/>
      <c r="CHE55" s="16"/>
      <c r="CHF55" s="16"/>
      <c r="CHG55" s="16"/>
      <c r="CHH55" s="16"/>
      <c r="CHI55" s="16"/>
      <c r="CHJ55" s="16"/>
      <c r="CHK55" s="16"/>
      <c r="CHL55" s="16"/>
      <c r="CHM55" s="16"/>
      <c r="CHN55" s="16"/>
      <c r="CHO55" s="16"/>
      <c r="CHP55" s="16"/>
      <c r="CHQ55" s="16"/>
      <c r="CHR55" s="16"/>
      <c r="CHS55" s="16"/>
      <c r="CHT55" s="16"/>
      <c r="CHU55" s="16"/>
      <c r="CHV55" s="16"/>
      <c r="CHW55" s="16"/>
      <c r="CHX55" s="16"/>
      <c r="CHY55" s="16"/>
      <c r="CHZ55" s="16"/>
      <c r="CIA55" s="16"/>
      <c r="CIB55" s="16"/>
      <c r="CIC55" s="16"/>
      <c r="CID55" s="16"/>
      <c r="CIE55" s="16"/>
      <c r="CIF55" s="16"/>
      <c r="CIG55" s="16"/>
      <c r="CIH55" s="16"/>
      <c r="CII55" s="16"/>
      <c r="CIJ55" s="16"/>
      <c r="CIK55" s="16"/>
      <c r="CIL55" s="16"/>
      <c r="CIM55" s="16"/>
      <c r="CIN55" s="16"/>
      <c r="CIO55" s="16"/>
      <c r="CIP55" s="16"/>
      <c r="CIQ55" s="16"/>
      <c r="CIR55" s="16"/>
      <c r="CIS55" s="16"/>
      <c r="CIT55" s="16"/>
      <c r="CIU55" s="16"/>
      <c r="CIV55" s="16"/>
      <c r="CIW55" s="16"/>
      <c r="CIX55" s="16"/>
      <c r="CIY55" s="16"/>
      <c r="CIZ55" s="16"/>
      <c r="CJA55" s="16"/>
      <c r="CJB55" s="16"/>
      <c r="CJC55" s="16"/>
      <c r="CJD55" s="16"/>
      <c r="CJE55" s="16"/>
      <c r="CJF55" s="16"/>
      <c r="CJG55" s="16"/>
      <c r="CJH55" s="16"/>
      <c r="CJI55" s="16"/>
      <c r="CJJ55" s="16"/>
      <c r="CJK55" s="16"/>
      <c r="CJL55" s="16"/>
      <c r="CJM55" s="16"/>
      <c r="CJN55" s="16"/>
      <c r="CJO55" s="16"/>
      <c r="CJP55" s="16"/>
      <c r="CJQ55" s="16"/>
      <c r="CJR55" s="16"/>
      <c r="CJS55" s="16"/>
      <c r="CJT55" s="16"/>
      <c r="CJU55" s="16"/>
      <c r="CJV55" s="16"/>
      <c r="CJW55" s="16"/>
      <c r="CJX55" s="16"/>
      <c r="CJY55" s="16"/>
      <c r="CJZ55" s="16"/>
      <c r="CKA55" s="16"/>
      <c r="CKB55" s="16"/>
      <c r="CKC55" s="16"/>
      <c r="CKD55" s="16"/>
      <c r="CKE55" s="16"/>
      <c r="CKF55" s="16"/>
      <c r="CKG55" s="16"/>
      <c r="CKH55" s="16"/>
      <c r="CKI55" s="16"/>
      <c r="CKJ55" s="16"/>
      <c r="CKK55" s="16"/>
      <c r="CKL55" s="16"/>
      <c r="CKM55" s="16"/>
      <c r="CKN55" s="16"/>
      <c r="CKO55" s="16"/>
      <c r="CKP55" s="16"/>
      <c r="CKQ55" s="16"/>
      <c r="CKR55" s="16"/>
      <c r="CKS55" s="16"/>
      <c r="CKT55" s="16"/>
      <c r="CKU55" s="16"/>
      <c r="CKV55" s="16"/>
      <c r="CKW55" s="16"/>
      <c r="CKX55" s="16"/>
      <c r="CKY55" s="16"/>
      <c r="CKZ55" s="16"/>
      <c r="CLA55" s="16"/>
      <c r="CLB55" s="16"/>
      <c r="CLC55" s="16"/>
      <c r="CLD55" s="16"/>
      <c r="CLE55" s="16"/>
      <c r="CLF55" s="16"/>
      <c r="CLG55" s="16"/>
      <c r="CLH55" s="16"/>
      <c r="CLI55" s="16"/>
      <c r="CLJ55" s="16"/>
      <c r="CLK55" s="16"/>
      <c r="CLL55" s="16"/>
      <c r="CLM55" s="16"/>
      <c r="CLN55" s="16"/>
      <c r="CLO55" s="16"/>
      <c r="CLP55" s="16"/>
      <c r="CLQ55" s="16"/>
      <c r="CLR55" s="16"/>
      <c r="CLS55" s="16"/>
      <c r="CLT55" s="16"/>
      <c r="CLU55" s="16"/>
      <c r="CLV55" s="16"/>
      <c r="CLW55" s="16"/>
      <c r="CLX55" s="16"/>
      <c r="CLY55" s="16"/>
      <c r="CLZ55" s="16"/>
      <c r="CMA55" s="16"/>
      <c r="CMB55" s="16"/>
      <c r="CMC55" s="16"/>
      <c r="CMD55" s="16"/>
      <c r="CME55" s="16"/>
      <c r="CMF55" s="16"/>
      <c r="CMG55" s="16"/>
      <c r="CMH55" s="16"/>
      <c r="CMI55" s="16"/>
      <c r="CMJ55" s="16"/>
      <c r="CMK55" s="16"/>
      <c r="CML55" s="16"/>
      <c r="CMM55" s="16"/>
      <c r="CMN55" s="16"/>
      <c r="CMO55" s="16"/>
      <c r="CMP55" s="16"/>
      <c r="CMQ55" s="16"/>
      <c r="CMR55" s="16"/>
      <c r="CMS55" s="16"/>
      <c r="CMT55" s="16"/>
      <c r="CMU55" s="16"/>
      <c r="CMV55" s="16"/>
      <c r="CMW55" s="16"/>
      <c r="CMX55" s="16"/>
      <c r="CMY55" s="16"/>
      <c r="CMZ55" s="16"/>
      <c r="CNA55" s="16"/>
      <c r="CNB55" s="16"/>
      <c r="CNC55" s="16"/>
      <c r="CND55" s="16"/>
      <c r="CNE55" s="16"/>
      <c r="CNF55" s="16"/>
      <c r="CNG55" s="16"/>
      <c r="CNH55" s="16"/>
      <c r="CNI55" s="16"/>
      <c r="CNJ55" s="16"/>
      <c r="CNK55" s="16"/>
      <c r="CNL55" s="16"/>
      <c r="CNM55" s="16"/>
      <c r="CNN55" s="16"/>
      <c r="CNO55" s="16"/>
      <c r="CNP55" s="16"/>
      <c r="CNQ55" s="16"/>
      <c r="CNR55" s="16"/>
      <c r="CNS55" s="16"/>
      <c r="CNT55" s="16"/>
      <c r="CNU55" s="16"/>
      <c r="CNV55" s="16"/>
      <c r="CNW55" s="16"/>
      <c r="CNX55" s="16"/>
      <c r="CNY55" s="16"/>
      <c r="CNZ55" s="16"/>
      <c r="COA55" s="16"/>
      <c r="COB55" s="16"/>
      <c r="COC55" s="16"/>
      <c r="COD55" s="16"/>
      <c r="COE55" s="16"/>
      <c r="COF55" s="16"/>
      <c r="COG55" s="16"/>
      <c r="COH55" s="16"/>
      <c r="COI55" s="16"/>
      <c r="COJ55" s="16"/>
      <c r="COK55" s="16"/>
      <c r="COL55" s="16"/>
      <c r="COM55" s="16"/>
      <c r="CON55" s="16"/>
      <c r="COO55" s="16"/>
      <c r="COP55" s="16"/>
      <c r="COQ55" s="16"/>
      <c r="COR55" s="16"/>
      <c r="COS55" s="16"/>
      <c r="COT55" s="16"/>
      <c r="COU55" s="16"/>
      <c r="COV55" s="16"/>
      <c r="COW55" s="16"/>
      <c r="COX55" s="16"/>
      <c r="COY55" s="16"/>
      <c r="COZ55" s="16"/>
      <c r="CPA55" s="16"/>
      <c r="CPB55" s="16"/>
      <c r="CPC55" s="16"/>
      <c r="CPD55" s="16"/>
      <c r="CPE55" s="16"/>
      <c r="CPF55" s="16"/>
      <c r="CPG55" s="16"/>
      <c r="CPH55" s="16"/>
      <c r="CPI55" s="16"/>
      <c r="CPJ55" s="16"/>
      <c r="CPK55" s="16"/>
      <c r="CPL55" s="16"/>
      <c r="CPM55" s="16"/>
      <c r="CPN55" s="16"/>
      <c r="CPO55" s="16"/>
      <c r="CPP55" s="16"/>
      <c r="CPQ55" s="16"/>
      <c r="CPR55" s="16"/>
      <c r="CPS55" s="16"/>
      <c r="CPT55" s="16"/>
      <c r="CPU55" s="16"/>
      <c r="CPV55" s="16"/>
      <c r="CPW55" s="16"/>
      <c r="CPX55" s="16"/>
      <c r="CPY55" s="16"/>
      <c r="CPZ55" s="16"/>
      <c r="CQA55" s="16"/>
      <c r="CQB55" s="16"/>
      <c r="CQC55" s="16"/>
      <c r="CQD55" s="16"/>
      <c r="CQE55" s="16"/>
      <c r="CQF55" s="16"/>
      <c r="CQG55" s="16"/>
      <c r="CQH55" s="16"/>
      <c r="CQI55" s="16"/>
      <c r="CQJ55" s="16"/>
      <c r="CQK55" s="16"/>
      <c r="CQL55" s="16"/>
      <c r="CQM55" s="16"/>
      <c r="CQN55" s="16"/>
      <c r="CQO55" s="16"/>
      <c r="CQP55" s="16"/>
      <c r="CQQ55" s="16"/>
      <c r="CQR55" s="16"/>
      <c r="CQS55" s="16"/>
      <c r="CQT55" s="16"/>
      <c r="CQU55" s="16"/>
      <c r="CQV55" s="16"/>
      <c r="CQW55" s="16"/>
      <c r="CQX55" s="16"/>
      <c r="CQY55" s="16"/>
      <c r="CQZ55" s="16"/>
      <c r="CRA55" s="16"/>
      <c r="CRB55" s="16"/>
      <c r="CRC55" s="16"/>
      <c r="CRD55" s="16"/>
      <c r="CRE55" s="16"/>
      <c r="CRF55" s="16"/>
      <c r="CRG55" s="16"/>
      <c r="CRH55" s="16"/>
      <c r="CRI55" s="16"/>
      <c r="CRJ55" s="16"/>
      <c r="CRK55" s="16"/>
      <c r="CRL55" s="16"/>
      <c r="CRM55" s="16"/>
      <c r="CRN55" s="16"/>
      <c r="CRO55" s="16"/>
      <c r="CRP55" s="16"/>
      <c r="CRQ55" s="16"/>
      <c r="CRR55" s="16"/>
      <c r="CRS55" s="16"/>
      <c r="CRT55" s="16"/>
      <c r="CRU55" s="16"/>
      <c r="CRV55" s="16"/>
      <c r="CRW55" s="16"/>
      <c r="CRX55" s="16"/>
      <c r="CRY55" s="16"/>
      <c r="CRZ55" s="16"/>
      <c r="CSA55" s="16"/>
      <c r="CSB55" s="16"/>
      <c r="CSC55" s="16"/>
      <c r="CSD55" s="16"/>
      <c r="CSE55" s="16"/>
      <c r="CSF55" s="16"/>
      <c r="CSG55" s="16"/>
      <c r="CSH55" s="16"/>
      <c r="CSI55" s="16"/>
      <c r="CSJ55" s="16"/>
      <c r="CSK55" s="54" t="str">
        <f t="shared" si="166"/>
        <v>X</v>
      </c>
      <c r="CSL55" s="35" t="str">
        <f t="shared" ca="1" si="209"/>
        <v/>
      </c>
      <c r="CSM55" s="35" t="str">
        <f t="shared" ca="1" si="209"/>
        <v/>
      </c>
      <c r="CSN55" s="35" t="str">
        <f t="shared" ca="1" si="209"/>
        <v/>
      </c>
      <c r="CSO55" s="35" t="str">
        <f t="shared" ca="1" si="209"/>
        <v/>
      </c>
      <c r="CSP55" s="35" t="str">
        <f t="shared" ca="1" si="209"/>
        <v/>
      </c>
      <c r="CSQ55" s="72" t="str">
        <f t="shared" ca="1" si="209"/>
        <v/>
      </c>
      <c r="CSR55" s="35" t="str">
        <f t="shared" ca="1" si="209"/>
        <v/>
      </c>
      <c r="CSS55" s="35" t="str">
        <f t="shared" ca="1" si="209"/>
        <v/>
      </c>
      <c r="CST55" s="35" t="str">
        <f t="shared" ca="1" si="209"/>
        <v/>
      </c>
      <c r="CSU55" s="35" t="str">
        <f t="shared" ca="1" si="209"/>
        <v/>
      </c>
      <c r="CSV55" s="35" t="str">
        <f t="shared" ca="1" si="210"/>
        <v/>
      </c>
      <c r="CSW55" s="35" t="str">
        <f t="shared" ca="1" si="210"/>
        <v/>
      </c>
      <c r="CSX55" s="35" t="str">
        <f t="shared" ca="1" si="210"/>
        <v/>
      </c>
      <c r="CSY55" s="35" t="str">
        <f t="shared" ca="1" si="210"/>
        <v/>
      </c>
      <c r="CSZ55" s="35" t="str">
        <f t="shared" ca="1" si="210"/>
        <v/>
      </c>
      <c r="CTA55" s="35" t="str">
        <f t="shared" ca="1" si="210"/>
        <v/>
      </c>
      <c r="CTB55" s="35" t="str">
        <f t="shared" ca="1" si="210"/>
        <v/>
      </c>
      <c r="CTC55" s="35" t="str">
        <f t="shared" ca="1" si="210"/>
        <v/>
      </c>
      <c r="CTD55" s="35" t="str">
        <f t="shared" ca="1" si="210"/>
        <v/>
      </c>
      <c r="CTE55" s="35" t="str">
        <f t="shared" ca="1" si="210"/>
        <v/>
      </c>
      <c r="CTF55" s="35" t="str">
        <f t="shared" ca="1" si="211"/>
        <v/>
      </c>
      <c r="CTG55" s="35" t="str">
        <f t="shared" ca="1" si="211"/>
        <v/>
      </c>
      <c r="CTH55" s="35" t="str">
        <f t="shared" ca="1" si="211"/>
        <v/>
      </c>
      <c r="CTI55" s="35" t="str">
        <f t="shared" ca="1" si="211"/>
        <v/>
      </c>
      <c r="CTJ55" s="35" t="str">
        <f t="shared" ca="1" si="211"/>
        <v/>
      </c>
      <c r="CTK55" s="35" t="str">
        <f t="shared" ca="1" si="211"/>
        <v/>
      </c>
      <c r="CTL55" s="35" t="str">
        <f t="shared" ca="1" si="211"/>
        <v/>
      </c>
      <c r="CTM55" s="35" t="str">
        <f t="shared" ca="1" si="211"/>
        <v/>
      </c>
      <c r="CTN55" s="35" t="str">
        <f t="shared" ca="1" si="211"/>
        <v/>
      </c>
      <c r="CTO55" s="35" t="str">
        <f t="shared" ca="1" si="211"/>
        <v/>
      </c>
      <c r="CTP55" s="35" t="str">
        <f t="shared" ca="1" si="212"/>
        <v/>
      </c>
      <c r="CTQ55" s="35" t="str">
        <f t="shared" ca="1" si="212"/>
        <v/>
      </c>
      <c r="CTR55" s="35" t="str">
        <f t="shared" ca="1" si="212"/>
        <v/>
      </c>
      <c r="CTS55" s="35" t="str">
        <f t="shared" ca="1" si="212"/>
        <v/>
      </c>
      <c r="CTT55" s="35" t="str">
        <f t="shared" ca="1" si="212"/>
        <v/>
      </c>
      <c r="CTU55" s="35" t="str">
        <f t="shared" ca="1" si="212"/>
        <v/>
      </c>
      <c r="CTV55" s="35" t="str">
        <f t="shared" ca="1" si="212"/>
        <v/>
      </c>
      <c r="CTW55" s="35" t="str">
        <f t="shared" ca="1" si="212"/>
        <v/>
      </c>
      <c r="CTX55" s="35" t="str">
        <f t="shared" ca="1" si="212"/>
        <v/>
      </c>
      <c r="CTY55" s="35" t="str">
        <f t="shared" ca="1" si="212"/>
        <v/>
      </c>
      <c r="CTZ55" s="56" t="str">
        <f t="shared" si="167"/>
        <v>X</v>
      </c>
      <c r="CUA55" s="58" t="str">
        <f t="shared" ca="1" si="168"/>
        <v/>
      </c>
      <c r="CUB55" s="16" t="str">
        <f t="shared" ca="1" si="169"/>
        <v/>
      </c>
      <c r="CUC55" s="16" t="str">
        <f t="shared" ca="1" si="170"/>
        <v/>
      </c>
      <c r="CUD55" s="16" t="str">
        <f t="shared" ca="1" si="171"/>
        <v/>
      </c>
      <c r="CUE55" s="16" t="str">
        <f t="shared" ca="1" si="172"/>
        <v/>
      </c>
      <c r="CUF55" s="16" t="str">
        <f t="shared" ca="1" si="173"/>
        <v/>
      </c>
      <c r="CUG55" s="16" t="str">
        <f t="shared" ca="1" si="174"/>
        <v/>
      </c>
      <c r="CUH55" s="16" t="str">
        <f t="shared" ca="1" si="175"/>
        <v/>
      </c>
      <c r="CUI55" s="16" t="str">
        <f t="shared" ca="1" si="176"/>
        <v/>
      </c>
      <c r="CUJ55" s="16" t="str">
        <f t="shared" ca="1" si="177"/>
        <v/>
      </c>
      <c r="CUK55" s="16" t="str">
        <f t="shared" ca="1" si="178"/>
        <v/>
      </c>
      <c r="CUL55" s="16" t="str">
        <f t="shared" ca="1" si="179"/>
        <v/>
      </c>
      <c r="CUM55" s="16" t="str">
        <f t="shared" ca="1" si="180"/>
        <v/>
      </c>
      <c r="CUN55" s="16" t="str">
        <f t="shared" ca="1" si="181"/>
        <v/>
      </c>
      <c r="CUO55" s="16" t="str">
        <f t="shared" ca="1" si="182"/>
        <v/>
      </c>
      <c r="CUP55" s="16" t="str">
        <f t="shared" ca="1" si="183"/>
        <v/>
      </c>
      <c r="CUQ55" s="16" t="str">
        <f t="shared" ca="1" si="184"/>
        <v/>
      </c>
      <c r="CUR55" s="16" t="str">
        <f t="shared" ca="1" si="185"/>
        <v/>
      </c>
      <c r="CUS55" s="16" t="str">
        <f t="shared" ca="1" si="186"/>
        <v/>
      </c>
      <c r="CUT55" s="16" t="str">
        <f t="shared" ca="1" si="187"/>
        <v/>
      </c>
      <c r="CUU55" s="16" t="str">
        <f t="shared" ca="1" si="188"/>
        <v/>
      </c>
      <c r="CUV55" s="16" t="str">
        <f t="shared" ca="1" si="189"/>
        <v/>
      </c>
      <c r="CUW55" s="16" t="str">
        <f t="shared" ca="1" si="190"/>
        <v/>
      </c>
      <c r="CUX55" s="16" t="str">
        <f t="shared" ca="1" si="191"/>
        <v/>
      </c>
      <c r="CUY55" s="16" t="str">
        <f t="shared" ca="1" si="192"/>
        <v/>
      </c>
      <c r="CUZ55" s="16" t="str">
        <f t="shared" ca="1" si="193"/>
        <v/>
      </c>
      <c r="CVA55" s="16" t="str">
        <f t="shared" ca="1" si="194"/>
        <v/>
      </c>
      <c r="CVB55" s="16" t="str">
        <f t="shared" ca="1" si="195"/>
        <v/>
      </c>
      <c r="CVC55" s="16" t="str">
        <f t="shared" ca="1" si="196"/>
        <v/>
      </c>
      <c r="CVD55" s="16" t="str">
        <f t="shared" ca="1" si="197"/>
        <v/>
      </c>
      <c r="CVE55" s="16" t="str">
        <f t="shared" ca="1" si="198"/>
        <v/>
      </c>
      <c r="CVF55" s="16" t="str">
        <f t="shared" ca="1" si="199"/>
        <v/>
      </c>
      <c r="CVG55" s="16" t="str">
        <f t="shared" ca="1" si="200"/>
        <v/>
      </c>
      <c r="CVH55" s="16" t="str">
        <f t="shared" ca="1" si="201"/>
        <v/>
      </c>
      <c r="CVI55" s="16" t="str">
        <f t="shared" ca="1" si="202"/>
        <v/>
      </c>
      <c r="CVJ55" s="16" t="str">
        <f t="shared" ca="1" si="203"/>
        <v/>
      </c>
      <c r="CVK55" s="16" t="str">
        <f t="shared" ca="1" si="204"/>
        <v/>
      </c>
      <c r="CVL55" s="16" t="str">
        <f t="shared" ca="1" si="205"/>
        <v/>
      </c>
      <c r="CVM55" s="16" t="str">
        <f t="shared" ca="1" si="206"/>
        <v/>
      </c>
      <c r="CVN55" s="16" t="str">
        <f t="shared" ca="1" si="207"/>
        <v/>
      </c>
      <c r="CVO55" s="58" t="str">
        <f t="shared" si="208"/>
        <v>тарасоварсений</v>
      </c>
      <c r="CVP55" s="58" t="str">
        <f>IFERROR(VLOOKUP(CVO55,'Внешние данные'!A:Z,4,FALSE),"")</f>
        <v/>
      </c>
    </row>
    <row r="56" spans="1:2616" ht="13.8" x14ac:dyDescent="0.25">
      <c r="C56" s="57"/>
      <c r="E56" s="16"/>
      <c r="K56" s="59"/>
      <c r="L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/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/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/>
      <c r="LR56" s="16"/>
      <c r="LS56" s="16"/>
      <c r="LT56" s="16"/>
      <c r="LU56" s="16"/>
      <c r="LV56" s="16"/>
      <c r="LW56" s="16"/>
      <c r="LX56" s="16"/>
      <c r="LY56" s="16"/>
      <c r="LZ56" s="16"/>
      <c r="MA56" s="16"/>
      <c r="MB56" s="16"/>
      <c r="MC56" s="16"/>
      <c r="MD56" s="16"/>
      <c r="ME56" s="16"/>
      <c r="MF56" s="16"/>
      <c r="MG56" s="16"/>
      <c r="MH56" s="16"/>
      <c r="MI56" s="16"/>
      <c r="MJ56" s="16"/>
      <c r="MK56" s="16"/>
      <c r="ML56" s="16"/>
      <c r="MM56" s="16"/>
      <c r="MN56" s="16"/>
      <c r="MO56" s="16"/>
      <c r="MP56" s="16"/>
      <c r="MQ56" s="16"/>
      <c r="MR56" s="16"/>
      <c r="MS56" s="16"/>
      <c r="MT56" s="16"/>
      <c r="MU56" s="16"/>
      <c r="MV56" s="16"/>
      <c r="MW56" s="16"/>
      <c r="MX56" s="16"/>
      <c r="MY56" s="16"/>
      <c r="MZ56" s="16"/>
      <c r="NA56" s="16"/>
      <c r="NB56" s="16"/>
      <c r="NC56" s="16"/>
      <c r="ND56" s="16"/>
      <c r="NE56" s="16"/>
      <c r="NF56" s="16"/>
      <c r="NG56" s="16"/>
      <c r="NH56" s="16"/>
      <c r="NI56" s="16"/>
      <c r="NJ56" s="16"/>
      <c r="NK56" s="16"/>
      <c r="NL56" s="16"/>
      <c r="NM56" s="16"/>
      <c r="NN56" s="16"/>
      <c r="NO56" s="16"/>
      <c r="NP56" s="16"/>
      <c r="NQ56" s="16"/>
      <c r="NR56" s="16"/>
      <c r="NS56" s="16"/>
      <c r="NT56" s="16"/>
      <c r="NU56" s="16"/>
      <c r="NV56" s="16"/>
      <c r="NW56" s="16"/>
      <c r="NX56" s="16"/>
      <c r="NY56" s="16"/>
      <c r="NZ56" s="16"/>
      <c r="OA56" s="16"/>
      <c r="OB56" s="16"/>
      <c r="OC56" s="16"/>
      <c r="OD56" s="16"/>
      <c r="OE56" s="16"/>
      <c r="OF56" s="16"/>
      <c r="OG56" s="16"/>
      <c r="OH56" s="16"/>
      <c r="OI56" s="16"/>
      <c r="OJ56" s="16"/>
      <c r="OK56" s="16"/>
      <c r="OL56" s="16"/>
      <c r="OM56" s="16"/>
      <c r="ON56" s="16"/>
      <c r="OO56" s="16"/>
      <c r="OP56" s="16"/>
      <c r="OQ56" s="16"/>
      <c r="OR56" s="16"/>
      <c r="OS56" s="16"/>
      <c r="OT56" s="16"/>
      <c r="OU56" s="16"/>
      <c r="OV56" s="16"/>
      <c r="OW56" s="16"/>
      <c r="OX56" s="16"/>
      <c r="OY56" s="16"/>
      <c r="OZ56" s="16"/>
      <c r="PA56" s="16"/>
      <c r="PB56" s="16"/>
      <c r="PC56" s="16"/>
      <c r="PD56" s="16"/>
      <c r="PE56" s="16"/>
      <c r="PF56" s="16"/>
      <c r="PG56" s="16"/>
      <c r="PH56" s="16"/>
      <c r="PI56" s="16"/>
      <c r="PJ56" s="16"/>
      <c r="PK56" s="16"/>
      <c r="PL56" s="16"/>
      <c r="PM56" s="16"/>
      <c r="PN56" s="16"/>
      <c r="PO56" s="16"/>
      <c r="PP56" s="16"/>
      <c r="PQ56" s="16"/>
      <c r="PR56" s="16"/>
      <c r="PS56" s="16"/>
      <c r="PT56" s="16"/>
      <c r="PU56" s="16"/>
      <c r="PV56" s="16"/>
      <c r="PW56" s="16"/>
      <c r="PX56" s="16"/>
      <c r="PY56" s="16"/>
      <c r="PZ56" s="16"/>
      <c r="QA56" s="16"/>
      <c r="QB56" s="16"/>
      <c r="QC56" s="16"/>
      <c r="QD56" s="16"/>
      <c r="QE56" s="16"/>
      <c r="QF56" s="16"/>
      <c r="QG56" s="16"/>
      <c r="QH56" s="16"/>
      <c r="QI56" s="16"/>
      <c r="QJ56" s="16"/>
      <c r="QK56" s="16"/>
      <c r="QL56" s="16"/>
      <c r="QM56" s="16"/>
      <c r="QN56" s="16"/>
      <c r="QO56" s="16"/>
      <c r="QP56" s="16"/>
      <c r="QQ56" s="16"/>
      <c r="QR56" s="16"/>
      <c r="QS56" s="16"/>
      <c r="QT56" s="16"/>
      <c r="QU56" s="16"/>
      <c r="QV56" s="16"/>
      <c r="QW56" s="16"/>
      <c r="QX56" s="16"/>
      <c r="QY56" s="16"/>
      <c r="QZ56" s="16"/>
      <c r="RA56" s="16"/>
      <c r="RB56" s="16"/>
      <c r="RC56" s="16"/>
      <c r="RD56" s="16"/>
      <c r="RE56" s="16"/>
      <c r="RF56" s="16"/>
      <c r="RG56" s="16"/>
      <c r="RH56" s="16"/>
      <c r="RI56" s="16"/>
      <c r="RJ56" s="16"/>
      <c r="RK56" s="16"/>
      <c r="RL56" s="16"/>
      <c r="RM56" s="16"/>
      <c r="RN56" s="16"/>
      <c r="RO56" s="16"/>
      <c r="RP56" s="16"/>
      <c r="RQ56" s="16"/>
      <c r="RR56" s="16"/>
      <c r="RS56" s="16"/>
      <c r="RT56" s="16"/>
      <c r="RU56" s="16"/>
      <c r="RV56" s="16"/>
      <c r="RW56" s="16"/>
      <c r="RX56" s="16"/>
      <c r="RY56" s="16"/>
      <c r="RZ56" s="16"/>
      <c r="SA56" s="16"/>
      <c r="SB56" s="16"/>
      <c r="SC56" s="16"/>
      <c r="SD56" s="16"/>
      <c r="SE56" s="16"/>
      <c r="SF56" s="16"/>
      <c r="SG56" s="16"/>
      <c r="SH56" s="16"/>
      <c r="SI56" s="16"/>
      <c r="SJ56" s="16"/>
      <c r="SK56" s="16"/>
      <c r="SL56" s="16"/>
      <c r="SM56" s="16"/>
      <c r="SN56" s="16"/>
      <c r="SO56" s="16"/>
      <c r="SP56" s="16"/>
      <c r="SQ56" s="16"/>
      <c r="SR56" s="16"/>
      <c r="SS56" s="16"/>
      <c r="ST56" s="16"/>
      <c r="SU56" s="16"/>
      <c r="SV56" s="16"/>
      <c r="SW56" s="16"/>
      <c r="SX56" s="16"/>
      <c r="SY56" s="16"/>
      <c r="SZ56" s="16"/>
      <c r="TA56" s="16"/>
      <c r="TB56" s="16"/>
      <c r="TC56" s="16"/>
      <c r="TD56" s="16"/>
      <c r="TE56" s="16"/>
      <c r="TF56" s="16"/>
      <c r="TG56" s="16"/>
      <c r="TH56" s="16"/>
      <c r="TI56" s="16"/>
      <c r="TJ56" s="16"/>
      <c r="TK56" s="16"/>
      <c r="TL56" s="16"/>
      <c r="TM56" s="16"/>
      <c r="TN56" s="16"/>
      <c r="TO56" s="16"/>
      <c r="TP56" s="16"/>
      <c r="TQ56" s="16"/>
      <c r="TR56" s="16"/>
      <c r="TS56" s="16"/>
      <c r="TT56" s="16"/>
      <c r="TU56" s="16"/>
      <c r="TV56" s="16"/>
      <c r="TW56" s="16"/>
      <c r="TX56" s="16"/>
      <c r="TY56" s="16"/>
      <c r="TZ56" s="16"/>
      <c r="UA56" s="16"/>
      <c r="UB56" s="16"/>
      <c r="UC56" s="16"/>
      <c r="UD56" s="16"/>
      <c r="UE56" s="16"/>
      <c r="UF56" s="16"/>
      <c r="UG56" s="16"/>
      <c r="UH56" s="16"/>
      <c r="UI56" s="16"/>
      <c r="UJ56" s="16"/>
      <c r="UK56" s="16"/>
      <c r="UL56" s="16"/>
      <c r="UM56" s="16"/>
      <c r="UN56" s="16"/>
      <c r="UO56" s="16"/>
      <c r="UP56" s="16"/>
      <c r="UQ56" s="16"/>
      <c r="UR56" s="16"/>
      <c r="US56" s="16"/>
      <c r="UT56" s="16"/>
      <c r="UU56" s="16"/>
      <c r="UV56" s="16"/>
      <c r="UW56" s="16"/>
      <c r="UX56" s="16"/>
      <c r="UY56" s="16"/>
      <c r="UZ56" s="16"/>
      <c r="VA56" s="16"/>
      <c r="VB56" s="16"/>
      <c r="VC56" s="16"/>
      <c r="VD56" s="16"/>
      <c r="VE56" s="16"/>
      <c r="VF56" s="16"/>
      <c r="VG56" s="16"/>
      <c r="VH56" s="16"/>
      <c r="VI56" s="16"/>
      <c r="VJ56" s="16"/>
      <c r="VK56" s="16"/>
      <c r="VL56" s="16"/>
      <c r="VM56" s="16"/>
      <c r="VN56" s="16"/>
      <c r="VO56" s="16"/>
      <c r="VP56" s="16"/>
      <c r="VQ56" s="16"/>
      <c r="VR56" s="16"/>
      <c r="VS56" s="16"/>
      <c r="VT56" s="16"/>
      <c r="VU56" s="16"/>
      <c r="VV56" s="16"/>
      <c r="VW56" s="16"/>
      <c r="VX56" s="16"/>
      <c r="VY56" s="16"/>
      <c r="VZ56" s="16"/>
      <c r="WA56" s="16"/>
      <c r="WB56" s="16"/>
      <c r="WC56" s="16"/>
      <c r="WD56" s="16"/>
      <c r="WE56" s="16"/>
      <c r="WF56" s="16"/>
      <c r="WG56" s="16"/>
      <c r="WH56" s="16"/>
      <c r="WI56" s="16"/>
      <c r="WJ56" s="16"/>
      <c r="WK56" s="16"/>
      <c r="WL56" s="16"/>
      <c r="WM56" s="16"/>
      <c r="WN56" s="16"/>
      <c r="WO56" s="16"/>
      <c r="WP56" s="16"/>
      <c r="WQ56" s="16"/>
      <c r="WR56" s="16"/>
      <c r="WS56" s="16"/>
      <c r="WT56" s="16"/>
      <c r="WU56" s="16"/>
      <c r="WV56" s="16"/>
      <c r="WW56" s="16"/>
      <c r="WX56" s="16"/>
      <c r="WY56" s="16"/>
      <c r="WZ56" s="16"/>
      <c r="XA56" s="16"/>
      <c r="XB56" s="16"/>
      <c r="XC56" s="16"/>
      <c r="XD56" s="16"/>
      <c r="XE56" s="16"/>
      <c r="XF56" s="16"/>
      <c r="XG56" s="16"/>
      <c r="XH56" s="16"/>
      <c r="XI56" s="16"/>
      <c r="XJ56" s="16"/>
      <c r="XK56" s="16"/>
      <c r="XL56" s="16"/>
      <c r="XM56" s="16"/>
      <c r="XN56" s="16"/>
      <c r="XO56" s="16"/>
      <c r="XP56" s="16"/>
      <c r="XQ56" s="16"/>
      <c r="XR56" s="16"/>
      <c r="XS56" s="16"/>
      <c r="XT56" s="16"/>
      <c r="XU56" s="16"/>
      <c r="XV56" s="16"/>
      <c r="XW56" s="16"/>
      <c r="XX56" s="16"/>
      <c r="XY56" s="16"/>
      <c r="XZ56" s="16"/>
      <c r="YA56" s="16"/>
      <c r="YB56" s="16"/>
      <c r="YC56" s="16"/>
      <c r="YD56" s="16"/>
      <c r="YE56" s="16"/>
      <c r="YF56" s="16"/>
      <c r="YG56" s="16"/>
      <c r="YH56" s="16"/>
      <c r="YI56" s="16"/>
      <c r="YJ56" s="16"/>
      <c r="YK56" s="16"/>
      <c r="YL56" s="16"/>
      <c r="YM56" s="16"/>
      <c r="YN56" s="16"/>
      <c r="YO56" s="16"/>
      <c r="YP56" s="16"/>
      <c r="YQ56" s="16"/>
      <c r="YR56" s="16"/>
      <c r="YS56" s="16"/>
      <c r="YT56" s="16"/>
      <c r="YU56" s="16"/>
      <c r="YV56" s="16"/>
      <c r="YW56" s="16"/>
      <c r="YX56" s="16"/>
      <c r="YY56" s="16"/>
      <c r="YZ56" s="16"/>
      <c r="ZA56" s="16"/>
      <c r="ZB56" s="16"/>
      <c r="ZC56" s="16"/>
      <c r="ZD56" s="16"/>
      <c r="ZE56" s="16"/>
      <c r="ZF56" s="16"/>
      <c r="ZG56" s="16"/>
      <c r="ZH56" s="16"/>
      <c r="ZI56" s="16"/>
      <c r="ZJ56" s="16"/>
      <c r="ZK56" s="16"/>
      <c r="ZL56" s="16"/>
      <c r="ZM56" s="16"/>
      <c r="ZN56" s="16"/>
      <c r="ZO56" s="16"/>
      <c r="ZP56" s="16"/>
      <c r="ZQ56" s="16"/>
      <c r="ZR56" s="16"/>
      <c r="ZS56" s="16"/>
      <c r="ZT56" s="16"/>
      <c r="ZU56" s="16"/>
      <c r="ZV56" s="16"/>
      <c r="ZW56" s="16"/>
      <c r="ZX56" s="16"/>
      <c r="ZY56" s="16"/>
      <c r="ZZ56" s="16"/>
      <c r="AAA56" s="16"/>
      <c r="AAB56" s="16"/>
      <c r="AAC56" s="16"/>
      <c r="AAD56" s="16"/>
      <c r="AAE56" s="16"/>
      <c r="AAF56" s="16"/>
      <c r="AAG56" s="16"/>
      <c r="AAH56" s="16"/>
      <c r="AAI56" s="16"/>
      <c r="AAJ56" s="16"/>
      <c r="AAK56" s="16"/>
      <c r="AAL56" s="16"/>
      <c r="AAM56" s="16"/>
      <c r="AAN56" s="16"/>
      <c r="AAO56" s="16"/>
      <c r="AAP56" s="16"/>
      <c r="AAQ56" s="16"/>
      <c r="AAR56" s="16"/>
      <c r="AAS56" s="16"/>
      <c r="AAT56" s="16"/>
      <c r="AAU56" s="16"/>
      <c r="AAV56" s="16"/>
      <c r="AAW56" s="16"/>
      <c r="AAX56" s="16"/>
      <c r="AAY56" s="16"/>
      <c r="AAZ56" s="16"/>
      <c r="ABA56" s="16"/>
      <c r="ABB56" s="16"/>
      <c r="ABC56" s="16"/>
      <c r="ABD56" s="16"/>
      <c r="ABE56" s="16"/>
      <c r="ABF56" s="16"/>
      <c r="ABG56" s="16"/>
      <c r="ABH56" s="16"/>
      <c r="ABI56" s="16"/>
      <c r="ABJ56" s="16"/>
      <c r="ABK56" s="16"/>
      <c r="ABL56" s="16"/>
      <c r="ABM56" s="16"/>
      <c r="ABN56" s="16"/>
      <c r="ABO56" s="16"/>
      <c r="ABP56" s="16"/>
      <c r="ABQ56" s="16"/>
      <c r="ABR56" s="16"/>
      <c r="ABS56" s="16"/>
      <c r="ABT56" s="16"/>
      <c r="ABU56" s="16"/>
      <c r="ABV56" s="16"/>
      <c r="ABW56" s="16"/>
      <c r="ABX56" s="16"/>
      <c r="ABY56" s="16"/>
      <c r="ABZ56" s="16"/>
      <c r="ACA56" s="16"/>
      <c r="ACB56" s="16"/>
      <c r="ACC56" s="16"/>
      <c r="ACD56" s="16"/>
      <c r="ACE56" s="16"/>
      <c r="ACF56" s="16"/>
      <c r="ACG56" s="16"/>
      <c r="ACH56" s="16"/>
      <c r="ACI56" s="16"/>
      <c r="ACJ56" s="16"/>
      <c r="ACK56" s="16"/>
      <c r="ACL56" s="16"/>
      <c r="ACM56" s="16"/>
      <c r="ACN56" s="16"/>
      <c r="ACO56" s="16"/>
      <c r="ACP56" s="16"/>
      <c r="ACQ56" s="16"/>
      <c r="ACR56" s="16"/>
      <c r="ACS56" s="16"/>
      <c r="ACT56" s="16"/>
      <c r="ACU56" s="16"/>
      <c r="ACV56" s="16"/>
      <c r="ACW56" s="16"/>
      <c r="ACX56" s="16"/>
      <c r="ACY56" s="16"/>
      <c r="ACZ56" s="16"/>
      <c r="ADA56" s="16"/>
      <c r="ADB56" s="16"/>
      <c r="ADC56" s="16"/>
      <c r="ADD56" s="16"/>
      <c r="ADE56" s="16"/>
      <c r="ADF56" s="16"/>
      <c r="ADG56" s="16"/>
      <c r="ADH56" s="16"/>
      <c r="ADI56" s="16"/>
      <c r="ADJ56" s="16"/>
      <c r="ADK56" s="16"/>
      <c r="ADL56" s="16"/>
      <c r="ADM56" s="16"/>
      <c r="ADN56" s="16"/>
      <c r="ADO56" s="16"/>
      <c r="ADP56" s="16"/>
      <c r="ADQ56" s="16"/>
      <c r="ADR56" s="16"/>
      <c r="ADS56" s="16"/>
      <c r="ADT56" s="16"/>
      <c r="ADU56" s="16"/>
      <c r="ADV56" s="16"/>
      <c r="ADW56" s="16"/>
      <c r="ADX56" s="16"/>
      <c r="ADY56" s="16"/>
      <c r="ADZ56" s="16"/>
      <c r="AEA56" s="16"/>
      <c r="AEB56" s="16"/>
      <c r="AEC56" s="16"/>
      <c r="AED56" s="16"/>
      <c r="AEE56" s="16"/>
      <c r="AEF56" s="16"/>
      <c r="AEG56" s="16"/>
      <c r="AEH56" s="16"/>
      <c r="AEI56" s="16"/>
      <c r="AEJ56" s="16"/>
      <c r="AEK56" s="16"/>
      <c r="AEL56" s="16"/>
      <c r="AEM56" s="16"/>
      <c r="AEN56" s="16"/>
      <c r="AEO56" s="16"/>
      <c r="AEP56" s="16"/>
      <c r="AEQ56" s="16"/>
      <c r="AER56" s="16"/>
      <c r="AES56" s="16"/>
      <c r="AET56" s="16"/>
      <c r="AEU56" s="16"/>
      <c r="AEV56" s="16"/>
      <c r="AEW56" s="16"/>
      <c r="AEX56" s="16"/>
      <c r="AEY56" s="16"/>
      <c r="AEZ56" s="16"/>
      <c r="AFA56" s="16"/>
      <c r="AFB56" s="16"/>
      <c r="AFC56" s="16"/>
      <c r="AFD56" s="16"/>
      <c r="AFE56" s="16"/>
      <c r="AFF56" s="16"/>
      <c r="AFG56" s="16"/>
      <c r="AFH56" s="16"/>
      <c r="AFI56" s="16"/>
      <c r="AFJ56" s="16"/>
      <c r="AFK56" s="16"/>
      <c r="AFL56" s="16"/>
      <c r="AFM56" s="16"/>
      <c r="AFN56" s="16"/>
      <c r="AFO56" s="16"/>
      <c r="AFP56" s="16"/>
      <c r="AFQ56" s="16"/>
      <c r="AFR56" s="16"/>
      <c r="AFS56" s="16"/>
      <c r="AFT56" s="16"/>
      <c r="AFU56" s="16"/>
      <c r="AFV56" s="16"/>
      <c r="AFW56" s="16"/>
      <c r="AFX56" s="16"/>
      <c r="AFY56" s="16"/>
      <c r="AFZ56" s="16"/>
      <c r="AGA56" s="16"/>
      <c r="AGB56" s="16"/>
      <c r="AGC56" s="16"/>
      <c r="AGD56" s="16"/>
      <c r="AGE56" s="16"/>
      <c r="AGF56" s="16"/>
      <c r="AGG56" s="16"/>
      <c r="AGH56" s="16"/>
      <c r="AGI56" s="16"/>
      <c r="AGJ56" s="16"/>
      <c r="AGK56" s="16"/>
      <c r="AGL56" s="16"/>
      <c r="AGM56" s="16"/>
      <c r="AGN56" s="16"/>
      <c r="AGO56" s="16"/>
      <c r="AGP56" s="16"/>
      <c r="AGQ56" s="16"/>
      <c r="AGR56" s="16"/>
      <c r="AGS56" s="16"/>
      <c r="AGT56" s="16"/>
      <c r="AGU56" s="16"/>
      <c r="AGV56" s="16"/>
      <c r="AGW56" s="16"/>
      <c r="AGX56" s="16"/>
      <c r="AGY56" s="16"/>
      <c r="AGZ56" s="16"/>
      <c r="AHA56" s="16"/>
      <c r="AHB56" s="16"/>
      <c r="AHC56" s="16"/>
      <c r="AHD56" s="16"/>
      <c r="AHE56" s="16"/>
      <c r="AHF56" s="16"/>
      <c r="AHG56" s="16"/>
      <c r="AHH56" s="16"/>
      <c r="AHI56" s="16"/>
      <c r="AHJ56" s="16"/>
      <c r="AHK56" s="16"/>
      <c r="AHL56" s="16"/>
      <c r="AHM56" s="16"/>
      <c r="AHN56" s="16"/>
      <c r="AHO56" s="16"/>
      <c r="AHP56" s="16"/>
      <c r="AHQ56" s="16"/>
      <c r="AHR56" s="16"/>
      <c r="AHS56" s="16"/>
      <c r="AHT56" s="16"/>
      <c r="AHU56" s="16"/>
      <c r="AHV56" s="16"/>
      <c r="AHW56" s="16"/>
      <c r="AHX56" s="16"/>
      <c r="AHY56" s="16"/>
      <c r="AHZ56" s="16"/>
      <c r="AIA56" s="16"/>
      <c r="AIB56" s="16"/>
      <c r="AIC56" s="16"/>
      <c r="AID56" s="16"/>
      <c r="AIE56" s="16"/>
      <c r="AIF56" s="16"/>
      <c r="AIG56" s="16"/>
      <c r="AIH56" s="16"/>
      <c r="AII56" s="16"/>
      <c r="AIJ56" s="16"/>
      <c r="AIK56" s="16"/>
      <c r="AIL56" s="16"/>
      <c r="AIM56" s="16"/>
      <c r="AIN56" s="16"/>
      <c r="AIO56" s="16"/>
      <c r="AIP56" s="16"/>
      <c r="AIQ56" s="16"/>
      <c r="AIR56" s="16"/>
      <c r="AIS56" s="16"/>
      <c r="AIT56" s="16"/>
      <c r="AIU56" s="16"/>
      <c r="AIV56" s="16"/>
      <c r="AIW56" s="16"/>
      <c r="AIX56" s="16"/>
      <c r="AIY56" s="16"/>
      <c r="AIZ56" s="16"/>
      <c r="AJA56" s="16"/>
      <c r="AJB56" s="16"/>
      <c r="AJC56" s="16"/>
      <c r="AJD56" s="16"/>
      <c r="AJE56" s="16"/>
      <c r="AJF56" s="16"/>
      <c r="AJG56" s="16"/>
      <c r="AJH56" s="16"/>
      <c r="AJI56" s="16"/>
      <c r="AJJ56" s="16"/>
      <c r="AJK56" s="16"/>
      <c r="AJL56" s="16"/>
      <c r="AJM56" s="16"/>
      <c r="AJN56" s="16"/>
      <c r="AJO56" s="16"/>
      <c r="AJP56" s="16"/>
      <c r="AJQ56" s="16"/>
      <c r="AJR56" s="16"/>
      <c r="AJS56" s="16"/>
      <c r="AJT56" s="16"/>
      <c r="AJU56" s="16"/>
      <c r="AJV56" s="16"/>
      <c r="AJW56" s="16"/>
      <c r="AJX56" s="16"/>
      <c r="AJY56" s="16"/>
      <c r="AJZ56" s="16"/>
      <c r="AKA56" s="16"/>
      <c r="AKB56" s="16"/>
      <c r="AKC56" s="16"/>
      <c r="AKD56" s="16"/>
      <c r="AKE56" s="16"/>
      <c r="AKF56" s="16"/>
      <c r="AKG56" s="16"/>
      <c r="AKH56" s="16"/>
      <c r="AKI56" s="16"/>
      <c r="AKJ56" s="16"/>
      <c r="AKK56" s="16"/>
      <c r="AKL56" s="16"/>
      <c r="AKM56" s="16"/>
      <c r="AKN56" s="16"/>
      <c r="AKO56" s="16"/>
      <c r="AKP56" s="16"/>
      <c r="AKQ56" s="16"/>
      <c r="AKR56" s="16"/>
      <c r="AKS56" s="16"/>
      <c r="AKT56" s="16"/>
      <c r="AKU56" s="16"/>
      <c r="AKV56" s="16"/>
      <c r="AKW56" s="16"/>
      <c r="AKX56" s="16"/>
      <c r="AKY56" s="16"/>
      <c r="AKZ56" s="16"/>
      <c r="ALA56" s="16"/>
      <c r="ALB56" s="16"/>
      <c r="ALC56" s="16"/>
      <c r="ALD56" s="16"/>
      <c r="ALE56" s="16"/>
      <c r="ALF56" s="16"/>
      <c r="ALG56" s="16"/>
      <c r="ALH56" s="16"/>
      <c r="ALI56" s="16"/>
      <c r="ALJ56" s="16"/>
      <c r="ALK56" s="16"/>
      <c r="ALL56" s="16"/>
      <c r="ALM56" s="16"/>
      <c r="ALN56" s="16"/>
      <c r="ALO56" s="16"/>
      <c r="ALP56" s="16"/>
      <c r="ALQ56" s="16"/>
      <c r="ALR56" s="16"/>
      <c r="ALS56" s="16"/>
      <c r="ALT56" s="16"/>
      <c r="ALU56" s="16"/>
      <c r="ALV56" s="16"/>
      <c r="ALW56" s="16"/>
      <c r="ALX56" s="16"/>
      <c r="ALY56" s="16"/>
      <c r="ALZ56" s="16"/>
      <c r="AMA56" s="16"/>
      <c r="AMB56" s="16"/>
      <c r="AMC56" s="16"/>
      <c r="AMD56" s="16"/>
      <c r="AME56" s="16"/>
      <c r="AMF56" s="16"/>
      <c r="AMG56" s="16"/>
      <c r="AMH56" s="16"/>
      <c r="AMI56" s="16"/>
      <c r="AMJ56" s="16"/>
      <c r="AMK56" s="16"/>
      <c r="AML56" s="16"/>
      <c r="AMM56" s="16"/>
      <c r="AMN56" s="16"/>
      <c r="AMO56" s="16"/>
      <c r="AMP56" s="16"/>
      <c r="AMQ56" s="16"/>
      <c r="AMR56" s="16"/>
      <c r="AMS56" s="16"/>
      <c r="AMT56" s="16"/>
      <c r="AMU56" s="16"/>
      <c r="AMV56" s="16"/>
      <c r="AMW56" s="16"/>
      <c r="AMX56" s="16"/>
      <c r="AMY56" s="16"/>
      <c r="AMZ56" s="16"/>
      <c r="ANA56" s="16"/>
      <c r="ANB56" s="16"/>
      <c r="ANC56" s="16"/>
      <c r="AND56" s="16"/>
      <c r="ANE56" s="16"/>
      <c r="ANF56" s="16"/>
      <c r="ANG56" s="16"/>
      <c r="ANH56" s="16"/>
      <c r="ANI56" s="16"/>
      <c r="ANJ56" s="16"/>
      <c r="ANK56" s="16"/>
      <c r="ANL56" s="16"/>
      <c r="ANM56" s="16"/>
      <c r="ANN56" s="16"/>
      <c r="ANO56" s="16"/>
      <c r="ANP56" s="16"/>
      <c r="ANQ56" s="16"/>
      <c r="ANR56" s="16"/>
      <c r="ANS56" s="16"/>
      <c r="ANT56" s="16"/>
      <c r="ANU56" s="16"/>
      <c r="ANV56" s="16"/>
      <c r="ANW56" s="16"/>
      <c r="ANX56" s="16"/>
      <c r="ANY56" s="16"/>
      <c r="ANZ56" s="16"/>
      <c r="AOA56" s="16"/>
      <c r="AOB56" s="16"/>
      <c r="AOC56" s="16"/>
      <c r="AOD56" s="16"/>
      <c r="AOE56" s="16"/>
      <c r="AOF56" s="16"/>
      <c r="AOG56" s="16"/>
      <c r="AOH56" s="16"/>
      <c r="AOI56" s="16"/>
      <c r="AOJ56" s="16"/>
      <c r="AOK56" s="16"/>
      <c r="AOL56" s="16"/>
      <c r="AOM56" s="16"/>
      <c r="AON56" s="16"/>
      <c r="AOO56" s="16"/>
      <c r="AOP56" s="16"/>
      <c r="AOQ56" s="16"/>
      <c r="AOR56" s="16"/>
      <c r="AOS56" s="16"/>
      <c r="AOT56" s="16"/>
      <c r="AOU56" s="16"/>
      <c r="AOV56" s="16"/>
      <c r="AOW56" s="16"/>
      <c r="AOX56" s="16"/>
      <c r="AOY56" s="16"/>
      <c r="AOZ56" s="16"/>
      <c r="APA56" s="16"/>
      <c r="APB56" s="16"/>
      <c r="APC56" s="16"/>
      <c r="APD56" s="16"/>
      <c r="APE56" s="16"/>
      <c r="APF56" s="16"/>
      <c r="APG56" s="16"/>
      <c r="APH56" s="16"/>
      <c r="API56" s="16"/>
      <c r="APJ56" s="16"/>
      <c r="APK56" s="16"/>
      <c r="APL56" s="16"/>
      <c r="APM56" s="16"/>
      <c r="APN56" s="16"/>
      <c r="APO56" s="16"/>
      <c r="APP56" s="16"/>
      <c r="APQ56" s="16"/>
      <c r="APR56" s="16"/>
      <c r="APS56" s="16"/>
      <c r="APT56" s="16"/>
      <c r="APU56" s="16"/>
      <c r="APV56" s="16"/>
      <c r="APW56" s="16"/>
      <c r="APX56" s="16"/>
      <c r="APY56" s="16"/>
      <c r="APZ56" s="16"/>
      <c r="AQA56" s="16"/>
      <c r="AQB56" s="16"/>
      <c r="AQC56" s="16"/>
      <c r="AQD56" s="16"/>
      <c r="AQE56" s="16"/>
      <c r="AQF56" s="16"/>
      <c r="AQG56" s="16"/>
      <c r="AQH56" s="16"/>
      <c r="AQI56" s="16"/>
      <c r="AQJ56" s="16"/>
      <c r="AQK56" s="16"/>
      <c r="AQL56" s="16"/>
      <c r="AQM56" s="16"/>
      <c r="AQN56" s="16"/>
      <c r="AQO56" s="16"/>
      <c r="AQP56" s="16"/>
      <c r="AQQ56" s="16"/>
      <c r="AQR56" s="16"/>
      <c r="AQS56" s="16"/>
      <c r="AQT56" s="16"/>
      <c r="AQU56" s="16"/>
      <c r="AQV56" s="16"/>
      <c r="AQW56" s="16"/>
      <c r="AQX56" s="16"/>
      <c r="AQY56" s="16"/>
      <c r="AQZ56" s="16"/>
      <c r="ARA56" s="16"/>
      <c r="ARB56" s="16"/>
      <c r="ARC56" s="16"/>
      <c r="ARD56" s="16"/>
      <c r="ARE56" s="16"/>
      <c r="ARF56" s="16"/>
      <c r="ARG56" s="16"/>
      <c r="ARH56" s="16"/>
      <c r="ARI56" s="16"/>
      <c r="ARJ56" s="16"/>
      <c r="ARK56" s="16"/>
      <c r="ARL56" s="16"/>
      <c r="ARM56" s="16"/>
      <c r="ARN56" s="16"/>
      <c r="ARO56" s="16"/>
      <c r="ARP56" s="16"/>
      <c r="ARQ56" s="16"/>
      <c r="ARR56" s="16"/>
      <c r="ARS56" s="16"/>
      <c r="ART56" s="16"/>
      <c r="ARU56" s="16"/>
      <c r="ARV56" s="16"/>
      <c r="ARW56" s="16"/>
      <c r="ARX56" s="16"/>
      <c r="ARY56" s="16"/>
      <c r="ARZ56" s="16"/>
      <c r="ASA56" s="16"/>
      <c r="ASB56" s="16"/>
      <c r="ASC56" s="16"/>
      <c r="ASD56" s="16"/>
      <c r="ASE56" s="16"/>
      <c r="ASF56" s="16"/>
      <c r="ASG56" s="16"/>
      <c r="ASH56" s="16"/>
      <c r="ASI56" s="16"/>
      <c r="ASJ56" s="16"/>
      <c r="ASK56" s="16"/>
      <c r="ASL56" s="16"/>
      <c r="ASM56" s="16"/>
      <c r="ASN56" s="16"/>
      <c r="ASO56" s="16"/>
      <c r="ASP56" s="16"/>
      <c r="ASQ56" s="16"/>
      <c r="ASR56" s="16"/>
      <c r="ASS56" s="16"/>
      <c r="AST56" s="16"/>
      <c r="ASU56" s="16"/>
      <c r="ASV56" s="16"/>
      <c r="ASW56" s="16"/>
      <c r="ASX56" s="16"/>
      <c r="ASY56" s="16"/>
      <c r="ASZ56" s="16"/>
      <c r="ATA56" s="16"/>
      <c r="ATB56" s="16"/>
      <c r="ATC56" s="16"/>
      <c r="ATD56" s="16"/>
      <c r="ATE56" s="16"/>
      <c r="ATF56" s="16"/>
      <c r="ATG56" s="16"/>
      <c r="ATH56" s="16"/>
      <c r="ATI56" s="16"/>
      <c r="ATJ56" s="16"/>
      <c r="ATK56" s="16"/>
      <c r="ATL56" s="16"/>
      <c r="ATM56" s="16"/>
      <c r="ATN56" s="16"/>
      <c r="ATO56" s="16"/>
      <c r="ATP56" s="16"/>
      <c r="ATQ56" s="16"/>
      <c r="ATR56" s="16"/>
      <c r="ATS56" s="16"/>
      <c r="ATT56" s="16"/>
      <c r="ATU56" s="16"/>
      <c r="ATV56" s="16"/>
      <c r="ATW56" s="16"/>
      <c r="ATX56" s="16"/>
      <c r="ATY56" s="16"/>
      <c r="ATZ56" s="16"/>
      <c r="AUA56" s="16"/>
      <c r="AUB56" s="16"/>
      <c r="AUC56" s="16"/>
      <c r="AUD56" s="16"/>
      <c r="AUE56" s="16"/>
      <c r="AUF56" s="16"/>
      <c r="AUG56" s="16"/>
      <c r="AUH56" s="16"/>
      <c r="AUI56" s="16"/>
      <c r="AUJ56" s="16"/>
      <c r="AUK56" s="16"/>
      <c r="AUL56" s="16"/>
      <c r="AUM56" s="16"/>
      <c r="AUN56" s="16"/>
      <c r="AUO56" s="16"/>
      <c r="AUP56" s="16"/>
      <c r="AUQ56" s="16"/>
      <c r="AUR56" s="16"/>
      <c r="AUS56" s="16"/>
      <c r="AUT56" s="16"/>
      <c r="AUU56" s="16"/>
      <c r="AUV56" s="16"/>
      <c r="AUW56" s="16"/>
      <c r="AUX56" s="16"/>
      <c r="AUY56" s="16"/>
      <c r="AUZ56" s="16"/>
      <c r="AVA56" s="16"/>
      <c r="AVB56" s="16"/>
      <c r="AVC56" s="16"/>
      <c r="AVD56" s="16"/>
      <c r="AVE56" s="16"/>
      <c r="AVF56" s="16"/>
      <c r="AVG56" s="16"/>
      <c r="AVH56" s="16"/>
      <c r="AVI56" s="16"/>
      <c r="AVJ56" s="16"/>
      <c r="AVK56" s="16"/>
      <c r="AVL56" s="16"/>
      <c r="AVM56" s="16"/>
      <c r="AVN56" s="16"/>
      <c r="AVO56" s="16"/>
      <c r="AVP56" s="16"/>
      <c r="AVQ56" s="16"/>
      <c r="AVR56" s="16"/>
      <c r="AVS56" s="16"/>
      <c r="AVT56" s="16"/>
      <c r="AVU56" s="16"/>
      <c r="AVV56" s="16"/>
      <c r="AVW56" s="16"/>
      <c r="AVX56" s="16"/>
      <c r="AVY56" s="16"/>
      <c r="AVZ56" s="16"/>
      <c r="AWA56" s="16"/>
      <c r="AWB56" s="16"/>
      <c r="AWC56" s="16"/>
      <c r="AWD56" s="16"/>
      <c r="AWE56" s="16"/>
      <c r="AWF56" s="16"/>
      <c r="AWG56" s="16"/>
      <c r="AWH56" s="16"/>
      <c r="AWI56" s="16"/>
      <c r="AWJ56" s="16"/>
      <c r="AWK56" s="16"/>
      <c r="AWL56" s="16"/>
      <c r="AWM56" s="16"/>
      <c r="AWN56" s="16"/>
      <c r="AWO56" s="16"/>
      <c r="AWP56" s="16"/>
      <c r="AWQ56" s="16"/>
      <c r="AWR56" s="16"/>
      <c r="AWS56" s="16"/>
      <c r="AWT56" s="16"/>
      <c r="AWU56" s="16"/>
      <c r="AWV56" s="16"/>
      <c r="AWW56" s="16"/>
      <c r="AWX56" s="16"/>
      <c r="AWY56" s="16"/>
      <c r="AWZ56" s="16"/>
      <c r="AXA56" s="16"/>
      <c r="AXB56" s="16"/>
      <c r="AXC56" s="16"/>
      <c r="AXD56" s="16"/>
      <c r="AXE56" s="16"/>
      <c r="AXF56" s="16"/>
      <c r="AXG56" s="16"/>
      <c r="AXH56" s="16"/>
      <c r="AXI56" s="16"/>
      <c r="AXJ56" s="16"/>
      <c r="AXK56" s="16"/>
      <c r="AXL56" s="16"/>
      <c r="AXM56" s="16"/>
      <c r="AXN56" s="16"/>
      <c r="AXO56" s="16"/>
      <c r="AXP56" s="16"/>
      <c r="AXQ56" s="16"/>
      <c r="AXR56" s="16"/>
      <c r="AXS56" s="16"/>
      <c r="AXT56" s="16"/>
      <c r="AXU56" s="16"/>
      <c r="AXV56" s="16"/>
      <c r="AXW56" s="16"/>
      <c r="AXX56" s="16"/>
      <c r="AXY56" s="16"/>
      <c r="AXZ56" s="16"/>
      <c r="AYA56" s="16"/>
      <c r="AYB56" s="16"/>
      <c r="AYC56" s="16"/>
      <c r="AYD56" s="16"/>
      <c r="AYE56" s="16"/>
      <c r="AYF56" s="16"/>
      <c r="AYG56" s="16"/>
      <c r="AYH56" s="16"/>
      <c r="AYI56" s="16"/>
      <c r="AYJ56" s="16"/>
      <c r="AYK56" s="16"/>
      <c r="AYL56" s="16"/>
      <c r="AYM56" s="16"/>
      <c r="AYN56" s="16"/>
      <c r="AYO56" s="16"/>
      <c r="AYP56" s="16"/>
      <c r="AYQ56" s="16"/>
      <c r="AYR56" s="16"/>
      <c r="AYS56" s="16"/>
      <c r="AYT56" s="16"/>
      <c r="AYU56" s="16"/>
      <c r="AYV56" s="16"/>
      <c r="AYW56" s="16"/>
      <c r="AYX56" s="16"/>
      <c r="AYY56" s="16"/>
      <c r="AYZ56" s="16"/>
      <c r="AZA56" s="16"/>
      <c r="AZB56" s="16"/>
      <c r="AZC56" s="16"/>
      <c r="AZD56" s="16"/>
      <c r="AZE56" s="16"/>
      <c r="AZF56" s="16"/>
      <c r="AZG56" s="16"/>
      <c r="AZH56" s="16"/>
      <c r="AZI56" s="16"/>
      <c r="AZJ56" s="16"/>
      <c r="AZK56" s="16"/>
      <c r="AZL56" s="16"/>
      <c r="AZM56" s="16"/>
      <c r="AZN56" s="16"/>
      <c r="AZO56" s="16"/>
      <c r="AZP56" s="16"/>
      <c r="AZQ56" s="16"/>
      <c r="AZR56" s="16"/>
      <c r="AZS56" s="16"/>
      <c r="AZT56" s="16"/>
      <c r="AZU56" s="16"/>
      <c r="AZV56" s="16"/>
      <c r="AZW56" s="16"/>
      <c r="AZX56" s="16"/>
      <c r="AZY56" s="16"/>
      <c r="AZZ56" s="16"/>
      <c r="BAA56" s="16"/>
      <c r="BAB56" s="16"/>
      <c r="BAC56" s="16"/>
      <c r="BAD56" s="16"/>
      <c r="BAE56" s="16"/>
      <c r="BAF56" s="16"/>
      <c r="BAG56" s="16"/>
      <c r="BAH56" s="16"/>
      <c r="BAI56" s="16"/>
      <c r="BAJ56" s="16"/>
      <c r="BAK56" s="16"/>
      <c r="BAL56" s="16"/>
      <c r="BAM56" s="16"/>
      <c r="BAN56" s="16"/>
      <c r="BAO56" s="16"/>
      <c r="BAP56" s="16"/>
      <c r="BAQ56" s="16"/>
      <c r="BAR56" s="16"/>
      <c r="BAS56" s="16"/>
      <c r="BAT56" s="16"/>
      <c r="BAU56" s="16"/>
      <c r="BAV56" s="16"/>
      <c r="BAW56" s="16"/>
      <c r="BAX56" s="16"/>
      <c r="BAY56" s="16"/>
      <c r="BAZ56" s="16"/>
      <c r="BBA56" s="16"/>
      <c r="BBB56" s="16"/>
      <c r="BBC56" s="16"/>
      <c r="BBD56" s="16"/>
      <c r="BBE56" s="16"/>
      <c r="BBF56" s="16"/>
      <c r="BBG56" s="16"/>
      <c r="BBH56" s="16"/>
      <c r="BBI56" s="16"/>
      <c r="BBJ56" s="16"/>
      <c r="BBK56" s="16"/>
      <c r="BBL56" s="16"/>
      <c r="BBM56" s="16"/>
      <c r="BBN56" s="16"/>
      <c r="BBO56" s="16"/>
      <c r="BBP56" s="16"/>
      <c r="BBQ56" s="16"/>
      <c r="BBR56" s="16"/>
      <c r="BBS56" s="16"/>
      <c r="BBT56" s="16"/>
      <c r="BBU56" s="16"/>
      <c r="BBV56" s="16"/>
      <c r="BBW56" s="16"/>
      <c r="BBX56" s="16"/>
      <c r="BBY56" s="16"/>
      <c r="BBZ56" s="16"/>
      <c r="BCA56" s="16"/>
      <c r="BCB56" s="16"/>
      <c r="BCC56" s="16"/>
      <c r="BCD56" s="16"/>
      <c r="BCE56" s="16"/>
      <c r="BCF56" s="16"/>
      <c r="BCG56" s="16"/>
      <c r="BCH56" s="16"/>
      <c r="BCI56" s="16"/>
      <c r="BCJ56" s="16"/>
      <c r="BCK56" s="16"/>
      <c r="BCL56" s="16"/>
      <c r="BCM56" s="16"/>
      <c r="BCN56" s="16"/>
      <c r="BCO56" s="16"/>
      <c r="BCP56" s="16"/>
      <c r="BCQ56" s="16"/>
      <c r="BCR56" s="16"/>
      <c r="BCS56" s="16"/>
      <c r="BCT56" s="16"/>
      <c r="BCU56" s="16"/>
      <c r="BCV56" s="16"/>
      <c r="BCW56" s="16"/>
      <c r="BCX56" s="16"/>
      <c r="BCY56" s="16"/>
      <c r="BCZ56" s="16"/>
      <c r="BDA56" s="16"/>
      <c r="BDB56" s="16"/>
      <c r="BDC56" s="16"/>
      <c r="BDD56" s="16"/>
      <c r="BDE56" s="16"/>
      <c r="BDF56" s="16"/>
      <c r="BDG56" s="16"/>
      <c r="BDH56" s="16"/>
      <c r="BDI56" s="16"/>
      <c r="BDJ56" s="16"/>
      <c r="BDK56" s="16"/>
      <c r="BDL56" s="16"/>
      <c r="BDM56" s="16"/>
      <c r="BDN56" s="16"/>
      <c r="BDO56" s="16"/>
      <c r="BDP56" s="16"/>
      <c r="BDQ56" s="16"/>
      <c r="BDR56" s="16"/>
      <c r="BDS56" s="16"/>
      <c r="BDT56" s="16"/>
      <c r="BDU56" s="16"/>
      <c r="BDV56" s="16"/>
      <c r="BDW56" s="16"/>
      <c r="BDX56" s="16"/>
      <c r="BDY56" s="16"/>
      <c r="BDZ56" s="16"/>
      <c r="BEA56" s="16"/>
      <c r="BEB56" s="16"/>
      <c r="BEC56" s="16"/>
      <c r="BED56" s="16"/>
      <c r="BEE56" s="16"/>
      <c r="BEF56" s="16"/>
      <c r="BEG56" s="16"/>
      <c r="BEH56" s="16"/>
      <c r="BEI56" s="16"/>
      <c r="BEJ56" s="16"/>
      <c r="BEK56" s="16"/>
      <c r="BEL56" s="16"/>
      <c r="BEM56" s="16"/>
      <c r="BEN56" s="16"/>
      <c r="BEO56" s="16"/>
      <c r="BEP56" s="16"/>
      <c r="BEQ56" s="16"/>
      <c r="BER56" s="16"/>
      <c r="BES56" s="16"/>
      <c r="BET56" s="16"/>
      <c r="BEU56" s="16"/>
      <c r="BEV56" s="16"/>
      <c r="BEW56" s="16"/>
      <c r="BEX56" s="16"/>
      <c r="BEY56" s="16"/>
      <c r="BEZ56" s="16"/>
      <c r="BFA56" s="16"/>
      <c r="BFB56" s="16"/>
      <c r="BFC56" s="16"/>
      <c r="BFD56" s="16"/>
      <c r="BFE56" s="16"/>
      <c r="BFF56" s="16"/>
      <c r="BFG56" s="16"/>
      <c r="BFH56" s="16"/>
      <c r="BFI56" s="16"/>
      <c r="BFJ56" s="16"/>
      <c r="BFK56" s="16"/>
      <c r="BFL56" s="16"/>
      <c r="BFM56" s="16"/>
      <c r="BFN56" s="16"/>
      <c r="BFO56" s="16"/>
      <c r="BFP56" s="16"/>
      <c r="BFQ56" s="16"/>
      <c r="BFR56" s="16"/>
      <c r="BFS56" s="16"/>
      <c r="BFT56" s="16"/>
      <c r="BFU56" s="16"/>
      <c r="BFV56" s="16"/>
      <c r="BFW56" s="16"/>
      <c r="BFX56" s="16"/>
      <c r="BFY56" s="16"/>
      <c r="BFZ56" s="16"/>
      <c r="BGA56" s="16"/>
      <c r="BGB56" s="16"/>
      <c r="BGC56" s="16"/>
      <c r="BGD56" s="16"/>
      <c r="BGE56" s="16"/>
      <c r="BGF56" s="16"/>
      <c r="BGG56" s="16"/>
      <c r="BGH56" s="16"/>
      <c r="BGI56" s="16"/>
      <c r="BGJ56" s="16"/>
      <c r="BGK56" s="16"/>
      <c r="BGL56" s="16"/>
      <c r="BGM56" s="16"/>
      <c r="BGN56" s="16"/>
      <c r="BGO56" s="16"/>
      <c r="BGP56" s="16"/>
      <c r="BGQ56" s="16"/>
      <c r="BGR56" s="16"/>
      <c r="BGS56" s="16"/>
      <c r="BGT56" s="16"/>
      <c r="BGU56" s="16"/>
      <c r="BGV56" s="16"/>
      <c r="BGW56" s="16"/>
      <c r="BGX56" s="16"/>
      <c r="BGY56" s="16"/>
      <c r="BGZ56" s="16"/>
      <c r="BHA56" s="16"/>
      <c r="BHB56" s="16"/>
      <c r="BHC56" s="16"/>
      <c r="BHD56" s="16"/>
      <c r="BHE56" s="16"/>
      <c r="BHF56" s="16"/>
      <c r="BHG56" s="16"/>
      <c r="BHH56" s="16"/>
      <c r="BHI56" s="16"/>
      <c r="BHJ56" s="16"/>
      <c r="BHK56" s="16"/>
      <c r="BHL56" s="16"/>
      <c r="BHM56" s="16"/>
      <c r="BHN56" s="16"/>
      <c r="BHO56" s="16"/>
      <c r="BHP56" s="16"/>
      <c r="BHQ56" s="16"/>
      <c r="BHR56" s="16"/>
      <c r="BHS56" s="16"/>
      <c r="BHT56" s="16"/>
      <c r="BHU56" s="16"/>
      <c r="BHV56" s="16"/>
      <c r="BHW56" s="16"/>
      <c r="BHX56" s="16"/>
      <c r="BHY56" s="16"/>
      <c r="BHZ56" s="16"/>
      <c r="BIA56" s="16"/>
      <c r="BIB56" s="16"/>
      <c r="BIC56" s="16"/>
      <c r="BID56" s="16"/>
      <c r="BIE56" s="16"/>
      <c r="BIF56" s="16"/>
      <c r="BIG56" s="16"/>
      <c r="BIH56" s="16"/>
      <c r="BII56" s="16"/>
      <c r="BIJ56" s="16"/>
      <c r="BIK56" s="16"/>
      <c r="BIL56" s="16"/>
      <c r="BIM56" s="16"/>
      <c r="BIN56" s="16"/>
      <c r="BIO56" s="16"/>
      <c r="BIP56" s="16"/>
      <c r="BIQ56" s="16"/>
      <c r="BIR56" s="16"/>
      <c r="BIS56" s="16"/>
      <c r="BIT56" s="16"/>
      <c r="BIU56" s="16"/>
      <c r="BIV56" s="16"/>
      <c r="BIW56" s="16"/>
      <c r="BIX56" s="16"/>
      <c r="BIY56" s="16"/>
      <c r="BIZ56" s="16"/>
      <c r="BJA56" s="16"/>
      <c r="BJB56" s="16"/>
      <c r="BJC56" s="16"/>
      <c r="BJD56" s="16"/>
      <c r="BJE56" s="16"/>
      <c r="BJF56" s="16"/>
      <c r="BJG56" s="16"/>
      <c r="BJH56" s="16"/>
      <c r="BJI56" s="16"/>
      <c r="BJJ56" s="16"/>
      <c r="BJK56" s="16"/>
      <c r="BJL56" s="16"/>
      <c r="BJM56" s="16"/>
      <c r="BJN56" s="16"/>
      <c r="BJO56" s="16"/>
      <c r="BJP56" s="16"/>
      <c r="BJQ56" s="16"/>
      <c r="BJR56" s="16"/>
      <c r="BJS56" s="16"/>
      <c r="BJT56" s="16"/>
      <c r="BJU56" s="16"/>
      <c r="BJV56" s="16"/>
      <c r="BJW56" s="16"/>
      <c r="BJX56" s="16"/>
      <c r="BJY56" s="16"/>
      <c r="BJZ56" s="16"/>
      <c r="BKA56" s="16"/>
      <c r="BKB56" s="16"/>
      <c r="BKC56" s="16"/>
      <c r="BKD56" s="16"/>
      <c r="BKE56" s="16"/>
      <c r="BKF56" s="16"/>
      <c r="BKG56" s="16"/>
      <c r="BKH56" s="16"/>
      <c r="BKI56" s="16"/>
      <c r="BKJ56" s="16"/>
      <c r="BKK56" s="16"/>
      <c r="BKL56" s="16"/>
      <c r="BKM56" s="16"/>
      <c r="BKN56" s="16"/>
      <c r="BKO56" s="16"/>
      <c r="BKP56" s="16"/>
      <c r="BKQ56" s="16"/>
      <c r="BKR56" s="16"/>
      <c r="BKS56" s="16"/>
      <c r="BKT56" s="16"/>
      <c r="BKU56" s="16"/>
      <c r="BKV56" s="16"/>
      <c r="BKW56" s="16"/>
      <c r="BKX56" s="16"/>
      <c r="BKY56" s="16"/>
      <c r="BKZ56" s="16"/>
      <c r="BLA56" s="16"/>
      <c r="BLB56" s="16"/>
      <c r="BLC56" s="16"/>
      <c r="BLD56" s="16"/>
      <c r="BLE56" s="16"/>
      <c r="BLF56" s="16"/>
      <c r="BLG56" s="16"/>
      <c r="BLH56" s="16"/>
      <c r="BLI56" s="16"/>
      <c r="BLJ56" s="16"/>
      <c r="BLK56" s="16"/>
      <c r="BLL56" s="16"/>
      <c r="BLM56" s="16"/>
      <c r="BLN56" s="16"/>
      <c r="BLO56" s="16"/>
      <c r="BLP56" s="16"/>
      <c r="BLQ56" s="16"/>
      <c r="BLR56" s="16"/>
      <c r="BLS56" s="16"/>
      <c r="BLT56" s="16"/>
      <c r="BLU56" s="16"/>
      <c r="BLV56" s="16"/>
      <c r="BLW56" s="16"/>
      <c r="BLX56" s="16"/>
      <c r="BLY56" s="16"/>
      <c r="BLZ56" s="16"/>
      <c r="BMA56" s="16"/>
      <c r="BMB56" s="16"/>
      <c r="BMC56" s="16"/>
      <c r="BMD56" s="16"/>
      <c r="BME56" s="16"/>
      <c r="BMF56" s="16"/>
      <c r="BMG56" s="16"/>
      <c r="BMH56" s="16"/>
      <c r="BMI56" s="16"/>
      <c r="BMJ56" s="16"/>
      <c r="BMK56" s="16"/>
      <c r="BML56" s="16"/>
      <c r="BMM56" s="16"/>
      <c r="BMN56" s="16"/>
      <c r="BMO56" s="16"/>
      <c r="BMP56" s="16"/>
      <c r="BMQ56" s="16"/>
      <c r="BMR56" s="16"/>
      <c r="BMS56" s="16"/>
      <c r="BMT56" s="16"/>
      <c r="BMU56" s="16"/>
      <c r="BMV56" s="16"/>
      <c r="BMW56" s="16"/>
      <c r="BMX56" s="16"/>
      <c r="BMY56" s="16"/>
      <c r="BMZ56" s="16"/>
      <c r="BNA56" s="16"/>
      <c r="BNB56" s="16"/>
      <c r="BNC56" s="16"/>
      <c r="BND56" s="16"/>
      <c r="BNE56" s="16"/>
      <c r="BNF56" s="16"/>
      <c r="BNG56" s="16"/>
      <c r="BNH56" s="16"/>
      <c r="BNI56" s="16"/>
      <c r="BNJ56" s="16"/>
      <c r="BNK56" s="16"/>
      <c r="BNL56" s="16"/>
      <c r="BNM56" s="16"/>
      <c r="BNN56" s="16"/>
      <c r="BNO56" s="16"/>
      <c r="BNP56" s="16"/>
      <c r="BNQ56" s="16"/>
      <c r="BNR56" s="16"/>
      <c r="BNS56" s="16"/>
      <c r="BNT56" s="16"/>
      <c r="BNU56" s="16"/>
      <c r="BNV56" s="16"/>
      <c r="BNW56" s="16"/>
      <c r="BNX56" s="16"/>
      <c r="BNY56" s="16"/>
      <c r="BNZ56" s="16"/>
      <c r="BOA56" s="16"/>
      <c r="BOB56" s="16"/>
      <c r="BOC56" s="16"/>
      <c r="BOD56" s="16"/>
      <c r="BOE56" s="16"/>
      <c r="BOF56" s="16"/>
      <c r="BOG56" s="16"/>
      <c r="BOH56" s="16"/>
      <c r="BOI56" s="16"/>
      <c r="BOJ56" s="16"/>
      <c r="BOK56" s="16"/>
      <c r="BOL56" s="16"/>
      <c r="BOM56" s="16"/>
      <c r="BON56" s="16"/>
      <c r="BOO56" s="16"/>
      <c r="BOP56" s="16"/>
      <c r="BOQ56" s="16"/>
      <c r="BOR56" s="16"/>
      <c r="BOS56" s="16"/>
      <c r="BOT56" s="16"/>
      <c r="BOU56" s="16"/>
      <c r="BOV56" s="16"/>
      <c r="BOW56" s="16"/>
      <c r="BOX56" s="16"/>
      <c r="BOY56" s="16"/>
      <c r="BOZ56" s="16"/>
      <c r="BPA56" s="16"/>
      <c r="BPB56" s="16"/>
      <c r="BPC56" s="16"/>
      <c r="BPD56" s="16"/>
      <c r="BPE56" s="16"/>
      <c r="BPF56" s="16"/>
      <c r="BPG56" s="16"/>
      <c r="BPH56" s="16"/>
      <c r="BPI56" s="16"/>
      <c r="BPJ56" s="16"/>
      <c r="BPK56" s="16"/>
      <c r="BPL56" s="16"/>
      <c r="BPM56" s="16"/>
      <c r="BPN56" s="16"/>
      <c r="BPO56" s="16"/>
      <c r="BPP56" s="16"/>
      <c r="BPQ56" s="16"/>
      <c r="BPR56" s="16"/>
      <c r="BPS56" s="16"/>
      <c r="BPT56" s="16"/>
      <c r="BPU56" s="16"/>
      <c r="BPV56" s="16"/>
      <c r="BPW56" s="16"/>
      <c r="BPX56" s="16"/>
      <c r="BPY56" s="16"/>
      <c r="BPZ56" s="16"/>
      <c r="BQA56" s="16"/>
      <c r="BQB56" s="16"/>
      <c r="BQC56" s="16"/>
      <c r="BQD56" s="16"/>
      <c r="BQE56" s="16"/>
      <c r="BQF56" s="16"/>
      <c r="BQG56" s="16"/>
      <c r="BQH56" s="16"/>
      <c r="BQI56" s="16"/>
      <c r="BQJ56" s="16"/>
      <c r="BQK56" s="16"/>
      <c r="BQL56" s="16"/>
      <c r="BQM56" s="16"/>
      <c r="BQN56" s="16"/>
      <c r="BQO56" s="16"/>
      <c r="BQP56" s="16"/>
      <c r="BQQ56" s="16"/>
      <c r="BQR56" s="16"/>
      <c r="BQS56" s="16"/>
      <c r="BQT56" s="16"/>
      <c r="BQU56" s="16"/>
      <c r="BQV56" s="16"/>
      <c r="BQW56" s="16"/>
      <c r="BQX56" s="16"/>
      <c r="BQY56" s="16"/>
      <c r="BQZ56" s="16"/>
      <c r="BRA56" s="16"/>
      <c r="BRB56" s="16"/>
      <c r="BRC56" s="16"/>
      <c r="BRD56" s="16"/>
      <c r="BRE56" s="16"/>
      <c r="BRF56" s="16"/>
      <c r="BRG56" s="16"/>
      <c r="BRH56" s="16"/>
      <c r="BRI56" s="16"/>
      <c r="BRJ56" s="16"/>
      <c r="BRK56" s="16"/>
      <c r="BRL56" s="16"/>
      <c r="BRM56" s="16"/>
      <c r="BRN56" s="16"/>
      <c r="BRO56" s="16"/>
      <c r="BRP56" s="16"/>
      <c r="BRQ56" s="16"/>
      <c r="BRR56" s="16"/>
      <c r="BRS56" s="16"/>
      <c r="BRT56" s="16"/>
      <c r="BRU56" s="16"/>
      <c r="BRV56" s="16"/>
      <c r="BRW56" s="16"/>
      <c r="BRX56" s="16"/>
      <c r="BRY56" s="16"/>
      <c r="BRZ56" s="16"/>
      <c r="BSA56" s="16"/>
      <c r="BSB56" s="16"/>
      <c r="BSC56" s="16"/>
      <c r="BSD56" s="16"/>
      <c r="BSE56" s="16"/>
      <c r="BSF56" s="16"/>
      <c r="BSG56" s="16"/>
      <c r="BSH56" s="16"/>
      <c r="BSI56" s="16"/>
      <c r="BSJ56" s="16"/>
      <c r="BSK56" s="16"/>
      <c r="BSL56" s="16"/>
      <c r="BSM56" s="16"/>
      <c r="BSN56" s="16"/>
      <c r="BSO56" s="16"/>
      <c r="BSP56" s="16"/>
      <c r="BSQ56" s="16"/>
      <c r="BSR56" s="16"/>
      <c r="BSS56" s="16"/>
      <c r="BST56" s="16"/>
      <c r="BSU56" s="16"/>
      <c r="BSV56" s="16"/>
      <c r="BSW56" s="16"/>
      <c r="BSX56" s="16"/>
      <c r="BSY56" s="16"/>
      <c r="BSZ56" s="16"/>
      <c r="BTA56" s="16"/>
      <c r="BTB56" s="16"/>
      <c r="BTC56" s="16"/>
      <c r="BTD56" s="16"/>
      <c r="BTE56" s="16"/>
      <c r="BTF56" s="16"/>
      <c r="BTG56" s="16"/>
      <c r="BTH56" s="16"/>
      <c r="BTI56" s="16"/>
      <c r="BTJ56" s="16"/>
      <c r="BTK56" s="16"/>
      <c r="BTL56" s="16"/>
      <c r="BTM56" s="16"/>
      <c r="BTN56" s="16"/>
      <c r="BTO56" s="16"/>
      <c r="BTP56" s="16"/>
      <c r="BTQ56" s="16"/>
      <c r="BTR56" s="16"/>
      <c r="BTS56" s="16"/>
      <c r="BTT56" s="16"/>
      <c r="BTU56" s="16"/>
      <c r="BTV56" s="16"/>
      <c r="BTW56" s="16"/>
      <c r="BTX56" s="16"/>
      <c r="BTY56" s="16"/>
      <c r="BTZ56" s="16"/>
      <c r="BUA56" s="16"/>
      <c r="BUB56" s="16"/>
      <c r="BUC56" s="16"/>
      <c r="BUD56" s="16"/>
      <c r="BUE56" s="16"/>
      <c r="BUF56" s="16"/>
      <c r="BUG56" s="16"/>
      <c r="BUH56" s="16"/>
      <c r="BUI56" s="16"/>
      <c r="BUJ56" s="16"/>
      <c r="BUK56" s="16"/>
      <c r="BUL56" s="16"/>
      <c r="BUM56" s="16"/>
      <c r="BUN56" s="16"/>
      <c r="BUO56" s="16"/>
      <c r="BUP56" s="16"/>
      <c r="BUQ56" s="16"/>
      <c r="BUR56" s="16"/>
      <c r="BUS56" s="16"/>
      <c r="BUT56" s="16"/>
      <c r="BUU56" s="16"/>
      <c r="BUV56" s="16"/>
      <c r="BUW56" s="16"/>
      <c r="BUX56" s="16"/>
      <c r="BUY56" s="16"/>
      <c r="BUZ56" s="16"/>
      <c r="BVA56" s="16"/>
      <c r="BVB56" s="16"/>
      <c r="BVC56" s="16"/>
      <c r="BVD56" s="16"/>
      <c r="BVE56" s="16"/>
      <c r="BVF56" s="16"/>
      <c r="BVG56" s="16"/>
      <c r="BVH56" s="16"/>
      <c r="BVI56" s="16"/>
      <c r="BVJ56" s="16"/>
      <c r="BVK56" s="16"/>
      <c r="BVL56" s="16"/>
      <c r="BVM56" s="16"/>
      <c r="BVN56" s="16"/>
      <c r="BVO56" s="16"/>
      <c r="BVP56" s="16"/>
      <c r="BVQ56" s="16"/>
      <c r="BVR56" s="16"/>
      <c r="BVS56" s="16"/>
      <c r="BVT56" s="16"/>
      <c r="BVU56" s="16"/>
      <c r="BVV56" s="16"/>
      <c r="BVW56" s="16"/>
      <c r="BVX56" s="16"/>
      <c r="BVY56" s="16"/>
      <c r="BVZ56" s="16"/>
      <c r="BWA56" s="16"/>
      <c r="BWB56" s="16"/>
      <c r="BWC56" s="16"/>
      <c r="BWD56" s="16"/>
      <c r="BWE56" s="16"/>
      <c r="BWF56" s="16"/>
      <c r="BWG56" s="16"/>
      <c r="BWH56" s="16"/>
      <c r="BWI56" s="16"/>
      <c r="BWJ56" s="16"/>
      <c r="BWK56" s="16"/>
      <c r="BWL56" s="16"/>
      <c r="BWM56" s="16"/>
      <c r="BWN56" s="16"/>
      <c r="BWO56" s="16"/>
      <c r="BWP56" s="16"/>
      <c r="BWQ56" s="16"/>
      <c r="BWR56" s="16"/>
      <c r="BWS56" s="16"/>
      <c r="BWT56" s="16"/>
      <c r="BWU56" s="16"/>
      <c r="BWV56" s="16"/>
      <c r="BWW56" s="16"/>
      <c r="BWX56" s="16"/>
      <c r="BWY56" s="16"/>
      <c r="BWZ56" s="16"/>
      <c r="BXA56" s="16"/>
      <c r="BXB56" s="16"/>
      <c r="BXC56" s="16"/>
      <c r="BXD56" s="16"/>
      <c r="BXE56" s="16"/>
      <c r="BXF56" s="16"/>
      <c r="BXG56" s="16"/>
      <c r="BXH56" s="16"/>
      <c r="BXI56" s="16"/>
      <c r="BXJ56" s="16"/>
      <c r="BXK56" s="16"/>
      <c r="BXL56" s="16"/>
      <c r="BXM56" s="16"/>
      <c r="BXN56" s="16"/>
      <c r="BXO56" s="16"/>
      <c r="BXP56" s="16"/>
      <c r="BXQ56" s="16"/>
      <c r="BXR56" s="16"/>
      <c r="BXS56" s="16"/>
      <c r="BXT56" s="16"/>
      <c r="BXU56" s="16"/>
      <c r="BXV56" s="16"/>
      <c r="BXW56" s="16"/>
      <c r="BXX56" s="16"/>
      <c r="BXY56" s="16"/>
      <c r="BXZ56" s="16"/>
      <c r="BYA56" s="16"/>
      <c r="BYB56" s="16"/>
      <c r="BYC56" s="16"/>
      <c r="BYD56" s="16"/>
      <c r="BYE56" s="16"/>
      <c r="BYF56" s="16"/>
      <c r="BYG56" s="16"/>
      <c r="BYH56" s="16"/>
      <c r="BYI56" s="16"/>
      <c r="BYJ56" s="16"/>
      <c r="BYK56" s="16"/>
      <c r="BYL56" s="16"/>
      <c r="BYM56" s="16"/>
      <c r="BYN56" s="16"/>
      <c r="BYO56" s="16"/>
      <c r="BYP56" s="16"/>
      <c r="BYQ56" s="16"/>
      <c r="BYR56" s="16"/>
      <c r="BYS56" s="16"/>
      <c r="BYT56" s="16"/>
      <c r="BYU56" s="16"/>
      <c r="BYV56" s="16"/>
      <c r="BYW56" s="16"/>
      <c r="BYX56" s="16"/>
      <c r="BYY56" s="16"/>
      <c r="BYZ56" s="16"/>
      <c r="BZA56" s="16"/>
      <c r="BZB56" s="16"/>
      <c r="BZC56" s="16"/>
      <c r="BZD56" s="16"/>
      <c r="BZE56" s="16"/>
      <c r="BZF56" s="16"/>
      <c r="BZG56" s="16"/>
      <c r="BZH56" s="16"/>
      <c r="BZI56" s="16"/>
      <c r="BZJ56" s="16"/>
      <c r="BZK56" s="16"/>
      <c r="BZL56" s="16"/>
      <c r="BZM56" s="16"/>
      <c r="BZN56" s="16"/>
      <c r="BZO56" s="16"/>
      <c r="BZP56" s="16"/>
      <c r="BZQ56" s="16"/>
      <c r="BZR56" s="16"/>
      <c r="BZS56" s="16"/>
      <c r="BZT56" s="16"/>
      <c r="BZU56" s="16"/>
      <c r="BZV56" s="16"/>
      <c r="BZW56" s="16"/>
      <c r="BZX56" s="16"/>
      <c r="BZY56" s="16"/>
      <c r="BZZ56" s="16"/>
      <c r="CAA56" s="16"/>
      <c r="CAB56" s="16"/>
      <c r="CAC56" s="16"/>
      <c r="CAD56" s="16"/>
      <c r="CAE56" s="16"/>
      <c r="CAF56" s="16"/>
      <c r="CAG56" s="16"/>
      <c r="CAH56" s="16"/>
      <c r="CAI56" s="16"/>
      <c r="CAJ56" s="16"/>
      <c r="CAK56" s="16"/>
      <c r="CAL56" s="16"/>
      <c r="CAM56" s="16"/>
      <c r="CAN56" s="16"/>
      <c r="CAO56" s="16"/>
      <c r="CAP56" s="16"/>
      <c r="CAQ56" s="16"/>
      <c r="CAR56" s="16"/>
      <c r="CAS56" s="16"/>
      <c r="CAT56" s="16"/>
      <c r="CAU56" s="16"/>
      <c r="CAV56" s="16"/>
      <c r="CAW56" s="16"/>
      <c r="CAX56" s="16"/>
      <c r="CAY56" s="16"/>
      <c r="CAZ56" s="16"/>
      <c r="CBA56" s="16"/>
      <c r="CBB56" s="16"/>
      <c r="CBC56" s="16"/>
      <c r="CBD56" s="16"/>
      <c r="CBE56" s="16"/>
      <c r="CBF56" s="16"/>
      <c r="CBG56" s="16"/>
      <c r="CBH56" s="16"/>
      <c r="CBI56" s="16"/>
      <c r="CBJ56" s="16"/>
      <c r="CBK56" s="16"/>
      <c r="CBL56" s="16"/>
      <c r="CBM56" s="16"/>
      <c r="CBN56" s="16"/>
      <c r="CBO56" s="16"/>
      <c r="CBP56" s="16"/>
      <c r="CBQ56" s="16"/>
      <c r="CBR56" s="16"/>
      <c r="CBS56" s="16"/>
      <c r="CBT56" s="16"/>
      <c r="CBU56" s="16"/>
      <c r="CBV56" s="16"/>
      <c r="CBW56" s="16"/>
      <c r="CBX56" s="16"/>
      <c r="CBY56" s="16"/>
      <c r="CBZ56" s="16"/>
      <c r="CCA56" s="16"/>
      <c r="CCB56" s="16"/>
      <c r="CCC56" s="16"/>
      <c r="CCD56" s="16"/>
      <c r="CCE56" s="16"/>
      <c r="CCF56" s="16"/>
      <c r="CCG56" s="16"/>
      <c r="CCH56" s="16"/>
      <c r="CCI56" s="16"/>
      <c r="CCJ56" s="16"/>
      <c r="CCK56" s="16"/>
      <c r="CCL56" s="16"/>
      <c r="CCM56" s="16"/>
      <c r="CCN56" s="16"/>
      <c r="CCO56" s="16"/>
      <c r="CCP56" s="16"/>
      <c r="CCQ56" s="16"/>
      <c r="CCR56" s="16"/>
      <c r="CCS56" s="16"/>
      <c r="CCT56" s="16"/>
      <c r="CCU56" s="16"/>
      <c r="CCV56" s="16"/>
      <c r="CCW56" s="16"/>
      <c r="CCX56" s="16"/>
      <c r="CCY56" s="16"/>
      <c r="CCZ56" s="16"/>
      <c r="CDA56" s="16"/>
      <c r="CDB56" s="16"/>
      <c r="CDC56" s="16"/>
      <c r="CDD56" s="16"/>
      <c r="CDE56" s="16"/>
      <c r="CDF56" s="16"/>
      <c r="CDG56" s="16"/>
      <c r="CDH56" s="16"/>
      <c r="CDI56" s="16"/>
      <c r="CDJ56" s="16"/>
      <c r="CDK56" s="16"/>
      <c r="CDL56" s="16"/>
      <c r="CDM56" s="16"/>
      <c r="CDN56" s="16"/>
      <c r="CDO56" s="16"/>
      <c r="CDP56" s="16"/>
      <c r="CDQ56" s="16"/>
      <c r="CDR56" s="16"/>
      <c r="CDS56" s="16"/>
      <c r="CDT56" s="16"/>
      <c r="CDU56" s="16"/>
      <c r="CDV56" s="16"/>
      <c r="CDW56" s="16"/>
      <c r="CDX56" s="16"/>
      <c r="CDY56" s="16"/>
      <c r="CDZ56" s="16"/>
      <c r="CEA56" s="16"/>
      <c r="CEB56" s="16"/>
      <c r="CEC56" s="16"/>
      <c r="CED56" s="16"/>
      <c r="CEE56" s="16"/>
      <c r="CEF56" s="16"/>
      <c r="CEG56" s="16"/>
      <c r="CEH56" s="16"/>
      <c r="CEI56" s="16"/>
      <c r="CEJ56" s="16"/>
      <c r="CEK56" s="16"/>
      <c r="CEL56" s="16"/>
      <c r="CEM56" s="16"/>
      <c r="CEN56" s="16"/>
      <c r="CEO56" s="16"/>
      <c r="CEP56" s="16"/>
      <c r="CEQ56" s="16"/>
      <c r="CER56" s="16"/>
      <c r="CES56" s="16"/>
      <c r="CET56" s="16"/>
      <c r="CEU56" s="16"/>
      <c r="CEV56" s="16"/>
      <c r="CEW56" s="16"/>
      <c r="CEX56" s="16"/>
      <c r="CEY56" s="16"/>
      <c r="CEZ56" s="16"/>
      <c r="CFA56" s="16"/>
      <c r="CFB56" s="16"/>
      <c r="CFC56" s="16"/>
      <c r="CFD56" s="16"/>
      <c r="CFE56" s="16"/>
      <c r="CFF56" s="16"/>
      <c r="CFG56" s="16"/>
      <c r="CFH56" s="16"/>
      <c r="CFI56" s="16"/>
      <c r="CFJ56" s="16"/>
      <c r="CFK56" s="16"/>
      <c r="CFL56" s="16"/>
      <c r="CFM56" s="16"/>
      <c r="CFN56" s="16"/>
      <c r="CFO56" s="16"/>
      <c r="CFP56" s="16"/>
      <c r="CFQ56" s="16"/>
      <c r="CFR56" s="16"/>
      <c r="CFS56" s="16"/>
      <c r="CFT56" s="16"/>
      <c r="CFU56" s="16"/>
      <c r="CFV56" s="16"/>
      <c r="CFW56" s="16"/>
      <c r="CFX56" s="16"/>
      <c r="CFY56" s="16"/>
      <c r="CFZ56" s="16"/>
      <c r="CGA56" s="16"/>
      <c r="CGB56" s="16"/>
      <c r="CGC56" s="16"/>
      <c r="CGD56" s="16"/>
      <c r="CGE56" s="16"/>
      <c r="CGF56" s="16"/>
      <c r="CGG56" s="16"/>
      <c r="CGH56" s="16"/>
      <c r="CGI56" s="16"/>
      <c r="CGJ56" s="16"/>
      <c r="CGK56" s="16"/>
      <c r="CGL56" s="16"/>
      <c r="CGM56" s="16"/>
      <c r="CGN56" s="16"/>
      <c r="CGO56" s="16"/>
      <c r="CGP56" s="16"/>
      <c r="CGQ56" s="16"/>
      <c r="CGR56" s="16"/>
      <c r="CGS56" s="16"/>
      <c r="CGT56" s="16"/>
      <c r="CGU56" s="16"/>
      <c r="CGV56" s="16"/>
      <c r="CGW56" s="16"/>
      <c r="CGX56" s="16"/>
      <c r="CGY56" s="16"/>
      <c r="CGZ56" s="16"/>
      <c r="CHA56" s="16"/>
      <c r="CHB56" s="16"/>
      <c r="CHC56" s="16"/>
      <c r="CHD56" s="16"/>
      <c r="CHE56" s="16"/>
      <c r="CHF56" s="16"/>
      <c r="CHG56" s="16"/>
      <c r="CHH56" s="16"/>
      <c r="CHI56" s="16"/>
      <c r="CHJ56" s="16"/>
      <c r="CHK56" s="16"/>
      <c r="CHL56" s="16"/>
      <c r="CHM56" s="16"/>
      <c r="CHN56" s="16"/>
      <c r="CHO56" s="16"/>
      <c r="CHP56" s="16"/>
      <c r="CHQ56" s="16"/>
      <c r="CHR56" s="16"/>
      <c r="CHS56" s="16"/>
      <c r="CHT56" s="16"/>
      <c r="CHU56" s="16"/>
      <c r="CHV56" s="16"/>
      <c r="CHW56" s="16"/>
      <c r="CHX56" s="16"/>
      <c r="CHY56" s="16"/>
      <c r="CHZ56" s="16"/>
      <c r="CIA56" s="16"/>
      <c r="CIB56" s="16"/>
      <c r="CIC56" s="16"/>
      <c r="CID56" s="16"/>
      <c r="CIE56" s="16"/>
      <c r="CIF56" s="16"/>
      <c r="CIG56" s="16"/>
      <c r="CIH56" s="16"/>
      <c r="CII56" s="16"/>
      <c r="CIJ56" s="16"/>
      <c r="CIK56" s="16"/>
      <c r="CIL56" s="16"/>
      <c r="CIM56" s="16"/>
      <c r="CIN56" s="16"/>
      <c r="CIO56" s="16"/>
      <c r="CIP56" s="16"/>
      <c r="CIQ56" s="16"/>
      <c r="CIR56" s="16"/>
      <c r="CIS56" s="16"/>
      <c r="CIT56" s="16"/>
      <c r="CIU56" s="16"/>
      <c r="CIV56" s="16"/>
      <c r="CIW56" s="16"/>
      <c r="CIX56" s="16"/>
      <c r="CIY56" s="16"/>
      <c r="CIZ56" s="16"/>
      <c r="CJA56" s="16"/>
      <c r="CJB56" s="16"/>
      <c r="CJC56" s="16"/>
      <c r="CJD56" s="16"/>
      <c r="CJE56" s="16"/>
      <c r="CJF56" s="16"/>
      <c r="CJG56" s="16"/>
      <c r="CJH56" s="16"/>
      <c r="CJI56" s="16"/>
      <c r="CJJ56" s="16"/>
      <c r="CJK56" s="16"/>
      <c r="CJL56" s="16"/>
      <c r="CJM56" s="16"/>
      <c r="CJN56" s="16"/>
      <c r="CJO56" s="16"/>
      <c r="CJP56" s="16"/>
      <c r="CJQ56" s="16"/>
      <c r="CJR56" s="16"/>
      <c r="CJS56" s="16"/>
      <c r="CJT56" s="16"/>
      <c r="CJU56" s="16"/>
      <c r="CJV56" s="16"/>
      <c r="CJW56" s="16"/>
      <c r="CJX56" s="16"/>
      <c r="CJY56" s="16"/>
      <c r="CJZ56" s="16"/>
      <c r="CKA56" s="16"/>
      <c r="CKB56" s="16"/>
      <c r="CKC56" s="16"/>
      <c r="CKD56" s="16"/>
      <c r="CKE56" s="16"/>
      <c r="CKF56" s="16"/>
      <c r="CKG56" s="16"/>
      <c r="CKH56" s="16"/>
      <c r="CKI56" s="16"/>
      <c r="CKJ56" s="16"/>
      <c r="CKK56" s="16"/>
      <c r="CKL56" s="16"/>
      <c r="CKM56" s="16"/>
      <c r="CKN56" s="16"/>
      <c r="CKO56" s="16"/>
      <c r="CKP56" s="16"/>
      <c r="CKQ56" s="16"/>
      <c r="CKR56" s="16"/>
      <c r="CKS56" s="16"/>
      <c r="CKT56" s="16"/>
      <c r="CKU56" s="16"/>
      <c r="CKV56" s="16"/>
      <c r="CKW56" s="16"/>
      <c r="CKX56" s="16"/>
      <c r="CKY56" s="16"/>
      <c r="CKZ56" s="16"/>
      <c r="CLA56" s="16"/>
      <c r="CLB56" s="16"/>
      <c r="CLC56" s="16"/>
      <c r="CLD56" s="16"/>
      <c r="CLE56" s="16"/>
      <c r="CLF56" s="16"/>
      <c r="CLG56" s="16"/>
      <c r="CLH56" s="16"/>
      <c r="CLI56" s="16"/>
      <c r="CLJ56" s="16"/>
      <c r="CLK56" s="16"/>
      <c r="CLL56" s="16"/>
      <c r="CLM56" s="16"/>
      <c r="CLN56" s="16"/>
      <c r="CLO56" s="16"/>
      <c r="CLP56" s="16"/>
      <c r="CLQ56" s="16"/>
      <c r="CLR56" s="16"/>
      <c r="CLS56" s="16"/>
      <c r="CLT56" s="16"/>
      <c r="CLU56" s="16"/>
      <c r="CLV56" s="16"/>
      <c r="CLW56" s="16"/>
      <c r="CLX56" s="16"/>
      <c r="CLY56" s="16"/>
      <c r="CLZ56" s="16"/>
      <c r="CMA56" s="16"/>
      <c r="CMB56" s="16"/>
      <c r="CMC56" s="16"/>
      <c r="CMD56" s="16"/>
      <c r="CME56" s="16"/>
      <c r="CMF56" s="16"/>
      <c r="CMG56" s="16"/>
      <c r="CMH56" s="16"/>
      <c r="CMI56" s="16"/>
      <c r="CMJ56" s="16"/>
      <c r="CMK56" s="16"/>
      <c r="CML56" s="16"/>
      <c r="CMM56" s="16"/>
      <c r="CMN56" s="16"/>
      <c r="CMO56" s="16"/>
      <c r="CMP56" s="16"/>
      <c r="CMQ56" s="16"/>
      <c r="CMR56" s="16"/>
      <c r="CMS56" s="16"/>
      <c r="CMT56" s="16"/>
      <c r="CMU56" s="16"/>
      <c r="CMV56" s="16"/>
      <c r="CMW56" s="16"/>
      <c r="CMX56" s="16"/>
      <c r="CMY56" s="16"/>
      <c r="CMZ56" s="16"/>
      <c r="CNA56" s="16"/>
      <c r="CNB56" s="16"/>
      <c r="CNC56" s="16"/>
      <c r="CND56" s="16"/>
      <c r="CNE56" s="16"/>
      <c r="CNF56" s="16"/>
      <c r="CNG56" s="16"/>
      <c r="CNH56" s="16"/>
      <c r="CNI56" s="16"/>
      <c r="CNJ56" s="16"/>
      <c r="CNK56" s="16"/>
      <c r="CNL56" s="16"/>
      <c r="CNM56" s="16"/>
      <c r="CNN56" s="16"/>
      <c r="CNO56" s="16"/>
      <c r="CNP56" s="16"/>
      <c r="CNQ56" s="16"/>
      <c r="CNR56" s="16"/>
      <c r="CNS56" s="16"/>
      <c r="CNT56" s="16"/>
      <c r="CNU56" s="16"/>
      <c r="CNV56" s="16"/>
      <c r="CNW56" s="16"/>
      <c r="CNX56" s="16"/>
      <c r="CNY56" s="16"/>
      <c r="CNZ56" s="16"/>
      <c r="COA56" s="16"/>
      <c r="COB56" s="16"/>
      <c r="COC56" s="16"/>
      <c r="COD56" s="16"/>
      <c r="COE56" s="16"/>
      <c r="COF56" s="16"/>
      <c r="COG56" s="16"/>
      <c r="COH56" s="16"/>
      <c r="COI56" s="16"/>
      <c r="COJ56" s="16"/>
      <c r="COK56" s="16"/>
      <c r="COL56" s="16"/>
      <c r="COM56" s="16"/>
      <c r="CON56" s="16"/>
      <c r="COO56" s="16"/>
      <c r="COP56" s="16"/>
      <c r="COQ56" s="16"/>
      <c r="COR56" s="16"/>
      <c r="COS56" s="16"/>
      <c r="COT56" s="16"/>
      <c r="COU56" s="16"/>
      <c r="COV56" s="16"/>
      <c r="COW56" s="16"/>
      <c r="COX56" s="16"/>
      <c r="COY56" s="16"/>
      <c r="COZ56" s="16"/>
      <c r="CPA56" s="16"/>
      <c r="CPB56" s="16"/>
      <c r="CPC56" s="16"/>
      <c r="CPD56" s="16"/>
      <c r="CPE56" s="16"/>
      <c r="CPF56" s="16"/>
      <c r="CPG56" s="16"/>
      <c r="CPH56" s="16"/>
      <c r="CPI56" s="16"/>
      <c r="CPJ56" s="16"/>
      <c r="CPK56" s="16"/>
      <c r="CPL56" s="16"/>
      <c r="CPM56" s="16"/>
      <c r="CPN56" s="16"/>
      <c r="CPO56" s="16"/>
      <c r="CPP56" s="16"/>
      <c r="CPQ56" s="16"/>
      <c r="CPR56" s="16"/>
      <c r="CPS56" s="16"/>
      <c r="CPT56" s="16"/>
      <c r="CPU56" s="16"/>
      <c r="CPV56" s="16"/>
      <c r="CPW56" s="16"/>
      <c r="CPX56" s="16"/>
      <c r="CPY56" s="16"/>
      <c r="CPZ56" s="16"/>
      <c r="CQA56" s="16"/>
      <c r="CQB56" s="16"/>
      <c r="CQC56" s="16"/>
      <c r="CQD56" s="16"/>
      <c r="CQE56" s="16"/>
      <c r="CQF56" s="16"/>
      <c r="CQG56" s="16"/>
      <c r="CQH56" s="16"/>
      <c r="CQI56" s="16"/>
      <c r="CQJ56" s="16"/>
      <c r="CQK56" s="16"/>
      <c r="CQL56" s="16"/>
      <c r="CQM56" s="16"/>
      <c r="CQN56" s="16"/>
      <c r="CQO56" s="16"/>
      <c r="CQP56" s="16"/>
      <c r="CQQ56" s="16"/>
      <c r="CQR56" s="16"/>
      <c r="CQS56" s="16"/>
      <c r="CQT56" s="16"/>
      <c r="CQU56" s="16"/>
      <c r="CQV56" s="16"/>
      <c r="CQW56" s="16"/>
      <c r="CQX56" s="16"/>
      <c r="CQY56" s="16"/>
      <c r="CQZ56" s="16"/>
      <c r="CRA56" s="16"/>
      <c r="CRB56" s="16"/>
      <c r="CRC56" s="16"/>
      <c r="CRD56" s="16"/>
      <c r="CRE56" s="16"/>
      <c r="CRF56" s="16"/>
      <c r="CRG56" s="16"/>
      <c r="CRH56" s="16"/>
      <c r="CRI56" s="16"/>
      <c r="CRJ56" s="16"/>
      <c r="CRK56" s="16"/>
      <c r="CRL56" s="16"/>
      <c r="CRM56" s="16"/>
      <c r="CRN56" s="16"/>
      <c r="CRO56" s="16"/>
      <c r="CRP56" s="16"/>
      <c r="CRQ56" s="16"/>
      <c r="CRR56" s="16"/>
      <c r="CRS56" s="16"/>
      <c r="CRT56" s="16"/>
      <c r="CRU56" s="16"/>
      <c r="CRV56" s="16"/>
      <c r="CRW56" s="16"/>
      <c r="CRX56" s="16"/>
      <c r="CRY56" s="16"/>
      <c r="CRZ56" s="16"/>
      <c r="CSA56" s="16"/>
      <c r="CSB56" s="16"/>
      <c r="CSC56" s="16"/>
      <c r="CSD56" s="16"/>
      <c r="CSE56" s="16"/>
      <c r="CSF56" s="16"/>
      <c r="CSG56" s="16"/>
      <c r="CSH56" s="16"/>
      <c r="CSI56" s="16"/>
      <c r="CSJ56" s="16"/>
      <c r="CSK56" s="24"/>
      <c r="CSL56" s="16"/>
      <c r="CSM56" s="16"/>
      <c r="CSN56" s="16"/>
      <c r="CSO56" s="16"/>
      <c r="CSP56" s="16"/>
      <c r="CUG56" s="16"/>
      <c r="CUH56" s="16"/>
      <c r="CUI56" s="16"/>
      <c r="CUJ56" s="16"/>
      <c r="CUK56" s="16"/>
      <c r="CUL56" s="16"/>
      <c r="CUM56" s="16"/>
      <c r="CUN56" s="16"/>
      <c r="CUO56" s="16"/>
      <c r="CUP56" s="16"/>
      <c r="CUQ56" s="16"/>
      <c r="CUR56" s="16"/>
      <c r="CUS56" s="16"/>
      <c r="CUT56" s="16"/>
      <c r="CUU56" s="16"/>
      <c r="CUV56" s="16"/>
      <c r="CUW56" s="16"/>
      <c r="CUX56" s="16"/>
      <c r="CUY56" s="16"/>
      <c r="CUZ56" s="16"/>
      <c r="CVA56" s="16"/>
      <c r="CVB56" s="16"/>
      <c r="CVC56" s="16"/>
      <c r="CVD56" s="16"/>
      <c r="CVE56" s="16"/>
      <c r="CVF56" s="16"/>
      <c r="CVG56" s="16"/>
      <c r="CVH56" s="16"/>
      <c r="CVI56" s="16"/>
      <c r="CVJ56" s="16"/>
      <c r="CVK56" s="16"/>
      <c r="CVL56" s="16"/>
      <c r="CVM56" s="16"/>
      <c r="CVN56" s="16"/>
      <c r="CVO56" s="16"/>
      <c r="CVP56" s="16"/>
    </row>
    <row r="57" spans="1:2616" ht="13.8" x14ac:dyDescent="0.25">
      <c r="C57" s="57"/>
      <c r="E57" s="16"/>
      <c r="K57" s="59"/>
      <c r="L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6"/>
      <c r="LU57" s="16"/>
      <c r="LV57" s="16"/>
      <c r="LW57" s="16"/>
      <c r="LX57" s="16"/>
      <c r="LY57" s="16"/>
      <c r="LZ57" s="16"/>
      <c r="MA57" s="16"/>
      <c r="MB57" s="16"/>
      <c r="MC57" s="16"/>
      <c r="MD57" s="16"/>
      <c r="ME57" s="16"/>
      <c r="MF57" s="16"/>
      <c r="MG57" s="16"/>
      <c r="MH57" s="16"/>
      <c r="MI57" s="16"/>
      <c r="MJ57" s="16"/>
      <c r="MK57" s="16"/>
      <c r="ML57" s="16"/>
      <c r="MM57" s="16"/>
      <c r="MN57" s="16"/>
      <c r="MO57" s="16"/>
      <c r="MP57" s="16"/>
      <c r="MQ57" s="16"/>
      <c r="MR57" s="16"/>
      <c r="MS57" s="16"/>
      <c r="MT57" s="16"/>
      <c r="MU57" s="16"/>
      <c r="MV57" s="16"/>
      <c r="MW57" s="16"/>
      <c r="MX57" s="16"/>
      <c r="MY57" s="16"/>
      <c r="MZ57" s="16"/>
      <c r="NA57" s="16"/>
      <c r="NB57" s="16"/>
      <c r="NC57" s="16"/>
      <c r="ND57" s="16"/>
      <c r="NE57" s="16"/>
      <c r="NF57" s="16"/>
      <c r="NG57" s="16"/>
      <c r="NH57" s="16"/>
      <c r="NI57" s="16"/>
      <c r="NJ57" s="16"/>
      <c r="NK57" s="16"/>
      <c r="NL57" s="16"/>
      <c r="NM57" s="16"/>
      <c r="NN57" s="16"/>
      <c r="NO57" s="16"/>
      <c r="NP57" s="16"/>
      <c r="NQ57" s="16"/>
      <c r="NR57" s="16"/>
      <c r="NS57" s="16"/>
      <c r="NT57" s="16"/>
      <c r="NU57" s="16"/>
      <c r="NV57" s="16"/>
      <c r="NW57" s="16"/>
      <c r="NX57" s="16"/>
      <c r="NY57" s="16"/>
      <c r="NZ57" s="16"/>
      <c r="OA57" s="16"/>
      <c r="OB57" s="16"/>
      <c r="OC57" s="16"/>
      <c r="OD57" s="16"/>
      <c r="OE57" s="16"/>
      <c r="OF57" s="16"/>
      <c r="OG57" s="16"/>
      <c r="OH57" s="16"/>
      <c r="OI57" s="16"/>
      <c r="OJ57" s="16"/>
      <c r="OK57" s="16"/>
      <c r="OL57" s="16"/>
      <c r="OM57" s="16"/>
      <c r="ON57" s="16"/>
      <c r="OO57" s="16"/>
      <c r="OP57" s="16"/>
      <c r="OQ57" s="16"/>
      <c r="OR57" s="16"/>
      <c r="OS57" s="16"/>
      <c r="OT57" s="16"/>
      <c r="OU57" s="16"/>
      <c r="OV57" s="16"/>
      <c r="OW57" s="16"/>
      <c r="OX57" s="16"/>
      <c r="OY57" s="16"/>
      <c r="OZ57" s="16"/>
      <c r="PA57" s="16"/>
      <c r="PB57" s="16"/>
      <c r="PC57" s="16"/>
      <c r="PD57" s="16"/>
      <c r="PE57" s="16"/>
      <c r="PF57" s="16"/>
      <c r="PG57" s="16"/>
      <c r="PH57" s="16"/>
      <c r="PI57" s="16"/>
      <c r="PJ57" s="16"/>
      <c r="PK57" s="16"/>
      <c r="PL57" s="16"/>
      <c r="PM57" s="16"/>
      <c r="PN57" s="16"/>
      <c r="PO57" s="16"/>
      <c r="PP57" s="16"/>
      <c r="PQ57" s="16"/>
      <c r="PR57" s="16"/>
      <c r="PS57" s="16"/>
      <c r="PT57" s="16"/>
      <c r="PU57" s="16"/>
      <c r="PV57" s="16"/>
      <c r="PW57" s="16"/>
      <c r="PX57" s="16"/>
      <c r="PY57" s="16"/>
      <c r="PZ57" s="16"/>
      <c r="QA57" s="16"/>
      <c r="QB57" s="16"/>
      <c r="QC57" s="16"/>
      <c r="QD57" s="16"/>
      <c r="QE57" s="16"/>
      <c r="QF57" s="16"/>
      <c r="QG57" s="16"/>
      <c r="QH57" s="16"/>
      <c r="QI57" s="16"/>
      <c r="QJ57" s="16"/>
      <c r="QK57" s="16"/>
      <c r="QL57" s="16"/>
      <c r="QM57" s="16"/>
      <c r="QN57" s="16"/>
      <c r="QO57" s="16"/>
      <c r="QP57" s="16"/>
      <c r="QQ57" s="16"/>
      <c r="QR57" s="16"/>
      <c r="QS57" s="16"/>
      <c r="QT57" s="16"/>
      <c r="QU57" s="16"/>
      <c r="QV57" s="16"/>
      <c r="QW57" s="16"/>
      <c r="QX57" s="16"/>
      <c r="QY57" s="16"/>
      <c r="QZ57" s="16"/>
      <c r="RA57" s="16"/>
      <c r="RB57" s="16"/>
      <c r="RC57" s="16"/>
      <c r="RD57" s="16"/>
      <c r="RE57" s="16"/>
      <c r="RF57" s="16"/>
      <c r="RG57" s="16"/>
      <c r="RH57" s="16"/>
      <c r="RI57" s="16"/>
      <c r="RJ57" s="16"/>
      <c r="RK57" s="16"/>
      <c r="RL57" s="16"/>
      <c r="RM57" s="16"/>
      <c r="RN57" s="16"/>
      <c r="RO57" s="16"/>
      <c r="RP57" s="16"/>
      <c r="RQ57" s="16"/>
      <c r="RR57" s="16"/>
      <c r="RS57" s="16"/>
      <c r="RT57" s="16"/>
      <c r="RU57" s="16"/>
      <c r="RV57" s="16"/>
      <c r="RW57" s="16"/>
      <c r="RX57" s="16"/>
      <c r="RY57" s="16"/>
      <c r="RZ57" s="16"/>
      <c r="SA57" s="16"/>
      <c r="SB57" s="16"/>
      <c r="SC57" s="16"/>
      <c r="SD57" s="16"/>
      <c r="SE57" s="16"/>
      <c r="SF57" s="16"/>
      <c r="SG57" s="16"/>
      <c r="SH57" s="16"/>
      <c r="SI57" s="16"/>
      <c r="SJ57" s="16"/>
      <c r="SK57" s="16"/>
      <c r="SL57" s="16"/>
      <c r="SM57" s="16"/>
      <c r="SN57" s="16"/>
      <c r="SO57" s="16"/>
      <c r="SP57" s="16"/>
      <c r="SQ57" s="16"/>
      <c r="SR57" s="16"/>
      <c r="SS57" s="16"/>
      <c r="ST57" s="16"/>
      <c r="SU57" s="16"/>
      <c r="SV57" s="16"/>
      <c r="SW57" s="16"/>
      <c r="SX57" s="16"/>
      <c r="SY57" s="16"/>
      <c r="SZ57" s="16"/>
      <c r="TA57" s="16"/>
      <c r="TB57" s="16"/>
      <c r="TC57" s="16"/>
      <c r="TD57" s="16"/>
      <c r="TE57" s="16"/>
      <c r="TF57" s="16"/>
      <c r="TG57" s="16"/>
      <c r="TH57" s="16"/>
      <c r="TI57" s="16"/>
      <c r="TJ57" s="16"/>
      <c r="TK57" s="16"/>
      <c r="TL57" s="16"/>
      <c r="TM57" s="16"/>
      <c r="TN57" s="16"/>
      <c r="TO57" s="16"/>
      <c r="TP57" s="16"/>
      <c r="TQ57" s="16"/>
      <c r="TR57" s="16"/>
      <c r="TS57" s="16"/>
      <c r="TT57" s="16"/>
      <c r="TU57" s="16"/>
      <c r="TV57" s="16"/>
      <c r="TW57" s="16"/>
      <c r="TX57" s="16"/>
      <c r="TY57" s="16"/>
      <c r="TZ57" s="16"/>
      <c r="UA57" s="16"/>
      <c r="UB57" s="16"/>
      <c r="UC57" s="16"/>
      <c r="UD57" s="16"/>
      <c r="UE57" s="16"/>
      <c r="UF57" s="16"/>
      <c r="UG57" s="16"/>
      <c r="UH57" s="16"/>
      <c r="UI57" s="16"/>
      <c r="UJ57" s="16"/>
      <c r="UK57" s="16"/>
      <c r="UL57" s="16"/>
      <c r="UM57" s="16"/>
      <c r="UN57" s="16"/>
      <c r="UO57" s="16"/>
      <c r="UP57" s="16"/>
      <c r="UQ57" s="16"/>
      <c r="UR57" s="16"/>
      <c r="US57" s="16"/>
      <c r="UT57" s="16"/>
      <c r="UU57" s="16"/>
      <c r="UV57" s="16"/>
      <c r="UW57" s="16"/>
      <c r="UX57" s="16"/>
      <c r="UY57" s="16"/>
      <c r="UZ57" s="16"/>
      <c r="VA57" s="16"/>
      <c r="VB57" s="16"/>
      <c r="VC57" s="16"/>
      <c r="VD57" s="16"/>
      <c r="VE57" s="16"/>
      <c r="VF57" s="16"/>
      <c r="VG57" s="16"/>
      <c r="VH57" s="16"/>
      <c r="VI57" s="16"/>
      <c r="VJ57" s="16"/>
      <c r="VK57" s="16"/>
      <c r="VL57" s="16"/>
      <c r="VM57" s="16"/>
      <c r="VN57" s="16"/>
      <c r="VO57" s="16"/>
      <c r="VP57" s="16"/>
      <c r="VQ57" s="16"/>
      <c r="VR57" s="16"/>
      <c r="VS57" s="16"/>
      <c r="VT57" s="16"/>
      <c r="VU57" s="16"/>
      <c r="VV57" s="16"/>
      <c r="VW57" s="16"/>
      <c r="VX57" s="16"/>
      <c r="VY57" s="16"/>
      <c r="VZ57" s="16"/>
      <c r="WA57" s="16"/>
      <c r="WB57" s="16"/>
      <c r="WC57" s="16"/>
      <c r="WD57" s="16"/>
      <c r="WE57" s="16"/>
      <c r="WF57" s="16"/>
      <c r="WG57" s="16"/>
      <c r="WH57" s="16"/>
      <c r="WI57" s="16"/>
      <c r="WJ57" s="16"/>
      <c r="WK57" s="16"/>
      <c r="WL57" s="16"/>
      <c r="WM57" s="16"/>
      <c r="WN57" s="16"/>
      <c r="WO57" s="16"/>
      <c r="WP57" s="16"/>
      <c r="WQ57" s="16"/>
      <c r="WR57" s="16"/>
      <c r="WS57" s="16"/>
      <c r="WT57" s="16"/>
      <c r="WU57" s="16"/>
      <c r="WV57" s="16"/>
      <c r="WW57" s="16"/>
      <c r="WX57" s="16"/>
      <c r="WY57" s="16"/>
      <c r="WZ57" s="16"/>
      <c r="XA57" s="16"/>
      <c r="XB57" s="16"/>
      <c r="XC57" s="16"/>
      <c r="XD57" s="16"/>
      <c r="XE57" s="16"/>
      <c r="XF57" s="16"/>
      <c r="XG57" s="16"/>
      <c r="XH57" s="16"/>
      <c r="XI57" s="16"/>
      <c r="XJ57" s="16"/>
      <c r="XK57" s="16"/>
      <c r="XL57" s="16"/>
      <c r="XM57" s="16"/>
      <c r="XN57" s="16"/>
      <c r="XO57" s="16"/>
      <c r="XP57" s="16"/>
      <c r="XQ57" s="16"/>
      <c r="XR57" s="16"/>
      <c r="XS57" s="16"/>
      <c r="XT57" s="16"/>
      <c r="XU57" s="16"/>
      <c r="XV57" s="16"/>
      <c r="XW57" s="16"/>
      <c r="XX57" s="16"/>
      <c r="XY57" s="16"/>
      <c r="XZ57" s="16"/>
      <c r="YA57" s="16"/>
      <c r="YB57" s="16"/>
      <c r="YC57" s="16"/>
      <c r="YD57" s="16"/>
      <c r="YE57" s="16"/>
      <c r="YF57" s="16"/>
      <c r="YG57" s="16"/>
      <c r="YH57" s="16"/>
      <c r="YI57" s="16"/>
      <c r="YJ57" s="16"/>
      <c r="YK57" s="16"/>
      <c r="YL57" s="16"/>
      <c r="YM57" s="16"/>
      <c r="YN57" s="16"/>
      <c r="YO57" s="16"/>
      <c r="YP57" s="16"/>
      <c r="YQ57" s="16"/>
      <c r="YR57" s="16"/>
      <c r="YS57" s="16"/>
      <c r="YT57" s="16"/>
      <c r="YU57" s="16"/>
      <c r="YV57" s="16"/>
      <c r="YW57" s="16"/>
      <c r="YX57" s="16"/>
      <c r="YY57" s="16"/>
      <c r="YZ57" s="16"/>
      <c r="ZA57" s="16"/>
      <c r="ZB57" s="16"/>
      <c r="ZC57" s="16"/>
      <c r="ZD57" s="16"/>
      <c r="ZE57" s="16"/>
      <c r="ZF57" s="16"/>
      <c r="ZG57" s="16"/>
      <c r="ZH57" s="16"/>
      <c r="ZI57" s="16"/>
      <c r="ZJ57" s="16"/>
      <c r="ZK57" s="16"/>
      <c r="ZL57" s="16"/>
      <c r="ZM57" s="16"/>
      <c r="ZN57" s="16"/>
      <c r="ZO57" s="16"/>
      <c r="ZP57" s="16"/>
      <c r="ZQ57" s="16"/>
      <c r="ZR57" s="16"/>
      <c r="ZS57" s="16"/>
      <c r="ZT57" s="16"/>
      <c r="ZU57" s="16"/>
      <c r="ZV57" s="16"/>
      <c r="ZW57" s="16"/>
      <c r="ZX57" s="16"/>
      <c r="ZY57" s="16"/>
      <c r="ZZ57" s="16"/>
      <c r="AAA57" s="16"/>
      <c r="AAB57" s="16"/>
      <c r="AAC57" s="16"/>
      <c r="AAD57" s="16"/>
      <c r="AAE57" s="16"/>
      <c r="AAF57" s="16"/>
      <c r="AAG57" s="16"/>
      <c r="AAH57" s="16"/>
      <c r="AAI57" s="16"/>
      <c r="AAJ57" s="16"/>
      <c r="AAK57" s="16"/>
      <c r="AAL57" s="16"/>
      <c r="AAM57" s="16"/>
      <c r="AAN57" s="16"/>
      <c r="AAO57" s="16"/>
      <c r="AAP57" s="16"/>
      <c r="AAQ57" s="16"/>
      <c r="AAR57" s="16"/>
      <c r="AAS57" s="16"/>
      <c r="AAT57" s="16"/>
      <c r="AAU57" s="16"/>
      <c r="AAV57" s="16"/>
      <c r="AAW57" s="16"/>
      <c r="AAX57" s="16"/>
      <c r="AAY57" s="16"/>
      <c r="AAZ57" s="16"/>
      <c r="ABA57" s="16"/>
      <c r="ABB57" s="16"/>
      <c r="ABC57" s="16"/>
      <c r="ABD57" s="16"/>
      <c r="ABE57" s="16"/>
      <c r="ABF57" s="16"/>
      <c r="ABG57" s="16"/>
      <c r="ABH57" s="16"/>
      <c r="ABI57" s="16"/>
      <c r="ABJ57" s="16"/>
      <c r="ABK57" s="16"/>
      <c r="ABL57" s="16"/>
      <c r="ABM57" s="16"/>
      <c r="ABN57" s="16"/>
      <c r="ABO57" s="16"/>
      <c r="ABP57" s="16"/>
      <c r="ABQ57" s="16"/>
      <c r="ABR57" s="16"/>
      <c r="ABS57" s="16"/>
      <c r="ABT57" s="16"/>
      <c r="ABU57" s="16"/>
      <c r="ABV57" s="16"/>
      <c r="ABW57" s="16"/>
      <c r="ABX57" s="16"/>
      <c r="ABY57" s="16"/>
      <c r="ABZ57" s="16"/>
      <c r="ACA57" s="16"/>
      <c r="ACB57" s="16"/>
      <c r="ACC57" s="16"/>
      <c r="ACD57" s="16"/>
      <c r="ACE57" s="16"/>
      <c r="ACF57" s="16"/>
      <c r="ACG57" s="16"/>
      <c r="ACH57" s="16"/>
      <c r="ACI57" s="16"/>
      <c r="ACJ57" s="16"/>
      <c r="ACK57" s="16"/>
      <c r="ACL57" s="16"/>
      <c r="ACM57" s="16"/>
      <c r="ACN57" s="16"/>
      <c r="ACO57" s="16"/>
      <c r="ACP57" s="16"/>
      <c r="ACQ57" s="16"/>
      <c r="ACR57" s="16"/>
      <c r="ACS57" s="16"/>
      <c r="ACT57" s="16"/>
      <c r="ACU57" s="16"/>
      <c r="ACV57" s="16"/>
      <c r="ACW57" s="16"/>
      <c r="ACX57" s="16"/>
      <c r="ACY57" s="16"/>
      <c r="ACZ57" s="16"/>
      <c r="ADA57" s="16"/>
      <c r="ADB57" s="16"/>
      <c r="ADC57" s="16"/>
      <c r="ADD57" s="16"/>
      <c r="ADE57" s="16"/>
      <c r="ADF57" s="16"/>
      <c r="ADG57" s="16"/>
      <c r="ADH57" s="16"/>
      <c r="ADI57" s="16"/>
      <c r="ADJ57" s="16"/>
      <c r="ADK57" s="16"/>
      <c r="ADL57" s="16"/>
      <c r="ADM57" s="16"/>
      <c r="ADN57" s="16"/>
      <c r="ADO57" s="16"/>
      <c r="ADP57" s="16"/>
      <c r="ADQ57" s="16"/>
      <c r="ADR57" s="16"/>
      <c r="ADS57" s="16"/>
      <c r="ADT57" s="16"/>
      <c r="ADU57" s="16"/>
      <c r="ADV57" s="16"/>
      <c r="ADW57" s="16"/>
      <c r="ADX57" s="16"/>
      <c r="ADY57" s="16"/>
      <c r="ADZ57" s="16"/>
      <c r="AEA57" s="16"/>
      <c r="AEB57" s="16"/>
      <c r="AEC57" s="16"/>
      <c r="AED57" s="16"/>
      <c r="AEE57" s="16"/>
      <c r="AEF57" s="16"/>
      <c r="AEG57" s="16"/>
      <c r="AEH57" s="16"/>
      <c r="AEI57" s="16"/>
      <c r="AEJ57" s="16"/>
      <c r="AEK57" s="16"/>
      <c r="AEL57" s="16"/>
      <c r="AEM57" s="16"/>
      <c r="AEN57" s="16"/>
      <c r="AEO57" s="16"/>
      <c r="AEP57" s="16"/>
      <c r="AEQ57" s="16"/>
      <c r="AER57" s="16"/>
      <c r="AES57" s="16"/>
      <c r="AET57" s="16"/>
      <c r="AEU57" s="16"/>
      <c r="AEV57" s="16"/>
      <c r="AEW57" s="16"/>
      <c r="AEX57" s="16"/>
      <c r="AEY57" s="16"/>
      <c r="AEZ57" s="16"/>
      <c r="AFA57" s="16"/>
      <c r="AFB57" s="16"/>
      <c r="AFC57" s="16"/>
      <c r="AFD57" s="16"/>
      <c r="AFE57" s="16"/>
      <c r="AFF57" s="16"/>
      <c r="AFG57" s="16"/>
      <c r="AFH57" s="16"/>
      <c r="AFI57" s="16"/>
      <c r="AFJ57" s="16"/>
      <c r="AFK57" s="16"/>
      <c r="AFL57" s="16"/>
      <c r="AFM57" s="16"/>
      <c r="AFN57" s="16"/>
      <c r="AFO57" s="16"/>
      <c r="AFP57" s="16"/>
      <c r="AFQ57" s="16"/>
      <c r="AFR57" s="16"/>
      <c r="AFS57" s="16"/>
      <c r="AFT57" s="16"/>
      <c r="AFU57" s="16"/>
      <c r="AFV57" s="16"/>
      <c r="AFW57" s="16"/>
      <c r="AFX57" s="16"/>
      <c r="AFY57" s="16"/>
      <c r="AFZ57" s="16"/>
      <c r="AGA57" s="16"/>
      <c r="AGB57" s="16"/>
      <c r="AGC57" s="16"/>
      <c r="AGD57" s="16"/>
      <c r="AGE57" s="16"/>
      <c r="AGF57" s="16"/>
      <c r="AGG57" s="16"/>
      <c r="AGH57" s="16"/>
      <c r="AGI57" s="16"/>
      <c r="AGJ57" s="16"/>
      <c r="AGK57" s="16"/>
      <c r="AGL57" s="16"/>
      <c r="AGM57" s="16"/>
      <c r="AGN57" s="16"/>
      <c r="AGO57" s="16"/>
      <c r="AGP57" s="16"/>
      <c r="AGQ57" s="16"/>
      <c r="AGR57" s="16"/>
      <c r="AGS57" s="16"/>
      <c r="AGT57" s="16"/>
      <c r="AGU57" s="16"/>
      <c r="AGV57" s="16"/>
      <c r="AGW57" s="16"/>
      <c r="AGX57" s="16"/>
      <c r="AGY57" s="16"/>
      <c r="AGZ57" s="16"/>
      <c r="AHA57" s="16"/>
      <c r="AHB57" s="16"/>
      <c r="AHC57" s="16"/>
      <c r="AHD57" s="16"/>
      <c r="AHE57" s="16"/>
      <c r="AHF57" s="16"/>
      <c r="AHG57" s="16"/>
      <c r="AHH57" s="16"/>
      <c r="AHI57" s="16"/>
      <c r="AHJ57" s="16"/>
      <c r="AHK57" s="16"/>
      <c r="AHL57" s="16"/>
      <c r="AHM57" s="16"/>
      <c r="AHN57" s="16"/>
      <c r="AHO57" s="16"/>
      <c r="AHP57" s="16"/>
      <c r="AHQ57" s="16"/>
      <c r="AHR57" s="16"/>
      <c r="AHS57" s="16"/>
      <c r="AHT57" s="16"/>
      <c r="AHU57" s="16"/>
      <c r="AHV57" s="16"/>
      <c r="AHW57" s="16"/>
      <c r="AHX57" s="16"/>
      <c r="AHY57" s="16"/>
      <c r="AHZ57" s="16"/>
      <c r="AIA57" s="16"/>
      <c r="AIB57" s="16"/>
      <c r="AIC57" s="16"/>
      <c r="AID57" s="16"/>
      <c r="AIE57" s="16"/>
      <c r="AIF57" s="16"/>
      <c r="AIG57" s="16"/>
      <c r="AIH57" s="16"/>
      <c r="AII57" s="16"/>
      <c r="AIJ57" s="16"/>
      <c r="AIK57" s="16"/>
      <c r="AIL57" s="16"/>
      <c r="AIM57" s="16"/>
      <c r="AIN57" s="16"/>
      <c r="AIO57" s="16"/>
      <c r="AIP57" s="16"/>
      <c r="AIQ57" s="16"/>
      <c r="AIR57" s="16"/>
      <c r="AIS57" s="16"/>
      <c r="AIT57" s="16"/>
      <c r="AIU57" s="16"/>
      <c r="AIV57" s="16"/>
      <c r="AIW57" s="16"/>
      <c r="AIX57" s="16"/>
      <c r="AIY57" s="16"/>
      <c r="AIZ57" s="16"/>
      <c r="AJA57" s="16"/>
      <c r="AJB57" s="16"/>
      <c r="AJC57" s="16"/>
      <c r="AJD57" s="16"/>
      <c r="AJE57" s="16"/>
      <c r="AJF57" s="16"/>
      <c r="AJG57" s="16"/>
      <c r="AJH57" s="16"/>
      <c r="AJI57" s="16"/>
      <c r="AJJ57" s="16"/>
      <c r="AJK57" s="16"/>
      <c r="AJL57" s="16"/>
      <c r="AJM57" s="16"/>
      <c r="AJN57" s="16"/>
      <c r="AJO57" s="16"/>
      <c r="AJP57" s="16"/>
      <c r="AJQ57" s="16"/>
      <c r="AJR57" s="16"/>
      <c r="AJS57" s="16"/>
      <c r="AJT57" s="16"/>
      <c r="AJU57" s="16"/>
      <c r="AJV57" s="16"/>
      <c r="AJW57" s="16"/>
      <c r="AJX57" s="16"/>
      <c r="AJY57" s="16"/>
      <c r="AJZ57" s="16"/>
      <c r="AKA57" s="16"/>
      <c r="AKB57" s="16"/>
      <c r="AKC57" s="16"/>
      <c r="AKD57" s="16"/>
      <c r="AKE57" s="16"/>
      <c r="AKF57" s="16"/>
      <c r="AKG57" s="16"/>
      <c r="AKH57" s="16"/>
      <c r="AKI57" s="16"/>
      <c r="AKJ57" s="16"/>
      <c r="AKK57" s="16"/>
      <c r="AKL57" s="16"/>
      <c r="AKM57" s="16"/>
      <c r="AKN57" s="16"/>
      <c r="AKO57" s="16"/>
      <c r="AKP57" s="16"/>
      <c r="AKQ57" s="16"/>
      <c r="AKR57" s="16"/>
      <c r="AKS57" s="16"/>
      <c r="AKT57" s="16"/>
      <c r="AKU57" s="16"/>
      <c r="AKV57" s="16"/>
      <c r="AKW57" s="16"/>
      <c r="AKX57" s="16"/>
      <c r="AKY57" s="16"/>
      <c r="AKZ57" s="16"/>
      <c r="ALA57" s="16"/>
      <c r="ALB57" s="16"/>
      <c r="ALC57" s="16"/>
      <c r="ALD57" s="16"/>
      <c r="ALE57" s="16"/>
      <c r="ALF57" s="16"/>
      <c r="ALG57" s="16"/>
      <c r="ALH57" s="16"/>
      <c r="ALI57" s="16"/>
      <c r="ALJ57" s="16"/>
      <c r="ALK57" s="16"/>
      <c r="ALL57" s="16"/>
      <c r="ALM57" s="16"/>
      <c r="ALN57" s="16"/>
      <c r="ALO57" s="16"/>
      <c r="ALP57" s="16"/>
      <c r="ALQ57" s="16"/>
      <c r="ALR57" s="16"/>
      <c r="ALS57" s="16"/>
      <c r="ALT57" s="16"/>
      <c r="ALU57" s="16"/>
      <c r="ALV57" s="16"/>
      <c r="ALW57" s="16"/>
      <c r="ALX57" s="16"/>
      <c r="ALY57" s="16"/>
      <c r="ALZ57" s="16"/>
      <c r="AMA57" s="16"/>
      <c r="AMB57" s="16"/>
      <c r="AMC57" s="16"/>
      <c r="AMD57" s="16"/>
      <c r="AME57" s="16"/>
      <c r="AMF57" s="16"/>
      <c r="AMG57" s="16"/>
      <c r="AMH57" s="16"/>
      <c r="AMI57" s="16"/>
      <c r="AMJ57" s="16"/>
      <c r="AMK57" s="16"/>
      <c r="AML57" s="16"/>
      <c r="AMM57" s="16"/>
      <c r="AMN57" s="16"/>
      <c r="AMO57" s="16"/>
      <c r="AMP57" s="16"/>
      <c r="AMQ57" s="16"/>
      <c r="AMR57" s="16"/>
      <c r="AMS57" s="16"/>
      <c r="AMT57" s="16"/>
      <c r="AMU57" s="16"/>
      <c r="AMV57" s="16"/>
      <c r="AMW57" s="16"/>
      <c r="AMX57" s="16"/>
      <c r="AMY57" s="16"/>
      <c r="AMZ57" s="16"/>
      <c r="ANA57" s="16"/>
      <c r="ANB57" s="16"/>
      <c r="ANC57" s="16"/>
      <c r="AND57" s="16"/>
      <c r="ANE57" s="16"/>
      <c r="ANF57" s="16"/>
      <c r="ANG57" s="16"/>
      <c r="ANH57" s="16"/>
      <c r="ANI57" s="16"/>
      <c r="ANJ57" s="16"/>
      <c r="ANK57" s="16"/>
      <c r="ANL57" s="16"/>
      <c r="ANM57" s="16"/>
      <c r="ANN57" s="16"/>
      <c r="ANO57" s="16"/>
      <c r="ANP57" s="16"/>
      <c r="ANQ57" s="16"/>
      <c r="ANR57" s="16"/>
      <c r="ANS57" s="16"/>
      <c r="ANT57" s="16"/>
      <c r="ANU57" s="16"/>
      <c r="ANV57" s="16"/>
      <c r="ANW57" s="16"/>
      <c r="ANX57" s="16"/>
      <c r="ANY57" s="16"/>
      <c r="ANZ57" s="16"/>
      <c r="AOA57" s="16"/>
      <c r="AOB57" s="16"/>
      <c r="AOC57" s="16"/>
      <c r="AOD57" s="16"/>
      <c r="AOE57" s="16"/>
      <c r="AOF57" s="16"/>
      <c r="AOG57" s="16"/>
      <c r="AOH57" s="16"/>
      <c r="AOI57" s="16"/>
      <c r="AOJ57" s="16"/>
      <c r="AOK57" s="16"/>
      <c r="AOL57" s="16"/>
      <c r="AOM57" s="16"/>
      <c r="AON57" s="16"/>
      <c r="AOO57" s="16"/>
      <c r="AOP57" s="16"/>
      <c r="AOQ57" s="16"/>
      <c r="AOR57" s="16"/>
      <c r="AOS57" s="16"/>
      <c r="AOT57" s="16"/>
      <c r="AOU57" s="16"/>
      <c r="AOV57" s="16"/>
      <c r="AOW57" s="16"/>
      <c r="AOX57" s="16"/>
      <c r="AOY57" s="16"/>
      <c r="AOZ57" s="16"/>
      <c r="APA57" s="16"/>
      <c r="APB57" s="16"/>
      <c r="APC57" s="16"/>
      <c r="APD57" s="16"/>
      <c r="APE57" s="16"/>
      <c r="APF57" s="16"/>
      <c r="APG57" s="16"/>
      <c r="APH57" s="16"/>
      <c r="API57" s="16"/>
      <c r="APJ57" s="16"/>
      <c r="APK57" s="16"/>
      <c r="APL57" s="16"/>
      <c r="APM57" s="16"/>
      <c r="APN57" s="16"/>
      <c r="APO57" s="16"/>
      <c r="APP57" s="16"/>
      <c r="APQ57" s="16"/>
      <c r="APR57" s="16"/>
      <c r="APS57" s="16"/>
      <c r="APT57" s="16"/>
      <c r="APU57" s="16"/>
      <c r="APV57" s="16"/>
      <c r="APW57" s="16"/>
      <c r="APX57" s="16"/>
      <c r="APY57" s="16"/>
      <c r="APZ57" s="16"/>
      <c r="AQA57" s="16"/>
      <c r="AQB57" s="16"/>
      <c r="AQC57" s="16"/>
      <c r="AQD57" s="16"/>
      <c r="AQE57" s="16"/>
      <c r="AQF57" s="16"/>
      <c r="AQG57" s="16"/>
      <c r="AQH57" s="16"/>
      <c r="AQI57" s="16"/>
      <c r="AQJ57" s="16"/>
      <c r="AQK57" s="16"/>
      <c r="AQL57" s="16"/>
      <c r="AQM57" s="16"/>
      <c r="AQN57" s="16"/>
      <c r="AQO57" s="16"/>
      <c r="AQP57" s="16"/>
      <c r="AQQ57" s="16"/>
      <c r="AQR57" s="16"/>
      <c r="AQS57" s="16"/>
      <c r="AQT57" s="16"/>
      <c r="AQU57" s="16"/>
      <c r="AQV57" s="16"/>
      <c r="AQW57" s="16"/>
      <c r="AQX57" s="16"/>
      <c r="AQY57" s="16"/>
      <c r="AQZ57" s="16"/>
      <c r="ARA57" s="16"/>
      <c r="ARB57" s="16"/>
      <c r="ARC57" s="16"/>
      <c r="ARD57" s="16"/>
      <c r="ARE57" s="16"/>
      <c r="ARF57" s="16"/>
      <c r="ARG57" s="16"/>
      <c r="ARH57" s="16"/>
      <c r="ARI57" s="16"/>
      <c r="ARJ57" s="16"/>
      <c r="ARK57" s="16"/>
      <c r="ARL57" s="16"/>
      <c r="ARM57" s="16"/>
      <c r="ARN57" s="16"/>
      <c r="ARO57" s="16"/>
      <c r="ARP57" s="16"/>
      <c r="ARQ57" s="16"/>
      <c r="ARR57" s="16"/>
      <c r="ARS57" s="16"/>
      <c r="ART57" s="16"/>
      <c r="ARU57" s="16"/>
      <c r="ARV57" s="16"/>
      <c r="ARW57" s="16"/>
      <c r="ARX57" s="16"/>
      <c r="ARY57" s="16"/>
      <c r="ARZ57" s="16"/>
      <c r="ASA57" s="16"/>
      <c r="ASB57" s="16"/>
      <c r="ASC57" s="16"/>
      <c r="ASD57" s="16"/>
      <c r="ASE57" s="16"/>
      <c r="ASF57" s="16"/>
      <c r="ASG57" s="16"/>
      <c r="ASH57" s="16"/>
      <c r="ASI57" s="16"/>
      <c r="ASJ57" s="16"/>
      <c r="ASK57" s="16"/>
      <c r="ASL57" s="16"/>
      <c r="ASM57" s="16"/>
      <c r="ASN57" s="16"/>
      <c r="ASO57" s="16"/>
      <c r="ASP57" s="16"/>
      <c r="ASQ57" s="16"/>
      <c r="ASR57" s="16"/>
      <c r="ASS57" s="16"/>
      <c r="AST57" s="16"/>
      <c r="ASU57" s="16"/>
      <c r="ASV57" s="16"/>
      <c r="ASW57" s="16"/>
      <c r="ASX57" s="16"/>
      <c r="ASY57" s="16"/>
      <c r="ASZ57" s="16"/>
      <c r="ATA57" s="16"/>
      <c r="ATB57" s="16"/>
      <c r="ATC57" s="16"/>
      <c r="ATD57" s="16"/>
      <c r="ATE57" s="16"/>
      <c r="ATF57" s="16"/>
      <c r="ATG57" s="16"/>
      <c r="ATH57" s="16"/>
      <c r="ATI57" s="16"/>
      <c r="ATJ57" s="16"/>
      <c r="ATK57" s="16"/>
      <c r="ATL57" s="16"/>
      <c r="ATM57" s="16"/>
      <c r="ATN57" s="16"/>
      <c r="ATO57" s="16"/>
      <c r="ATP57" s="16"/>
      <c r="ATQ57" s="16"/>
      <c r="ATR57" s="16"/>
      <c r="ATS57" s="16"/>
      <c r="ATT57" s="16"/>
      <c r="ATU57" s="16"/>
      <c r="ATV57" s="16"/>
      <c r="ATW57" s="16"/>
      <c r="ATX57" s="16"/>
      <c r="ATY57" s="16"/>
      <c r="ATZ57" s="16"/>
      <c r="AUA57" s="16"/>
      <c r="AUB57" s="16"/>
      <c r="AUC57" s="16"/>
      <c r="AUD57" s="16"/>
      <c r="AUE57" s="16"/>
      <c r="AUF57" s="16"/>
      <c r="AUG57" s="16"/>
      <c r="AUH57" s="16"/>
      <c r="AUI57" s="16"/>
      <c r="AUJ57" s="16"/>
      <c r="AUK57" s="16"/>
      <c r="AUL57" s="16"/>
      <c r="AUM57" s="16"/>
      <c r="AUN57" s="16"/>
      <c r="AUO57" s="16"/>
      <c r="AUP57" s="16"/>
      <c r="AUQ57" s="16"/>
      <c r="AUR57" s="16"/>
      <c r="AUS57" s="16"/>
      <c r="AUT57" s="16"/>
      <c r="AUU57" s="16"/>
      <c r="AUV57" s="16"/>
      <c r="AUW57" s="16"/>
      <c r="AUX57" s="16"/>
      <c r="AUY57" s="16"/>
      <c r="AUZ57" s="16"/>
      <c r="AVA57" s="16"/>
      <c r="AVB57" s="16"/>
      <c r="AVC57" s="16"/>
      <c r="AVD57" s="16"/>
      <c r="AVE57" s="16"/>
      <c r="AVF57" s="16"/>
      <c r="AVG57" s="16"/>
      <c r="AVH57" s="16"/>
      <c r="AVI57" s="16"/>
      <c r="AVJ57" s="16"/>
      <c r="AVK57" s="16"/>
      <c r="AVL57" s="16"/>
      <c r="AVM57" s="16"/>
      <c r="AVN57" s="16"/>
      <c r="AVO57" s="16"/>
      <c r="AVP57" s="16"/>
      <c r="AVQ57" s="16"/>
      <c r="AVR57" s="16"/>
      <c r="AVS57" s="16"/>
      <c r="AVT57" s="16"/>
      <c r="AVU57" s="16"/>
      <c r="AVV57" s="16"/>
      <c r="AVW57" s="16"/>
      <c r="AVX57" s="16"/>
      <c r="AVY57" s="16"/>
      <c r="AVZ57" s="16"/>
      <c r="AWA57" s="16"/>
      <c r="AWB57" s="16"/>
      <c r="AWC57" s="16"/>
      <c r="AWD57" s="16"/>
      <c r="AWE57" s="16"/>
      <c r="AWF57" s="16"/>
      <c r="AWG57" s="16"/>
      <c r="AWH57" s="16"/>
      <c r="AWI57" s="16"/>
      <c r="AWJ57" s="16"/>
      <c r="AWK57" s="16"/>
      <c r="AWL57" s="16"/>
      <c r="AWM57" s="16"/>
      <c r="AWN57" s="16"/>
      <c r="AWO57" s="16"/>
      <c r="AWP57" s="16"/>
      <c r="AWQ57" s="16"/>
      <c r="AWR57" s="16"/>
      <c r="AWS57" s="16"/>
      <c r="AWT57" s="16"/>
      <c r="AWU57" s="16"/>
      <c r="AWV57" s="16"/>
      <c r="AWW57" s="16"/>
      <c r="AWX57" s="16"/>
      <c r="AWY57" s="16"/>
      <c r="AWZ57" s="16"/>
      <c r="AXA57" s="16"/>
      <c r="AXB57" s="16"/>
      <c r="AXC57" s="16"/>
      <c r="AXD57" s="16"/>
      <c r="AXE57" s="16"/>
      <c r="AXF57" s="16"/>
      <c r="AXG57" s="16"/>
      <c r="AXH57" s="16"/>
      <c r="AXI57" s="16"/>
      <c r="AXJ57" s="16"/>
      <c r="AXK57" s="16"/>
      <c r="AXL57" s="16"/>
      <c r="AXM57" s="16"/>
      <c r="AXN57" s="16"/>
      <c r="AXO57" s="16"/>
      <c r="AXP57" s="16"/>
      <c r="AXQ57" s="16"/>
      <c r="AXR57" s="16"/>
      <c r="AXS57" s="16"/>
      <c r="AXT57" s="16"/>
      <c r="AXU57" s="16"/>
      <c r="AXV57" s="16"/>
      <c r="AXW57" s="16"/>
      <c r="AXX57" s="16"/>
      <c r="AXY57" s="16"/>
      <c r="AXZ57" s="16"/>
      <c r="AYA57" s="16"/>
      <c r="AYB57" s="16"/>
      <c r="AYC57" s="16"/>
      <c r="AYD57" s="16"/>
      <c r="AYE57" s="16"/>
      <c r="AYF57" s="16"/>
      <c r="AYG57" s="16"/>
      <c r="AYH57" s="16"/>
      <c r="AYI57" s="16"/>
      <c r="AYJ57" s="16"/>
      <c r="AYK57" s="16"/>
      <c r="AYL57" s="16"/>
      <c r="AYM57" s="16"/>
      <c r="AYN57" s="16"/>
      <c r="AYO57" s="16"/>
      <c r="AYP57" s="16"/>
      <c r="AYQ57" s="16"/>
      <c r="AYR57" s="16"/>
      <c r="AYS57" s="16"/>
      <c r="AYT57" s="16"/>
      <c r="AYU57" s="16"/>
      <c r="AYV57" s="16"/>
      <c r="AYW57" s="16"/>
      <c r="AYX57" s="16"/>
      <c r="AYY57" s="16"/>
      <c r="AYZ57" s="16"/>
      <c r="AZA57" s="16"/>
      <c r="AZB57" s="16"/>
      <c r="AZC57" s="16"/>
      <c r="AZD57" s="16"/>
      <c r="AZE57" s="16"/>
      <c r="AZF57" s="16"/>
      <c r="AZG57" s="16"/>
      <c r="AZH57" s="16"/>
      <c r="AZI57" s="16"/>
      <c r="AZJ57" s="16"/>
      <c r="AZK57" s="16"/>
      <c r="AZL57" s="16"/>
      <c r="AZM57" s="16"/>
      <c r="AZN57" s="16"/>
      <c r="AZO57" s="16"/>
      <c r="AZP57" s="16"/>
      <c r="AZQ57" s="16"/>
      <c r="AZR57" s="16"/>
      <c r="AZS57" s="16"/>
      <c r="AZT57" s="16"/>
      <c r="AZU57" s="16"/>
      <c r="AZV57" s="16"/>
      <c r="AZW57" s="16"/>
      <c r="AZX57" s="16"/>
      <c r="AZY57" s="16"/>
      <c r="AZZ57" s="16"/>
      <c r="BAA57" s="16"/>
      <c r="BAB57" s="16"/>
      <c r="BAC57" s="16"/>
      <c r="BAD57" s="16"/>
      <c r="BAE57" s="16"/>
      <c r="BAF57" s="16"/>
      <c r="BAG57" s="16"/>
      <c r="BAH57" s="16"/>
      <c r="BAI57" s="16"/>
      <c r="BAJ57" s="16"/>
      <c r="BAK57" s="16"/>
      <c r="BAL57" s="16"/>
      <c r="BAM57" s="16"/>
      <c r="BAN57" s="16"/>
      <c r="BAO57" s="16"/>
      <c r="BAP57" s="16"/>
      <c r="BAQ57" s="16"/>
      <c r="BAR57" s="16"/>
      <c r="BAS57" s="16"/>
      <c r="BAT57" s="16"/>
      <c r="BAU57" s="16"/>
      <c r="BAV57" s="16"/>
      <c r="BAW57" s="16"/>
      <c r="BAX57" s="16"/>
      <c r="BAY57" s="16"/>
      <c r="BAZ57" s="16"/>
      <c r="BBA57" s="16"/>
      <c r="BBB57" s="16"/>
      <c r="BBC57" s="16"/>
      <c r="BBD57" s="16"/>
      <c r="BBE57" s="16"/>
      <c r="BBF57" s="16"/>
      <c r="BBG57" s="16"/>
      <c r="BBH57" s="16"/>
      <c r="BBI57" s="16"/>
      <c r="BBJ57" s="16"/>
      <c r="BBK57" s="16"/>
      <c r="BBL57" s="16"/>
      <c r="BBM57" s="16"/>
      <c r="BBN57" s="16"/>
      <c r="BBO57" s="16"/>
      <c r="BBP57" s="16"/>
      <c r="BBQ57" s="16"/>
      <c r="BBR57" s="16"/>
      <c r="BBS57" s="16"/>
      <c r="BBT57" s="16"/>
      <c r="BBU57" s="16"/>
      <c r="BBV57" s="16"/>
      <c r="BBW57" s="16"/>
      <c r="BBX57" s="16"/>
      <c r="BBY57" s="16"/>
      <c r="BBZ57" s="16"/>
      <c r="BCA57" s="16"/>
      <c r="BCB57" s="16"/>
      <c r="BCC57" s="16"/>
      <c r="BCD57" s="16"/>
      <c r="BCE57" s="16"/>
      <c r="BCF57" s="16"/>
      <c r="BCG57" s="16"/>
      <c r="BCH57" s="16"/>
      <c r="BCI57" s="16"/>
      <c r="BCJ57" s="16"/>
      <c r="BCK57" s="16"/>
      <c r="BCL57" s="16"/>
      <c r="BCM57" s="16"/>
      <c r="BCN57" s="16"/>
      <c r="BCO57" s="16"/>
      <c r="BCP57" s="16"/>
      <c r="BCQ57" s="16"/>
      <c r="BCR57" s="16"/>
      <c r="BCS57" s="16"/>
      <c r="BCT57" s="16"/>
      <c r="BCU57" s="16"/>
      <c r="BCV57" s="16"/>
      <c r="BCW57" s="16"/>
      <c r="BCX57" s="16"/>
      <c r="BCY57" s="16"/>
      <c r="BCZ57" s="16"/>
      <c r="BDA57" s="16"/>
      <c r="BDB57" s="16"/>
      <c r="BDC57" s="16"/>
      <c r="BDD57" s="16"/>
      <c r="BDE57" s="16"/>
      <c r="BDF57" s="16"/>
      <c r="BDG57" s="16"/>
      <c r="BDH57" s="16"/>
      <c r="BDI57" s="16"/>
      <c r="BDJ57" s="16"/>
      <c r="BDK57" s="16"/>
      <c r="BDL57" s="16"/>
      <c r="BDM57" s="16"/>
      <c r="BDN57" s="16"/>
      <c r="BDO57" s="16"/>
      <c r="BDP57" s="16"/>
      <c r="BDQ57" s="16"/>
      <c r="BDR57" s="16"/>
      <c r="BDS57" s="16"/>
      <c r="BDT57" s="16"/>
      <c r="BDU57" s="16"/>
      <c r="BDV57" s="16"/>
      <c r="BDW57" s="16"/>
      <c r="BDX57" s="16"/>
      <c r="BDY57" s="16"/>
      <c r="BDZ57" s="16"/>
      <c r="BEA57" s="16"/>
      <c r="BEB57" s="16"/>
      <c r="BEC57" s="16"/>
      <c r="BED57" s="16"/>
      <c r="BEE57" s="16"/>
      <c r="BEF57" s="16"/>
      <c r="BEG57" s="16"/>
      <c r="BEH57" s="16"/>
      <c r="BEI57" s="16"/>
      <c r="BEJ57" s="16"/>
      <c r="BEK57" s="16"/>
      <c r="BEL57" s="16"/>
      <c r="BEM57" s="16"/>
      <c r="BEN57" s="16"/>
      <c r="BEO57" s="16"/>
      <c r="BEP57" s="16"/>
      <c r="BEQ57" s="16"/>
      <c r="BER57" s="16"/>
      <c r="BES57" s="16"/>
      <c r="BET57" s="16"/>
      <c r="BEU57" s="16"/>
      <c r="BEV57" s="16"/>
      <c r="BEW57" s="16"/>
      <c r="BEX57" s="16"/>
      <c r="BEY57" s="16"/>
      <c r="BEZ57" s="16"/>
      <c r="BFA57" s="16"/>
      <c r="BFB57" s="16"/>
      <c r="BFC57" s="16"/>
      <c r="BFD57" s="16"/>
      <c r="BFE57" s="16"/>
      <c r="BFF57" s="16"/>
      <c r="BFG57" s="16"/>
      <c r="BFH57" s="16"/>
      <c r="BFI57" s="16"/>
      <c r="BFJ57" s="16"/>
      <c r="BFK57" s="16"/>
      <c r="BFL57" s="16"/>
      <c r="BFM57" s="16"/>
      <c r="BFN57" s="16"/>
      <c r="BFO57" s="16"/>
      <c r="BFP57" s="16"/>
      <c r="BFQ57" s="16"/>
      <c r="BFR57" s="16"/>
      <c r="BFS57" s="16"/>
      <c r="BFT57" s="16"/>
      <c r="BFU57" s="16"/>
      <c r="BFV57" s="16"/>
      <c r="BFW57" s="16"/>
      <c r="BFX57" s="16"/>
      <c r="BFY57" s="16"/>
      <c r="BFZ57" s="16"/>
      <c r="BGA57" s="16"/>
      <c r="BGB57" s="16"/>
      <c r="BGC57" s="16"/>
      <c r="BGD57" s="16"/>
      <c r="BGE57" s="16"/>
      <c r="BGF57" s="16"/>
      <c r="BGG57" s="16"/>
      <c r="BGH57" s="16"/>
      <c r="BGI57" s="16"/>
      <c r="BGJ57" s="16"/>
      <c r="BGK57" s="16"/>
      <c r="BGL57" s="16"/>
      <c r="BGM57" s="16"/>
      <c r="BGN57" s="16"/>
      <c r="BGO57" s="16"/>
      <c r="BGP57" s="16"/>
      <c r="BGQ57" s="16"/>
      <c r="BGR57" s="16"/>
      <c r="BGS57" s="16"/>
      <c r="BGT57" s="16"/>
      <c r="BGU57" s="16"/>
      <c r="BGV57" s="16"/>
      <c r="BGW57" s="16"/>
      <c r="BGX57" s="16"/>
      <c r="BGY57" s="16"/>
      <c r="BGZ57" s="16"/>
      <c r="BHA57" s="16"/>
      <c r="BHB57" s="16"/>
      <c r="BHC57" s="16"/>
      <c r="BHD57" s="16"/>
      <c r="BHE57" s="16"/>
      <c r="BHF57" s="16"/>
      <c r="BHG57" s="16"/>
      <c r="BHH57" s="16"/>
      <c r="BHI57" s="16"/>
      <c r="BHJ57" s="16"/>
      <c r="BHK57" s="16"/>
      <c r="BHL57" s="16"/>
      <c r="BHM57" s="16"/>
      <c r="BHN57" s="16"/>
      <c r="BHO57" s="16"/>
      <c r="BHP57" s="16"/>
      <c r="BHQ57" s="16"/>
      <c r="BHR57" s="16"/>
      <c r="BHS57" s="16"/>
      <c r="BHT57" s="16"/>
      <c r="BHU57" s="16"/>
      <c r="BHV57" s="16"/>
      <c r="BHW57" s="16"/>
      <c r="BHX57" s="16"/>
      <c r="BHY57" s="16"/>
      <c r="BHZ57" s="16"/>
      <c r="BIA57" s="16"/>
      <c r="BIB57" s="16"/>
      <c r="BIC57" s="16"/>
      <c r="BID57" s="16"/>
      <c r="BIE57" s="16"/>
      <c r="BIF57" s="16"/>
      <c r="BIG57" s="16"/>
      <c r="BIH57" s="16"/>
      <c r="BII57" s="16"/>
      <c r="BIJ57" s="16"/>
      <c r="BIK57" s="16"/>
      <c r="BIL57" s="16"/>
      <c r="BIM57" s="16"/>
      <c r="BIN57" s="16"/>
      <c r="BIO57" s="16"/>
      <c r="BIP57" s="16"/>
      <c r="BIQ57" s="16"/>
      <c r="BIR57" s="16"/>
      <c r="BIS57" s="16"/>
      <c r="BIT57" s="16"/>
      <c r="BIU57" s="16"/>
      <c r="BIV57" s="16"/>
      <c r="BIW57" s="16"/>
      <c r="BIX57" s="16"/>
      <c r="BIY57" s="16"/>
      <c r="BIZ57" s="16"/>
      <c r="BJA57" s="16"/>
      <c r="BJB57" s="16"/>
      <c r="BJC57" s="16"/>
      <c r="BJD57" s="16"/>
      <c r="BJE57" s="16"/>
      <c r="BJF57" s="16"/>
      <c r="BJG57" s="16"/>
      <c r="BJH57" s="16"/>
      <c r="BJI57" s="16"/>
      <c r="BJJ57" s="16"/>
      <c r="BJK57" s="16"/>
      <c r="BJL57" s="16"/>
      <c r="BJM57" s="16"/>
      <c r="BJN57" s="16"/>
      <c r="BJO57" s="16"/>
      <c r="BJP57" s="16"/>
      <c r="BJQ57" s="16"/>
      <c r="BJR57" s="16"/>
      <c r="BJS57" s="16"/>
      <c r="BJT57" s="16"/>
      <c r="BJU57" s="16"/>
      <c r="BJV57" s="16"/>
      <c r="BJW57" s="16"/>
      <c r="BJX57" s="16"/>
      <c r="BJY57" s="16"/>
      <c r="BJZ57" s="16"/>
      <c r="BKA57" s="16"/>
      <c r="BKB57" s="16"/>
      <c r="BKC57" s="16"/>
      <c r="BKD57" s="16"/>
      <c r="BKE57" s="16"/>
      <c r="BKF57" s="16"/>
      <c r="BKG57" s="16"/>
      <c r="BKH57" s="16"/>
      <c r="BKI57" s="16"/>
      <c r="BKJ57" s="16"/>
      <c r="BKK57" s="16"/>
      <c r="BKL57" s="16"/>
      <c r="BKM57" s="16"/>
      <c r="BKN57" s="16"/>
      <c r="BKO57" s="16"/>
      <c r="BKP57" s="16"/>
      <c r="BKQ57" s="16"/>
      <c r="BKR57" s="16"/>
      <c r="BKS57" s="16"/>
      <c r="BKT57" s="16"/>
      <c r="BKU57" s="16"/>
      <c r="BKV57" s="16"/>
      <c r="BKW57" s="16"/>
      <c r="BKX57" s="16"/>
      <c r="BKY57" s="16"/>
      <c r="BKZ57" s="16"/>
      <c r="BLA57" s="16"/>
      <c r="BLB57" s="16"/>
      <c r="BLC57" s="16"/>
      <c r="BLD57" s="16"/>
      <c r="BLE57" s="16"/>
      <c r="BLF57" s="16"/>
      <c r="BLG57" s="16"/>
      <c r="BLH57" s="16"/>
      <c r="BLI57" s="16"/>
      <c r="BLJ57" s="16"/>
      <c r="BLK57" s="16"/>
      <c r="BLL57" s="16"/>
      <c r="BLM57" s="16"/>
      <c r="BLN57" s="16"/>
      <c r="BLO57" s="16"/>
      <c r="BLP57" s="16"/>
      <c r="BLQ57" s="16"/>
      <c r="BLR57" s="16"/>
      <c r="BLS57" s="16"/>
      <c r="BLT57" s="16"/>
      <c r="BLU57" s="16"/>
      <c r="BLV57" s="16"/>
      <c r="BLW57" s="16"/>
      <c r="BLX57" s="16"/>
      <c r="BLY57" s="16"/>
      <c r="BLZ57" s="16"/>
      <c r="BMA57" s="16"/>
      <c r="BMB57" s="16"/>
      <c r="BMC57" s="16"/>
      <c r="BMD57" s="16"/>
      <c r="BME57" s="16"/>
      <c r="BMF57" s="16"/>
      <c r="BMG57" s="16"/>
      <c r="BMH57" s="16"/>
      <c r="BMI57" s="16"/>
      <c r="BMJ57" s="16"/>
      <c r="BMK57" s="16"/>
      <c r="BML57" s="16"/>
      <c r="BMM57" s="16"/>
      <c r="BMN57" s="16"/>
      <c r="BMO57" s="16"/>
      <c r="BMP57" s="16"/>
      <c r="BMQ57" s="16"/>
      <c r="BMR57" s="16"/>
      <c r="BMS57" s="16"/>
      <c r="BMT57" s="16"/>
      <c r="BMU57" s="16"/>
      <c r="BMV57" s="16"/>
      <c r="BMW57" s="16"/>
      <c r="BMX57" s="16"/>
      <c r="BMY57" s="16"/>
      <c r="BMZ57" s="16"/>
      <c r="BNA57" s="16"/>
      <c r="BNB57" s="16"/>
      <c r="BNC57" s="16"/>
      <c r="BND57" s="16"/>
      <c r="BNE57" s="16"/>
      <c r="BNF57" s="16"/>
      <c r="BNG57" s="16"/>
      <c r="BNH57" s="16"/>
      <c r="BNI57" s="16"/>
      <c r="BNJ57" s="16"/>
      <c r="BNK57" s="16"/>
      <c r="BNL57" s="16"/>
      <c r="BNM57" s="16"/>
      <c r="BNN57" s="16"/>
      <c r="BNO57" s="16"/>
      <c r="BNP57" s="16"/>
      <c r="BNQ57" s="16"/>
      <c r="BNR57" s="16"/>
      <c r="BNS57" s="16"/>
      <c r="BNT57" s="16"/>
      <c r="BNU57" s="16"/>
      <c r="BNV57" s="16"/>
      <c r="BNW57" s="16"/>
      <c r="BNX57" s="16"/>
      <c r="BNY57" s="16"/>
      <c r="BNZ57" s="16"/>
      <c r="BOA57" s="16"/>
      <c r="BOB57" s="16"/>
      <c r="BOC57" s="16"/>
      <c r="BOD57" s="16"/>
      <c r="BOE57" s="16"/>
      <c r="BOF57" s="16"/>
      <c r="BOG57" s="16"/>
      <c r="BOH57" s="16"/>
      <c r="BOI57" s="16"/>
      <c r="BOJ57" s="16"/>
      <c r="BOK57" s="16"/>
      <c r="BOL57" s="16"/>
      <c r="BOM57" s="16"/>
      <c r="BON57" s="16"/>
      <c r="BOO57" s="16"/>
      <c r="BOP57" s="16"/>
      <c r="BOQ57" s="16"/>
      <c r="BOR57" s="16"/>
      <c r="BOS57" s="16"/>
      <c r="BOT57" s="16"/>
      <c r="BOU57" s="16"/>
      <c r="BOV57" s="16"/>
      <c r="BOW57" s="16"/>
      <c r="BOX57" s="16"/>
      <c r="BOY57" s="16"/>
      <c r="BOZ57" s="16"/>
      <c r="BPA57" s="16"/>
      <c r="BPB57" s="16"/>
      <c r="BPC57" s="16"/>
      <c r="BPD57" s="16"/>
      <c r="BPE57" s="16"/>
      <c r="BPF57" s="16"/>
      <c r="BPG57" s="16"/>
      <c r="BPH57" s="16"/>
      <c r="BPI57" s="16"/>
      <c r="BPJ57" s="16"/>
      <c r="BPK57" s="16"/>
      <c r="BPL57" s="16"/>
      <c r="BPM57" s="16"/>
      <c r="BPN57" s="16"/>
      <c r="BPO57" s="16"/>
      <c r="BPP57" s="16"/>
      <c r="BPQ57" s="16"/>
      <c r="BPR57" s="16"/>
      <c r="BPS57" s="16"/>
      <c r="BPT57" s="16"/>
      <c r="BPU57" s="16"/>
      <c r="BPV57" s="16"/>
      <c r="BPW57" s="16"/>
      <c r="BPX57" s="16"/>
      <c r="BPY57" s="16"/>
      <c r="BPZ57" s="16"/>
      <c r="BQA57" s="16"/>
      <c r="BQB57" s="16"/>
      <c r="BQC57" s="16"/>
      <c r="BQD57" s="16"/>
      <c r="BQE57" s="16"/>
      <c r="BQF57" s="16"/>
      <c r="BQG57" s="16"/>
      <c r="BQH57" s="16"/>
      <c r="BQI57" s="16"/>
      <c r="BQJ57" s="16"/>
      <c r="BQK57" s="16"/>
      <c r="BQL57" s="16"/>
      <c r="BQM57" s="16"/>
      <c r="BQN57" s="16"/>
      <c r="BQO57" s="16"/>
      <c r="BQP57" s="16"/>
      <c r="BQQ57" s="16"/>
      <c r="BQR57" s="16"/>
      <c r="BQS57" s="16"/>
      <c r="BQT57" s="16"/>
      <c r="BQU57" s="16"/>
      <c r="BQV57" s="16"/>
      <c r="BQW57" s="16"/>
      <c r="BQX57" s="16"/>
      <c r="BQY57" s="16"/>
      <c r="BQZ57" s="16"/>
      <c r="BRA57" s="16"/>
      <c r="BRB57" s="16"/>
      <c r="BRC57" s="16"/>
      <c r="BRD57" s="16"/>
      <c r="BRE57" s="16"/>
      <c r="BRF57" s="16"/>
      <c r="BRG57" s="16"/>
      <c r="BRH57" s="16"/>
      <c r="BRI57" s="16"/>
      <c r="BRJ57" s="16"/>
      <c r="BRK57" s="16"/>
      <c r="BRL57" s="16"/>
      <c r="BRM57" s="16"/>
      <c r="BRN57" s="16"/>
      <c r="BRO57" s="16"/>
      <c r="BRP57" s="16"/>
      <c r="BRQ57" s="16"/>
      <c r="BRR57" s="16"/>
      <c r="BRS57" s="16"/>
      <c r="BRT57" s="16"/>
      <c r="BRU57" s="16"/>
      <c r="BRV57" s="16"/>
      <c r="BRW57" s="16"/>
      <c r="BRX57" s="16"/>
      <c r="BRY57" s="16"/>
      <c r="BRZ57" s="16"/>
      <c r="BSA57" s="16"/>
      <c r="BSB57" s="16"/>
      <c r="BSC57" s="16"/>
      <c r="BSD57" s="16"/>
      <c r="BSE57" s="16"/>
      <c r="BSF57" s="16"/>
      <c r="BSG57" s="16"/>
      <c r="BSH57" s="16"/>
      <c r="BSI57" s="16"/>
      <c r="BSJ57" s="16"/>
      <c r="BSK57" s="16"/>
      <c r="BSL57" s="16"/>
      <c r="BSM57" s="16"/>
      <c r="BSN57" s="16"/>
      <c r="BSO57" s="16"/>
      <c r="BSP57" s="16"/>
      <c r="BSQ57" s="16"/>
      <c r="BSR57" s="16"/>
      <c r="BSS57" s="16"/>
      <c r="BST57" s="16"/>
      <c r="BSU57" s="16"/>
      <c r="BSV57" s="16"/>
      <c r="BSW57" s="16"/>
      <c r="BSX57" s="16"/>
      <c r="BSY57" s="16"/>
      <c r="BSZ57" s="16"/>
      <c r="BTA57" s="16"/>
      <c r="BTB57" s="16"/>
      <c r="BTC57" s="16"/>
      <c r="BTD57" s="16"/>
      <c r="BTE57" s="16"/>
      <c r="BTF57" s="16"/>
      <c r="BTG57" s="16"/>
      <c r="BTH57" s="16"/>
      <c r="BTI57" s="16"/>
      <c r="BTJ57" s="16"/>
      <c r="BTK57" s="16"/>
      <c r="BTL57" s="16"/>
      <c r="BTM57" s="16"/>
      <c r="BTN57" s="16"/>
      <c r="BTO57" s="16"/>
      <c r="BTP57" s="16"/>
      <c r="BTQ57" s="16"/>
      <c r="BTR57" s="16"/>
      <c r="BTS57" s="16"/>
      <c r="BTT57" s="16"/>
      <c r="BTU57" s="16"/>
      <c r="BTV57" s="16"/>
      <c r="BTW57" s="16"/>
      <c r="BTX57" s="16"/>
      <c r="BTY57" s="16"/>
      <c r="BTZ57" s="16"/>
      <c r="BUA57" s="16"/>
      <c r="BUB57" s="16"/>
      <c r="BUC57" s="16"/>
      <c r="BUD57" s="16"/>
      <c r="BUE57" s="16"/>
      <c r="BUF57" s="16"/>
      <c r="BUG57" s="16"/>
      <c r="BUH57" s="16"/>
      <c r="BUI57" s="16"/>
      <c r="BUJ57" s="16"/>
      <c r="BUK57" s="16"/>
      <c r="BUL57" s="16"/>
      <c r="BUM57" s="16"/>
      <c r="BUN57" s="16"/>
      <c r="BUO57" s="16"/>
      <c r="BUP57" s="16"/>
      <c r="BUQ57" s="16"/>
      <c r="BUR57" s="16"/>
      <c r="BUS57" s="16"/>
      <c r="BUT57" s="16"/>
      <c r="BUU57" s="16"/>
      <c r="BUV57" s="16"/>
      <c r="BUW57" s="16"/>
      <c r="BUX57" s="16"/>
      <c r="BUY57" s="16"/>
      <c r="BUZ57" s="16"/>
      <c r="BVA57" s="16"/>
      <c r="BVB57" s="16"/>
      <c r="BVC57" s="16"/>
      <c r="BVD57" s="16"/>
      <c r="BVE57" s="16"/>
      <c r="BVF57" s="16"/>
      <c r="BVG57" s="16"/>
      <c r="BVH57" s="16"/>
      <c r="BVI57" s="16"/>
      <c r="BVJ57" s="16"/>
      <c r="BVK57" s="16"/>
      <c r="BVL57" s="16"/>
      <c r="BVM57" s="16"/>
      <c r="BVN57" s="16"/>
      <c r="BVO57" s="16"/>
      <c r="BVP57" s="16"/>
      <c r="BVQ57" s="16"/>
      <c r="BVR57" s="16"/>
      <c r="BVS57" s="16"/>
      <c r="BVT57" s="16"/>
      <c r="BVU57" s="16"/>
      <c r="BVV57" s="16"/>
      <c r="BVW57" s="16"/>
      <c r="BVX57" s="16"/>
      <c r="BVY57" s="16"/>
      <c r="BVZ57" s="16"/>
      <c r="BWA57" s="16"/>
      <c r="BWB57" s="16"/>
      <c r="BWC57" s="16"/>
      <c r="BWD57" s="16"/>
      <c r="BWE57" s="16"/>
      <c r="BWF57" s="16"/>
      <c r="BWG57" s="16"/>
      <c r="BWH57" s="16"/>
      <c r="BWI57" s="16"/>
      <c r="BWJ57" s="16"/>
      <c r="BWK57" s="16"/>
      <c r="BWL57" s="16"/>
      <c r="BWM57" s="16"/>
      <c r="BWN57" s="16"/>
      <c r="BWO57" s="16"/>
      <c r="BWP57" s="16"/>
      <c r="BWQ57" s="16"/>
      <c r="BWR57" s="16"/>
      <c r="BWS57" s="16"/>
      <c r="BWT57" s="16"/>
      <c r="BWU57" s="16"/>
      <c r="BWV57" s="16"/>
      <c r="BWW57" s="16"/>
      <c r="BWX57" s="16"/>
      <c r="BWY57" s="16"/>
      <c r="BWZ57" s="16"/>
      <c r="BXA57" s="16"/>
      <c r="BXB57" s="16"/>
      <c r="BXC57" s="16"/>
      <c r="BXD57" s="16"/>
      <c r="BXE57" s="16"/>
      <c r="BXF57" s="16"/>
      <c r="BXG57" s="16"/>
      <c r="BXH57" s="16"/>
      <c r="BXI57" s="16"/>
      <c r="BXJ57" s="16"/>
      <c r="BXK57" s="16"/>
      <c r="BXL57" s="16"/>
      <c r="BXM57" s="16"/>
      <c r="BXN57" s="16"/>
      <c r="BXO57" s="16"/>
      <c r="BXP57" s="16"/>
      <c r="BXQ57" s="16"/>
      <c r="BXR57" s="16"/>
      <c r="BXS57" s="16"/>
      <c r="BXT57" s="16"/>
      <c r="BXU57" s="16"/>
      <c r="BXV57" s="16"/>
      <c r="BXW57" s="16"/>
      <c r="BXX57" s="16"/>
      <c r="BXY57" s="16"/>
      <c r="BXZ57" s="16"/>
      <c r="BYA57" s="16"/>
      <c r="BYB57" s="16"/>
      <c r="BYC57" s="16"/>
      <c r="BYD57" s="16"/>
      <c r="BYE57" s="16"/>
      <c r="BYF57" s="16"/>
      <c r="BYG57" s="16"/>
      <c r="BYH57" s="16"/>
      <c r="BYI57" s="16"/>
      <c r="BYJ57" s="16"/>
      <c r="BYK57" s="16"/>
      <c r="BYL57" s="16"/>
      <c r="BYM57" s="16"/>
      <c r="BYN57" s="16"/>
      <c r="BYO57" s="16"/>
      <c r="BYP57" s="16"/>
      <c r="BYQ57" s="16"/>
      <c r="BYR57" s="16"/>
      <c r="BYS57" s="16"/>
      <c r="BYT57" s="16"/>
      <c r="BYU57" s="16"/>
      <c r="BYV57" s="16"/>
      <c r="BYW57" s="16"/>
      <c r="BYX57" s="16"/>
      <c r="BYY57" s="16"/>
      <c r="BYZ57" s="16"/>
      <c r="BZA57" s="16"/>
      <c r="BZB57" s="16"/>
      <c r="BZC57" s="16"/>
      <c r="BZD57" s="16"/>
      <c r="BZE57" s="16"/>
      <c r="BZF57" s="16"/>
      <c r="BZG57" s="16"/>
      <c r="BZH57" s="16"/>
      <c r="BZI57" s="16"/>
      <c r="BZJ57" s="16"/>
      <c r="BZK57" s="16"/>
      <c r="BZL57" s="16"/>
      <c r="BZM57" s="16"/>
      <c r="BZN57" s="16"/>
      <c r="BZO57" s="16"/>
      <c r="BZP57" s="16"/>
      <c r="BZQ57" s="16"/>
      <c r="BZR57" s="16"/>
      <c r="BZS57" s="16"/>
      <c r="BZT57" s="16"/>
      <c r="BZU57" s="16"/>
      <c r="BZV57" s="16"/>
      <c r="BZW57" s="16"/>
      <c r="BZX57" s="16"/>
      <c r="BZY57" s="16"/>
      <c r="BZZ57" s="16"/>
      <c r="CAA57" s="16"/>
      <c r="CAB57" s="16"/>
      <c r="CAC57" s="16"/>
      <c r="CAD57" s="16"/>
      <c r="CAE57" s="16"/>
      <c r="CAF57" s="16"/>
      <c r="CAG57" s="16"/>
      <c r="CAH57" s="16"/>
      <c r="CAI57" s="16"/>
      <c r="CAJ57" s="16"/>
      <c r="CAK57" s="16"/>
      <c r="CAL57" s="16"/>
      <c r="CAM57" s="16"/>
      <c r="CAN57" s="16"/>
      <c r="CAO57" s="16"/>
      <c r="CAP57" s="16"/>
      <c r="CAQ57" s="16"/>
      <c r="CAR57" s="16"/>
      <c r="CAS57" s="16"/>
      <c r="CAT57" s="16"/>
      <c r="CAU57" s="16"/>
      <c r="CAV57" s="16"/>
      <c r="CAW57" s="16"/>
      <c r="CAX57" s="16"/>
      <c r="CAY57" s="16"/>
      <c r="CAZ57" s="16"/>
      <c r="CBA57" s="16"/>
      <c r="CBB57" s="16"/>
      <c r="CBC57" s="16"/>
      <c r="CBD57" s="16"/>
      <c r="CBE57" s="16"/>
      <c r="CBF57" s="16"/>
      <c r="CBG57" s="16"/>
      <c r="CBH57" s="16"/>
      <c r="CBI57" s="16"/>
      <c r="CBJ57" s="16"/>
      <c r="CBK57" s="16"/>
      <c r="CBL57" s="16"/>
      <c r="CBM57" s="16"/>
      <c r="CBN57" s="16"/>
      <c r="CBO57" s="16"/>
      <c r="CBP57" s="16"/>
      <c r="CBQ57" s="16"/>
      <c r="CBR57" s="16"/>
      <c r="CBS57" s="16"/>
      <c r="CBT57" s="16"/>
      <c r="CBU57" s="16"/>
      <c r="CBV57" s="16"/>
      <c r="CBW57" s="16"/>
      <c r="CBX57" s="16"/>
      <c r="CBY57" s="16"/>
      <c r="CBZ57" s="16"/>
      <c r="CCA57" s="16"/>
      <c r="CCB57" s="16"/>
      <c r="CCC57" s="16"/>
      <c r="CCD57" s="16"/>
      <c r="CCE57" s="16"/>
      <c r="CCF57" s="16"/>
      <c r="CCG57" s="16"/>
      <c r="CCH57" s="16"/>
      <c r="CCI57" s="16"/>
      <c r="CCJ57" s="16"/>
      <c r="CCK57" s="16"/>
      <c r="CCL57" s="16"/>
      <c r="CCM57" s="16"/>
      <c r="CCN57" s="16"/>
      <c r="CCO57" s="16"/>
      <c r="CCP57" s="16"/>
      <c r="CCQ57" s="16"/>
      <c r="CCR57" s="16"/>
      <c r="CCS57" s="16"/>
      <c r="CCT57" s="16"/>
      <c r="CCU57" s="16"/>
      <c r="CCV57" s="16"/>
      <c r="CCW57" s="16"/>
      <c r="CCX57" s="16"/>
      <c r="CCY57" s="16"/>
      <c r="CCZ57" s="16"/>
      <c r="CDA57" s="16"/>
      <c r="CDB57" s="16"/>
      <c r="CDC57" s="16"/>
      <c r="CDD57" s="16"/>
      <c r="CDE57" s="16"/>
      <c r="CDF57" s="16"/>
      <c r="CDG57" s="16"/>
      <c r="CDH57" s="16"/>
      <c r="CDI57" s="16"/>
      <c r="CDJ57" s="16"/>
      <c r="CDK57" s="16"/>
      <c r="CDL57" s="16"/>
      <c r="CDM57" s="16"/>
      <c r="CDN57" s="16"/>
      <c r="CDO57" s="16"/>
      <c r="CDP57" s="16"/>
      <c r="CDQ57" s="16"/>
      <c r="CDR57" s="16"/>
      <c r="CDS57" s="16"/>
      <c r="CDT57" s="16"/>
      <c r="CDU57" s="16"/>
      <c r="CDV57" s="16"/>
      <c r="CDW57" s="16"/>
      <c r="CDX57" s="16"/>
      <c r="CDY57" s="16"/>
      <c r="CDZ57" s="16"/>
      <c r="CEA57" s="16"/>
      <c r="CEB57" s="16"/>
      <c r="CEC57" s="16"/>
      <c r="CED57" s="16"/>
      <c r="CEE57" s="16"/>
      <c r="CEF57" s="16"/>
      <c r="CEG57" s="16"/>
      <c r="CEH57" s="16"/>
      <c r="CEI57" s="16"/>
      <c r="CEJ57" s="16"/>
      <c r="CEK57" s="16"/>
      <c r="CEL57" s="16"/>
      <c r="CEM57" s="16"/>
      <c r="CEN57" s="16"/>
      <c r="CEO57" s="16"/>
      <c r="CEP57" s="16"/>
      <c r="CEQ57" s="16"/>
      <c r="CER57" s="16"/>
      <c r="CES57" s="16"/>
      <c r="CET57" s="16"/>
      <c r="CEU57" s="16"/>
      <c r="CEV57" s="16"/>
      <c r="CEW57" s="16"/>
      <c r="CEX57" s="16"/>
      <c r="CEY57" s="16"/>
      <c r="CEZ57" s="16"/>
      <c r="CFA57" s="16"/>
      <c r="CFB57" s="16"/>
      <c r="CFC57" s="16"/>
      <c r="CFD57" s="16"/>
      <c r="CFE57" s="16"/>
      <c r="CFF57" s="16"/>
      <c r="CFG57" s="16"/>
      <c r="CFH57" s="16"/>
      <c r="CFI57" s="16"/>
      <c r="CFJ57" s="16"/>
      <c r="CFK57" s="16"/>
      <c r="CFL57" s="16"/>
      <c r="CFM57" s="16"/>
      <c r="CFN57" s="16"/>
      <c r="CFO57" s="16"/>
      <c r="CFP57" s="16"/>
      <c r="CFQ57" s="16"/>
      <c r="CFR57" s="16"/>
      <c r="CFS57" s="16"/>
      <c r="CFT57" s="16"/>
      <c r="CFU57" s="16"/>
      <c r="CFV57" s="16"/>
      <c r="CFW57" s="16"/>
      <c r="CFX57" s="16"/>
      <c r="CFY57" s="16"/>
      <c r="CFZ57" s="16"/>
      <c r="CGA57" s="16"/>
      <c r="CGB57" s="16"/>
      <c r="CGC57" s="16"/>
      <c r="CGD57" s="16"/>
      <c r="CGE57" s="16"/>
      <c r="CGF57" s="16"/>
      <c r="CGG57" s="16"/>
      <c r="CGH57" s="16"/>
      <c r="CGI57" s="16"/>
      <c r="CGJ57" s="16"/>
      <c r="CGK57" s="16"/>
      <c r="CGL57" s="16"/>
      <c r="CGM57" s="16"/>
      <c r="CGN57" s="16"/>
      <c r="CGO57" s="16"/>
      <c r="CGP57" s="16"/>
      <c r="CGQ57" s="16"/>
      <c r="CGR57" s="16"/>
      <c r="CGS57" s="16"/>
      <c r="CGT57" s="16"/>
      <c r="CGU57" s="16"/>
      <c r="CGV57" s="16"/>
      <c r="CGW57" s="16"/>
      <c r="CGX57" s="16"/>
      <c r="CGY57" s="16"/>
      <c r="CGZ57" s="16"/>
      <c r="CHA57" s="16"/>
      <c r="CHB57" s="16"/>
      <c r="CHC57" s="16"/>
      <c r="CHD57" s="16"/>
      <c r="CHE57" s="16"/>
      <c r="CHF57" s="16"/>
      <c r="CHG57" s="16"/>
      <c r="CHH57" s="16"/>
      <c r="CHI57" s="16"/>
      <c r="CHJ57" s="16"/>
      <c r="CHK57" s="16"/>
      <c r="CHL57" s="16"/>
      <c r="CHM57" s="16"/>
      <c r="CHN57" s="16"/>
      <c r="CHO57" s="16"/>
      <c r="CHP57" s="16"/>
      <c r="CHQ57" s="16"/>
      <c r="CHR57" s="16"/>
      <c r="CHS57" s="16"/>
      <c r="CHT57" s="16"/>
      <c r="CHU57" s="16"/>
      <c r="CHV57" s="16"/>
      <c r="CHW57" s="16"/>
      <c r="CHX57" s="16"/>
      <c r="CHY57" s="16"/>
      <c r="CHZ57" s="16"/>
      <c r="CIA57" s="16"/>
      <c r="CIB57" s="16"/>
      <c r="CIC57" s="16"/>
      <c r="CID57" s="16"/>
      <c r="CIE57" s="16"/>
      <c r="CIF57" s="16"/>
      <c r="CIG57" s="16"/>
      <c r="CIH57" s="16"/>
      <c r="CII57" s="16"/>
      <c r="CIJ57" s="16"/>
      <c r="CIK57" s="16"/>
      <c r="CIL57" s="16"/>
      <c r="CIM57" s="16"/>
      <c r="CIN57" s="16"/>
      <c r="CIO57" s="16"/>
      <c r="CIP57" s="16"/>
      <c r="CIQ57" s="16"/>
      <c r="CIR57" s="16"/>
      <c r="CIS57" s="16"/>
      <c r="CIT57" s="16"/>
      <c r="CIU57" s="16"/>
      <c r="CIV57" s="16"/>
      <c r="CIW57" s="16"/>
      <c r="CIX57" s="16"/>
      <c r="CIY57" s="16"/>
      <c r="CIZ57" s="16"/>
      <c r="CJA57" s="16"/>
      <c r="CJB57" s="16"/>
      <c r="CJC57" s="16"/>
      <c r="CJD57" s="16"/>
      <c r="CJE57" s="16"/>
      <c r="CJF57" s="16"/>
      <c r="CJG57" s="16"/>
      <c r="CJH57" s="16"/>
      <c r="CJI57" s="16"/>
      <c r="CJJ57" s="16"/>
      <c r="CJK57" s="16"/>
      <c r="CJL57" s="16"/>
      <c r="CJM57" s="16"/>
      <c r="CJN57" s="16"/>
      <c r="CJO57" s="16"/>
      <c r="CJP57" s="16"/>
      <c r="CJQ57" s="16"/>
      <c r="CJR57" s="16"/>
      <c r="CJS57" s="16"/>
      <c r="CJT57" s="16"/>
      <c r="CJU57" s="16"/>
      <c r="CJV57" s="16"/>
      <c r="CJW57" s="16"/>
      <c r="CJX57" s="16"/>
      <c r="CJY57" s="16"/>
      <c r="CJZ57" s="16"/>
      <c r="CKA57" s="16"/>
      <c r="CKB57" s="16"/>
      <c r="CKC57" s="16"/>
      <c r="CKD57" s="16"/>
      <c r="CKE57" s="16"/>
      <c r="CKF57" s="16"/>
      <c r="CKG57" s="16"/>
      <c r="CKH57" s="16"/>
      <c r="CKI57" s="16"/>
      <c r="CKJ57" s="16"/>
      <c r="CKK57" s="16"/>
      <c r="CKL57" s="16"/>
      <c r="CKM57" s="16"/>
      <c r="CKN57" s="16"/>
      <c r="CKO57" s="16"/>
      <c r="CKP57" s="16"/>
      <c r="CKQ57" s="16"/>
      <c r="CKR57" s="16"/>
      <c r="CKS57" s="16"/>
      <c r="CKT57" s="16"/>
      <c r="CKU57" s="16"/>
      <c r="CKV57" s="16"/>
      <c r="CKW57" s="16"/>
      <c r="CKX57" s="16"/>
      <c r="CKY57" s="16"/>
      <c r="CKZ57" s="16"/>
      <c r="CLA57" s="16"/>
      <c r="CLB57" s="16"/>
      <c r="CLC57" s="16"/>
      <c r="CLD57" s="16"/>
      <c r="CLE57" s="16"/>
      <c r="CLF57" s="16"/>
      <c r="CLG57" s="16"/>
      <c r="CLH57" s="16"/>
      <c r="CLI57" s="16"/>
      <c r="CLJ57" s="16"/>
      <c r="CLK57" s="16"/>
      <c r="CLL57" s="16"/>
      <c r="CLM57" s="16"/>
      <c r="CLN57" s="16"/>
      <c r="CLO57" s="16"/>
      <c r="CLP57" s="16"/>
      <c r="CLQ57" s="16"/>
      <c r="CLR57" s="16"/>
      <c r="CLS57" s="16"/>
      <c r="CLT57" s="16"/>
      <c r="CLU57" s="16"/>
      <c r="CLV57" s="16"/>
      <c r="CLW57" s="16"/>
      <c r="CLX57" s="16"/>
      <c r="CLY57" s="16"/>
      <c r="CLZ57" s="16"/>
      <c r="CMA57" s="16"/>
      <c r="CMB57" s="16"/>
      <c r="CMC57" s="16"/>
      <c r="CMD57" s="16"/>
      <c r="CME57" s="16"/>
      <c r="CMF57" s="16"/>
      <c r="CMG57" s="16"/>
      <c r="CMH57" s="16"/>
      <c r="CMI57" s="16"/>
      <c r="CMJ57" s="16"/>
      <c r="CMK57" s="16"/>
      <c r="CML57" s="16"/>
      <c r="CMM57" s="16"/>
      <c r="CMN57" s="16"/>
      <c r="CMO57" s="16"/>
      <c r="CMP57" s="16"/>
      <c r="CMQ57" s="16"/>
      <c r="CMR57" s="16"/>
      <c r="CMS57" s="16"/>
      <c r="CMT57" s="16"/>
      <c r="CMU57" s="16"/>
      <c r="CMV57" s="16"/>
      <c r="CMW57" s="16"/>
      <c r="CMX57" s="16"/>
      <c r="CMY57" s="16"/>
      <c r="CMZ57" s="16"/>
      <c r="CNA57" s="16"/>
      <c r="CNB57" s="16"/>
      <c r="CNC57" s="16"/>
      <c r="CND57" s="16"/>
      <c r="CNE57" s="16"/>
      <c r="CNF57" s="16"/>
      <c r="CNG57" s="16"/>
      <c r="CNH57" s="16"/>
      <c r="CNI57" s="16"/>
      <c r="CNJ57" s="16"/>
      <c r="CNK57" s="16"/>
      <c r="CNL57" s="16"/>
      <c r="CNM57" s="16"/>
      <c r="CNN57" s="16"/>
      <c r="CNO57" s="16"/>
      <c r="CNP57" s="16"/>
      <c r="CNQ57" s="16"/>
      <c r="CNR57" s="16"/>
      <c r="CNS57" s="16"/>
      <c r="CNT57" s="16"/>
      <c r="CNU57" s="16"/>
      <c r="CNV57" s="16"/>
      <c r="CNW57" s="16"/>
      <c r="CNX57" s="16"/>
      <c r="CNY57" s="16"/>
      <c r="CNZ57" s="16"/>
      <c r="COA57" s="16"/>
      <c r="COB57" s="16"/>
      <c r="COC57" s="16"/>
      <c r="COD57" s="16"/>
      <c r="COE57" s="16"/>
      <c r="COF57" s="16"/>
      <c r="COG57" s="16"/>
      <c r="COH57" s="16"/>
      <c r="COI57" s="16"/>
      <c r="COJ57" s="16"/>
      <c r="COK57" s="16"/>
      <c r="COL57" s="16"/>
      <c r="COM57" s="16"/>
      <c r="CON57" s="16"/>
      <c r="COO57" s="16"/>
      <c r="COP57" s="16"/>
      <c r="COQ57" s="16"/>
      <c r="COR57" s="16"/>
      <c r="COS57" s="16"/>
      <c r="COT57" s="16"/>
      <c r="COU57" s="16"/>
      <c r="COV57" s="16"/>
      <c r="COW57" s="16"/>
      <c r="COX57" s="16"/>
      <c r="COY57" s="16"/>
      <c r="COZ57" s="16"/>
      <c r="CPA57" s="16"/>
      <c r="CPB57" s="16"/>
      <c r="CPC57" s="16"/>
      <c r="CPD57" s="16"/>
      <c r="CPE57" s="16"/>
      <c r="CPF57" s="16"/>
      <c r="CPG57" s="16"/>
      <c r="CPH57" s="16"/>
      <c r="CPI57" s="16"/>
      <c r="CPJ57" s="16"/>
      <c r="CPK57" s="16"/>
      <c r="CPL57" s="16"/>
      <c r="CPM57" s="16"/>
      <c r="CPN57" s="16"/>
      <c r="CPO57" s="16"/>
      <c r="CPP57" s="16"/>
      <c r="CPQ57" s="16"/>
      <c r="CPR57" s="16"/>
      <c r="CPS57" s="16"/>
      <c r="CPT57" s="16"/>
      <c r="CPU57" s="16"/>
      <c r="CPV57" s="16"/>
      <c r="CPW57" s="16"/>
      <c r="CPX57" s="16"/>
      <c r="CPY57" s="16"/>
      <c r="CPZ57" s="16"/>
      <c r="CQA57" s="16"/>
      <c r="CQB57" s="16"/>
      <c r="CQC57" s="16"/>
      <c r="CQD57" s="16"/>
      <c r="CQE57" s="16"/>
      <c r="CQF57" s="16"/>
      <c r="CQG57" s="16"/>
      <c r="CQH57" s="16"/>
      <c r="CQI57" s="16"/>
      <c r="CQJ57" s="16"/>
      <c r="CQK57" s="16"/>
      <c r="CQL57" s="16"/>
      <c r="CQM57" s="16"/>
      <c r="CQN57" s="16"/>
      <c r="CQO57" s="16"/>
      <c r="CQP57" s="16"/>
      <c r="CQQ57" s="16"/>
      <c r="CQR57" s="16"/>
      <c r="CQS57" s="16"/>
      <c r="CQT57" s="16"/>
      <c r="CQU57" s="16"/>
      <c r="CQV57" s="16"/>
      <c r="CQW57" s="16"/>
      <c r="CQX57" s="16"/>
      <c r="CQY57" s="16"/>
      <c r="CQZ57" s="16"/>
      <c r="CRA57" s="16"/>
      <c r="CRB57" s="16"/>
      <c r="CRC57" s="16"/>
      <c r="CRD57" s="16"/>
      <c r="CRE57" s="16"/>
      <c r="CRF57" s="16"/>
      <c r="CRG57" s="16"/>
      <c r="CRH57" s="16"/>
      <c r="CRI57" s="16"/>
      <c r="CRJ57" s="16"/>
      <c r="CRK57" s="16"/>
      <c r="CRL57" s="16"/>
      <c r="CRM57" s="16"/>
      <c r="CRN57" s="16"/>
      <c r="CRO57" s="16"/>
      <c r="CRP57" s="16"/>
      <c r="CRQ57" s="16"/>
      <c r="CRR57" s="16"/>
      <c r="CRS57" s="16"/>
      <c r="CRT57" s="16"/>
      <c r="CRU57" s="16"/>
      <c r="CRV57" s="16"/>
      <c r="CRW57" s="16"/>
      <c r="CRX57" s="16"/>
      <c r="CRY57" s="16"/>
      <c r="CRZ57" s="16"/>
      <c r="CSA57" s="16"/>
      <c r="CSB57" s="16"/>
      <c r="CSC57" s="16"/>
      <c r="CSD57" s="16"/>
      <c r="CSE57" s="16"/>
      <c r="CSF57" s="16"/>
      <c r="CSG57" s="16"/>
      <c r="CSH57" s="16"/>
      <c r="CSI57" s="16"/>
      <c r="CSJ57" s="16"/>
      <c r="CSK57" s="24"/>
      <c r="CSL57" s="16"/>
      <c r="CSM57" s="16"/>
      <c r="CSN57" s="16"/>
      <c r="CSO57" s="16"/>
      <c r="CSP57" s="16"/>
      <c r="CUG57" s="16"/>
      <c r="CUH57" s="16"/>
      <c r="CUI57" s="16"/>
      <c r="CUJ57" s="16"/>
      <c r="CUK57" s="16"/>
      <c r="CUL57" s="16"/>
      <c r="CUM57" s="16"/>
      <c r="CUN57" s="16"/>
      <c r="CUO57" s="16"/>
      <c r="CUP57" s="16"/>
      <c r="CUQ57" s="16"/>
      <c r="CUR57" s="16"/>
      <c r="CUS57" s="16"/>
      <c r="CUT57" s="16"/>
      <c r="CUU57" s="16"/>
      <c r="CUV57" s="16"/>
      <c r="CUW57" s="16"/>
      <c r="CUX57" s="16"/>
      <c r="CUY57" s="16"/>
      <c r="CUZ57" s="16"/>
      <c r="CVA57" s="16"/>
      <c r="CVB57" s="16"/>
      <c r="CVC57" s="16"/>
      <c r="CVD57" s="16"/>
      <c r="CVE57" s="16"/>
      <c r="CVF57" s="16"/>
      <c r="CVG57" s="16"/>
      <c r="CVH57" s="16"/>
      <c r="CVI57" s="16"/>
      <c r="CVJ57" s="16"/>
      <c r="CVK57" s="16"/>
      <c r="CVL57" s="16"/>
      <c r="CVM57" s="16"/>
      <c r="CVN57" s="16"/>
      <c r="CVO57" s="16"/>
      <c r="CVP57" s="16"/>
    </row>
    <row r="58" spans="1:2616" ht="13.8" x14ac:dyDescent="0.25">
      <c r="C58" s="57"/>
      <c r="E58" s="16"/>
      <c r="K58" s="59"/>
      <c r="L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/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/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/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/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/>
      <c r="LT58" s="16"/>
      <c r="LU58" s="16"/>
      <c r="LV58" s="16"/>
      <c r="LW58" s="16"/>
      <c r="LX58" s="16"/>
      <c r="LY58" s="16"/>
      <c r="LZ58" s="16"/>
      <c r="MA58" s="16"/>
      <c r="MB58" s="16"/>
      <c r="MC58" s="16"/>
      <c r="MD58" s="16"/>
      <c r="ME58" s="16"/>
      <c r="MF58" s="16"/>
      <c r="MG58" s="16"/>
      <c r="MH58" s="16"/>
      <c r="MI58" s="16"/>
      <c r="MJ58" s="16"/>
      <c r="MK58" s="16"/>
      <c r="ML58" s="16"/>
      <c r="MM58" s="16"/>
      <c r="MN58" s="16"/>
      <c r="MO58" s="16"/>
      <c r="MP58" s="16"/>
      <c r="MQ58" s="16"/>
      <c r="MR58" s="16"/>
      <c r="MS58" s="16"/>
      <c r="MT58" s="16"/>
      <c r="MU58" s="16"/>
      <c r="MV58" s="16"/>
      <c r="MW58" s="16"/>
      <c r="MX58" s="16"/>
      <c r="MY58" s="16"/>
      <c r="MZ58" s="16"/>
      <c r="NA58" s="16"/>
      <c r="NB58" s="16"/>
      <c r="NC58" s="16"/>
      <c r="ND58" s="16"/>
      <c r="NE58" s="16"/>
      <c r="NF58" s="16"/>
      <c r="NG58" s="16"/>
      <c r="NH58" s="16"/>
      <c r="NI58" s="16"/>
      <c r="NJ58" s="16"/>
      <c r="NK58" s="16"/>
      <c r="NL58" s="16"/>
      <c r="NM58" s="16"/>
      <c r="NN58" s="16"/>
      <c r="NO58" s="16"/>
      <c r="NP58" s="16"/>
      <c r="NQ58" s="16"/>
      <c r="NR58" s="16"/>
      <c r="NS58" s="16"/>
      <c r="NT58" s="16"/>
      <c r="NU58" s="16"/>
      <c r="NV58" s="16"/>
      <c r="NW58" s="16"/>
      <c r="NX58" s="16"/>
      <c r="NY58" s="16"/>
      <c r="NZ58" s="16"/>
      <c r="OA58" s="16"/>
      <c r="OB58" s="16"/>
      <c r="OC58" s="16"/>
      <c r="OD58" s="16"/>
      <c r="OE58" s="16"/>
      <c r="OF58" s="16"/>
      <c r="OG58" s="16"/>
      <c r="OH58" s="16"/>
      <c r="OI58" s="16"/>
      <c r="OJ58" s="16"/>
      <c r="OK58" s="16"/>
      <c r="OL58" s="16"/>
      <c r="OM58" s="16"/>
      <c r="ON58" s="16"/>
      <c r="OO58" s="16"/>
      <c r="OP58" s="16"/>
      <c r="OQ58" s="16"/>
      <c r="OR58" s="16"/>
      <c r="OS58" s="16"/>
      <c r="OT58" s="16"/>
      <c r="OU58" s="16"/>
      <c r="OV58" s="16"/>
      <c r="OW58" s="16"/>
      <c r="OX58" s="16"/>
      <c r="OY58" s="16"/>
      <c r="OZ58" s="16"/>
      <c r="PA58" s="16"/>
      <c r="PB58" s="16"/>
      <c r="PC58" s="16"/>
      <c r="PD58" s="16"/>
      <c r="PE58" s="16"/>
      <c r="PF58" s="16"/>
      <c r="PG58" s="16"/>
      <c r="PH58" s="16"/>
      <c r="PI58" s="16"/>
      <c r="PJ58" s="16"/>
      <c r="PK58" s="16"/>
      <c r="PL58" s="16"/>
      <c r="PM58" s="16"/>
      <c r="PN58" s="16"/>
      <c r="PO58" s="16"/>
      <c r="PP58" s="16"/>
      <c r="PQ58" s="16"/>
      <c r="PR58" s="16"/>
      <c r="PS58" s="16"/>
      <c r="PT58" s="16"/>
      <c r="PU58" s="16"/>
      <c r="PV58" s="16"/>
      <c r="PW58" s="16"/>
      <c r="PX58" s="16"/>
      <c r="PY58" s="16"/>
      <c r="PZ58" s="16"/>
      <c r="QA58" s="16"/>
      <c r="QB58" s="16"/>
      <c r="QC58" s="16"/>
      <c r="QD58" s="16"/>
      <c r="QE58" s="16"/>
      <c r="QF58" s="16"/>
      <c r="QG58" s="16"/>
      <c r="QH58" s="16"/>
      <c r="QI58" s="16"/>
      <c r="QJ58" s="16"/>
      <c r="QK58" s="16"/>
      <c r="QL58" s="16"/>
      <c r="QM58" s="16"/>
      <c r="QN58" s="16"/>
      <c r="QO58" s="16"/>
      <c r="QP58" s="16"/>
      <c r="QQ58" s="16"/>
      <c r="QR58" s="16"/>
      <c r="QS58" s="16"/>
      <c r="QT58" s="16"/>
      <c r="QU58" s="16"/>
      <c r="QV58" s="16"/>
      <c r="QW58" s="16"/>
      <c r="QX58" s="16"/>
      <c r="QY58" s="16"/>
      <c r="QZ58" s="16"/>
      <c r="RA58" s="16"/>
      <c r="RB58" s="16"/>
      <c r="RC58" s="16"/>
      <c r="RD58" s="16"/>
      <c r="RE58" s="16"/>
      <c r="RF58" s="16"/>
      <c r="RG58" s="16"/>
      <c r="RH58" s="16"/>
      <c r="RI58" s="16"/>
      <c r="RJ58" s="16"/>
      <c r="RK58" s="16"/>
      <c r="RL58" s="16"/>
      <c r="RM58" s="16"/>
      <c r="RN58" s="16"/>
      <c r="RO58" s="16"/>
      <c r="RP58" s="16"/>
      <c r="RQ58" s="16"/>
      <c r="RR58" s="16"/>
      <c r="RS58" s="16"/>
      <c r="RT58" s="16"/>
      <c r="RU58" s="16"/>
      <c r="RV58" s="16"/>
      <c r="RW58" s="16"/>
      <c r="RX58" s="16"/>
      <c r="RY58" s="16"/>
      <c r="RZ58" s="16"/>
      <c r="SA58" s="16"/>
      <c r="SB58" s="16"/>
      <c r="SC58" s="16"/>
      <c r="SD58" s="16"/>
      <c r="SE58" s="16"/>
      <c r="SF58" s="16"/>
      <c r="SG58" s="16"/>
      <c r="SH58" s="16"/>
      <c r="SI58" s="16"/>
      <c r="SJ58" s="16"/>
      <c r="SK58" s="16"/>
      <c r="SL58" s="16"/>
      <c r="SM58" s="16"/>
      <c r="SN58" s="16"/>
      <c r="SO58" s="16"/>
      <c r="SP58" s="16"/>
      <c r="SQ58" s="16"/>
      <c r="SR58" s="16"/>
      <c r="SS58" s="16"/>
      <c r="ST58" s="16"/>
      <c r="SU58" s="16"/>
      <c r="SV58" s="16"/>
      <c r="SW58" s="16"/>
      <c r="SX58" s="16"/>
      <c r="SY58" s="16"/>
      <c r="SZ58" s="16"/>
      <c r="TA58" s="16"/>
      <c r="TB58" s="16"/>
      <c r="TC58" s="16"/>
      <c r="TD58" s="16"/>
      <c r="TE58" s="16"/>
      <c r="TF58" s="16"/>
      <c r="TG58" s="16"/>
      <c r="TH58" s="16"/>
      <c r="TI58" s="16"/>
      <c r="TJ58" s="16"/>
      <c r="TK58" s="16"/>
      <c r="TL58" s="16"/>
      <c r="TM58" s="16"/>
      <c r="TN58" s="16"/>
      <c r="TO58" s="16"/>
      <c r="TP58" s="16"/>
      <c r="TQ58" s="16"/>
      <c r="TR58" s="16"/>
      <c r="TS58" s="16"/>
      <c r="TT58" s="16"/>
      <c r="TU58" s="16"/>
      <c r="TV58" s="16"/>
      <c r="TW58" s="16"/>
      <c r="TX58" s="16"/>
      <c r="TY58" s="16"/>
      <c r="TZ58" s="16"/>
      <c r="UA58" s="16"/>
      <c r="UB58" s="16"/>
      <c r="UC58" s="16"/>
      <c r="UD58" s="16"/>
      <c r="UE58" s="16"/>
      <c r="UF58" s="16"/>
      <c r="UG58" s="16"/>
      <c r="UH58" s="16"/>
      <c r="UI58" s="16"/>
      <c r="UJ58" s="16"/>
      <c r="UK58" s="16"/>
      <c r="UL58" s="16"/>
      <c r="UM58" s="16"/>
      <c r="UN58" s="16"/>
      <c r="UO58" s="16"/>
      <c r="UP58" s="16"/>
      <c r="UQ58" s="16"/>
      <c r="UR58" s="16"/>
      <c r="US58" s="16"/>
      <c r="UT58" s="16"/>
      <c r="UU58" s="16"/>
      <c r="UV58" s="16"/>
      <c r="UW58" s="16"/>
      <c r="UX58" s="16"/>
      <c r="UY58" s="16"/>
      <c r="UZ58" s="16"/>
      <c r="VA58" s="16"/>
      <c r="VB58" s="16"/>
      <c r="VC58" s="16"/>
      <c r="VD58" s="16"/>
      <c r="VE58" s="16"/>
      <c r="VF58" s="16"/>
      <c r="VG58" s="16"/>
      <c r="VH58" s="16"/>
      <c r="VI58" s="16"/>
      <c r="VJ58" s="16"/>
      <c r="VK58" s="16"/>
      <c r="VL58" s="16"/>
      <c r="VM58" s="16"/>
      <c r="VN58" s="16"/>
      <c r="VO58" s="16"/>
      <c r="VP58" s="16"/>
      <c r="VQ58" s="16"/>
      <c r="VR58" s="16"/>
      <c r="VS58" s="16"/>
      <c r="VT58" s="16"/>
      <c r="VU58" s="16"/>
      <c r="VV58" s="16"/>
      <c r="VW58" s="16"/>
      <c r="VX58" s="16"/>
      <c r="VY58" s="16"/>
      <c r="VZ58" s="16"/>
      <c r="WA58" s="16"/>
      <c r="WB58" s="16"/>
      <c r="WC58" s="16"/>
      <c r="WD58" s="16"/>
      <c r="WE58" s="16"/>
      <c r="WF58" s="16"/>
      <c r="WG58" s="16"/>
      <c r="WH58" s="16"/>
      <c r="WI58" s="16"/>
      <c r="WJ58" s="16"/>
      <c r="WK58" s="16"/>
      <c r="WL58" s="16"/>
      <c r="WM58" s="16"/>
      <c r="WN58" s="16"/>
      <c r="WO58" s="16"/>
      <c r="WP58" s="16"/>
      <c r="WQ58" s="16"/>
      <c r="WR58" s="16"/>
      <c r="WS58" s="16"/>
      <c r="WT58" s="16"/>
      <c r="WU58" s="16"/>
      <c r="WV58" s="16"/>
      <c r="WW58" s="16"/>
      <c r="WX58" s="16"/>
      <c r="WY58" s="16"/>
      <c r="WZ58" s="16"/>
      <c r="XA58" s="16"/>
      <c r="XB58" s="16"/>
      <c r="XC58" s="16"/>
      <c r="XD58" s="16"/>
      <c r="XE58" s="16"/>
      <c r="XF58" s="16"/>
      <c r="XG58" s="16"/>
      <c r="XH58" s="16"/>
      <c r="XI58" s="16"/>
      <c r="XJ58" s="16"/>
      <c r="XK58" s="16"/>
      <c r="XL58" s="16"/>
      <c r="XM58" s="16"/>
      <c r="XN58" s="16"/>
      <c r="XO58" s="16"/>
      <c r="XP58" s="16"/>
      <c r="XQ58" s="16"/>
      <c r="XR58" s="16"/>
      <c r="XS58" s="16"/>
      <c r="XT58" s="16"/>
      <c r="XU58" s="16"/>
      <c r="XV58" s="16"/>
      <c r="XW58" s="16"/>
      <c r="XX58" s="16"/>
      <c r="XY58" s="16"/>
      <c r="XZ58" s="16"/>
      <c r="YA58" s="16"/>
      <c r="YB58" s="16"/>
      <c r="YC58" s="16"/>
      <c r="YD58" s="16"/>
      <c r="YE58" s="16"/>
      <c r="YF58" s="16"/>
      <c r="YG58" s="16"/>
      <c r="YH58" s="16"/>
      <c r="YI58" s="16"/>
      <c r="YJ58" s="16"/>
      <c r="YK58" s="16"/>
      <c r="YL58" s="16"/>
      <c r="YM58" s="16"/>
      <c r="YN58" s="16"/>
      <c r="YO58" s="16"/>
      <c r="YP58" s="16"/>
      <c r="YQ58" s="16"/>
      <c r="YR58" s="16"/>
      <c r="YS58" s="16"/>
      <c r="YT58" s="16"/>
      <c r="YU58" s="16"/>
      <c r="YV58" s="16"/>
      <c r="YW58" s="16"/>
      <c r="YX58" s="16"/>
      <c r="YY58" s="16"/>
      <c r="YZ58" s="16"/>
      <c r="ZA58" s="16"/>
      <c r="ZB58" s="16"/>
      <c r="ZC58" s="16"/>
      <c r="ZD58" s="16"/>
      <c r="ZE58" s="16"/>
      <c r="ZF58" s="16"/>
      <c r="ZG58" s="16"/>
      <c r="ZH58" s="16"/>
      <c r="ZI58" s="16"/>
      <c r="ZJ58" s="16"/>
      <c r="ZK58" s="16"/>
      <c r="ZL58" s="16"/>
      <c r="ZM58" s="16"/>
      <c r="ZN58" s="16"/>
      <c r="ZO58" s="16"/>
      <c r="ZP58" s="16"/>
      <c r="ZQ58" s="16"/>
      <c r="ZR58" s="16"/>
      <c r="ZS58" s="16"/>
      <c r="ZT58" s="16"/>
      <c r="ZU58" s="16"/>
      <c r="ZV58" s="16"/>
      <c r="ZW58" s="16"/>
      <c r="ZX58" s="16"/>
      <c r="ZY58" s="16"/>
      <c r="ZZ58" s="16"/>
      <c r="AAA58" s="16"/>
      <c r="AAB58" s="16"/>
      <c r="AAC58" s="16"/>
      <c r="AAD58" s="16"/>
      <c r="AAE58" s="16"/>
      <c r="AAF58" s="16"/>
      <c r="AAG58" s="16"/>
      <c r="AAH58" s="16"/>
      <c r="AAI58" s="16"/>
      <c r="AAJ58" s="16"/>
      <c r="AAK58" s="16"/>
      <c r="AAL58" s="16"/>
      <c r="AAM58" s="16"/>
      <c r="AAN58" s="16"/>
      <c r="AAO58" s="16"/>
      <c r="AAP58" s="16"/>
      <c r="AAQ58" s="16"/>
      <c r="AAR58" s="16"/>
      <c r="AAS58" s="16"/>
      <c r="AAT58" s="16"/>
      <c r="AAU58" s="16"/>
      <c r="AAV58" s="16"/>
      <c r="AAW58" s="16"/>
      <c r="AAX58" s="16"/>
      <c r="AAY58" s="16"/>
      <c r="AAZ58" s="16"/>
      <c r="ABA58" s="16"/>
      <c r="ABB58" s="16"/>
      <c r="ABC58" s="16"/>
      <c r="ABD58" s="16"/>
      <c r="ABE58" s="16"/>
      <c r="ABF58" s="16"/>
      <c r="ABG58" s="16"/>
      <c r="ABH58" s="16"/>
      <c r="ABI58" s="16"/>
      <c r="ABJ58" s="16"/>
      <c r="ABK58" s="16"/>
      <c r="ABL58" s="16"/>
      <c r="ABM58" s="16"/>
      <c r="ABN58" s="16"/>
      <c r="ABO58" s="16"/>
      <c r="ABP58" s="16"/>
      <c r="ABQ58" s="16"/>
      <c r="ABR58" s="16"/>
      <c r="ABS58" s="16"/>
      <c r="ABT58" s="16"/>
      <c r="ABU58" s="16"/>
      <c r="ABV58" s="16"/>
      <c r="ABW58" s="16"/>
      <c r="ABX58" s="16"/>
      <c r="ABY58" s="16"/>
      <c r="ABZ58" s="16"/>
      <c r="ACA58" s="16"/>
      <c r="ACB58" s="16"/>
      <c r="ACC58" s="16"/>
      <c r="ACD58" s="16"/>
      <c r="ACE58" s="16"/>
      <c r="ACF58" s="16"/>
      <c r="ACG58" s="16"/>
      <c r="ACH58" s="16"/>
      <c r="ACI58" s="16"/>
      <c r="ACJ58" s="16"/>
      <c r="ACK58" s="16"/>
      <c r="ACL58" s="16"/>
      <c r="ACM58" s="16"/>
      <c r="ACN58" s="16"/>
      <c r="ACO58" s="16"/>
      <c r="ACP58" s="16"/>
      <c r="ACQ58" s="16"/>
      <c r="ACR58" s="16"/>
      <c r="ACS58" s="16"/>
      <c r="ACT58" s="16"/>
      <c r="ACU58" s="16"/>
      <c r="ACV58" s="16"/>
      <c r="ACW58" s="16"/>
      <c r="ACX58" s="16"/>
      <c r="ACY58" s="16"/>
      <c r="ACZ58" s="16"/>
      <c r="ADA58" s="16"/>
      <c r="ADB58" s="16"/>
      <c r="ADC58" s="16"/>
      <c r="ADD58" s="16"/>
      <c r="ADE58" s="16"/>
      <c r="ADF58" s="16"/>
      <c r="ADG58" s="16"/>
      <c r="ADH58" s="16"/>
      <c r="ADI58" s="16"/>
      <c r="ADJ58" s="16"/>
      <c r="ADK58" s="16"/>
      <c r="ADL58" s="16"/>
      <c r="ADM58" s="16"/>
      <c r="ADN58" s="16"/>
      <c r="ADO58" s="16"/>
      <c r="ADP58" s="16"/>
      <c r="ADQ58" s="16"/>
      <c r="ADR58" s="16"/>
      <c r="ADS58" s="16"/>
      <c r="ADT58" s="16"/>
      <c r="ADU58" s="16"/>
      <c r="ADV58" s="16"/>
      <c r="ADW58" s="16"/>
      <c r="ADX58" s="16"/>
      <c r="ADY58" s="16"/>
      <c r="ADZ58" s="16"/>
      <c r="AEA58" s="16"/>
      <c r="AEB58" s="16"/>
      <c r="AEC58" s="16"/>
      <c r="AED58" s="16"/>
      <c r="AEE58" s="16"/>
      <c r="AEF58" s="16"/>
      <c r="AEG58" s="16"/>
      <c r="AEH58" s="16"/>
      <c r="AEI58" s="16"/>
      <c r="AEJ58" s="16"/>
      <c r="AEK58" s="16"/>
      <c r="AEL58" s="16"/>
      <c r="AEM58" s="16"/>
      <c r="AEN58" s="16"/>
      <c r="AEO58" s="16"/>
      <c r="AEP58" s="16"/>
      <c r="AEQ58" s="16"/>
      <c r="AER58" s="16"/>
      <c r="AES58" s="16"/>
      <c r="AET58" s="16"/>
      <c r="AEU58" s="16"/>
      <c r="AEV58" s="16"/>
      <c r="AEW58" s="16"/>
      <c r="AEX58" s="16"/>
      <c r="AEY58" s="16"/>
      <c r="AEZ58" s="16"/>
      <c r="AFA58" s="16"/>
      <c r="AFB58" s="16"/>
      <c r="AFC58" s="16"/>
      <c r="AFD58" s="16"/>
      <c r="AFE58" s="16"/>
      <c r="AFF58" s="16"/>
      <c r="AFG58" s="16"/>
      <c r="AFH58" s="16"/>
      <c r="AFI58" s="16"/>
      <c r="AFJ58" s="16"/>
      <c r="AFK58" s="16"/>
      <c r="AFL58" s="16"/>
      <c r="AFM58" s="16"/>
      <c r="AFN58" s="16"/>
      <c r="AFO58" s="16"/>
      <c r="AFP58" s="16"/>
      <c r="AFQ58" s="16"/>
      <c r="AFR58" s="16"/>
      <c r="AFS58" s="16"/>
      <c r="AFT58" s="16"/>
      <c r="AFU58" s="16"/>
      <c r="AFV58" s="16"/>
      <c r="AFW58" s="16"/>
      <c r="AFX58" s="16"/>
      <c r="AFY58" s="16"/>
      <c r="AFZ58" s="16"/>
      <c r="AGA58" s="16"/>
      <c r="AGB58" s="16"/>
      <c r="AGC58" s="16"/>
      <c r="AGD58" s="16"/>
      <c r="AGE58" s="16"/>
      <c r="AGF58" s="16"/>
      <c r="AGG58" s="16"/>
      <c r="AGH58" s="16"/>
      <c r="AGI58" s="16"/>
      <c r="AGJ58" s="16"/>
      <c r="AGK58" s="16"/>
      <c r="AGL58" s="16"/>
      <c r="AGM58" s="16"/>
      <c r="AGN58" s="16"/>
      <c r="AGO58" s="16"/>
      <c r="AGP58" s="16"/>
      <c r="AGQ58" s="16"/>
      <c r="AGR58" s="16"/>
      <c r="AGS58" s="16"/>
      <c r="AGT58" s="16"/>
      <c r="AGU58" s="16"/>
      <c r="AGV58" s="16"/>
      <c r="AGW58" s="16"/>
      <c r="AGX58" s="16"/>
      <c r="AGY58" s="16"/>
      <c r="AGZ58" s="16"/>
      <c r="AHA58" s="16"/>
      <c r="AHB58" s="16"/>
      <c r="AHC58" s="16"/>
      <c r="AHD58" s="16"/>
      <c r="AHE58" s="16"/>
      <c r="AHF58" s="16"/>
      <c r="AHG58" s="16"/>
      <c r="AHH58" s="16"/>
      <c r="AHI58" s="16"/>
      <c r="AHJ58" s="16"/>
      <c r="AHK58" s="16"/>
      <c r="AHL58" s="16"/>
      <c r="AHM58" s="16"/>
      <c r="AHN58" s="16"/>
      <c r="AHO58" s="16"/>
      <c r="AHP58" s="16"/>
      <c r="AHQ58" s="16"/>
      <c r="AHR58" s="16"/>
      <c r="AHS58" s="16"/>
      <c r="AHT58" s="16"/>
      <c r="AHU58" s="16"/>
      <c r="AHV58" s="16"/>
      <c r="AHW58" s="16"/>
      <c r="AHX58" s="16"/>
      <c r="AHY58" s="16"/>
      <c r="AHZ58" s="16"/>
      <c r="AIA58" s="16"/>
      <c r="AIB58" s="16"/>
      <c r="AIC58" s="16"/>
      <c r="AID58" s="16"/>
      <c r="AIE58" s="16"/>
      <c r="AIF58" s="16"/>
      <c r="AIG58" s="16"/>
      <c r="AIH58" s="16"/>
      <c r="AII58" s="16"/>
      <c r="AIJ58" s="16"/>
      <c r="AIK58" s="16"/>
      <c r="AIL58" s="16"/>
      <c r="AIM58" s="16"/>
      <c r="AIN58" s="16"/>
      <c r="AIO58" s="16"/>
      <c r="AIP58" s="16"/>
      <c r="AIQ58" s="16"/>
      <c r="AIR58" s="16"/>
      <c r="AIS58" s="16"/>
      <c r="AIT58" s="16"/>
      <c r="AIU58" s="16"/>
      <c r="AIV58" s="16"/>
      <c r="AIW58" s="16"/>
      <c r="AIX58" s="16"/>
      <c r="AIY58" s="16"/>
      <c r="AIZ58" s="16"/>
      <c r="AJA58" s="16"/>
      <c r="AJB58" s="16"/>
      <c r="AJC58" s="16"/>
      <c r="AJD58" s="16"/>
      <c r="AJE58" s="16"/>
      <c r="AJF58" s="16"/>
      <c r="AJG58" s="16"/>
      <c r="AJH58" s="16"/>
      <c r="AJI58" s="16"/>
      <c r="AJJ58" s="16"/>
      <c r="AJK58" s="16"/>
      <c r="AJL58" s="16"/>
      <c r="AJM58" s="16"/>
      <c r="AJN58" s="16"/>
      <c r="AJO58" s="16"/>
      <c r="AJP58" s="16"/>
      <c r="AJQ58" s="16"/>
      <c r="AJR58" s="16"/>
      <c r="AJS58" s="16"/>
      <c r="AJT58" s="16"/>
      <c r="AJU58" s="16"/>
      <c r="AJV58" s="16"/>
      <c r="AJW58" s="16"/>
      <c r="AJX58" s="16"/>
      <c r="AJY58" s="16"/>
      <c r="AJZ58" s="16"/>
      <c r="AKA58" s="16"/>
      <c r="AKB58" s="16"/>
      <c r="AKC58" s="16"/>
      <c r="AKD58" s="16"/>
      <c r="AKE58" s="16"/>
      <c r="AKF58" s="16"/>
      <c r="AKG58" s="16"/>
      <c r="AKH58" s="16"/>
      <c r="AKI58" s="16"/>
      <c r="AKJ58" s="16"/>
      <c r="AKK58" s="16"/>
      <c r="AKL58" s="16"/>
      <c r="AKM58" s="16"/>
      <c r="AKN58" s="16"/>
      <c r="AKO58" s="16"/>
      <c r="AKP58" s="16"/>
      <c r="AKQ58" s="16"/>
      <c r="AKR58" s="16"/>
      <c r="AKS58" s="16"/>
      <c r="AKT58" s="16"/>
      <c r="AKU58" s="16"/>
      <c r="AKV58" s="16"/>
      <c r="AKW58" s="16"/>
      <c r="AKX58" s="16"/>
      <c r="AKY58" s="16"/>
      <c r="AKZ58" s="16"/>
      <c r="ALA58" s="16"/>
      <c r="ALB58" s="16"/>
      <c r="ALC58" s="16"/>
      <c r="ALD58" s="16"/>
      <c r="ALE58" s="16"/>
      <c r="ALF58" s="16"/>
      <c r="ALG58" s="16"/>
      <c r="ALH58" s="16"/>
      <c r="ALI58" s="16"/>
      <c r="ALJ58" s="16"/>
      <c r="ALK58" s="16"/>
      <c r="ALL58" s="16"/>
      <c r="ALM58" s="16"/>
      <c r="ALN58" s="16"/>
      <c r="ALO58" s="16"/>
      <c r="ALP58" s="16"/>
      <c r="ALQ58" s="16"/>
      <c r="ALR58" s="16"/>
      <c r="ALS58" s="16"/>
      <c r="ALT58" s="16"/>
      <c r="ALU58" s="16"/>
      <c r="ALV58" s="16"/>
      <c r="ALW58" s="16"/>
      <c r="ALX58" s="16"/>
      <c r="ALY58" s="16"/>
      <c r="ALZ58" s="16"/>
      <c r="AMA58" s="16"/>
      <c r="AMB58" s="16"/>
      <c r="AMC58" s="16"/>
      <c r="AMD58" s="16"/>
      <c r="AME58" s="16"/>
      <c r="AMF58" s="16"/>
      <c r="AMG58" s="16"/>
      <c r="AMH58" s="16"/>
      <c r="AMI58" s="16"/>
      <c r="AMJ58" s="16"/>
      <c r="AMK58" s="16"/>
      <c r="AML58" s="16"/>
      <c r="AMM58" s="16"/>
      <c r="AMN58" s="16"/>
      <c r="AMO58" s="16"/>
      <c r="AMP58" s="16"/>
      <c r="AMQ58" s="16"/>
      <c r="AMR58" s="16"/>
      <c r="AMS58" s="16"/>
      <c r="AMT58" s="16"/>
      <c r="AMU58" s="16"/>
      <c r="AMV58" s="16"/>
      <c r="AMW58" s="16"/>
      <c r="AMX58" s="16"/>
      <c r="AMY58" s="16"/>
      <c r="AMZ58" s="16"/>
      <c r="ANA58" s="16"/>
      <c r="ANB58" s="16"/>
      <c r="ANC58" s="16"/>
      <c r="AND58" s="16"/>
      <c r="ANE58" s="16"/>
      <c r="ANF58" s="16"/>
      <c r="ANG58" s="16"/>
      <c r="ANH58" s="16"/>
      <c r="ANI58" s="16"/>
      <c r="ANJ58" s="16"/>
      <c r="ANK58" s="16"/>
      <c r="ANL58" s="16"/>
      <c r="ANM58" s="16"/>
      <c r="ANN58" s="16"/>
      <c r="ANO58" s="16"/>
      <c r="ANP58" s="16"/>
      <c r="ANQ58" s="16"/>
      <c r="ANR58" s="16"/>
      <c r="ANS58" s="16"/>
      <c r="ANT58" s="16"/>
      <c r="ANU58" s="16"/>
      <c r="ANV58" s="16"/>
      <c r="ANW58" s="16"/>
      <c r="ANX58" s="16"/>
      <c r="ANY58" s="16"/>
      <c r="ANZ58" s="16"/>
      <c r="AOA58" s="16"/>
      <c r="AOB58" s="16"/>
      <c r="AOC58" s="16"/>
      <c r="AOD58" s="16"/>
      <c r="AOE58" s="16"/>
      <c r="AOF58" s="16"/>
      <c r="AOG58" s="16"/>
      <c r="AOH58" s="16"/>
      <c r="AOI58" s="16"/>
      <c r="AOJ58" s="16"/>
      <c r="AOK58" s="16"/>
      <c r="AOL58" s="16"/>
      <c r="AOM58" s="16"/>
      <c r="AON58" s="16"/>
      <c r="AOO58" s="16"/>
      <c r="AOP58" s="16"/>
      <c r="AOQ58" s="16"/>
      <c r="AOR58" s="16"/>
      <c r="AOS58" s="16"/>
      <c r="AOT58" s="16"/>
      <c r="AOU58" s="16"/>
      <c r="AOV58" s="16"/>
      <c r="AOW58" s="16"/>
      <c r="AOX58" s="16"/>
      <c r="AOY58" s="16"/>
      <c r="AOZ58" s="16"/>
      <c r="APA58" s="16"/>
      <c r="APB58" s="16"/>
      <c r="APC58" s="16"/>
      <c r="APD58" s="16"/>
      <c r="APE58" s="16"/>
      <c r="APF58" s="16"/>
      <c r="APG58" s="16"/>
      <c r="APH58" s="16"/>
      <c r="API58" s="16"/>
      <c r="APJ58" s="16"/>
      <c r="APK58" s="16"/>
      <c r="APL58" s="16"/>
      <c r="APM58" s="16"/>
      <c r="APN58" s="16"/>
      <c r="APO58" s="16"/>
      <c r="APP58" s="16"/>
      <c r="APQ58" s="16"/>
      <c r="APR58" s="16"/>
      <c r="APS58" s="16"/>
      <c r="APT58" s="16"/>
      <c r="APU58" s="16"/>
      <c r="APV58" s="16"/>
      <c r="APW58" s="16"/>
      <c r="APX58" s="16"/>
      <c r="APY58" s="16"/>
      <c r="APZ58" s="16"/>
      <c r="AQA58" s="16"/>
      <c r="AQB58" s="16"/>
      <c r="AQC58" s="16"/>
      <c r="AQD58" s="16"/>
      <c r="AQE58" s="16"/>
      <c r="AQF58" s="16"/>
      <c r="AQG58" s="16"/>
      <c r="AQH58" s="16"/>
      <c r="AQI58" s="16"/>
      <c r="AQJ58" s="16"/>
      <c r="AQK58" s="16"/>
      <c r="AQL58" s="16"/>
      <c r="AQM58" s="16"/>
      <c r="AQN58" s="16"/>
      <c r="AQO58" s="16"/>
      <c r="AQP58" s="16"/>
      <c r="AQQ58" s="16"/>
      <c r="AQR58" s="16"/>
      <c r="AQS58" s="16"/>
      <c r="AQT58" s="16"/>
      <c r="AQU58" s="16"/>
      <c r="AQV58" s="16"/>
      <c r="AQW58" s="16"/>
      <c r="AQX58" s="16"/>
      <c r="AQY58" s="16"/>
      <c r="AQZ58" s="16"/>
      <c r="ARA58" s="16"/>
      <c r="ARB58" s="16"/>
      <c r="ARC58" s="16"/>
      <c r="ARD58" s="16"/>
      <c r="ARE58" s="16"/>
      <c r="ARF58" s="16"/>
      <c r="ARG58" s="16"/>
      <c r="ARH58" s="16"/>
      <c r="ARI58" s="16"/>
      <c r="ARJ58" s="16"/>
      <c r="ARK58" s="16"/>
      <c r="ARL58" s="16"/>
      <c r="ARM58" s="16"/>
      <c r="ARN58" s="16"/>
      <c r="ARO58" s="16"/>
      <c r="ARP58" s="16"/>
      <c r="ARQ58" s="16"/>
      <c r="ARR58" s="16"/>
      <c r="ARS58" s="16"/>
      <c r="ART58" s="16"/>
      <c r="ARU58" s="16"/>
      <c r="ARV58" s="16"/>
      <c r="ARW58" s="16"/>
      <c r="ARX58" s="16"/>
      <c r="ARY58" s="16"/>
      <c r="ARZ58" s="16"/>
      <c r="ASA58" s="16"/>
      <c r="ASB58" s="16"/>
      <c r="ASC58" s="16"/>
      <c r="ASD58" s="16"/>
      <c r="ASE58" s="16"/>
      <c r="ASF58" s="16"/>
      <c r="ASG58" s="16"/>
      <c r="ASH58" s="16"/>
      <c r="ASI58" s="16"/>
      <c r="ASJ58" s="16"/>
      <c r="ASK58" s="16"/>
      <c r="ASL58" s="16"/>
      <c r="ASM58" s="16"/>
      <c r="ASN58" s="16"/>
      <c r="ASO58" s="16"/>
      <c r="ASP58" s="16"/>
      <c r="ASQ58" s="16"/>
      <c r="ASR58" s="16"/>
      <c r="ASS58" s="16"/>
      <c r="AST58" s="16"/>
      <c r="ASU58" s="16"/>
      <c r="ASV58" s="16"/>
      <c r="ASW58" s="16"/>
      <c r="ASX58" s="16"/>
      <c r="ASY58" s="16"/>
      <c r="ASZ58" s="16"/>
      <c r="ATA58" s="16"/>
      <c r="ATB58" s="16"/>
      <c r="ATC58" s="16"/>
      <c r="ATD58" s="16"/>
      <c r="ATE58" s="16"/>
      <c r="ATF58" s="16"/>
      <c r="ATG58" s="16"/>
      <c r="ATH58" s="16"/>
      <c r="ATI58" s="16"/>
      <c r="ATJ58" s="16"/>
      <c r="ATK58" s="16"/>
      <c r="ATL58" s="16"/>
      <c r="ATM58" s="16"/>
      <c r="ATN58" s="16"/>
      <c r="ATO58" s="16"/>
      <c r="ATP58" s="16"/>
      <c r="ATQ58" s="16"/>
      <c r="ATR58" s="16"/>
      <c r="ATS58" s="16"/>
      <c r="ATT58" s="16"/>
      <c r="ATU58" s="16"/>
      <c r="ATV58" s="16"/>
      <c r="ATW58" s="16"/>
      <c r="ATX58" s="16"/>
      <c r="ATY58" s="16"/>
      <c r="ATZ58" s="16"/>
      <c r="AUA58" s="16"/>
      <c r="AUB58" s="16"/>
      <c r="AUC58" s="16"/>
      <c r="AUD58" s="16"/>
      <c r="AUE58" s="16"/>
      <c r="AUF58" s="16"/>
      <c r="AUG58" s="16"/>
      <c r="AUH58" s="16"/>
      <c r="AUI58" s="16"/>
      <c r="AUJ58" s="16"/>
      <c r="AUK58" s="16"/>
      <c r="AUL58" s="16"/>
      <c r="AUM58" s="16"/>
      <c r="AUN58" s="16"/>
      <c r="AUO58" s="16"/>
      <c r="AUP58" s="16"/>
      <c r="AUQ58" s="16"/>
      <c r="AUR58" s="16"/>
      <c r="AUS58" s="16"/>
      <c r="AUT58" s="16"/>
      <c r="AUU58" s="16"/>
      <c r="AUV58" s="16"/>
      <c r="AUW58" s="16"/>
      <c r="AUX58" s="16"/>
      <c r="AUY58" s="16"/>
      <c r="AUZ58" s="16"/>
      <c r="AVA58" s="16"/>
      <c r="AVB58" s="16"/>
      <c r="AVC58" s="16"/>
      <c r="AVD58" s="16"/>
      <c r="AVE58" s="16"/>
      <c r="AVF58" s="16"/>
      <c r="AVG58" s="16"/>
      <c r="AVH58" s="16"/>
      <c r="AVI58" s="16"/>
      <c r="AVJ58" s="16"/>
      <c r="AVK58" s="16"/>
      <c r="AVL58" s="16"/>
      <c r="AVM58" s="16"/>
      <c r="AVN58" s="16"/>
      <c r="AVO58" s="16"/>
      <c r="AVP58" s="16"/>
      <c r="AVQ58" s="16"/>
      <c r="AVR58" s="16"/>
      <c r="AVS58" s="16"/>
      <c r="AVT58" s="16"/>
      <c r="AVU58" s="16"/>
      <c r="AVV58" s="16"/>
      <c r="AVW58" s="16"/>
      <c r="AVX58" s="16"/>
      <c r="AVY58" s="16"/>
      <c r="AVZ58" s="16"/>
      <c r="AWA58" s="16"/>
      <c r="AWB58" s="16"/>
      <c r="AWC58" s="16"/>
      <c r="AWD58" s="16"/>
      <c r="AWE58" s="16"/>
      <c r="AWF58" s="16"/>
      <c r="AWG58" s="16"/>
      <c r="AWH58" s="16"/>
      <c r="AWI58" s="16"/>
      <c r="AWJ58" s="16"/>
      <c r="AWK58" s="16"/>
      <c r="AWL58" s="16"/>
      <c r="AWM58" s="16"/>
      <c r="AWN58" s="16"/>
      <c r="AWO58" s="16"/>
      <c r="AWP58" s="16"/>
      <c r="AWQ58" s="16"/>
      <c r="AWR58" s="16"/>
      <c r="AWS58" s="16"/>
      <c r="AWT58" s="16"/>
      <c r="AWU58" s="16"/>
      <c r="AWV58" s="16"/>
      <c r="AWW58" s="16"/>
      <c r="AWX58" s="16"/>
      <c r="AWY58" s="16"/>
      <c r="AWZ58" s="16"/>
      <c r="AXA58" s="16"/>
      <c r="AXB58" s="16"/>
      <c r="AXC58" s="16"/>
      <c r="AXD58" s="16"/>
      <c r="AXE58" s="16"/>
      <c r="AXF58" s="16"/>
      <c r="AXG58" s="16"/>
      <c r="AXH58" s="16"/>
      <c r="AXI58" s="16"/>
      <c r="AXJ58" s="16"/>
      <c r="AXK58" s="16"/>
      <c r="AXL58" s="16"/>
      <c r="AXM58" s="16"/>
      <c r="AXN58" s="16"/>
      <c r="AXO58" s="16"/>
      <c r="AXP58" s="16"/>
      <c r="AXQ58" s="16"/>
      <c r="AXR58" s="16"/>
      <c r="AXS58" s="16"/>
      <c r="AXT58" s="16"/>
      <c r="AXU58" s="16"/>
      <c r="AXV58" s="16"/>
      <c r="AXW58" s="16"/>
      <c r="AXX58" s="16"/>
      <c r="AXY58" s="16"/>
      <c r="AXZ58" s="16"/>
      <c r="AYA58" s="16"/>
      <c r="AYB58" s="16"/>
      <c r="AYC58" s="16"/>
      <c r="AYD58" s="16"/>
      <c r="AYE58" s="16"/>
      <c r="AYF58" s="16"/>
      <c r="AYG58" s="16"/>
      <c r="AYH58" s="16"/>
      <c r="AYI58" s="16"/>
      <c r="AYJ58" s="16"/>
      <c r="AYK58" s="16"/>
      <c r="AYL58" s="16"/>
      <c r="AYM58" s="16"/>
      <c r="AYN58" s="16"/>
      <c r="AYO58" s="16"/>
      <c r="AYP58" s="16"/>
      <c r="AYQ58" s="16"/>
      <c r="AYR58" s="16"/>
      <c r="AYS58" s="16"/>
      <c r="AYT58" s="16"/>
      <c r="AYU58" s="16"/>
      <c r="AYV58" s="16"/>
      <c r="AYW58" s="16"/>
      <c r="AYX58" s="16"/>
      <c r="AYY58" s="16"/>
      <c r="AYZ58" s="16"/>
      <c r="AZA58" s="16"/>
      <c r="AZB58" s="16"/>
      <c r="AZC58" s="16"/>
      <c r="AZD58" s="16"/>
      <c r="AZE58" s="16"/>
      <c r="AZF58" s="16"/>
      <c r="AZG58" s="16"/>
      <c r="AZH58" s="16"/>
      <c r="AZI58" s="16"/>
      <c r="AZJ58" s="16"/>
      <c r="AZK58" s="16"/>
      <c r="AZL58" s="16"/>
      <c r="AZM58" s="16"/>
      <c r="AZN58" s="16"/>
      <c r="AZO58" s="16"/>
      <c r="AZP58" s="16"/>
      <c r="AZQ58" s="16"/>
      <c r="AZR58" s="16"/>
      <c r="AZS58" s="16"/>
      <c r="AZT58" s="16"/>
      <c r="AZU58" s="16"/>
      <c r="AZV58" s="16"/>
      <c r="AZW58" s="16"/>
      <c r="AZX58" s="16"/>
      <c r="AZY58" s="16"/>
      <c r="AZZ58" s="16"/>
      <c r="BAA58" s="16"/>
      <c r="BAB58" s="16"/>
      <c r="BAC58" s="16"/>
      <c r="BAD58" s="16"/>
      <c r="BAE58" s="16"/>
      <c r="BAF58" s="16"/>
      <c r="BAG58" s="16"/>
      <c r="BAH58" s="16"/>
      <c r="BAI58" s="16"/>
      <c r="BAJ58" s="16"/>
      <c r="BAK58" s="16"/>
      <c r="BAL58" s="16"/>
      <c r="BAM58" s="16"/>
      <c r="BAN58" s="16"/>
      <c r="BAO58" s="16"/>
      <c r="BAP58" s="16"/>
      <c r="BAQ58" s="16"/>
      <c r="BAR58" s="16"/>
      <c r="BAS58" s="16"/>
      <c r="BAT58" s="16"/>
      <c r="BAU58" s="16"/>
      <c r="BAV58" s="16"/>
      <c r="BAW58" s="16"/>
      <c r="BAX58" s="16"/>
      <c r="BAY58" s="16"/>
      <c r="BAZ58" s="16"/>
      <c r="BBA58" s="16"/>
      <c r="BBB58" s="16"/>
      <c r="BBC58" s="16"/>
      <c r="BBD58" s="16"/>
      <c r="BBE58" s="16"/>
      <c r="BBF58" s="16"/>
      <c r="BBG58" s="16"/>
      <c r="BBH58" s="16"/>
      <c r="BBI58" s="16"/>
      <c r="BBJ58" s="16"/>
      <c r="BBK58" s="16"/>
      <c r="BBL58" s="16"/>
      <c r="BBM58" s="16"/>
      <c r="BBN58" s="16"/>
      <c r="BBO58" s="16"/>
      <c r="BBP58" s="16"/>
      <c r="BBQ58" s="16"/>
      <c r="BBR58" s="16"/>
      <c r="BBS58" s="16"/>
      <c r="BBT58" s="16"/>
      <c r="BBU58" s="16"/>
      <c r="BBV58" s="16"/>
      <c r="BBW58" s="16"/>
      <c r="BBX58" s="16"/>
      <c r="BBY58" s="16"/>
      <c r="BBZ58" s="16"/>
      <c r="BCA58" s="16"/>
      <c r="BCB58" s="16"/>
      <c r="BCC58" s="16"/>
      <c r="BCD58" s="16"/>
      <c r="BCE58" s="16"/>
      <c r="BCF58" s="16"/>
      <c r="BCG58" s="16"/>
      <c r="BCH58" s="16"/>
      <c r="BCI58" s="16"/>
      <c r="BCJ58" s="16"/>
      <c r="BCK58" s="16"/>
      <c r="BCL58" s="16"/>
      <c r="BCM58" s="16"/>
      <c r="BCN58" s="16"/>
      <c r="BCO58" s="16"/>
      <c r="BCP58" s="16"/>
      <c r="BCQ58" s="16"/>
      <c r="BCR58" s="16"/>
      <c r="BCS58" s="16"/>
      <c r="BCT58" s="16"/>
      <c r="BCU58" s="16"/>
      <c r="BCV58" s="16"/>
      <c r="BCW58" s="16"/>
      <c r="BCX58" s="16"/>
      <c r="BCY58" s="16"/>
      <c r="BCZ58" s="16"/>
      <c r="BDA58" s="16"/>
      <c r="BDB58" s="16"/>
      <c r="BDC58" s="16"/>
      <c r="BDD58" s="16"/>
      <c r="BDE58" s="16"/>
      <c r="BDF58" s="16"/>
      <c r="BDG58" s="16"/>
      <c r="BDH58" s="16"/>
      <c r="BDI58" s="16"/>
      <c r="BDJ58" s="16"/>
      <c r="BDK58" s="16"/>
      <c r="BDL58" s="16"/>
      <c r="BDM58" s="16"/>
      <c r="BDN58" s="16"/>
      <c r="BDO58" s="16"/>
      <c r="BDP58" s="16"/>
      <c r="BDQ58" s="16"/>
      <c r="BDR58" s="16"/>
      <c r="BDS58" s="16"/>
      <c r="BDT58" s="16"/>
      <c r="BDU58" s="16"/>
      <c r="BDV58" s="16"/>
      <c r="BDW58" s="16"/>
      <c r="BDX58" s="16"/>
      <c r="BDY58" s="16"/>
      <c r="BDZ58" s="16"/>
      <c r="BEA58" s="16"/>
      <c r="BEB58" s="16"/>
      <c r="BEC58" s="16"/>
      <c r="BED58" s="16"/>
      <c r="BEE58" s="16"/>
      <c r="BEF58" s="16"/>
      <c r="BEG58" s="16"/>
      <c r="BEH58" s="16"/>
      <c r="BEI58" s="16"/>
      <c r="BEJ58" s="16"/>
      <c r="BEK58" s="16"/>
      <c r="BEL58" s="16"/>
      <c r="BEM58" s="16"/>
      <c r="BEN58" s="16"/>
      <c r="BEO58" s="16"/>
      <c r="BEP58" s="16"/>
      <c r="BEQ58" s="16"/>
      <c r="BER58" s="16"/>
      <c r="BES58" s="16"/>
      <c r="BET58" s="16"/>
      <c r="BEU58" s="16"/>
      <c r="BEV58" s="16"/>
      <c r="BEW58" s="16"/>
      <c r="BEX58" s="16"/>
      <c r="BEY58" s="16"/>
      <c r="BEZ58" s="16"/>
      <c r="BFA58" s="16"/>
      <c r="BFB58" s="16"/>
      <c r="BFC58" s="16"/>
      <c r="BFD58" s="16"/>
      <c r="BFE58" s="16"/>
      <c r="BFF58" s="16"/>
      <c r="BFG58" s="16"/>
      <c r="BFH58" s="16"/>
      <c r="BFI58" s="16"/>
      <c r="BFJ58" s="16"/>
      <c r="BFK58" s="16"/>
      <c r="BFL58" s="16"/>
      <c r="BFM58" s="16"/>
      <c r="BFN58" s="16"/>
      <c r="BFO58" s="16"/>
      <c r="BFP58" s="16"/>
      <c r="BFQ58" s="16"/>
      <c r="BFR58" s="16"/>
      <c r="BFS58" s="16"/>
      <c r="BFT58" s="16"/>
      <c r="BFU58" s="16"/>
      <c r="BFV58" s="16"/>
      <c r="BFW58" s="16"/>
      <c r="BFX58" s="16"/>
      <c r="BFY58" s="16"/>
      <c r="BFZ58" s="16"/>
      <c r="BGA58" s="16"/>
      <c r="BGB58" s="16"/>
      <c r="BGC58" s="16"/>
      <c r="BGD58" s="16"/>
      <c r="BGE58" s="16"/>
      <c r="BGF58" s="16"/>
      <c r="BGG58" s="16"/>
      <c r="BGH58" s="16"/>
      <c r="BGI58" s="16"/>
      <c r="BGJ58" s="16"/>
      <c r="BGK58" s="16"/>
      <c r="BGL58" s="16"/>
      <c r="BGM58" s="16"/>
      <c r="BGN58" s="16"/>
      <c r="BGO58" s="16"/>
      <c r="BGP58" s="16"/>
      <c r="BGQ58" s="16"/>
      <c r="BGR58" s="16"/>
      <c r="BGS58" s="16"/>
      <c r="BGT58" s="16"/>
      <c r="BGU58" s="16"/>
      <c r="BGV58" s="16"/>
      <c r="BGW58" s="16"/>
      <c r="BGX58" s="16"/>
      <c r="BGY58" s="16"/>
      <c r="BGZ58" s="16"/>
      <c r="BHA58" s="16"/>
      <c r="BHB58" s="16"/>
      <c r="BHC58" s="16"/>
      <c r="BHD58" s="16"/>
      <c r="BHE58" s="16"/>
      <c r="BHF58" s="16"/>
      <c r="BHG58" s="16"/>
      <c r="BHH58" s="16"/>
      <c r="BHI58" s="16"/>
      <c r="BHJ58" s="16"/>
      <c r="BHK58" s="16"/>
      <c r="BHL58" s="16"/>
      <c r="BHM58" s="16"/>
      <c r="BHN58" s="16"/>
      <c r="BHO58" s="16"/>
      <c r="BHP58" s="16"/>
      <c r="BHQ58" s="16"/>
      <c r="BHR58" s="16"/>
      <c r="BHS58" s="16"/>
      <c r="BHT58" s="16"/>
      <c r="BHU58" s="16"/>
      <c r="BHV58" s="16"/>
      <c r="BHW58" s="16"/>
      <c r="BHX58" s="16"/>
      <c r="BHY58" s="16"/>
      <c r="BHZ58" s="16"/>
      <c r="BIA58" s="16"/>
      <c r="BIB58" s="16"/>
      <c r="BIC58" s="16"/>
      <c r="BID58" s="16"/>
      <c r="BIE58" s="16"/>
      <c r="BIF58" s="16"/>
      <c r="BIG58" s="16"/>
      <c r="BIH58" s="16"/>
      <c r="BII58" s="16"/>
      <c r="BIJ58" s="16"/>
      <c r="BIK58" s="16"/>
      <c r="BIL58" s="16"/>
      <c r="BIM58" s="16"/>
      <c r="BIN58" s="16"/>
      <c r="BIO58" s="16"/>
      <c r="BIP58" s="16"/>
      <c r="BIQ58" s="16"/>
      <c r="BIR58" s="16"/>
      <c r="BIS58" s="16"/>
      <c r="BIT58" s="16"/>
      <c r="BIU58" s="16"/>
      <c r="BIV58" s="16"/>
      <c r="BIW58" s="16"/>
      <c r="BIX58" s="16"/>
      <c r="BIY58" s="16"/>
      <c r="BIZ58" s="16"/>
      <c r="BJA58" s="16"/>
      <c r="BJB58" s="16"/>
      <c r="BJC58" s="16"/>
      <c r="BJD58" s="16"/>
      <c r="BJE58" s="16"/>
      <c r="BJF58" s="16"/>
      <c r="BJG58" s="16"/>
      <c r="BJH58" s="16"/>
      <c r="BJI58" s="16"/>
      <c r="BJJ58" s="16"/>
      <c r="BJK58" s="16"/>
      <c r="BJL58" s="16"/>
      <c r="BJM58" s="16"/>
      <c r="BJN58" s="16"/>
      <c r="BJO58" s="16"/>
      <c r="BJP58" s="16"/>
      <c r="BJQ58" s="16"/>
      <c r="BJR58" s="16"/>
      <c r="BJS58" s="16"/>
      <c r="BJT58" s="16"/>
      <c r="BJU58" s="16"/>
      <c r="BJV58" s="16"/>
      <c r="BJW58" s="16"/>
      <c r="BJX58" s="16"/>
      <c r="BJY58" s="16"/>
      <c r="BJZ58" s="16"/>
      <c r="BKA58" s="16"/>
      <c r="BKB58" s="16"/>
      <c r="BKC58" s="16"/>
      <c r="BKD58" s="16"/>
      <c r="BKE58" s="16"/>
      <c r="BKF58" s="16"/>
      <c r="BKG58" s="16"/>
      <c r="BKH58" s="16"/>
      <c r="BKI58" s="16"/>
      <c r="BKJ58" s="16"/>
      <c r="BKK58" s="16"/>
      <c r="BKL58" s="16"/>
      <c r="BKM58" s="16"/>
      <c r="BKN58" s="16"/>
      <c r="BKO58" s="16"/>
      <c r="BKP58" s="16"/>
      <c r="BKQ58" s="16"/>
      <c r="BKR58" s="16"/>
      <c r="BKS58" s="16"/>
      <c r="BKT58" s="16"/>
      <c r="BKU58" s="16"/>
      <c r="BKV58" s="16"/>
      <c r="BKW58" s="16"/>
      <c r="BKX58" s="16"/>
      <c r="BKY58" s="16"/>
      <c r="BKZ58" s="16"/>
      <c r="BLA58" s="16"/>
      <c r="BLB58" s="16"/>
      <c r="BLC58" s="16"/>
      <c r="BLD58" s="16"/>
      <c r="BLE58" s="16"/>
      <c r="BLF58" s="16"/>
      <c r="BLG58" s="16"/>
      <c r="BLH58" s="16"/>
      <c r="BLI58" s="16"/>
      <c r="BLJ58" s="16"/>
      <c r="BLK58" s="16"/>
      <c r="BLL58" s="16"/>
      <c r="BLM58" s="16"/>
      <c r="BLN58" s="16"/>
      <c r="BLO58" s="16"/>
      <c r="BLP58" s="16"/>
      <c r="BLQ58" s="16"/>
      <c r="BLR58" s="16"/>
      <c r="BLS58" s="16"/>
      <c r="BLT58" s="16"/>
      <c r="BLU58" s="16"/>
      <c r="BLV58" s="16"/>
      <c r="BLW58" s="16"/>
      <c r="BLX58" s="16"/>
      <c r="BLY58" s="16"/>
      <c r="BLZ58" s="16"/>
      <c r="BMA58" s="16"/>
      <c r="BMB58" s="16"/>
      <c r="BMC58" s="16"/>
      <c r="BMD58" s="16"/>
      <c r="BME58" s="16"/>
      <c r="BMF58" s="16"/>
      <c r="BMG58" s="16"/>
      <c r="BMH58" s="16"/>
      <c r="BMI58" s="16"/>
      <c r="BMJ58" s="16"/>
      <c r="BMK58" s="16"/>
      <c r="BML58" s="16"/>
      <c r="BMM58" s="16"/>
      <c r="BMN58" s="16"/>
      <c r="BMO58" s="16"/>
      <c r="BMP58" s="16"/>
      <c r="BMQ58" s="16"/>
      <c r="BMR58" s="16"/>
      <c r="BMS58" s="16"/>
      <c r="BMT58" s="16"/>
      <c r="BMU58" s="16"/>
      <c r="BMV58" s="16"/>
      <c r="BMW58" s="16"/>
      <c r="BMX58" s="16"/>
      <c r="BMY58" s="16"/>
      <c r="BMZ58" s="16"/>
      <c r="BNA58" s="16"/>
      <c r="BNB58" s="16"/>
      <c r="BNC58" s="16"/>
      <c r="BND58" s="16"/>
      <c r="BNE58" s="16"/>
      <c r="BNF58" s="16"/>
      <c r="BNG58" s="16"/>
      <c r="BNH58" s="16"/>
      <c r="BNI58" s="16"/>
      <c r="BNJ58" s="16"/>
      <c r="BNK58" s="16"/>
      <c r="BNL58" s="16"/>
      <c r="BNM58" s="16"/>
      <c r="BNN58" s="16"/>
      <c r="BNO58" s="16"/>
      <c r="BNP58" s="16"/>
      <c r="BNQ58" s="16"/>
      <c r="BNR58" s="16"/>
      <c r="BNS58" s="16"/>
      <c r="BNT58" s="16"/>
      <c r="BNU58" s="16"/>
      <c r="BNV58" s="16"/>
      <c r="BNW58" s="16"/>
      <c r="BNX58" s="16"/>
      <c r="BNY58" s="16"/>
      <c r="BNZ58" s="16"/>
      <c r="BOA58" s="16"/>
      <c r="BOB58" s="16"/>
      <c r="BOC58" s="16"/>
      <c r="BOD58" s="16"/>
      <c r="BOE58" s="16"/>
      <c r="BOF58" s="16"/>
      <c r="BOG58" s="16"/>
      <c r="BOH58" s="16"/>
      <c r="BOI58" s="16"/>
      <c r="BOJ58" s="16"/>
      <c r="BOK58" s="16"/>
      <c r="BOL58" s="16"/>
      <c r="BOM58" s="16"/>
      <c r="BON58" s="16"/>
      <c r="BOO58" s="16"/>
      <c r="BOP58" s="16"/>
      <c r="BOQ58" s="16"/>
      <c r="BOR58" s="16"/>
      <c r="BOS58" s="16"/>
      <c r="BOT58" s="16"/>
      <c r="BOU58" s="16"/>
      <c r="BOV58" s="16"/>
      <c r="BOW58" s="16"/>
      <c r="BOX58" s="16"/>
      <c r="BOY58" s="16"/>
      <c r="BOZ58" s="16"/>
      <c r="BPA58" s="16"/>
      <c r="BPB58" s="16"/>
      <c r="BPC58" s="16"/>
      <c r="BPD58" s="16"/>
      <c r="BPE58" s="16"/>
      <c r="BPF58" s="16"/>
      <c r="BPG58" s="16"/>
      <c r="BPH58" s="16"/>
      <c r="BPI58" s="16"/>
      <c r="BPJ58" s="16"/>
      <c r="BPK58" s="16"/>
      <c r="BPL58" s="16"/>
      <c r="BPM58" s="16"/>
      <c r="BPN58" s="16"/>
      <c r="BPO58" s="16"/>
      <c r="BPP58" s="16"/>
      <c r="BPQ58" s="16"/>
      <c r="BPR58" s="16"/>
      <c r="BPS58" s="16"/>
      <c r="BPT58" s="16"/>
      <c r="BPU58" s="16"/>
      <c r="BPV58" s="16"/>
      <c r="BPW58" s="16"/>
      <c r="BPX58" s="16"/>
      <c r="BPY58" s="16"/>
      <c r="BPZ58" s="16"/>
      <c r="BQA58" s="16"/>
      <c r="BQB58" s="16"/>
      <c r="BQC58" s="16"/>
      <c r="BQD58" s="16"/>
      <c r="BQE58" s="16"/>
      <c r="BQF58" s="16"/>
      <c r="BQG58" s="16"/>
      <c r="BQH58" s="16"/>
      <c r="BQI58" s="16"/>
      <c r="BQJ58" s="16"/>
      <c r="BQK58" s="16"/>
      <c r="BQL58" s="16"/>
      <c r="BQM58" s="16"/>
      <c r="BQN58" s="16"/>
      <c r="BQO58" s="16"/>
      <c r="BQP58" s="16"/>
      <c r="BQQ58" s="16"/>
      <c r="BQR58" s="16"/>
      <c r="BQS58" s="16"/>
      <c r="BQT58" s="16"/>
      <c r="BQU58" s="16"/>
      <c r="BQV58" s="16"/>
      <c r="BQW58" s="16"/>
      <c r="BQX58" s="16"/>
      <c r="BQY58" s="16"/>
      <c r="BQZ58" s="16"/>
      <c r="BRA58" s="16"/>
      <c r="BRB58" s="16"/>
      <c r="BRC58" s="16"/>
      <c r="BRD58" s="16"/>
      <c r="BRE58" s="16"/>
      <c r="BRF58" s="16"/>
      <c r="BRG58" s="16"/>
      <c r="BRH58" s="16"/>
      <c r="BRI58" s="16"/>
      <c r="BRJ58" s="16"/>
      <c r="BRK58" s="16"/>
      <c r="BRL58" s="16"/>
      <c r="BRM58" s="16"/>
      <c r="BRN58" s="16"/>
      <c r="BRO58" s="16"/>
      <c r="BRP58" s="16"/>
      <c r="BRQ58" s="16"/>
      <c r="BRR58" s="16"/>
      <c r="BRS58" s="16"/>
      <c r="BRT58" s="16"/>
      <c r="BRU58" s="16"/>
      <c r="BRV58" s="16"/>
      <c r="BRW58" s="16"/>
      <c r="BRX58" s="16"/>
      <c r="BRY58" s="16"/>
      <c r="BRZ58" s="16"/>
      <c r="BSA58" s="16"/>
      <c r="BSB58" s="16"/>
      <c r="BSC58" s="16"/>
      <c r="BSD58" s="16"/>
      <c r="BSE58" s="16"/>
      <c r="BSF58" s="16"/>
      <c r="BSG58" s="16"/>
      <c r="BSH58" s="16"/>
      <c r="BSI58" s="16"/>
      <c r="BSJ58" s="16"/>
      <c r="BSK58" s="16"/>
      <c r="BSL58" s="16"/>
      <c r="BSM58" s="16"/>
      <c r="BSN58" s="16"/>
      <c r="BSO58" s="16"/>
      <c r="BSP58" s="16"/>
      <c r="BSQ58" s="16"/>
      <c r="BSR58" s="16"/>
      <c r="BSS58" s="16"/>
      <c r="BST58" s="16"/>
      <c r="BSU58" s="16"/>
      <c r="BSV58" s="16"/>
      <c r="BSW58" s="16"/>
      <c r="BSX58" s="16"/>
      <c r="BSY58" s="16"/>
      <c r="BSZ58" s="16"/>
      <c r="BTA58" s="16"/>
      <c r="BTB58" s="16"/>
      <c r="BTC58" s="16"/>
      <c r="BTD58" s="16"/>
      <c r="BTE58" s="16"/>
      <c r="BTF58" s="16"/>
      <c r="BTG58" s="16"/>
      <c r="BTH58" s="16"/>
      <c r="BTI58" s="16"/>
      <c r="BTJ58" s="16"/>
      <c r="BTK58" s="16"/>
      <c r="BTL58" s="16"/>
      <c r="BTM58" s="16"/>
      <c r="BTN58" s="16"/>
      <c r="BTO58" s="16"/>
      <c r="BTP58" s="16"/>
      <c r="BTQ58" s="16"/>
      <c r="BTR58" s="16"/>
      <c r="BTS58" s="16"/>
      <c r="BTT58" s="16"/>
      <c r="BTU58" s="16"/>
      <c r="BTV58" s="16"/>
      <c r="BTW58" s="16"/>
      <c r="BTX58" s="16"/>
      <c r="BTY58" s="16"/>
      <c r="BTZ58" s="16"/>
      <c r="BUA58" s="16"/>
      <c r="BUB58" s="16"/>
      <c r="BUC58" s="16"/>
      <c r="BUD58" s="16"/>
      <c r="BUE58" s="16"/>
      <c r="BUF58" s="16"/>
      <c r="BUG58" s="16"/>
      <c r="BUH58" s="16"/>
      <c r="BUI58" s="16"/>
      <c r="BUJ58" s="16"/>
      <c r="BUK58" s="16"/>
      <c r="BUL58" s="16"/>
      <c r="BUM58" s="16"/>
      <c r="BUN58" s="16"/>
      <c r="BUO58" s="16"/>
      <c r="BUP58" s="16"/>
      <c r="BUQ58" s="16"/>
      <c r="BUR58" s="16"/>
      <c r="BUS58" s="16"/>
      <c r="BUT58" s="16"/>
      <c r="BUU58" s="16"/>
      <c r="BUV58" s="16"/>
      <c r="BUW58" s="16"/>
      <c r="BUX58" s="16"/>
      <c r="BUY58" s="16"/>
      <c r="BUZ58" s="16"/>
      <c r="BVA58" s="16"/>
      <c r="BVB58" s="16"/>
      <c r="BVC58" s="16"/>
      <c r="BVD58" s="16"/>
      <c r="BVE58" s="16"/>
      <c r="BVF58" s="16"/>
      <c r="BVG58" s="16"/>
      <c r="BVH58" s="16"/>
      <c r="BVI58" s="16"/>
      <c r="BVJ58" s="16"/>
      <c r="BVK58" s="16"/>
      <c r="BVL58" s="16"/>
      <c r="BVM58" s="16"/>
      <c r="BVN58" s="16"/>
      <c r="BVO58" s="16"/>
      <c r="BVP58" s="16"/>
      <c r="BVQ58" s="16"/>
      <c r="BVR58" s="16"/>
      <c r="BVS58" s="16"/>
      <c r="BVT58" s="16"/>
      <c r="BVU58" s="16"/>
      <c r="BVV58" s="16"/>
      <c r="BVW58" s="16"/>
      <c r="BVX58" s="16"/>
      <c r="BVY58" s="16"/>
      <c r="BVZ58" s="16"/>
      <c r="BWA58" s="16"/>
      <c r="BWB58" s="16"/>
      <c r="BWC58" s="16"/>
      <c r="BWD58" s="16"/>
      <c r="BWE58" s="16"/>
      <c r="BWF58" s="16"/>
      <c r="BWG58" s="16"/>
      <c r="BWH58" s="16"/>
      <c r="BWI58" s="16"/>
      <c r="BWJ58" s="16"/>
      <c r="BWK58" s="16"/>
      <c r="BWL58" s="16"/>
      <c r="BWM58" s="16"/>
      <c r="BWN58" s="16"/>
      <c r="BWO58" s="16"/>
      <c r="BWP58" s="16"/>
      <c r="BWQ58" s="16"/>
      <c r="BWR58" s="16"/>
      <c r="BWS58" s="16"/>
      <c r="BWT58" s="16"/>
      <c r="BWU58" s="16"/>
      <c r="BWV58" s="16"/>
      <c r="BWW58" s="16"/>
      <c r="BWX58" s="16"/>
      <c r="BWY58" s="16"/>
      <c r="BWZ58" s="16"/>
      <c r="BXA58" s="16"/>
      <c r="BXB58" s="16"/>
      <c r="BXC58" s="16"/>
      <c r="BXD58" s="16"/>
      <c r="BXE58" s="16"/>
      <c r="BXF58" s="16"/>
      <c r="BXG58" s="16"/>
      <c r="BXH58" s="16"/>
      <c r="BXI58" s="16"/>
      <c r="BXJ58" s="16"/>
      <c r="BXK58" s="16"/>
      <c r="BXL58" s="16"/>
      <c r="BXM58" s="16"/>
      <c r="BXN58" s="16"/>
      <c r="BXO58" s="16"/>
      <c r="BXP58" s="16"/>
      <c r="BXQ58" s="16"/>
      <c r="BXR58" s="16"/>
      <c r="BXS58" s="16"/>
      <c r="BXT58" s="16"/>
      <c r="BXU58" s="16"/>
      <c r="BXV58" s="16"/>
      <c r="BXW58" s="16"/>
      <c r="BXX58" s="16"/>
      <c r="BXY58" s="16"/>
      <c r="BXZ58" s="16"/>
      <c r="BYA58" s="16"/>
      <c r="BYB58" s="16"/>
      <c r="BYC58" s="16"/>
      <c r="BYD58" s="16"/>
      <c r="BYE58" s="16"/>
      <c r="BYF58" s="16"/>
      <c r="BYG58" s="16"/>
      <c r="BYH58" s="16"/>
      <c r="BYI58" s="16"/>
      <c r="BYJ58" s="16"/>
      <c r="BYK58" s="16"/>
      <c r="BYL58" s="16"/>
      <c r="BYM58" s="16"/>
      <c r="BYN58" s="16"/>
      <c r="BYO58" s="16"/>
      <c r="BYP58" s="16"/>
      <c r="BYQ58" s="16"/>
      <c r="BYR58" s="16"/>
      <c r="BYS58" s="16"/>
      <c r="BYT58" s="16"/>
      <c r="BYU58" s="16"/>
      <c r="BYV58" s="16"/>
      <c r="BYW58" s="16"/>
      <c r="BYX58" s="16"/>
      <c r="BYY58" s="16"/>
      <c r="BYZ58" s="16"/>
      <c r="BZA58" s="16"/>
      <c r="BZB58" s="16"/>
      <c r="BZC58" s="16"/>
      <c r="BZD58" s="16"/>
      <c r="BZE58" s="16"/>
      <c r="BZF58" s="16"/>
      <c r="BZG58" s="16"/>
      <c r="BZH58" s="16"/>
      <c r="BZI58" s="16"/>
      <c r="BZJ58" s="16"/>
      <c r="BZK58" s="16"/>
      <c r="BZL58" s="16"/>
      <c r="BZM58" s="16"/>
      <c r="BZN58" s="16"/>
      <c r="BZO58" s="16"/>
      <c r="BZP58" s="16"/>
      <c r="BZQ58" s="16"/>
      <c r="BZR58" s="16"/>
      <c r="BZS58" s="16"/>
      <c r="BZT58" s="16"/>
      <c r="BZU58" s="16"/>
      <c r="BZV58" s="16"/>
      <c r="BZW58" s="16"/>
      <c r="BZX58" s="16"/>
      <c r="BZY58" s="16"/>
      <c r="BZZ58" s="16"/>
      <c r="CAA58" s="16"/>
      <c r="CAB58" s="16"/>
      <c r="CAC58" s="16"/>
      <c r="CAD58" s="16"/>
      <c r="CAE58" s="16"/>
      <c r="CAF58" s="16"/>
      <c r="CAG58" s="16"/>
      <c r="CAH58" s="16"/>
      <c r="CAI58" s="16"/>
      <c r="CAJ58" s="16"/>
      <c r="CAK58" s="16"/>
      <c r="CAL58" s="16"/>
      <c r="CAM58" s="16"/>
      <c r="CAN58" s="16"/>
      <c r="CAO58" s="16"/>
      <c r="CAP58" s="16"/>
      <c r="CAQ58" s="16"/>
      <c r="CAR58" s="16"/>
      <c r="CAS58" s="16"/>
      <c r="CAT58" s="16"/>
      <c r="CAU58" s="16"/>
      <c r="CAV58" s="16"/>
      <c r="CAW58" s="16"/>
      <c r="CAX58" s="16"/>
      <c r="CAY58" s="16"/>
      <c r="CAZ58" s="16"/>
      <c r="CBA58" s="16"/>
      <c r="CBB58" s="16"/>
      <c r="CBC58" s="16"/>
      <c r="CBD58" s="16"/>
      <c r="CBE58" s="16"/>
      <c r="CBF58" s="16"/>
      <c r="CBG58" s="16"/>
      <c r="CBH58" s="16"/>
      <c r="CBI58" s="16"/>
      <c r="CBJ58" s="16"/>
      <c r="CBK58" s="16"/>
      <c r="CBL58" s="16"/>
      <c r="CBM58" s="16"/>
      <c r="CBN58" s="16"/>
      <c r="CBO58" s="16"/>
      <c r="CBP58" s="16"/>
      <c r="CBQ58" s="16"/>
      <c r="CBR58" s="16"/>
      <c r="CBS58" s="16"/>
      <c r="CBT58" s="16"/>
      <c r="CBU58" s="16"/>
      <c r="CBV58" s="16"/>
      <c r="CBW58" s="16"/>
      <c r="CBX58" s="16"/>
      <c r="CBY58" s="16"/>
      <c r="CBZ58" s="16"/>
      <c r="CCA58" s="16"/>
      <c r="CCB58" s="16"/>
      <c r="CCC58" s="16"/>
      <c r="CCD58" s="16"/>
      <c r="CCE58" s="16"/>
      <c r="CCF58" s="16"/>
      <c r="CCG58" s="16"/>
      <c r="CCH58" s="16"/>
      <c r="CCI58" s="16"/>
      <c r="CCJ58" s="16"/>
      <c r="CCK58" s="16"/>
      <c r="CCL58" s="16"/>
      <c r="CCM58" s="16"/>
      <c r="CCN58" s="16"/>
      <c r="CCO58" s="16"/>
      <c r="CCP58" s="16"/>
      <c r="CCQ58" s="16"/>
      <c r="CCR58" s="16"/>
      <c r="CCS58" s="16"/>
      <c r="CCT58" s="16"/>
      <c r="CCU58" s="16"/>
      <c r="CCV58" s="16"/>
      <c r="CCW58" s="16"/>
      <c r="CCX58" s="16"/>
      <c r="CCY58" s="16"/>
      <c r="CCZ58" s="16"/>
      <c r="CDA58" s="16"/>
      <c r="CDB58" s="16"/>
      <c r="CDC58" s="16"/>
      <c r="CDD58" s="16"/>
      <c r="CDE58" s="16"/>
      <c r="CDF58" s="16"/>
      <c r="CDG58" s="16"/>
      <c r="CDH58" s="16"/>
      <c r="CDI58" s="16"/>
      <c r="CDJ58" s="16"/>
      <c r="CDK58" s="16"/>
      <c r="CDL58" s="16"/>
      <c r="CDM58" s="16"/>
      <c r="CDN58" s="16"/>
      <c r="CDO58" s="16"/>
      <c r="CDP58" s="16"/>
      <c r="CDQ58" s="16"/>
      <c r="CDR58" s="16"/>
      <c r="CDS58" s="16"/>
      <c r="CDT58" s="16"/>
      <c r="CDU58" s="16"/>
      <c r="CDV58" s="16"/>
      <c r="CDW58" s="16"/>
      <c r="CDX58" s="16"/>
      <c r="CDY58" s="16"/>
      <c r="CDZ58" s="16"/>
      <c r="CEA58" s="16"/>
      <c r="CEB58" s="16"/>
      <c r="CEC58" s="16"/>
      <c r="CED58" s="16"/>
      <c r="CEE58" s="16"/>
      <c r="CEF58" s="16"/>
      <c r="CEG58" s="16"/>
      <c r="CEH58" s="16"/>
      <c r="CEI58" s="16"/>
      <c r="CEJ58" s="16"/>
      <c r="CEK58" s="16"/>
      <c r="CEL58" s="16"/>
      <c r="CEM58" s="16"/>
      <c r="CEN58" s="16"/>
      <c r="CEO58" s="16"/>
      <c r="CEP58" s="16"/>
      <c r="CEQ58" s="16"/>
      <c r="CER58" s="16"/>
      <c r="CES58" s="16"/>
      <c r="CET58" s="16"/>
      <c r="CEU58" s="16"/>
      <c r="CEV58" s="16"/>
      <c r="CEW58" s="16"/>
      <c r="CEX58" s="16"/>
      <c r="CEY58" s="16"/>
      <c r="CEZ58" s="16"/>
      <c r="CFA58" s="16"/>
      <c r="CFB58" s="16"/>
      <c r="CFC58" s="16"/>
      <c r="CFD58" s="16"/>
      <c r="CFE58" s="16"/>
      <c r="CFF58" s="16"/>
      <c r="CFG58" s="16"/>
      <c r="CFH58" s="16"/>
      <c r="CFI58" s="16"/>
      <c r="CFJ58" s="16"/>
      <c r="CFK58" s="16"/>
      <c r="CFL58" s="16"/>
      <c r="CFM58" s="16"/>
      <c r="CFN58" s="16"/>
      <c r="CFO58" s="16"/>
      <c r="CFP58" s="16"/>
      <c r="CFQ58" s="16"/>
      <c r="CFR58" s="16"/>
      <c r="CFS58" s="16"/>
      <c r="CFT58" s="16"/>
      <c r="CFU58" s="16"/>
      <c r="CFV58" s="16"/>
      <c r="CFW58" s="16"/>
      <c r="CFX58" s="16"/>
      <c r="CFY58" s="16"/>
      <c r="CFZ58" s="16"/>
      <c r="CGA58" s="16"/>
      <c r="CGB58" s="16"/>
      <c r="CGC58" s="16"/>
      <c r="CGD58" s="16"/>
      <c r="CGE58" s="16"/>
      <c r="CGF58" s="16"/>
      <c r="CGG58" s="16"/>
      <c r="CGH58" s="16"/>
      <c r="CGI58" s="16"/>
      <c r="CGJ58" s="16"/>
      <c r="CGK58" s="16"/>
      <c r="CGL58" s="16"/>
      <c r="CGM58" s="16"/>
      <c r="CGN58" s="16"/>
      <c r="CGO58" s="16"/>
      <c r="CGP58" s="16"/>
      <c r="CGQ58" s="16"/>
      <c r="CGR58" s="16"/>
      <c r="CGS58" s="16"/>
      <c r="CGT58" s="16"/>
      <c r="CGU58" s="16"/>
      <c r="CGV58" s="16"/>
      <c r="CGW58" s="16"/>
      <c r="CGX58" s="16"/>
      <c r="CGY58" s="16"/>
      <c r="CGZ58" s="16"/>
      <c r="CHA58" s="16"/>
      <c r="CHB58" s="16"/>
      <c r="CHC58" s="16"/>
      <c r="CHD58" s="16"/>
      <c r="CHE58" s="16"/>
      <c r="CHF58" s="16"/>
      <c r="CHG58" s="16"/>
      <c r="CHH58" s="16"/>
      <c r="CHI58" s="16"/>
      <c r="CHJ58" s="16"/>
      <c r="CHK58" s="16"/>
      <c r="CHL58" s="16"/>
      <c r="CHM58" s="16"/>
      <c r="CHN58" s="16"/>
      <c r="CHO58" s="16"/>
      <c r="CHP58" s="16"/>
      <c r="CHQ58" s="16"/>
      <c r="CHR58" s="16"/>
      <c r="CHS58" s="16"/>
      <c r="CHT58" s="16"/>
      <c r="CHU58" s="16"/>
      <c r="CHV58" s="16"/>
      <c r="CHW58" s="16"/>
      <c r="CHX58" s="16"/>
      <c r="CHY58" s="16"/>
      <c r="CHZ58" s="16"/>
      <c r="CIA58" s="16"/>
      <c r="CIB58" s="16"/>
      <c r="CIC58" s="16"/>
      <c r="CID58" s="16"/>
      <c r="CIE58" s="16"/>
      <c r="CIF58" s="16"/>
      <c r="CIG58" s="16"/>
      <c r="CIH58" s="16"/>
      <c r="CII58" s="16"/>
      <c r="CIJ58" s="16"/>
      <c r="CIK58" s="16"/>
      <c r="CIL58" s="16"/>
      <c r="CIM58" s="16"/>
      <c r="CIN58" s="16"/>
      <c r="CIO58" s="16"/>
      <c r="CIP58" s="16"/>
      <c r="CIQ58" s="16"/>
      <c r="CIR58" s="16"/>
      <c r="CIS58" s="16"/>
      <c r="CIT58" s="16"/>
      <c r="CIU58" s="16"/>
      <c r="CIV58" s="16"/>
      <c r="CIW58" s="16"/>
      <c r="CIX58" s="16"/>
      <c r="CIY58" s="16"/>
      <c r="CIZ58" s="16"/>
      <c r="CJA58" s="16"/>
      <c r="CJB58" s="16"/>
      <c r="CJC58" s="16"/>
      <c r="CJD58" s="16"/>
      <c r="CJE58" s="16"/>
      <c r="CJF58" s="16"/>
      <c r="CJG58" s="16"/>
      <c r="CJH58" s="16"/>
      <c r="CJI58" s="16"/>
      <c r="CJJ58" s="16"/>
      <c r="CJK58" s="16"/>
      <c r="CJL58" s="16"/>
      <c r="CJM58" s="16"/>
      <c r="CJN58" s="16"/>
      <c r="CJO58" s="16"/>
      <c r="CJP58" s="16"/>
      <c r="CJQ58" s="16"/>
      <c r="CJR58" s="16"/>
      <c r="CJS58" s="16"/>
      <c r="CJT58" s="16"/>
      <c r="CJU58" s="16"/>
      <c r="CJV58" s="16"/>
      <c r="CJW58" s="16"/>
      <c r="CJX58" s="16"/>
      <c r="CJY58" s="16"/>
      <c r="CJZ58" s="16"/>
      <c r="CKA58" s="16"/>
      <c r="CKB58" s="16"/>
      <c r="CKC58" s="16"/>
      <c r="CKD58" s="16"/>
      <c r="CKE58" s="16"/>
      <c r="CKF58" s="16"/>
      <c r="CKG58" s="16"/>
      <c r="CKH58" s="16"/>
      <c r="CKI58" s="16"/>
      <c r="CKJ58" s="16"/>
      <c r="CKK58" s="16"/>
      <c r="CKL58" s="16"/>
      <c r="CKM58" s="16"/>
      <c r="CKN58" s="16"/>
      <c r="CKO58" s="16"/>
      <c r="CKP58" s="16"/>
      <c r="CKQ58" s="16"/>
      <c r="CKR58" s="16"/>
      <c r="CKS58" s="16"/>
      <c r="CKT58" s="16"/>
      <c r="CKU58" s="16"/>
      <c r="CKV58" s="16"/>
      <c r="CKW58" s="16"/>
      <c r="CKX58" s="16"/>
      <c r="CKY58" s="16"/>
      <c r="CKZ58" s="16"/>
      <c r="CLA58" s="16"/>
      <c r="CLB58" s="16"/>
      <c r="CLC58" s="16"/>
      <c r="CLD58" s="16"/>
      <c r="CLE58" s="16"/>
      <c r="CLF58" s="16"/>
      <c r="CLG58" s="16"/>
      <c r="CLH58" s="16"/>
      <c r="CLI58" s="16"/>
      <c r="CLJ58" s="16"/>
      <c r="CLK58" s="16"/>
      <c r="CLL58" s="16"/>
      <c r="CLM58" s="16"/>
      <c r="CLN58" s="16"/>
      <c r="CLO58" s="16"/>
      <c r="CLP58" s="16"/>
      <c r="CLQ58" s="16"/>
      <c r="CLR58" s="16"/>
      <c r="CLS58" s="16"/>
      <c r="CLT58" s="16"/>
      <c r="CLU58" s="16"/>
      <c r="CLV58" s="16"/>
      <c r="CLW58" s="16"/>
      <c r="CLX58" s="16"/>
      <c r="CLY58" s="16"/>
      <c r="CLZ58" s="16"/>
      <c r="CMA58" s="16"/>
      <c r="CMB58" s="16"/>
      <c r="CMC58" s="16"/>
      <c r="CMD58" s="16"/>
      <c r="CME58" s="16"/>
      <c r="CMF58" s="16"/>
      <c r="CMG58" s="16"/>
      <c r="CMH58" s="16"/>
      <c r="CMI58" s="16"/>
      <c r="CMJ58" s="16"/>
      <c r="CMK58" s="16"/>
      <c r="CML58" s="16"/>
      <c r="CMM58" s="16"/>
      <c r="CMN58" s="16"/>
      <c r="CMO58" s="16"/>
      <c r="CMP58" s="16"/>
      <c r="CMQ58" s="16"/>
      <c r="CMR58" s="16"/>
      <c r="CMS58" s="16"/>
      <c r="CMT58" s="16"/>
      <c r="CMU58" s="16"/>
      <c r="CMV58" s="16"/>
      <c r="CMW58" s="16"/>
      <c r="CMX58" s="16"/>
      <c r="CMY58" s="16"/>
      <c r="CMZ58" s="16"/>
      <c r="CNA58" s="16"/>
      <c r="CNB58" s="16"/>
      <c r="CNC58" s="16"/>
      <c r="CND58" s="16"/>
      <c r="CNE58" s="16"/>
      <c r="CNF58" s="16"/>
      <c r="CNG58" s="16"/>
      <c r="CNH58" s="16"/>
      <c r="CNI58" s="16"/>
      <c r="CNJ58" s="16"/>
      <c r="CNK58" s="16"/>
      <c r="CNL58" s="16"/>
      <c r="CNM58" s="16"/>
      <c r="CNN58" s="16"/>
      <c r="CNO58" s="16"/>
      <c r="CNP58" s="16"/>
      <c r="CNQ58" s="16"/>
      <c r="CNR58" s="16"/>
      <c r="CNS58" s="16"/>
      <c r="CNT58" s="16"/>
      <c r="CNU58" s="16"/>
      <c r="CNV58" s="16"/>
      <c r="CNW58" s="16"/>
      <c r="CNX58" s="16"/>
      <c r="CNY58" s="16"/>
      <c r="CNZ58" s="16"/>
      <c r="COA58" s="16"/>
      <c r="COB58" s="16"/>
      <c r="COC58" s="16"/>
      <c r="COD58" s="16"/>
      <c r="COE58" s="16"/>
      <c r="COF58" s="16"/>
      <c r="COG58" s="16"/>
      <c r="COH58" s="16"/>
      <c r="COI58" s="16"/>
      <c r="COJ58" s="16"/>
      <c r="COK58" s="16"/>
      <c r="COL58" s="16"/>
      <c r="COM58" s="16"/>
      <c r="CON58" s="16"/>
      <c r="COO58" s="16"/>
      <c r="COP58" s="16"/>
      <c r="COQ58" s="16"/>
      <c r="COR58" s="16"/>
      <c r="COS58" s="16"/>
      <c r="COT58" s="16"/>
      <c r="COU58" s="16"/>
      <c r="COV58" s="16"/>
      <c r="COW58" s="16"/>
      <c r="COX58" s="16"/>
      <c r="COY58" s="16"/>
      <c r="COZ58" s="16"/>
      <c r="CPA58" s="16"/>
      <c r="CPB58" s="16"/>
      <c r="CPC58" s="16"/>
      <c r="CPD58" s="16"/>
      <c r="CPE58" s="16"/>
      <c r="CPF58" s="16"/>
      <c r="CPG58" s="16"/>
      <c r="CPH58" s="16"/>
      <c r="CPI58" s="16"/>
      <c r="CPJ58" s="16"/>
      <c r="CPK58" s="16"/>
      <c r="CPL58" s="16"/>
      <c r="CPM58" s="16"/>
      <c r="CPN58" s="16"/>
      <c r="CPO58" s="16"/>
      <c r="CPP58" s="16"/>
      <c r="CPQ58" s="16"/>
      <c r="CPR58" s="16"/>
      <c r="CPS58" s="16"/>
      <c r="CPT58" s="16"/>
      <c r="CPU58" s="16"/>
      <c r="CPV58" s="16"/>
      <c r="CPW58" s="16"/>
      <c r="CPX58" s="16"/>
      <c r="CPY58" s="16"/>
      <c r="CPZ58" s="16"/>
      <c r="CQA58" s="16"/>
      <c r="CQB58" s="16"/>
      <c r="CQC58" s="16"/>
      <c r="CQD58" s="16"/>
      <c r="CQE58" s="16"/>
      <c r="CQF58" s="16"/>
      <c r="CQG58" s="16"/>
      <c r="CQH58" s="16"/>
      <c r="CQI58" s="16"/>
      <c r="CQJ58" s="16"/>
      <c r="CQK58" s="16"/>
      <c r="CQL58" s="16"/>
      <c r="CQM58" s="16"/>
      <c r="CQN58" s="16"/>
      <c r="CQO58" s="16"/>
      <c r="CQP58" s="16"/>
      <c r="CQQ58" s="16"/>
      <c r="CQR58" s="16"/>
      <c r="CQS58" s="16"/>
      <c r="CQT58" s="16"/>
      <c r="CQU58" s="16"/>
      <c r="CQV58" s="16"/>
      <c r="CQW58" s="16"/>
      <c r="CQX58" s="16"/>
      <c r="CQY58" s="16"/>
      <c r="CQZ58" s="16"/>
      <c r="CRA58" s="16"/>
      <c r="CRB58" s="16"/>
      <c r="CRC58" s="16"/>
      <c r="CRD58" s="16"/>
      <c r="CRE58" s="16"/>
      <c r="CRF58" s="16"/>
      <c r="CRG58" s="16"/>
      <c r="CRH58" s="16"/>
      <c r="CRI58" s="16"/>
      <c r="CRJ58" s="16"/>
      <c r="CRK58" s="16"/>
      <c r="CRL58" s="16"/>
      <c r="CRM58" s="16"/>
      <c r="CRN58" s="16"/>
      <c r="CRO58" s="16"/>
      <c r="CRP58" s="16"/>
      <c r="CRQ58" s="16"/>
      <c r="CRR58" s="16"/>
      <c r="CRS58" s="16"/>
      <c r="CRT58" s="16"/>
      <c r="CRU58" s="16"/>
      <c r="CRV58" s="16"/>
      <c r="CRW58" s="16"/>
      <c r="CRX58" s="16"/>
      <c r="CRY58" s="16"/>
      <c r="CRZ58" s="16"/>
      <c r="CSA58" s="16"/>
      <c r="CSB58" s="16"/>
      <c r="CSC58" s="16"/>
      <c r="CSD58" s="16"/>
      <c r="CSE58" s="16"/>
      <c r="CSF58" s="16"/>
      <c r="CSG58" s="16"/>
      <c r="CSH58" s="16"/>
      <c r="CSI58" s="16"/>
      <c r="CSJ58" s="16"/>
      <c r="CSK58" s="24"/>
      <c r="CSL58" s="16"/>
      <c r="CSM58" s="16"/>
      <c r="CSN58" s="16"/>
      <c r="CSO58" s="16"/>
      <c r="CSP58" s="16"/>
      <c r="CUG58" s="16"/>
      <c r="CUH58" s="16"/>
      <c r="CUI58" s="16"/>
      <c r="CUJ58" s="16"/>
      <c r="CUK58" s="16"/>
      <c r="CUL58" s="16"/>
      <c r="CUM58" s="16"/>
      <c r="CUN58" s="16"/>
      <c r="CUO58" s="16"/>
      <c r="CUP58" s="16"/>
      <c r="CUQ58" s="16"/>
      <c r="CUR58" s="16"/>
      <c r="CUS58" s="16"/>
      <c r="CUT58" s="16"/>
      <c r="CUU58" s="16"/>
      <c r="CUV58" s="16"/>
      <c r="CUW58" s="16"/>
      <c r="CUX58" s="16"/>
      <c r="CUY58" s="16"/>
      <c r="CUZ58" s="16"/>
      <c r="CVA58" s="16"/>
      <c r="CVB58" s="16"/>
      <c r="CVC58" s="16"/>
      <c r="CVD58" s="16"/>
      <c r="CVE58" s="16"/>
      <c r="CVF58" s="16"/>
      <c r="CVG58" s="16"/>
      <c r="CVH58" s="16"/>
      <c r="CVI58" s="16"/>
      <c r="CVJ58" s="16"/>
      <c r="CVK58" s="16"/>
      <c r="CVL58" s="16"/>
      <c r="CVM58" s="16"/>
      <c r="CVN58" s="16"/>
      <c r="CVO58" s="16"/>
      <c r="CVP58" s="16"/>
    </row>
    <row r="59" spans="1:2616" ht="13.8" x14ac:dyDescent="0.25">
      <c r="C59" s="57"/>
      <c r="E59" s="16"/>
      <c r="K59" s="59"/>
      <c r="L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16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/>
      <c r="JZ59" s="16"/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/>
      <c r="KL59" s="16"/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/>
      <c r="KX59" s="16"/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/>
      <c r="LJ59" s="16"/>
      <c r="LK59" s="16"/>
      <c r="LL59" s="16"/>
      <c r="LM59" s="16"/>
      <c r="LN59" s="16"/>
      <c r="LO59" s="16"/>
      <c r="LP59" s="16"/>
      <c r="LQ59" s="16"/>
      <c r="LR59" s="16"/>
      <c r="LS59" s="16"/>
      <c r="LT59" s="16"/>
      <c r="LU59" s="16"/>
      <c r="LV59" s="16"/>
      <c r="LW59" s="16"/>
      <c r="LX59" s="16"/>
      <c r="LY59" s="16"/>
      <c r="LZ59" s="16"/>
      <c r="MA59" s="16"/>
      <c r="MB59" s="16"/>
      <c r="MC59" s="16"/>
      <c r="MD59" s="16"/>
      <c r="ME59" s="16"/>
      <c r="MF59" s="16"/>
      <c r="MG59" s="16"/>
      <c r="MH59" s="16"/>
      <c r="MI59" s="16"/>
      <c r="MJ59" s="16"/>
      <c r="MK59" s="16"/>
      <c r="ML59" s="16"/>
      <c r="MM59" s="16"/>
      <c r="MN59" s="16"/>
      <c r="MO59" s="16"/>
      <c r="MP59" s="16"/>
      <c r="MQ59" s="16"/>
      <c r="MR59" s="16"/>
      <c r="MS59" s="16"/>
      <c r="MT59" s="16"/>
      <c r="MU59" s="16"/>
      <c r="MV59" s="16"/>
      <c r="MW59" s="16"/>
      <c r="MX59" s="16"/>
      <c r="MY59" s="16"/>
      <c r="MZ59" s="16"/>
      <c r="NA59" s="16"/>
      <c r="NB59" s="16"/>
      <c r="NC59" s="16"/>
      <c r="ND59" s="16"/>
      <c r="NE59" s="16"/>
      <c r="NF59" s="16"/>
      <c r="NG59" s="16"/>
      <c r="NH59" s="16"/>
      <c r="NI59" s="16"/>
      <c r="NJ59" s="16"/>
      <c r="NK59" s="16"/>
      <c r="NL59" s="16"/>
      <c r="NM59" s="16"/>
      <c r="NN59" s="16"/>
      <c r="NO59" s="16"/>
      <c r="NP59" s="16"/>
      <c r="NQ59" s="16"/>
      <c r="NR59" s="16"/>
      <c r="NS59" s="16"/>
      <c r="NT59" s="16"/>
      <c r="NU59" s="16"/>
      <c r="NV59" s="16"/>
      <c r="NW59" s="16"/>
      <c r="NX59" s="16"/>
      <c r="NY59" s="16"/>
      <c r="NZ59" s="16"/>
      <c r="OA59" s="16"/>
      <c r="OB59" s="16"/>
      <c r="OC59" s="16"/>
      <c r="OD59" s="16"/>
      <c r="OE59" s="16"/>
      <c r="OF59" s="16"/>
      <c r="OG59" s="16"/>
      <c r="OH59" s="16"/>
      <c r="OI59" s="16"/>
      <c r="OJ59" s="16"/>
      <c r="OK59" s="16"/>
      <c r="OL59" s="16"/>
      <c r="OM59" s="16"/>
      <c r="ON59" s="16"/>
      <c r="OO59" s="16"/>
      <c r="OP59" s="16"/>
      <c r="OQ59" s="16"/>
      <c r="OR59" s="16"/>
      <c r="OS59" s="16"/>
      <c r="OT59" s="16"/>
      <c r="OU59" s="16"/>
      <c r="OV59" s="16"/>
      <c r="OW59" s="16"/>
      <c r="OX59" s="16"/>
      <c r="OY59" s="16"/>
      <c r="OZ59" s="16"/>
      <c r="PA59" s="16"/>
      <c r="PB59" s="16"/>
      <c r="PC59" s="16"/>
      <c r="PD59" s="16"/>
      <c r="PE59" s="16"/>
      <c r="PF59" s="16"/>
      <c r="PG59" s="16"/>
      <c r="PH59" s="16"/>
      <c r="PI59" s="16"/>
      <c r="PJ59" s="16"/>
      <c r="PK59" s="16"/>
      <c r="PL59" s="16"/>
      <c r="PM59" s="16"/>
      <c r="PN59" s="16"/>
      <c r="PO59" s="16"/>
      <c r="PP59" s="16"/>
      <c r="PQ59" s="16"/>
      <c r="PR59" s="16"/>
      <c r="PS59" s="16"/>
      <c r="PT59" s="16"/>
      <c r="PU59" s="16"/>
      <c r="PV59" s="16"/>
      <c r="PW59" s="16"/>
      <c r="PX59" s="16"/>
      <c r="PY59" s="16"/>
      <c r="PZ59" s="16"/>
      <c r="QA59" s="16"/>
      <c r="QB59" s="16"/>
      <c r="QC59" s="16"/>
      <c r="QD59" s="16"/>
      <c r="QE59" s="16"/>
      <c r="QF59" s="16"/>
      <c r="QG59" s="16"/>
      <c r="QH59" s="16"/>
      <c r="QI59" s="16"/>
      <c r="QJ59" s="16"/>
      <c r="QK59" s="16"/>
      <c r="QL59" s="16"/>
      <c r="QM59" s="16"/>
      <c r="QN59" s="16"/>
      <c r="QO59" s="16"/>
      <c r="QP59" s="16"/>
      <c r="QQ59" s="16"/>
      <c r="QR59" s="16"/>
      <c r="QS59" s="16"/>
      <c r="QT59" s="16"/>
      <c r="QU59" s="16"/>
      <c r="QV59" s="16"/>
      <c r="QW59" s="16"/>
      <c r="QX59" s="16"/>
      <c r="QY59" s="16"/>
      <c r="QZ59" s="16"/>
      <c r="RA59" s="16"/>
      <c r="RB59" s="16"/>
      <c r="RC59" s="16"/>
      <c r="RD59" s="16"/>
      <c r="RE59" s="16"/>
      <c r="RF59" s="16"/>
      <c r="RG59" s="16"/>
      <c r="RH59" s="16"/>
      <c r="RI59" s="16"/>
      <c r="RJ59" s="16"/>
      <c r="RK59" s="16"/>
      <c r="RL59" s="16"/>
      <c r="RM59" s="16"/>
      <c r="RN59" s="16"/>
      <c r="RO59" s="16"/>
      <c r="RP59" s="16"/>
      <c r="RQ59" s="16"/>
      <c r="RR59" s="16"/>
      <c r="RS59" s="16"/>
      <c r="RT59" s="16"/>
      <c r="RU59" s="16"/>
      <c r="RV59" s="16"/>
      <c r="RW59" s="16"/>
      <c r="RX59" s="16"/>
      <c r="RY59" s="16"/>
      <c r="RZ59" s="16"/>
      <c r="SA59" s="16"/>
      <c r="SB59" s="16"/>
      <c r="SC59" s="16"/>
      <c r="SD59" s="16"/>
      <c r="SE59" s="16"/>
      <c r="SF59" s="16"/>
      <c r="SG59" s="16"/>
      <c r="SH59" s="16"/>
      <c r="SI59" s="16"/>
      <c r="SJ59" s="16"/>
      <c r="SK59" s="16"/>
      <c r="SL59" s="16"/>
      <c r="SM59" s="16"/>
      <c r="SN59" s="16"/>
      <c r="SO59" s="16"/>
      <c r="SP59" s="16"/>
      <c r="SQ59" s="16"/>
      <c r="SR59" s="16"/>
      <c r="SS59" s="16"/>
      <c r="ST59" s="16"/>
      <c r="SU59" s="16"/>
      <c r="SV59" s="16"/>
      <c r="SW59" s="16"/>
      <c r="SX59" s="16"/>
      <c r="SY59" s="16"/>
      <c r="SZ59" s="16"/>
      <c r="TA59" s="16"/>
      <c r="TB59" s="16"/>
      <c r="TC59" s="16"/>
      <c r="TD59" s="16"/>
      <c r="TE59" s="16"/>
      <c r="TF59" s="16"/>
      <c r="TG59" s="16"/>
      <c r="TH59" s="16"/>
      <c r="TI59" s="16"/>
      <c r="TJ59" s="16"/>
      <c r="TK59" s="16"/>
      <c r="TL59" s="16"/>
      <c r="TM59" s="16"/>
      <c r="TN59" s="16"/>
      <c r="TO59" s="16"/>
      <c r="TP59" s="16"/>
      <c r="TQ59" s="16"/>
      <c r="TR59" s="16"/>
      <c r="TS59" s="16"/>
      <c r="TT59" s="16"/>
      <c r="TU59" s="16"/>
      <c r="TV59" s="16"/>
      <c r="TW59" s="16"/>
      <c r="TX59" s="16"/>
      <c r="TY59" s="16"/>
      <c r="TZ59" s="16"/>
      <c r="UA59" s="16"/>
      <c r="UB59" s="16"/>
      <c r="UC59" s="16"/>
      <c r="UD59" s="16"/>
      <c r="UE59" s="16"/>
      <c r="UF59" s="16"/>
      <c r="UG59" s="16"/>
      <c r="UH59" s="16"/>
      <c r="UI59" s="16"/>
      <c r="UJ59" s="16"/>
      <c r="UK59" s="16"/>
      <c r="UL59" s="16"/>
      <c r="UM59" s="16"/>
      <c r="UN59" s="16"/>
      <c r="UO59" s="16"/>
      <c r="UP59" s="16"/>
      <c r="UQ59" s="16"/>
      <c r="UR59" s="16"/>
      <c r="US59" s="16"/>
      <c r="UT59" s="16"/>
      <c r="UU59" s="16"/>
      <c r="UV59" s="16"/>
      <c r="UW59" s="16"/>
      <c r="UX59" s="16"/>
      <c r="UY59" s="16"/>
      <c r="UZ59" s="16"/>
      <c r="VA59" s="16"/>
      <c r="VB59" s="16"/>
      <c r="VC59" s="16"/>
      <c r="VD59" s="16"/>
      <c r="VE59" s="16"/>
      <c r="VF59" s="16"/>
      <c r="VG59" s="16"/>
      <c r="VH59" s="16"/>
      <c r="VI59" s="16"/>
      <c r="VJ59" s="16"/>
      <c r="VK59" s="16"/>
      <c r="VL59" s="16"/>
      <c r="VM59" s="16"/>
      <c r="VN59" s="16"/>
      <c r="VO59" s="16"/>
      <c r="VP59" s="16"/>
      <c r="VQ59" s="16"/>
      <c r="VR59" s="16"/>
      <c r="VS59" s="16"/>
      <c r="VT59" s="16"/>
      <c r="VU59" s="16"/>
      <c r="VV59" s="16"/>
      <c r="VW59" s="16"/>
      <c r="VX59" s="16"/>
      <c r="VY59" s="16"/>
      <c r="VZ59" s="16"/>
      <c r="WA59" s="16"/>
      <c r="WB59" s="16"/>
      <c r="WC59" s="16"/>
      <c r="WD59" s="16"/>
      <c r="WE59" s="16"/>
      <c r="WF59" s="16"/>
      <c r="WG59" s="16"/>
      <c r="WH59" s="16"/>
      <c r="WI59" s="16"/>
      <c r="WJ59" s="16"/>
      <c r="WK59" s="16"/>
      <c r="WL59" s="16"/>
      <c r="WM59" s="16"/>
      <c r="WN59" s="16"/>
      <c r="WO59" s="16"/>
      <c r="WP59" s="16"/>
      <c r="WQ59" s="16"/>
      <c r="WR59" s="16"/>
      <c r="WS59" s="16"/>
      <c r="WT59" s="16"/>
      <c r="WU59" s="16"/>
      <c r="WV59" s="16"/>
      <c r="WW59" s="16"/>
      <c r="WX59" s="16"/>
      <c r="WY59" s="16"/>
      <c r="WZ59" s="16"/>
      <c r="XA59" s="16"/>
      <c r="XB59" s="16"/>
      <c r="XC59" s="16"/>
      <c r="XD59" s="16"/>
      <c r="XE59" s="16"/>
      <c r="XF59" s="16"/>
      <c r="XG59" s="16"/>
      <c r="XH59" s="16"/>
      <c r="XI59" s="16"/>
      <c r="XJ59" s="16"/>
      <c r="XK59" s="16"/>
      <c r="XL59" s="16"/>
      <c r="XM59" s="16"/>
      <c r="XN59" s="16"/>
      <c r="XO59" s="16"/>
      <c r="XP59" s="16"/>
      <c r="XQ59" s="16"/>
      <c r="XR59" s="16"/>
      <c r="XS59" s="16"/>
      <c r="XT59" s="16"/>
      <c r="XU59" s="16"/>
      <c r="XV59" s="16"/>
      <c r="XW59" s="16"/>
      <c r="XX59" s="16"/>
      <c r="XY59" s="16"/>
      <c r="XZ59" s="16"/>
      <c r="YA59" s="16"/>
      <c r="YB59" s="16"/>
      <c r="YC59" s="16"/>
      <c r="YD59" s="16"/>
      <c r="YE59" s="16"/>
      <c r="YF59" s="16"/>
      <c r="YG59" s="16"/>
      <c r="YH59" s="16"/>
      <c r="YI59" s="16"/>
      <c r="YJ59" s="16"/>
      <c r="YK59" s="16"/>
      <c r="YL59" s="16"/>
      <c r="YM59" s="16"/>
      <c r="YN59" s="16"/>
      <c r="YO59" s="16"/>
      <c r="YP59" s="16"/>
      <c r="YQ59" s="16"/>
      <c r="YR59" s="16"/>
      <c r="YS59" s="16"/>
      <c r="YT59" s="16"/>
      <c r="YU59" s="16"/>
      <c r="YV59" s="16"/>
      <c r="YW59" s="16"/>
      <c r="YX59" s="16"/>
      <c r="YY59" s="16"/>
      <c r="YZ59" s="16"/>
      <c r="ZA59" s="16"/>
      <c r="ZB59" s="16"/>
      <c r="ZC59" s="16"/>
      <c r="ZD59" s="16"/>
      <c r="ZE59" s="16"/>
      <c r="ZF59" s="16"/>
      <c r="ZG59" s="16"/>
      <c r="ZH59" s="16"/>
      <c r="ZI59" s="16"/>
      <c r="ZJ59" s="16"/>
      <c r="ZK59" s="16"/>
      <c r="ZL59" s="16"/>
      <c r="ZM59" s="16"/>
      <c r="ZN59" s="16"/>
      <c r="ZO59" s="16"/>
      <c r="ZP59" s="16"/>
      <c r="ZQ59" s="16"/>
      <c r="ZR59" s="16"/>
      <c r="ZS59" s="16"/>
      <c r="ZT59" s="16"/>
      <c r="ZU59" s="16"/>
      <c r="ZV59" s="16"/>
      <c r="ZW59" s="16"/>
      <c r="ZX59" s="16"/>
      <c r="ZY59" s="16"/>
      <c r="ZZ59" s="16"/>
      <c r="AAA59" s="16"/>
      <c r="AAB59" s="16"/>
      <c r="AAC59" s="16"/>
      <c r="AAD59" s="16"/>
      <c r="AAE59" s="16"/>
      <c r="AAF59" s="16"/>
      <c r="AAG59" s="16"/>
      <c r="AAH59" s="16"/>
      <c r="AAI59" s="16"/>
      <c r="AAJ59" s="16"/>
      <c r="AAK59" s="16"/>
      <c r="AAL59" s="16"/>
      <c r="AAM59" s="16"/>
      <c r="AAN59" s="16"/>
      <c r="AAO59" s="16"/>
      <c r="AAP59" s="16"/>
      <c r="AAQ59" s="16"/>
      <c r="AAR59" s="16"/>
      <c r="AAS59" s="16"/>
      <c r="AAT59" s="16"/>
      <c r="AAU59" s="16"/>
      <c r="AAV59" s="16"/>
      <c r="AAW59" s="16"/>
      <c r="AAX59" s="16"/>
      <c r="AAY59" s="16"/>
      <c r="AAZ59" s="16"/>
      <c r="ABA59" s="16"/>
      <c r="ABB59" s="16"/>
      <c r="ABC59" s="16"/>
      <c r="ABD59" s="16"/>
      <c r="ABE59" s="16"/>
      <c r="ABF59" s="16"/>
      <c r="ABG59" s="16"/>
      <c r="ABH59" s="16"/>
      <c r="ABI59" s="16"/>
      <c r="ABJ59" s="16"/>
      <c r="ABK59" s="16"/>
      <c r="ABL59" s="16"/>
      <c r="ABM59" s="16"/>
      <c r="ABN59" s="16"/>
      <c r="ABO59" s="16"/>
      <c r="ABP59" s="16"/>
      <c r="ABQ59" s="16"/>
      <c r="ABR59" s="16"/>
      <c r="ABS59" s="16"/>
      <c r="ABT59" s="16"/>
      <c r="ABU59" s="16"/>
      <c r="ABV59" s="16"/>
      <c r="ABW59" s="16"/>
      <c r="ABX59" s="16"/>
      <c r="ABY59" s="16"/>
      <c r="ABZ59" s="16"/>
      <c r="ACA59" s="16"/>
      <c r="ACB59" s="16"/>
      <c r="ACC59" s="16"/>
      <c r="ACD59" s="16"/>
      <c r="ACE59" s="16"/>
      <c r="ACF59" s="16"/>
      <c r="ACG59" s="16"/>
      <c r="ACH59" s="16"/>
      <c r="ACI59" s="16"/>
      <c r="ACJ59" s="16"/>
      <c r="ACK59" s="16"/>
      <c r="ACL59" s="16"/>
      <c r="ACM59" s="16"/>
      <c r="ACN59" s="16"/>
      <c r="ACO59" s="16"/>
      <c r="ACP59" s="16"/>
      <c r="ACQ59" s="16"/>
      <c r="ACR59" s="16"/>
      <c r="ACS59" s="16"/>
      <c r="ACT59" s="16"/>
      <c r="ACU59" s="16"/>
      <c r="ACV59" s="16"/>
      <c r="ACW59" s="16"/>
      <c r="ACX59" s="16"/>
      <c r="ACY59" s="16"/>
      <c r="ACZ59" s="16"/>
      <c r="ADA59" s="16"/>
      <c r="ADB59" s="16"/>
      <c r="ADC59" s="16"/>
      <c r="ADD59" s="16"/>
      <c r="ADE59" s="16"/>
      <c r="ADF59" s="16"/>
      <c r="ADG59" s="16"/>
      <c r="ADH59" s="16"/>
      <c r="ADI59" s="16"/>
      <c r="ADJ59" s="16"/>
      <c r="ADK59" s="16"/>
      <c r="ADL59" s="16"/>
      <c r="ADM59" s="16"/>
      <c r="ADN59" s="16"/>
      <c r="ADO59" s="16"/>
      <c r="ADP59" s="16"/>
      <c r="ADQ59" s="16"/>
      <c r="ADR59" s="16"/>
      <c r="ADS59" s="16"/>
      <c r="ADT59" s="16"/>
      <c r="ADU59" s="16"/>
      <c r="ADV59" s="16"/>
      <c r="ADW59" s="16"/>
      <c r="ADX59" s="16"/>
      <c r="ADY59" s="16"/>
      <c r="ADZ59" s="16"/>
      <c r="AEA59" s="16"/>
      <c r="AEB59" s="16"/>
      <c r="AEC59" s="16"/>
      <c r="AED59" s="16"/>
      <c r="AEE59" s="16"/>
      <c r="AEF59" s="16"/>
      <c r="AEG59" s="16"/>
      <c r="AEH59" s="16"/>
      <c r="AEI59" s="16"/>
      <c r="AEJ59" s="16"/>
      <c r="AEK59" s="16"/>
      <c r="AEL59" s="16"/>
      <c r="AEM59" s="16"/>
      <c r="AEN59" s="16"/>
      <c r="AEO59" s="16"/>
      <c r="AEP59" s="16"/>
      <c r="AEQ59" s="16"/>
      <c r="AER59" s="16"/>
      <c r="AES59" s="16"/>
      <c r="AET59" s="16"/>
      <c r="AEU59" s="16"/>
      <c r="AEV59" s="16"/>
      <c r="AEW59" s="16"/>
      <c r="AEX59" s="16"/>
      <c r="AEY59" s="16"/>
      <c r="AEZ59" s="16"/>
      <c r="AFA59" s="16"/>
      <c r="AFB59" s="16"/>
      <c r="AFC59" s="16"/>
      <c r="AFD59" s="16"/>
      <c r="AFE59" s="16"/>
      <c r="AFF59" s="16"/>
      <c r="AFG59" s="16"/>
      <c r="AFH59" s="16"/>
      <c r="AFI59" s="16"/>
      <c r="AFJ59" s="16"/>
      <c r="AFK59" s="16"/>
      <c r="AFL59" s="16"/>
      <c r="AFM59" s="16"/>
      <c r="AFN59" s="16"/>
      <c r="AFO59" s="16"/>
      <c r="AFP59" s="16"/>
      <c r="AFQ59" s="16"/>
      <c r="AFR59" s="16"/>
      <c r="AFS59" s="16"/>
      <c r="AFT59" s="16"/>
      <c r="AFU59" s="16"/>
      <c r="AFV59" s="16"/>
      <c r="AFW59" s="16"/>
      <c r="AFX59" s="16"/>
      <c r="AFY59" s="16"/>
      <c r="AFZ59" s="16"/>
      <c r="AGA59" s="16"/>
      <c r="AGB59" s="16"/>
      <c r="AGC59" s="16"/>
      <c r="AGD59" s="16"/>
      <c r="AGE59" s="16"/>
      <c r="AGF59" s="16"/>
      <c r="AGG59" s="16"/>
      <c r="AGH59" s="16"/>
      <c r="AGI59" s="16"/>
      <c r="AGJ59" s="16"/>
      <c r="AGK59" s="16"/>
      <c r="AGL59" s="16"/>
      <c r="AGM59" s="16"/>
      <c r="AGN59" s="16"/>
      <c r="AGO59" s="16"/>
      <c r="AGP59" s="16"/>
      <c r="AGQ59" s="16"/>
      <c r="AGR59" s="16"/>
      <c r="AGS59" s="16"/>
      <c r="AGT59" s="16"/>
      <c r="AGU59" s="16"/>
      <c r="AGV59" s="16"/>
      <c r="AGW59" s="16"/>
      <c r="AGX59" s="16"/>
      <c r="AGY59" s="16"/>
      <c r="AGZ59" s="16"/>
      <c r="AHA59" s="16"/>
      <c r="AHB59" s="16"/>
      <c r="AHC59" s="16"/>
      <c r="AHD59" s="16"/>
      <c r="AHE59" s="16"/>
      <c r="AHF59" s="16"/>
      <c r="AHG59" s="16"/>
      <c r="AHH59" s="16"/>
      <c r="AHI59" s="16"/>
      <c r="AHJ59" s="16"/>
      <c r="AHK59" s="16"/>
      <c r="AHL59" s="16"/>
      <c r="AHM59" s="16"/>
      <c r="AHN59" s="16"/>
      <c r="AHO59" s="16"/>
      <c r="AHP59" s="16"/>
      <c r="AHQ59" s="16"/>
      <c r="AHR59" s="16"/>
      <c r="AHS59" s="16"/>
      <c r="AHT59" s="16"/>
      <c r="AHU59" s="16"/>
      <c r="AHV59" s="16"/>
      <c r="AHW59" s="16"/>
      <c r="AHX59" s="16"/>
      <c r="AHY59" s="16"/>
      <c r="AHZ59" s="16"/>
      <c r="AIA59" s="16"/>
      <c r="AIB59" s="16"/>
      <c r="AIC59" s="16"/>
      <c r="AID59" s="16"/>
      <c r="AIE59" s="16"/>
      <c r="AIF59" s="16"/>
      <c r="AIG59" s="16"/>
      <c r="AIH59" s="16"/>
      <c r="AII59" s="16"/>
      <c r="AIJ59" s="16"/>
      <c r="AIK59" s="16"/>
      <c r="AIL59" s="16"/>
      <c r="AIM59" s="16"/>
      <c r="AIN59" s="16"/>
      <c r="AIO59" s="16"/>
      <c r="AIP59" s="16"/>
      <c r="AIQ59" s="16"/>
      <c r="AIR59" s="16"/>
      <c r="AIS59" s="16"/>
      <c r="AIT59" s="16"/>
      <c r="AIU59" s="16"/>
      <c r="AIV59" s="16"/>
      <c r="AIW59" s="16"/>
      <c r="AIX59" s="16"/>
      <c r="AIY59" s="16"/>
      <c r="AIZ59" s="16"/>
      <c r="AJA59" s="16"/>
      <c r="AJB59" s="16"/>
      <c r="AJC59" s="16"/>
      <c r="AJD59" s="16"/>
      <c r="AJE59" s="16"/>
      <c r="AJF59" s="16"/>
      <c r="AJG59" s="16"/>
      <c r="AJH59" s="16"/>
      <c r="AJI59" s="16"/>
      <c r="AJJ59" s="16"/>
      <c r="AJK59" s="16"/>
      <c r="AJL59" s="16"/>
      <c r="AJM59" s="16"/>
      <c r="AJN59" s="16"/>
      <c r="AJO59" s="16"/>
      <c r="AJP59" s="16"/>
      <c r="AJQ59" s="16"/>
      <c r="AJR59" s="16"/>
      <c r="AJS59" s="16"/>
      <c r="AJT59" s="16"/>
      <c r="AJU59" s="16"/>
      <c r="AJV59" s="16"/>
      <c r="AJW59" s="16"/>
      <c r="AJX59" s="16"/>
      <c r="AJY59" s="16"/>
      <c r="AJZ59" s="16"/>
      <c r="AKA59" s="16"/>
      <c r="AKB59" s="16"/>
      <c r="AKC59" s="16"/>
      <c r="AKD59" s="16"/>
      <c r="AKE59" s="16"/>
      <c r="AKF59" s="16"/>
      <c r="AKG59" s="16"/>
      <c r="AKH59" s="16"/>
      <c r="AKI59" s="16"/>
      <c r="AKJ59" s="16"/>
      <c r="AKK59" s="16"/>
      <c r="AKL59" s="16"/>
      <c r="AKM59" s="16"/>
      <c r="AKN59" s="16"/>
      <c r="AKO59" s="16"/>
      <c r="AKP59" s="16"/>
      <c r="AKQ59" s="16"/>
      <c r="AKR59" s="16"/>
      <c r="AKS59" s="16"/>
      <c r="AKT59" s="16"/>
      <c r="AKU59" s="16"/>
      <c r="AKV59" s="16"/>
      <c r="AKW59" s="16"/>
      <c r="AKX59" s="16"/>
      <c r="AKY59" s="16"/>
      <c r="AKZ59" s="16"/>
      <c r="ALA59" s="16"/>
      <c r="ALB59" s="16"/>
      <c r="ALC59" s="16"/>
      <c r="ALD59" s="16"/>
      <c r="ALE59" s="16"/>
      <c r="ALF59" s="16"/>
      <c r="ALG59" s="16"/>
      <c r="ALH59" s="16"/>
      <c r="ALI59" s="16"/>
      <c r="ALJ59" s="16"/>
      <c r="ALK59" s="16"/>
      <c r="ALL59" s="16"/>
      <c r="ALM59" s="16"/>
      <c r="ALN59" s="16"/>
      <c r="ALO59" s="16"/>
      <c r="ALP59" s="16"/>
      <c r="ALQ59" s="16"/>
      <c r="ALR59" s="16"/>
      <c r="ALS59" s="16"/>
      <c r="ALT59" s="16"/>
      <c r="ALU59" s="16"/>
      <c r="ALV59" s="16"/>
      <c r="ALW59" s="16"/>
      <c r="ALX59" s="16"/>
      <c r="ALY59" s="16"/>
      <c r="ALZ59" s="16"/>
      <c r="AMA59" s="16"/>
      <c r="AMB59" s="16"/>
      <c r="AMC59" s="16"/>
      <c r="AMD59" s="16"/>
      <c r="AME59" s="16"/>
      <c r="AMF59" s="16"/>
      <c r="AMG59" s="16"/>
      <c r="AMH59" s="16"/>
      <c r="AMI59" s="16"/>
      <c r="AMJ59" s="16"/>
      <c r="AMK59" s="16"/>
      <c r="AML59" s="16"/>
      <c r="AMM59" s="16"/>
      <c r="AMN59" s="16"/>
      <c r="AMO59" s="16"/>
      <c r="AMP59" s="16"/>
      <c r="AMQ59" s="16"/>
      <c r="AMR59" s="16"/>
      <c r="AMS59" s="16"/>
      <c r="AMT59" s="16"/>
      <c r="AMU59" s="16"/>
      <c r="AMV59" s="16"/>
      <c r="AMW59" s="16"/>
      <c r="AMX59" s="16"/>
      <c r="AMY59" s="16"/>
      <c r="AMZ59" s="16"/>
      <c r="ANA59" s="16"/>
      <c r="ANB59" s="16"/>
      <c r="ANC59" s="16"/>
      <c r="AND59" s="16"/>
      <c r="ANE59" s="16"/>
      <c r="ANF59" s="16"/>
      <c r="ANG59" s="16"/>
      <c r="ANH59" s="16"/>
      <c r="ANI59" s="16"/>
      <c r="ANJ59" s="16"/>
      <c r="ANK59" s="16"/>
      <c r="ANL59" s="16"/>
      <c r="ANM59" s="16"/>
      <c r="ANN59" s="16"/>
      <c r="ANO59" s="16"/>
      <c r="ANP59" s="16"/>
      <c r="ANQ59" s="16"/>
      <c r="ANR59" s="16"/>
      <c r="ANS59" s="16"/>
      <c r="ANT59" s="16"/>
      <c r="ANU59" s="16"/>
      <c r="ANV59" s="16"/>
      <c r="ANW59" s="16"/>
      <c r="ANX59" s="16"/>
      <c r="ANY59" s="16"/>
      <c r="ANZ59" s="16"/>
      <c r="AOA59" s="16"/>
      <c r="AOB59" s="16"/>
      <c r="AOC59" s="16"/>
      <c r="AOD59" s="16"/>
      <c r="AOE59" s="16"/>
      <c r="AOF59" s="16"/>
      <c r="AOG59" s="16"/>
      <c r="AOH59" s="16"/>
      <c r="AOI59" s="16"/>
      <c r="AOJ59" s="16"/>
      <c r="AOK59" s="16"/>
      <c r="AOL59" s="16"/>
      <c r="AOM59" s="16"/>
      <c r="AON59" s="16"/>
      <c r="AOO59" s="16"/>
      <c r="AOP59" s="16"/>
      <c r="AOQ59" s="16"/>
      <c r="AOR59" s="16"/>
      <c r="AOS59" s="16"/>
      <c r="AOT59" s="16"/>
      <c r="AOU59" s="16"/>
      <c r="AOV59" s="16"/>
      <c r="AOW59" s="16"/>
      <c r="AOX59" s="16"/>
      <c r="AOY59" s="16"/>
      <c r="AOZ59" s="16"/>
      <c r="APA59" s="16"/>
      <c r="APB59" s="16"/>
      <c r="APC59" s="16"/>
      <c r="APD59" s="16"/>
      <c r="APE59" s="16"/>
      <c r="APF59" s="16"/>
      <c r="APG59" s="16"/>
      <c r="APH59" s="16"/>
      <c r="API59" s="16"/>
      <c r="APJ59" s="16"/>
      <c r="APK59" s="16"/>
      <c r="APL59" s="16"/>
      <c r="APM59" s="16"/>
      <c r="APN59" s="16"/>
      <c r="APO59" s="16"/>
      <c r="APP59" s="16"/>
      <c r="APQ59" s="16"/>
      <c r="APR59" s="16"/>
      <c r="APS59" s="16"/>
      <c r="APT59" s="16"/>
      <c r="APU59" s="16"/>
      <c r="APV59" s="16"/>
      <c r="APW59" s="16"/>
      <c r="APX59" s="16"/>
      <c r="APY59" s="16"/>
      <c r="APZ59" s="16"/>
      <c r="AQA59" s="16"/>
      <c r="AQB59" s="16"/>
      <c r="AQC59" s="16"/>
      <c r="AQD59" s="16"/>
      <c r="AQE59" s="16"/>
      <c r="AQF59" s="16"/>
      <c r="AQG59" s="16"/>
      <c r="AQH59" s="16"/>
      <c r="AQI59" s="16"/>
      <c r="AQJ59" s="16"/>
      <c r="AQK59" s="16"/>
      <c r="AQL59" s="16"/>
      <c r="AQM59" s="16"/>
      <c r="AQN59" s="16"/>
      <c r="AQO59" s="16"/>
      <c r="AQP59" s="16"/>
      <c r="AQQ59" s="16"/>
      <c r="AQR59" s="16"/>
      <c r="AQS59" s="16"/>
      <c r="AQT59" s="16"/>
      <c r="AQU59" s="16"/>
      <c r="AQV59" s="16"/>
      <c r="AQW59" s="16"/>
      <c r="AQX59" s="16"/>
      <c r="AQY59" s="16"/>
      <c r="AQZ59" s="16"/>
      <c r="ARA59" s="16"/>
      <c r="ARB59" s="16"/>
      <c r="ARC59" s="16"/>
      <c r="ARD59" s="16"/>
      <c r="ARE59" s="16"/>
      <c r="ARF59" s="16"/>
      <c r="ARG59" s="16"/>
      <c r="ARH59" s="16"/>
      <c r="ARI59" s="16"/>
      <c r="ARJ59" s="16"/>
      <c r="ARK59" s="16"/>
      <c r="ARL59" s="16"/>
      <c r="ARM59" s="16"/>
      <c r="ARN59" s="16"/>
      <c r="ARO59" s="16"/>
      <c r="ARP59" s="16"/>
      <c r="ARQ59" s="16"/>
      <c r="ARR59" s="16"/>
      <c r="ARS59" s="16"/>
      <c r="ART59" s="16"/>
      <c r="ARU59" s="16"/>
      <c r="ARV59" s="16"/>
      <c r="ARW59" s="16"/>
      <c r="ARX59" s="16"/>
      <c r="ARY59" s="16"/>
      <c r="ARZ59" s="16"/>
      <c r="ASA59" s="16"/>
      <c r="ASB59" s="16"/>
      <c r="ASC59" s="16"/>
      <c r="ASD59" s="16"/>
      <c r="ASE59" s="16"/>
      <c r="ASF59" s="16"/>
      <c r="ASG59" s="16"/>
      <c r="ASH59" s="16"/>
      <c r="ASI59" s="16"/>
      <c r="ASJ59" s="16"/>
      <c r="ASK59" s="16"/>
      <c r="ASL59" s="16"/>
      <c r="ASM59" s="16"/>
      <c r="ASN59" s="16"/>
      <c r="ASO59" s="16"/>
      <c r="ASP59" s="16"/>
      <c r="ASQ59" s="16"/>
      <c r="ASR59" s="16"/>
      <c r="ASS59" s="16"/>
      <c r="AST59" s="16"/>
      <c r="ASU59" s="16"/>
      <c r="ASV59" s="16"/>
      <c r="ASW59" s="16"/>
      <c r="ASX59" s="16"/>
      <c r="ASY59" s="16"/>
      <c r="ASZ59" s="16"/>
      <c r="ATA59" s="16"/>
      <c r="ATB59" s="16"/>
      <c r="ATC59" s="16"/>
      <c r="ATD59" s="16"/>
      <c r="ATE59" s="16"/>
      <c r="ATF59" s="16"/>
      <c r="ATG59" s="16"/>
      <c r="ATH59" s="16"/>
      <c r="ATI59" s="16"/>
      <c r="ATJ59" s="16"/>
      <c r="ATK59" s="16"/>
      <c r="ATL59" s="16"/>
      <c r="ATM59" s="16"/>
      <c r="ATN59" s="16"/>
      <c r="ATO59" s="16"/>
      <c r="ATP59" s="16"/>
      <c r="ATQ59" s="16"/>
      <c r="ATR59" s="16"/>
      <c r="ATS59" s="16"/>
      <c r="ATT59" s="16"/>
      <c r="ATU59" s="16"/>
      <c r="ATV59" s="16"/>
      <c r="ATW59" s="16"/>
      <c r="ATX59" s="16"/>
      <c r="ATY59" s="16"/>
      <c r="ATZ59" s="16"/>
      <c r="AUA59" s="16"/>
      <c r="AUB59" s="16"/>
      <c r="AUC59" s="16"/>
      <c r="AUD59" s="16"/>
      <c r="AUE59" s="16"/>
      <c r="AUF59" s="16"/>
      <c r="AUG59" s="16"/>
      <c r="AUH59" s="16"/>
      <c r="AUI59" s="16"/>
      <c r="AUJ59" s="16"/>
      <c r="AUK59" s="16"/>
      <c r="AUL59" s="16"/>
      <c r="AUM59" s="16"/>
      <c r="AUN59" s="16"/>
      <c r="AUO59" s="16"/>
      <c r="AUP59" s="16"/>
      <c r="AUQ59" s="16"/>
      <c r="AUR59" s="16"/>
      <c r="AUS59" s="16"/>
      <c r="AUT59" s="16"/>
      <c r="AUU59" s="16"/>
      <c r="AUV59" s="16"/>
      <c r="AUW59" s="16"/>
      <c r="AUX59" s="16"/>
      <c r="AUY59" s="16"/>
      <c r="AUZ59" s="16"/>
      <c r="AVA59" s="16"/>
      <c r="AVB59" s="16"/>
      <c r="AVC59" s="16"/>
      <c r="AVD59" s="16"/>
      <c r="AVE59" s="16"/>
      <c r="AVF59" s="16"/>
      <c r="AVG59" s="16"/>
      <c r="AVH59" s="16"/>
      <c r="AVI59" s="16"/>
      <c r="AVJ59" s="16"/>
      <c r="AVK59" s="16"/>
      <c r="AVL59" s="16"/>
      <c r="AVM59" s="16"/>
      <c r="AVN59" s="16"/>
      <c r="AVO59" s="16"/>
      <c r="AVP59" s="16"/>
      <c r="AVQ59" s="16"/>
      <c r="AVR59" s="16"/>
      <c r="AVS59" s="16"/>
      <c r="AVT59" s="16"/>
      <c r="AVU59" s="16"/>
      <c r="AVV59" s="16"/>
      <c r="AVW59" s="16"/>
      <c r="AVX59" s="16"/>
      <c r="AVY59" s="16"/>
      <c r="AVZ59" s="16"/>
      <c r="AWA59" s="16"/>
      <c r="AWB59" s="16"/>
      <c r="AWC59" s="16"/>
      <c r="AWD59" s="16"/>
      <c r="AWE59" s="16"/>
      <c r="AWF59" s="16"/>
      <c r="AWG59" s="16"/>
      <c r="AWH59" s="16"/>
      <c r="AWI59" s="16"/>
      <c r="AWJ59" s="16"/>
      <c r="AWK59" s="16"/>
      <c r="AWL59" s="16"/>
      <c r="AWM59" s="16"/>
      <c r="AWN59" s="16"/>
      <c r="AWO59" s="16"/>
      <c r="AWP59" s="16"/>
      <c r="AWQ59" s="16"/>
      <c r="AWR59" s="16"/>
      <c r="AWS59" s="16"/>
      <c r="AWT59" s="16"/>
      <c r="AWU59" s="16"/>
      <c r="AWV59" s="16"/>
      <c r="AWW59" s="16"/>
      <c r="AWX59" s="16"/>
      <c r="AWY59" s="16"/>
      <c r="AWZ59" s="16"/>
      <c r="AXA59" s="16"/>
      <c r="AXB59" s="16"/>
      <c r="AXC59" s="16"/>
      <c r="AXD59" s="16"/>
      <c r="AXE59" s="16"/>
      <c r="AXF59" s="16"/>
      <c r="AXG59" s="16"/>
      <c r="AXH59" s="16"/>
      <c r="AXI59" s="16"/>
      <c r="AXJ59" s="16"/>
      <c r="AXK59" s="16"/>
      <c r="AXL59" s="16"/>
      <c r="AXM59" s="16"/>
      <c r="AXN59" s="16"/>
      <c r="AXO59" s="16"/>
      <c r="AXP59" s="16"/>
      <c r="AXQ59" s="16"/>
      <c r="AXR59" s="16"/>
      <c r="AXS59" s="16"/>
      <c r="AXT59" s="16"/>
      <c r="AXU59" s="16"/>
      <c r="AXV59" s="16"/>
      <c r="AXW59" s="16"/>
      <c r="AXX59" s="16"/>
      <c r="AXY59" s="16"/>
      <c r="AXZ59" s="16"/>
      <c r="AYA59" s="16"/>
      <c r="AYB59" s="16"/>
      <c r="AYC59" s="16"/>
      <c r="AYD59" s="16"/>
      <c r="AYE59" s="16"/>
      <c r="AYF59" s="16"/>
      <c r="AYG59" s="16"/>
      <c r="AYH59" s="16"/>
      <c r="AYI59" s="16"/>
      <c r="AYJ59" s="16"/>
      <c r="AYK59" s="16"/>
      <c r="AYL59" s="16"/>
      <c r="AYM59" s="16"/>
      <c r="AYN59" s="16"/>
      <c r="AYO59" s="16"/>
      <c r="AYP59" s="16"/>
      <c r="AYQ59" s="16"/>
      <c r="AYR59" s="16"/>
      <c r="AYS59" s="16"/>
      <c r="AYT59" s="16"/>
      <c r="AYU59" s="16"/>
      <c r="AYV59" s="16"/>
      <c r="AYW59" s="16"/>
      <c r="AYX59" s="16"/>
      <c r="AYY59" s="16"/>
      <c r="AYZ59" s="16"/>
      <c r="AZA59" s="16"/>
      <c r="AZB59" s="16"/>
      <c r="AZC59" s="16"/>
      <c r="AZD59" s="16"/>
      <c r="AZE59" s="16"/>
      <c r="AZF59" s="16"/>
      <c r="AZG59" s="16"/>
      <c r="AZH59" s="16"/>
      <c r="AZI59" s="16"/>
      <c r="AZJ59" s="16"/>
      <c r="AZK59" s="16"/>
      <c r="AZL59" s="16"/>
      <c r="AZM59" s="16"/>
      <c r="AZN59" s="16"/>
      <c r="AZO59" s="16"/>
      <c r="AZP59" s="16"/>
      <c r="AZQ59" s="16"/>
      <c r="AZR59" s="16"/>
      <c r="AZS59" s="16"/>
      <c r="AZT59" s="16"/>
      <c r="AZU59" s="16"/>
      <c r="AZV59" s="16"/>
      <c r="AZW59" s="16"/>
      <c r="AZX59" s="16"/>
      <c r="AZY59" s="16"/>
      <c r="AZZ59" s="16"/>
      <c r="BAA59" s="16"/>
      <c r="BAB59" s="16"/>
      <c r="BAC59" s="16"/>
      <c r="BAD59" s="16"/>
      <c r="BAE59" s="16"/>
      <c r="BAF59" s="16"/>
      <c r="BAG59" s="16"/>
      <c r="BAH59" s="16"/>
      <c r="BAI59" s="16"/>
      <c r="BAJ59" s="16"/>
      <c r="BAK59" s="16"/>
      <c r="BAL59" s="16"/>
      <c r="BAM59" s="16"/>
      <c r="BAN59" s="16"/>
      <c r="BAO59" s="16"/>
      <c r="BAP59" s="16"/>
      <c r="BAQ59" s="16"/>
      <c r="BAR59" s="16"/>
      <c r="BAS59" s="16"/>
      <c r="BAT59" s="16"/>
      <c r="BAU59" s="16"/>
      <c r="BAV59" s="16"/>
      <c r="BAW59" s="16"/>
      <c r="BAX59" s="16"/>
      <c r="BAY59" s="16"/>
      <c r="BAZ59" s="16"/>
      <c r="BBA59" s="16"/>
      <c r="BBB59" s="16"/>
      <c r="BBC59" s="16"/>
      <c r="BBD59" s="16"/>
      <c r="BBE59" s="16"/>
      <c r="BBF59" s="16"/>
      <c r="BBG59" s="16"/>
      <c r="BBH59" s="16"/>
      <c r="BBI59" s="16"/>
      <c r="BBJ59" s="16"/>
      <c r="BBK59" s="16"/>
      <c r="BBL59" s="16"/>
      <c r="BBM59" s="16"/>
      <c r="BBN59" s="16"/>
      <c r="BBO59" s="16"/>
      <c r="BBP59" s="16"/>
      <c r="BBQ59" s="16"/>
      <c r="BBR59" s="16"/>
      <c r="BBS59" s="16"/>
      <c r="BBT59" s="16"/>
      <c r="BBU59" s="16"/>
      <c r="BBV59" s="16"/>
      <c r="BBW59" s="16"/>
      <c r="BBX59" s="16"/>
      <c r="BBY59" s="16"/>
      <c r="BBZ59" s="16"/>
      <c r="BCA59" s="16"/>
      <c r="BCB59" s="16"/>
      <c r="BCC59" s="16"/>
      <c r="BCD59" s="16"/>
      <c r="BCE59" s="16"/>
      <c r="BCF59" s="16"/>
      <c r="BCG59" s="16"/>
      <c r="BCH59" s="16"/>
      <c r="BCI59" s="16"/>
      <c r="BCJ59" s="16"/>
      <c r="BCK59" s="16"/>
      <c r="BCL59" s="16"/>
      <c r="BCM59" s="16"/>
      <c r="BCN59" s="16"/>
      <c r="BCO59" s="16"/>
      <c r="BCP59" s="16"/>
      <c r="BCQ59" s="16"/>
      <c r="BCR59" s="16"/>
      <c r="BCS59" s="16"/>
      <c r="BCT59" s="16"/>
      <c r="BCU59" s="16"/>
      <c r="BCV59" s="16"/>
      <c r="BCW59" s="16"/>
      <c r="BCX59" s="16"/>
      <c r="BCY59" s="16"/>
      <c r="BCZ59" s="16"/>
      <c r="BDA59" s="16"/>
      <c r="BDB59" s="16"/>
      <c r="BDC59" s="16"/>
      <c r="BDD59" s="16"/>
      <c r="BDE59" s="16"/>
      <c r="BDF59" s="16"/>
      <c r="BDG59" s="16"/>
      <c r="BDH59" s="16"/>
      <c r="BDI59" s="16"/>
      <c r="BDJ59" s="16"/>
      <c r="BDK59" s="16"/>
      <c r="BDL59" s="16"/>
      <c r="BDM59" s="16"/>
      <c r="BDN59" s="16"/>
      <c r="BDO59" s="16"/>
      <c r="BDP59" s="16"/>
      <c r="BDQ59" s="16"/>
      <c r="BDR59" s="16"/>
      <c r="BDS59" s="16"/>
      <c r="BDT59" s="16"/>
      <c r="BDU59" s="16"/>
      <c r="BDV59" s="16"/>
      <c r="BDW59" s="16"/>
      <c r="BDX59" s="16"/>
      <c r="BDY59" s="16"/>
      <c r="BDZ59" s="16"/>
      <c r="BEA59" s="16"/>
      <c r="BEB59" s="16"/>
      <c r="BEC59" s="16"/>
      <c r="BED59" s="16"/>
      <c r="BEE59" s="16"/>
      <c r="BEF59" s="16"/>
      <c r="BEG59" s="16"/>
      <c r="BEH59" s="16"/>
      <c r="BEI59" s="16"/>
      <c r="BEJ59" s="16"/>
      <c r="BEK59" s="16"/>
      <c r="BEL59" s="16"/>
      <c r="BEM59" s="16"/>
      <c r="BEN59" s="16"/>
      <c r="BEO59" s="16"/>
      <c r="BEP59" s="16"/>
      <c r="BEQ59" s="16"/>
      <c r="BER59" s="16"/>
      <c r="BES59" s="16"/>
      <c r="BET59" s="16"/>
      <c r="BEU59" s="16"/>
      <c r="BEV59" s="16"/>
      <c r="BEW59" s="16"/>
      <c r="BEX59" s="16"/>
      <c r="BEY59" s="16"/>
      <c r="BEZ59" s="16"/>
      <c r="BFA59" s="16"/>
      <c r="BFB59" s="16"/>
      <c r="BFC59" s="16"/>
      <c r="BFD59" s="16"/>
      <c r="BFE59" s="16"/>
      <c r="BFF59" s="16"/>
      <c r="BFG59" s="16"/>
      <c r="BFH59" s="16"/>
      <c r="BFI59" s="16"/>
      <c r="BFJ59" s="16"/>
      <c r="BFK59" s="16"/>
      <c r="BFL59" s="16"/>
      <c r="BFM59" s="16"/>
      <c r="BFN59" s="16"/>
      <c r="BFO59" s="16"/>
      <c r="BFP59" s="16"/>
      <c r="BFQ59" s="16"/>
      <c r="BFR59" s="16"/>
      <c r="BFS59" s="16"/>
      <c r="BFT59" s="16"/>
      <c r="BFU59" s="16"/>
      <c r="BFV59" s="16"/>
      <c r="BFW59" s="16"/>
      <c r="BFX59" s="16"/>
      <c r="BFY59" s="16"/>
      <c r="BFZ59" s="16"/>
      <c r="BGA59" s="16"/>
      <c r="BGB59" s="16"/>
      <c r="BGC59" s="16"/>
      <c r="BGD59" s="16"/>
      <c r="BGE59" s="16"/>
      <c r="BGF59" s="16"/>
      <c r="BGG59" s="16"/>
      <c r="BGH59" s="16"/>
      <c r="BGI59" s="16"/>
      <c r="BGJ59" s="16"/>
      <c r="BGK59" s="16"/>
      <c r="BGL59" s="16"/>
      <c r="BGM59" s="16"/>
      <c r="BGN59" s="16"/>
      <c r="BGO59" s="16"/>
      <c r="BGP59" s="16"/>
      <c r="BGQ59" s="16"/>
      <c r="BGR59" s="16"/>
      <c r="BGS59" s="16"/>
      <c r="BGT59" s="16"/>
      <c r="BGU59" s="16"/>
      <c r="BGV59" s="16"/>
      <c r="BGW59" s="16"/>
      <c r="BGX59" s="16"/>
      <c r="BGY59" s="16"/>
      <c r="BGZ59" s="16"/>
      <c r="BHA59" s="16"/>
      <c r="BHB59" s="16"/>
      <c r="BHC59" s="16"/>
      <c r="BHD59" s="16"/>
      <c r="BHE59" s="16"/>
      <c r="BHF59" s="16"/>
      <c r="BHG59" s="16"/>
      <c r="BHH59" s="16"/>
      <c r="BHI59" s="16"/>
      <c r="BHJ59" s="16"/>
      <c r="BHK59" s="16"/>
      <c r="BHL59" s="16"/>
      <c r="BHM59" s="16"/>
      <c r="BHN59" s="16"/>
      <c r="BHO59" s="16"/>
      <c r="BHP59" s="16"/>
      <c r="BHQ59" s="16"/>
      <c r="BHR59" s="16"/>
      <c r="BHS59" s="16"/>
      <c r="BHT59" s="16"/>
      <c r="BHU59" s="16"/>
      <c r="BHV59" s="16"/>
      <c r="BHW59" s="16"/>
      <c r="BHX59" s="16"/>
      <c r="BHY59" s="16"/>
      <c r="BHZ59" s="16"/>
      <c r="BIA59" s="16"/>
      <c r="BIB59" s="16"/>
      <c r="BIC59" s="16"/>
      <c r="BID59" s="16"/>
      <c r="BIE59" s="16"/>
      <c r="BIF59" s="16"/>
      <c r="BIG59" s="16"/>
      <c r="BIH59" s="16"/>
      <c r="BII59" s="16"/>
      <c r="BIJ59" s="16"/>
      <c r="BIK59" s="16"/>
      <c r="BIL59" s="16"/>
      <c r="BIM59" s="16"/>
      <c r="BIN59" s="16"/>
      <c r="BIO59" s="16"/>
      <c r="BIP59" s="16"/>
      <c r="BIQ59" s="16"/>
      <c r="BIR59" s="16"/>
      <c r="BIS59" s="16"/>
      <c r="BIT59" s="16"/>
      <c r="BIU59" s="16"/>
      <c r="BIV59" s="16"/>
      <c r="BIW59" s="16"/>
      <c r="BIX59" s="16"/>
      <c r="BIY59" s="16"/>
      <c r="BIZ59" s="16"/>
      <c r="BJA59" s="16"/>
      <c r="BJB59" s="16"/>
      <c r="BJC59" s="16"/>
      <c r="BJD59" s="16"/>
      <c r="BJE59" s="16"/>
      <c r="BJF59" s="16"/>
      <c r="BJG59" s="16"/>
      <c r="BJH59" s="16"/>
      <c r="BJI59" s="16"/>
      <c r="BJJ59" s="16"/>
      <c r="BJK59" s="16"/>
      <c r="BJL59" s="16"/>
      <c r="BJM59" s="16"/>
      <c r="BJN59" s="16"/>
      <c r="BJO59" s="16"/>
      <c r="BJP59" s="16"/>
      <c r="BJQ59" s="16"/>
      <c r="BJR59" s="16"/>
      <c r="BJS59" s="16"/>
      <c r="BJT59" s="16"/>
      <c r="BJU59" s="16"/>
      <c r="BJV59" s="16"/>
      <c r="BJW59" s="16"/>
      <c r="BJX59" s="16"/>
      <c r="BJY59" s="16"/>
      <c r="BJZ59" s="16"/>
      <c r="BKA59" s="16"/>
      <c r="BKB59" s="16"/>
      <c r="BKC59" s="16"/>
      <c r="BKD59" s="16"/>
      <c r="BKE59" s="16"/>
      <c r="BKF59" s="16"/>
      <c r="BKG59" s="16"/>
      <c r="BKH59" s="16"/>
      <c r="BKI59" s="16"/>
      <c r="BKJ59" s="16"/>
      <c r="BKK59" s="16"/>
      <c r="BKL59" s="16"/>
      <c r="BKM59" s="16"/>
      <c r="BKN59" s="16"/>
      <c r="BKO59" s="16"/>
      <c r="BKP59" s="16"/>
      <c r="BKQ59" s="16"/>
      <c r="BKR59" s="16"/>
      <c r="BKS59" s="16"/>
      <c r="BKT59" s="16"/>
      <c r="BKU59" s="16"/>
      <c r="BKV59" s="16"/>
      <c r="BKW59" s="16"/>
      <c r="BKX59" s="16"/>
      <c r="BKY59" s="16"/>
      <c r="BKZ59" s="16"/>
      <c r="BLA59" s="16"/>
      <c r="BLB59" s="16"/>
      <c r="BLC59" s="16"/>
      <c r="BLD59" s="16"/>
      <c r="BLE59" s="16"/>
      <c r="BLF59" s="16"/>
      <c r="BLG59" s="16"/>
      <c r="BLH59" s="16"/>
      <c r="BLI59" s="16"/>
      <c r="BLJ59" s="16"/>
      <c r="BLK59" s="16"/>
      <c r="BLL59" s="16"/>
      <c r="BLM59" s="16"/>
      <c r="BLN59" s="16"/>
      <c r="BLO59" s="16"/>
      <c r="BLP59" s="16"/>
      <c r="BLQ59" s="16"/>
      <c r="BLR59" s="16"/>
      <c r="BLS59" s="16"/>
      <c r="BLT59" s="16"/>
      <c r="BLU59" s="16"/>
      <c r="BLV59" s="16"/>
      <c r="BLW59" s="16"/>
      <c r="BLX59" s="16"/>
      <c r="BLY59" s="16"/>
      <c r="BLZ59" s="16"/>
      <c r="BMA59" s="16"/>
      <c r="BMB59" s="16"/>
      <c r="BMC59" s="16"/>
      <c r="BMD59" s="16"/>
      <c r="BME59" s="16"/>
      <c r="BMF59" s="16"/>
      <c r="BMG59" s="16"/>
      <c r="BMH59" s="16"/>
      <c r="BMI59" s="16"/>
      <c r="BMJ59" s="16"/>
      <c r="BMK59" s="16"/>
      <c r="BML59" s="16"/>
      <c r="BMM59" s="16"/>
      <c r="BMN59" s="16"/>
      <c r="BMO59" s="16"/>
      <c r="BMP59" s="16"/>
      <c r="BMQ59" s="16"/>
      <c r="BMR59" s="16"/>
      <c r="BMS59" s="16"/>
      <c r="BMT59" s="16"/>
      <c r="BMU59" s="16"/>
      <c r="BMV59" s="16"/>
      <c r="BMW59" s="16"/>
      <c r="BMX59" s="16"/>
      <c r="BMY59" s="16"/>
      <c r="BMZ59" s="16"/>
      <c r="BNA59" s="16"/>
      <c r="BNB59" s="16"/>
      <c r="BNC59" s="16"/>
      <c r="BND59" s="16"/>
      <c r="BNE59" s="16"/>
      <c r="BNF59" s="16"/>
      <c r="BNG59" s="16"/>
      <c r="BNH59" s="16"/>
      <c r="BNI59" s="16"/>
      <c r="BNJ59" s="16"/>
      <c r="BNK59" s="16"/>
      <c r="BNL59" s="16"/>
      <c r="BNM59" s="16"/>
      <c r="BNN59" s="16"/>
      <c r="BNO59" s="16"/>
      <c r="BNP59" s="16"/>
      <c r="BNQ59" s="16"/>
      <c r="BNR59" s="16"/>
      <c r="BNS59" s="16"/>
      <c r="BNT59" s="16"/>
      <c r="BNU59" s="16"/>
      <c r="BNV59" s="16"/>
      <c r="BNW59" s="16"/>
      <c r="BNX59" s="16"/>
      <c r="BNY59" s="16"/>
      <c r="BNZ59" s="16"/>
      <c r="BOA59" s="16"/>
      <c r="BOB59" s="16"/>
      <c r="BOC59" s="16"/>
      <c r="BOD59" s="16"/>
      <c r="BOE59" s="16"/>
      <c r="BOF59" s="16"/>
      <c r="BOG59" s="16"/>
      <c r="BOH59" s="16"/>
      <c r="BOI59" s="16"/>
      <c r="BOJ59" s="16"/>
      <c r="BOK59" s="16"/>
      <c r="BOL59" s="16"/>
      <c r="BOM59" s="16"/>
      <c r="BON59" s="16"/>
      <c r="BOO59" s="16"/>
      <c r="BOP59" s="16"/>
      <c r="BOQ59" s="16"/>
      <c r="BOR59" s="16"/>
      <c r="BOS59" s="16"/>
      <c r="BOT59" s="16"/>
      <c r="BOU59" s="16"/>
      <c r="BOV59" s="16"/>
      <c r="BOW59" s="16"/>
      <c r="BOX59" s="16"/>
      <c r="BOY59" s="16"/>
      <c r="BOZ59" s="16"/>
      <c r="BPA59" s="16"/>
      <c r="BPB59" s="16"/>
      <c r="BPC59" s="16"/>
      <c r="BPD59" s="16"/>
      <c r="BPE59" s="16"/>
      <c r="BPF59" s="16"/>
      <c r="BPG59" s="16"/>
      <c r="BPH59" s="16"/>
      <c r="BPI59" s="16"/>
      <c r="BPJ59" s="16"/>
      <c r="BPK59" s="16"/>
      <c r="BPL59" s="16"/>
      <c r="BPM59" s="16"/>
      <c r="BPN59" s="16"/>
      <c r="BPO59" s="16"/>
      <c r="BPP59" s="16"/>
      <c r="BPQ59" s="16"/>
      <c r="BPR59" s="16"/>
      <c r="BPS59" s="16"/>
      <c r="BPT59" s="16"/>
      <c r="BPU59" s="16"/>
      <c r="BPV59" s="16"/>
      <c r="BPW59" s="16"/>
      <c r="BPX59" s="16"/>
      <c r="BPY59" s="16"/>
      <c r="BPZ59" s="16"/>
      <c r="BQA59" s="16"/>
      <c r="BQB59" s="16"/>
      <c r="BQC59" s="16"/>
      <c r="BQD59" s="16"/>
      <c r="BQE59" s="16"/>
      <c r="BQF59" s="16"/>
      <c r="BQG59" s="16"/>
      <c r="BQH59" s="16"/>
      <c r="BQI59" s="16"/>
      <c r="BQJ59" s="16"/>
      <c r="BQK59" s="16"/>
      <c r="BQL59" s="16"/>
      <c r="BQM59" s="16"/>
      <c r="BQN59" s="16"/>
      <c r="BQO59" s="16"/>
      <c r="BQP59" s="16"/>
      <c r="BQQ59" s="16"/>
      <c r="BQR59" s="16"/>
      <c r="BQS59" s="16"/>
      <c r="BQT59" s="16"/>
      <c r="BQU59" s="16"/>
      <c r="BQV59" s="16"/>
      <c r="BQW59" s="16"/>
      <c r="BQX59" s="16"/>
      <c r="BQY59" s="16"/>
      <c r="BQZ59" s="16"/>
      <c r="BRA59" s="16"/>
      <c r="BRB59" s="16"/>
      <c r="BRC59" s="16"/>
      <c r="BRD59" s="16"/>
      <c r="BRE59" s="16"/>
      <c r="BRF59" s="16"/>
      <c r="BRG59" s="16"/>
      <c r="BRH59" s="16"/>
      <c r="BRI59" s="16"/>
      <c r="BRJ59" s="16"/>
      <c r="BRK59" s="16"/>
      <c r="BRL59" s="16"/>
      <c r="BRM59" s="16"/>
      <c r="BRN59" s="16"/>
      <c r="BRO59" s="16"/>
      <c r="BRP59" s="16"/>
      <c r="BRQ59" s="16"/>
      <c r="BRR59" s="16"/>
      <c r="BRS59" s="16"/>
      <c r="BRT59" s="16"/>
      <c r="BRU59" s="16"/>
      <c r="BRV59" s="16"/>
      <c r="BRW59" s="16"/>
      <c r="BRX59" s="16"/>
      <c r="BRY59" s="16"/>
      <c r="BRZ59" s="16"/>
      <c r="BSA59" s="16"/>
      <c r="BSB59" s="16"/>
      <c r="BSC59" s="16"/>
      <c r="BSD59" s="16"/>
      <c r="BSE59" s="16"/>
      <c r="BSF59" s="16"/>
      <c r="BSG59" s="16"/>
      <c r="BSH59" s="16"/>
      <c r="BSI59" s="16"/>
      <c r="BSJ59" s="16"/>
      <c r="BSK59" s="16"/>
      <c r="BSL59" s="16"/>
      <c r="BSM59" s="16"/>
      <c r="BSN59" s="16"/>
      <c r="BSO59" s="16"/>
      <c r="BSP59" s="16"/>
      <c r="BSQ59" s="16"/>
      <c r="BSR59" s="16"/>
      <c r="BSS59" s="16"/>
      <c r="BST59" s="16"/>
      <c r="BSU59" s="16"/>
      <c r="BSV59" s="16"/>
      <c r="BSW59" s="16"/>
      <c r="BSX59" s="16"/>
      <c r="BSY59" s="16"/>
      <c r="BSZ59" s="16"/>
      <c r="BTA59" s="16"/>
      <c r="BTB59" s="16"/>
      <c r="BTC59" s="16"/>
      <c r="BTD59" s="16"/>
      <c r="BTE59" s="16"/>
      <c r="BTF59" s="16"/>
      <c r="BTG59" s="16"/>
      <c r="BTH59" s="16"/>
      <c r="BTI59" s="16"/>
      <c r="BTJ59" s="16"/>
      <c r="BTK59" s="16"/>
      <c r="BTL59" s="16"/>
      <c r="BTM59" s="16"/>
      <c r="BTN59" s="16"/>
      <c r="BTO59" s="16"/>
      <c r="BTP59" s="16"/>
      <c r="BTQ59" s="16"/>
      <c r="BTR59" s="16"/>
      <c r="BTS59" s="16"/>
      <c r="BTT59" s="16"/>
      <c r="BTU59" s="16"/>
      <c r="BTV59" s="16"/>
      <c r="BTW59" s="16"/>
      <c r="BTX59" s="16"/>
      <c r="BTY59" s="16"/>
      <c r="BTZ59" s="16"/>
      <c r="BUA59" s="16"/>
      <c r="BUB59" s="16"/>
      <c r="BUC59" s="16"/>
      <c r="BUD59" s="16"/>
      <c r="BUE59" s="16"/>
      <c r="BUF59" s="16"/>
      <c r="BUG59" s="16"/>
      <c r="BUH59" s="16"/>
      <c r="BUI59" s="16"/>
      <c r="BUJ59" s="16"/>
      <c r="BUK59" s="16"/>
      <c r="BUL59" s="16"/>
      <c r="BUM59" s="16"/>
      <c r="BUN59" s="16"/>
      <c r="BUO59" s="16"/>
      <c r="BUP59" s="16"/>
      <c r="BUQ59" s="16"/>
      <c r="BUR59" s="16"/>
      <c r="BUS59" s="16"/>
      <c r="BUT59" s="16"/>
      <c r="BUU59" s="16"/>
      <c r="BUV59" s="16"/>
      <c r="BUW59" s="16"/>
      <c r="BUX59" s="16"/>
      <c r="BUY59" s="16"/>
      <c r="BUZ59" s="16"/>
      <c r="BVA59" s="16"/>
      <c r="BVB59" s="16"/>
      <c r="BVC59" s="16"/>
      <c r="BVD59" s="16"/>
      <c r="BVE59" s="16"/>
      <c r="BVF59" s="16"/>
      <c r="BVG59" s="16"/>
      <c r="BVH59" s="16"/>
      <c r="BVI59" s="16"/>
      <c r="BVJ59" s="16"/>
      <c r="BVK59" s="16"/>
      <c r="BVL59" s="16"/>
      <c r="BVM59" s="16"/>
      <c r="BVN59" s="16"/>
      <c r="BVO59" s="16"/>
      <c r="BVP59" s="16"/>
      <c r="BVQ59" s="16"/>
      <c r="BVR59" s="16"/>
      <c r="BVS59" s="16"/>
      <c r="BVT59" s="16"/>
      <c r="BVU59" s="16"/>
      <c r="BVV59" s="16"/>
      <c r="BVW59" s="16"/>
      <c r="BVX59" s="16"/>
      <c r="BVY59" s="16"/>
      <c r="BVZ59" s="16"/>
      <c r="BWA59" s="16"/>
      <c r="BWB59" s="16"/>
      <c r="BWC59" s="16"/>
      <c r="BWD59" s="16"/>
      <c r="BWE59" s="16"/>
      <c r="BWF59" s="16"/>
      <c r="BWG59" s="16"/>
      <c r="BWH59" s="16"/>
      <c r="BWI59" s="16"/>
      <c r="BWJ59" s="16"/>
      <c r="BWK59" s="16"/>
      <c r="BWL59" s="16"/>
      <c r="BWM59" s="16"/>
      <c r="BWN59" s="16"/>
      <c r="BWO59" s="16"/>
      <c r="BWP59" s="16"/>
      <c r="BWQ59" s="16"/>
      <c r="BWR59" s="16"/>
      <c r="BWS59" s="16"/>
      <c r="BWT59" s="16"/>
      <c r="BWU59" s="16"/>
      <c r="BWV59" s="16"/>
      <c r="BWW59" s="16"/>
      <c r="BWX59" s="16"/>
      <c r="BWY59" s="16"/>
      <c r="BWZ59" s="16"/>
      <c r="BXA59" s="16"/>
      <c r="BXB59" s="16"/>
      <c r="BXC59" s="16"/>
      <c r="BXD59" s="16"/>
      <c r="BXE59" s="16"/>
      <c r="BXF59" s="16"/>
      <c r="BXG59" s="16"/>
      <c r="BXH59" s="16"/>
      <c r="BXI59" s="16"/>
      <c r="BXJ59" s="16"/>
      <c r="BXK59" s="16"/>
      <c r="BXL59" s="16"/>
      <c r="BXM59" s="16"/>
      <c r="BXN59" s="16"/>
      <c r="BXO59" s="16"/>
      <c r="BXP59" s="16"/>
      <c r="BXQ59" s="16"/>
      <c r="BXR59" s="16"/>
      <c r="BXS59" s="16"/>
      <c r="BXT59" s="16"/>
      <c r="BXU59" s="16"/>
      <c r="BXV59" s="16"/>
      <c r="BXW59" s="16"/>
      <c r="BXX59" s="16"/>
      <c r="BXY59" s="16"/>
      <c r="BXZ59" s="16"/>
      <c r="BYA59" s="16"/>
      <c r="BYB59" s="16"/>
      <c r="BYC59" s="16"/>
      <c r="BYD59" s="16"/>
      <c r="BYE59" s="16"/>
      <c r="BYF59" s="16"/>
      <c r="BYG59" s="16"/>
      <c r="BYH59" s="16"/>
      <c r="BYI59" s="16"/>
      <c r="BYJ59" s="16"/>
      <c r="BYK59" s="16"/>
      <c r="BYL59" s="16"/>
      <c r="BYM59" s="16"/>
      <c r="BYN59" s="16"/>
      <c r="BYO59" s="16"/>
      <c r="BYP59" s="16"/>
      <c r="BYQ59" s="16"/>
      <c r="BYR59" s="16"/>
      <c r="BYS59" s="16"/>
      <c r="BYT59" s="16"/>
      <c r="BYU59" s="16"/>
      <c r="BYV59" s="16"/>
      <c r="BYW59" s="16"/>
      <c r="BYX59" s="16"/>
      <c r="BYY59" s="16"/>
      <c r="BYZ59" s="16"/>
      <c r="BZA59" s="16"/>
      <c r="BZB59" s="16"/>
      <c r="BZC59" s="16"/>
      <c r="BZD59" s="16"/>
      <c r="BZE59" s="16"/>
      <c r="BZF59" s="16"/>
      <c r="BZG59" s="16"/>
      <c r="BZH59" s="16"/>
      <c r="BZI59" s="16"/>
      <c r="BZJ59" s="16"/>
      <c r="BZK59" s="16"/>
      <c r="BZL59" s="16"/>
      <c r="BZM59" s="16"/>
      <c r="BZN59" s="16"/>
      <c r="BZO59" s="16"/>
      <c r="BZP59" s="16"/>
      <c r="BZQ59" s="16"/>
      <c r="BZR59" s="16"/>
      <c r="BZS59" s="16"/>
      <c r="BZT59" s="16"/>
      <c r="BZU59" s="16"/>
      <c r="BZV59" s="16"/>
      <c r="BZW59" s="16"/>
      <c r="BZX59" s="16"/>
      <c r="BZY59" s="16"/>
      <c r="BZZ59" s="16"/>
      <c r="CAA59" s="16"/>
      <c r="CAB59" s="16"/>
      <c r="CAC59" s="16"/>
      <c r="CAD59" s="16"/>
      <c r="CAE59" s="16"/>
      <c r="CAF59" s="16"/>
      <c r="CAG59" s="16"/>
      <c r="CAH59" s="16"/>
      <c r="CAI59" s="16"/>
      <c r="CAJ59" s="16"/>
      <c r="CAK59" s="16"/>
      <c r="CAL59" s="16"/>
      <c r="CAM59" s="16"/>
      <c r="CAN59" s="16"/>
      <c r="CAO59" s="16"/>
      <c r="CAP59" s="16"/>
      <c r="CAQ59" s="16"/>
      <c r="CAR59" s="16"/>
      <c r="CAS59" s="16"/>
      <c r="CAT59" s="16"/>
      <c r="CAU59" s="16"/>
      <c r="CAV59" s="16"/>
      <c r="CAW59" s="16"/>
      <c r="CAX59" s="16"/>
      <c r="CAY59" s="16"/>
      <c r="CAZ59" s="16"/>
      <c r="CBA59" s="16"/>
      <c r="CBB59" s="16"/>
      <c r="CBC59" s="16"/>
      <c r="CBD59" s="16"/>
      <c r="CBE59" s="16"/>
      <c r="CBF59" s="16"/>
      <c r="CBG59" s="16"/>
      <c r="CBH59" s="16"/>
      <c r="CBI59" s="16"/>
      <c r="CBJ59" s="16"/>
      <c r="CBK59" s="16"/>
      <c r="CBL59" s="16"/>
      <c r="CBM59" s="16"/>
      <c r="CBN59" s="16"/>
      <c r="CBO59" s="16"/>
      <c r="CBP59" s="16"/>
      <c r="CBQ59" s="16"/>
      <c r="CBR59" s="16"/>
      <c r="CBS59" s="16"/>
      <c r="CBT59" s="16"/>
      <c r="CBU59" s="16"/>
      <c r="CBV59" s="16"/>
      <c r="CBW59" s="16"/>
      <c r="CBX59" s="16"/>
      <c r="CBY59" s="16"/>
      <c r="CBZ59" s="16"/>
      <c r="CCA59" s="16"/>
      <c r="CCB59" s="16"/>
      <c r="CCC59" s="16"/>
      <c r="CCD59" s="16"/>
      <c r="CCE59" s="16"/>
      <c r="CCF59" s="16"/>
      <c r="CCG59" s="16"/>
      <c r="CCH59" s="16"/>
      <c r="CCI59" s="16"/>
      <c r="CCJ59" s="16"/>
      <c r="CCK59" s="16"/>
      <c r="CCL59" s="16"/>
      <c r="CCM59" s="16"/>
      <c r="CCN59" s="16"/>
      <c r="CCO59" s="16"/>
      <c r="CCP59" s="16"/>
      <c r="CCQ59" s="16"/>
      <c r="CCR59" s="16"/>
      <c r="CCS59" s="16"/>
      <c r="CCT59" s="16"/>
      <c r="CCU59" s="16"/>
      <c r="CCV59" s="16"/>
      <c r="CCW59" s="16"/>
      <c r="CCX59" s="16"/>
      <c r="CCY59" s="16"/>
      <c r="CCZ59" s="16"/>
      <c r="CDA59" s="16"/>
      <c r="CDB59" s="16"/>
      <c r="CDC59" s="16"/>
      <c r="CDD59" s="16"/>
      <c r="CDE59" s="16"/>
      <c r="CDF59" s="16"/>
      <c r="CDG59" s="16"/>
      <c r="CDH59" s="16"/>
      <c r="CDI59" s="16"/>
      <c r="CDJ59" s="16"/>
      <c r="CDK59" s="16"/>
      <c r="CDL59" s="16"/>
      <c r="CDM59" s="16"/>
      <c r="CDN59" s="16"/>
      <c r="CDO59" s="16"/>
      <c r="CDP59" s="16"/>
      <c r="CDQ59" s="16"/>
      <c r="CDR59" s="16"/>
      <c r="CDS59" s="16"/>
      <c r="CDT59" s="16"/>
      <c r="CDU59" s="16"/>
      <c r="CDV59" s="16"/>
      <c r="CDW59" s="16"/>
      <c r="CDX59" s="16"/>
      <c r="CDY59" s="16"/>
      <c r="CDZ59" s="16"/>
      <c r="CEA59" s="16"/>
      <c r="CEB59" s="16"/>
      <c r="CEC59" s="16"/>
      <c r="CED59" s="16"/>
      <c r="CEE59" s="16"/>
      <c r="CEF59" s="16"/>
      <c r="CEG59" s="16"/>
      <c r="CEH59" s="16"/>
      <c r="CEI59" s="16"/>
      <c r="CEJ59" s="16"/>
      <c r="CEK59" s="16"/>
      <c r="CEL59" s="16"/>
      <c r="CEM59" s="16"/>
      <c r="CEN59" s="16"/>
      <c r="CEO59" s="16"/>
      <c r="CEP59" s="16"/>
      <c r="CEQ59" s="16"/>
      <c r="CER59" s="16"/>
      <c r="CES59" s="16"/>
      <c r="CET59" s="16"/>
      <c r="CEU59" s="16"/>
      <c r="CEV59" s="16"/>
      <c r="CEW59" s="16"/>
      <c r="CEX59" s="16"/>
      <c r="CEY59" s="16"/>
      <c r="CEZ59" s="16"/>
      <c r="CFA59" s="16"/>
      <c r="CFB59" s="16"/>
      <c r="CFC59" s="16"/>
      <c r="CFD59" s="16"/>
      <c r="CFE59" s="16"/>
      <c r="CFF59" s="16"/>
      <c r="CFG59" s="16"/>
      <c r="CFH59" s="16"/>
      <c r="CFI59" s="16"/>
      <c r="CFJ59" s="16"/>
      <c r="CFK59" s="16"/>
      <c r="CFL59" s="16"/>
      <c r="CFM59" s="16"/>
      <c r="CFN59" s="16"/>
      <c r="CFO59" s="16"/>
      <c r="CFP59" s="16"/>
      <c r="CFQ59" s="16"/>
      <c r="CFR59" s="16"/>
      <c r="CFS59" s="16"/>
      <c r="CFT59" s="16"/>
      <c r="CFU59" s="16"/>
      <c r="CFV59" s="16"/>
      <c r="CFW59" s="16"/>
      <c r="CFX59" s="16"/>
      <c r="CFY59" s="16"/>
      <c r="CFZ59" s="16"/>
      <c r="CGA59" s="16"/>
      <c r="CGB59" s="16"/>
      <c r="CGC59" s="16"/>
      <c r="CGD59" s="16"/>
      <c r="CGE59" s="16"/>
      <c r="CGF59" s="16"/>
      <c r="CGG59" s="16"/>
      <c r="CGH59" s="16"/>
      <c r="CGI59" s="16"/>
      <c r="CGJ59" s="16"/>
      <c r="CGK59" s="16"/>
      <c r="CGL59" s="16"/>
      <c r="CGM59" s="16"/>
      <c r="CGN59" s="16"/>
      <c r="CGO59" s="16"/>
      <c r="CGP59" s="16"/>
      <c r="CGQ59" s="16"/>
      <c r="CGR59" s="16"/>
      <c r="CGS59" s="16"/>
      <c r="CGT59" s="16"/>
      <c r="CGU59" s="16"/>
      <c r="CGV59" s="16"/>
      <c r="CGW59" s="16"/>
      <c r="CGX59" s="16"/>
      <c r="CGY59" s="16"/>
      <c r="CGZ59" s="16"/>
      <c r="CHA59" s="16"/>
      <c r="CHB59" s="16"/>
      <c r="CHC59" s="16"/>
      <c r="CHD59" s="16"/>
      <c r="CHE59" s="16"/>
      <c r="CHF59" s="16"/>
      <c r="CHG59" s="16"/>
      <c r="CHH59" s="16"/>
      <c r="CHI59" s="16"/>
      <c r="CHJ59" s="16"/>
      <c r="CHK59" s="16"/>
      <c r="CHL59" s="16"/>
      <c r="CHM59" s="16"/>
      <c r="CHN59" s="16"/>
      <c r="CHO59" s="16"/>
      <c r="CHP59" s="16"/>
      <c r="CHQ59" s="16"/>
      <c r="CHR59" s="16"/>
      <c r="CHS59" s="16"/>
      <c r="CHT59" s="16"/>
      <c r="CHU59" s="16"/>
      <c r="CHV59" s="16"/>
      <c r="CHW59" s="16"/>
      <c r="CHX59" s="16"/>
      <c r="CHY59" s="16"/>
      <c r="CHZ59" s="16"/>
      <c r="CIA59" s="16"/>
      <c r="CIB59" s="16"/>
      <c r="CIC59" s="16"/>
      <c r="CID59" s="16"/>
      <c r="CIE59" s="16"/>
      <c r="CIF59" s="16"/>
      <c r="CIG59" s="16"/>
      <c r="CIH59" s="16"/>
      <c r="CII59" s="16"/>
      <c r="CIJ59" s="16"/>
      <c r="CIK59" s="16"/>
      <c r="CIL59" s="16"/>
      <c r="CIM59" s="16"/>
      <c r="CIN59" s="16"/>
      <c r="CIO59" s="16"/>
      <c r="CIP59" s="16"/>
      <c r="CIQ59" s="16"/>
      <c r="CIR59" s="16"/>
      <c r="CIS59" s="16"/>
      <c r="CIT59" s="16"/>
      <c r="CIU59" s="16"/>
      <c r="CIV59" s="16"/>
      <c r="CIW59" s="16"/>
      <c r="CIX59" s="16"/>
      <c r="CIY59" s="16"/>
      <c r="CIZ59" s="16"/>
      <c r="CJA59" s="16"/>
      <c r="CJB59" s="16"/>
      <c r="CJC59" s="16"/>
      <c r="CJD59" s="16"/>
      <c r="CJE59" s="16"/>
      <c r="CJF59" s="16"/>
      <c r="CJG59" s="16"/>
      <c r="CJH59" s="16"/>
      <c r="CJI59" s="16"/>
      <c r="CJJ59" s="16"/>
      <c r="CJK59" s="16"/>
      <c r="CJL59" s="16"/>
      <c r="CJM59" s="16"/>
      <c r="CJN59" s="16"/>
      <c r="CJO59" s="16"/>
      <c r="CJP59" s="16"/>
      <c r="CJQ59" s="16"/>
      <c r="CJR59" s="16"/>
      <c r="CJS59" s="16"/>
      <c r="CJT59" s="16"/>
      <c r="CJU59" s="16"/>
      <c r="CJV59" s="16"/>
      <c r="CJW59" s="16"/>
      <c r="CJX59" s="16"/>
      <c r="CJY59" s="16"/>
      <c r="CJZ59" s="16"/>
      <c r="CKA59" s="16"/>
      <c r="CKB59" s="16"/>
      <c r="CKC59" s="16"/>
      <c r="CKD59" s="16"/>
      <c r="CKE59" s="16"/>
      <c r="CKF59" s="16"/>
      <c r="CKG59" s="16"/>
      <c r="CKH59" s="16"/>
      <c r="CKI59" s="16"/>
      <c r="CKJ59" s="16"/>
      <c r="CKK59" s="16"/>
      <c r="CKL59" s="16"/>
      <c r="CKM59" s="16"/>
      <c r="CKN59" s="16"/>
      <c r="CKO59" s="16"/>
      <c r="CKP59" s="16"/>
      <c r="CKQ59" s="16"/>
      <c r="CKR59" s="16"/>
      <c r="CKS59" s="16"/>
      <c r="CKT59" s="16"/>
      <c r="CKU59" s="16"/>
      <c r="CKV59" s="16"/>
      <c r="CKW59" s="16"/>
      <c r="CKX59" s="16"/>
      <c r="CKY59" s="16"/>
      <c r="CKZ59" s="16"/>
      <c r="CLA59" s="16"/>
      <c r="CLB59" s="16"/>
      <c r="CLC59" s="16"/>
      <c r="CLD59" s="16"/>
      <c r="CLE59" s="16"/>
      <c r="CLF59" s="16"/>
      <c r="CLG59" s="16"/>
      <c r="CLH59" s="16"/>
      <c r="CLI59" s="16"/>
      <c r="CLJ59" s="16"/>
      <c r="CLK59" s="16"/>
      <c r="CLL59" s="16"/>
      <c r="CLM59" s="16"/>
      <c r="CLN59" s="16"/>
      <c r="CLO59" s="16"/>
      <c r="CLP59" s="16"/>
      <c r="CLQ59" s="16"/>
      <c r="CLR59" s="16"/>
      <c r="CLS59" s="16"/>
      <c r="CLT59" s="16"/>
      <c r="CLU59" s="16"/>
      <c r="CLV59" s="16"/>
      <c r="CLW59" s="16"/>
      <c r="CLX59" s="16"/>
      <c r="CLY59" s="16"/>
      <c r="CLZ59" s="16"/>
      <c r="CMA59" s="16"/>
      <c r="CMB59" s="16"/>
      <c r="CMC59" s="16"/>
      <c r="CMD59" s="16"/>
      <c r="CME59" s="16"/>
      <c r="CMF59" s="16"/>
      <c r="CMG59" s="16"/>
      <c r="CMH59" s="16"/>
      <c r="CMI59" s="16"/>
      <c r="CMJ59" s="16"/>
      <c r="CMK59" s="16"/>
      <c r="CML59" s="16"/>
      <c r="CMM59" s="16"/>
      <c r="CMN59" s="16"/>
      <c r="CMO59" s="16"/>
      <c r="CMP59" s="16"/>
      <c r="CMQ59" s="16"/>
      <c r="CMR59" s="16"/>
      <c r="CMS59" s="16"/>
      <c r="CMT59" s="16"/>
      <c r="CMU59" s="16"/>
      <c r="CMV59" s="16"/>
      <c r="CMW59" s="16"/>
      <c r="CMX59" s="16"/>
      <c r="CMY59" s="16"/>
      <c r="CMZ59" s="16"/>
      <c r="CNA59" s="16"/>
      <c r="CNB59" s="16"/>
      <c r="CNC59" s="16"/>
      <c r="CND59" s="16"/>
      <c r="CNE59" s="16"/>
      <c r="CNF59" s="16"/>
      <c r="CNG59" s="16"/>
      <c r="CNH59" s="16"/>
      <c r="CNI59" s="16"/>
      <c r="CNJ59" s="16"/>
      <c r="CNK59" s="16"/>
      <c r="CNL59" s="16"/>
      <c r="CNM59" s="16"/>
      <c r="CNN59" s="16"/>
      <c r="CNO59" s="16"/>
      <c r="CNP59" s="16"/>
      <c r="CNQ59" s="16"/>
      <c r="CNR59" s="16"/>
      <c r="CNS59" s="16"/>
      <c r="CNT59" s="16"/>
      <c r="CNU59" s="16"/>
      <c r="CNV59" s="16"/>
      <c r="CNW59" s="16"/>
      <c r="CNX59" s="16"/>
      <c r="CNY59" s="16"/>
      <c r="CNZ59" s="16"/>
      <c r="COA59" s="16"/>
      <c r="COB59" s="16"/>
      <c r="COC59" s="16"/>
      <c r="COD59" s="16"/>
      <c r="COE59" s="16"/>
      <c r="COF59" s="16"/>
      <c r="COG59" s="16"/>
      <c r="COH59" s="16"/>
      <c r="COI59" s="16"/>
      <c r="COJ59" s="16"/>
      <c r="COK59" s="16"/>
      <c r="COL59" s="16"/>
      <c r="COM59" s="16"/>
      <c r="CON59" s="16"/>
      <c r="COO59" s="16"/>
      <c r="COP59" s="16"/>
      <c r="COQ59" s="16"/>
      <c r="COR59" s="16"/>
      <c r="COS59" s="16"/>
      <c r="COT59" s="16"/>
      <c r="COU59" s="16"/>
      <c r="COV59" s="16"/>
      <c r="COW59" s="16"/>
      <c r="COX59" s="16"/>
      <c r="COY59" s="16"/>
      <c r="COZ59" s="16"/>
      <c r="CPA59" s="16"/>
      <c r="CPB59" s="16"/>
      <c r="CPC59" s="16"/>
      <c r="CPD59" s="16"/>
      <c r="CPE59" s="16"/>
      <c r="CPF59" s="16"/>
      <c r="CPG59" s="16"/>
      <c r="CPH59" s="16"/>
      <c r="CPI59" s="16"/>
      <c r="CPJ59" s="16"/>
      <c r="CPK59" s="16"/>
      <c r="CPL59" s="16"/>
      <c r="CPM59" s="16"/>
      <c r="CPN59" s="16"/>
      <c r="CPO59" s="16"/>
      <c r="CPP59" s="16"/>
      <c r="CPQ59" s="16"/>
      <c r="CPR59" s="16"/>
      <c r="CPS59" s="16"/>
      <c r="CPT59" s="16"/>
      <c r="CPU59" s="16"/>
      <c r="CPV59" s="16"/>
      <c r="CPW59" s="16"/>
      <c r="CPX59" s="16"/>
      <c r="CPY59" s="16"/>
      <c r="CPZ59" s="16"/>
      <c r="CQA59" s="16"/>
      <c r="CQB59" s="16"/>
      <c r="CQC59" s="16"/>
      <c r="CQD59" s="16"/>
      <c r="CQE59" s="16"/>
      <c r="CQF59" s="16"/>
      <c r="CQG59" s="16"/>
      <c r="CQH59" s="16"/>
      <c r="CQI59" s="16"/>
      <c r="CQJ59" s="16"/>
      <c r="CQK59" s="16"/>
      <c r="CQL59" s="16"/>
      <c r="CQM59" s="16"/>
      <c r="CQN59" s="16"/>
      <c r="CQO59" s="16"/>
      <c r="CQP59" s="16"/>
      <c r="CQQ59" s="16"/>
      <c r="CQR59" s="16"/>
      <c r="CQS59" s="16"/>
      <c r="CQT59" s="16"/>
      <c r="CQU59" s="16"/>
      <c r="CQV59" s="16"/>
      <c r="CQW59" s="16"/>
      <c r="CQX59" s="16"/>
      <c r="CQY59" s="16"/>
      <c r="CQZ59" s="16"/>
      <c r="CRA59" s="16"/>
      <c r="CRB59" s="16"/>
      <c r="CRC59" s="16"/>
      <c r="CRD59" s="16"/>
      <c r="CRE59" s="16"/>
      <c r="CRF59" s="16"/>
      <c r="CRG59" s="16"/>
      <c r="CRH59" s="16"/>
      <c r="CRI59" s="16"/>
      <c r="CRJ59" s="16"/>
      <c r="CRK59" s="16"/>
      <c r="CRL59" s="16"/>
      <c r="CRM59" s="16"/>
      <c r="CRN59" s="16"/>
      <c r="CRO59" s="16"/>
      <c r="CRP59" s="16"/>
      <c r="CRQ59" s="16"/>
      <c r="CRR59" s="16"/>
      <c r="CRS59" s="16"/>
      <c r="CRT59" s="16"/>
      <c r="CRU59" s="16"/>
      <c r="CRV59" s="16"/>
      <c r="CRW59" s="16"/>
      <c r="CRX59" s="16"/>
      <c r="CRY59" s="16"/>
      <c r="CRZ59" s="16"/>
      <c r="CSA59" s="16"/>
      <c r="CSB59" s="16"/>
      <c r="CSC59" s="16"/>
      <c r="CSD59" s="16"/>
      <c r="CSE59" s="16"/>
      <c r="CSF59" s="16"/>
      <c r="CSG59" s="16"/>
      <c r="CSH59" s="16"/>
      <c r="CSI59" s="16"/>
      <c r="CSJ59" s="16"/>
      <c r="CSK59" s="24"/>
      <c r="CSL59" s="16"/>
      <c r="CSM59" s="16"/>
      <c r="CSN59" s="16"/>
      <c r="CSO59" s="16"/>
      <c r="CSP59" s="16"/>
      <c r="CUG59" s="16"/>
      <c r="CUH59" s="16"/>
      <c r="CUI59" s="16"/>
      <c r="CUJ59" s="16"/>
      <c r="CUK59" s="16"/>
      <c r="CUL59" s="16"/>
      <c r="CUM59" s="16"/>
      <c r="CUN59" s="16"/>
      <c r="CUO59" s="16"/>
      <c r="CUP59" s="16"/>
      <c r="CUQ59" s="16"/>
      <c r="CUR59" s="16"/>
      <c r="CUS59" s="16"/>
      <c r="CUT59" s="16"/>
      <c r="CUU59" s="16"/>
      <c r="CUV59" s="16"/>
      <c r="CUW59" s="16"/>
      <c r="CUX59" s="16"/>
      <c r="CUY59" s="16"/>
      <c r="CUZ59" s="16"/>
      <c r="CVA59" s="16"/>
      <c r="CVB59" s="16"/>
      <c r="CVC59" s="16"/>
      <c r="CVD59" s="16"/>
      <c r="CVE59" s="16"/>
      <c r="CVF59" s="16"/>
      <c r="CVG59" s="16"/>
      <c r="CVH59" s="16"/>
      <c r="CVI59" s="16"/>
      <c r="CVJ59" s="16"/>
      <c r="CVK59" s="16"/>
      <c r="CVL59" s="16"/>
      <c r="CVM59" s="16"/>
      <c r="CVN59" s="16"/>
      <c r="CVO59" s="16"/>
      <c r="CVP59" s="16"/>
    </row>
    <row r="60" spans="1:2616" ht="13.8" x14ac:dyDescent="0.25">
      <c r="C60" s="57"/>
      <c r="E60" s="16"/>
      <c r="K60" s="59"/>
      <c r="L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16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16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16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16"/>
      <c r="JX60" s="16"/>
      <c r="JY60" s="16"/>
      <c r="JZ60" s="16"/>
      <c r="KA60" s="16"/>
      <c r="KB60" s="16"/>
      <c r="KC60" s="16"/>
      <c r="KD60" s="16"/>
      <c r="KE60" s="16"/>
      <c r="KF60" s="16"/>
      <c r="KG60" s="16"/>
      <c r="KH60" s="16"/>
      <c r="KI60" s="16"/>
      <c r="KJ60" s="16"/>
      <c r="KK60" s="16"/>
      <c r="KL60" s="16"/>
      <c r="KM60" s="16"/>
      <c r="KN60" s="16"/>
      <c r="KO60" s="16"/>
      <c r="KP60" s="16"/>
      <c r="KQ60" s="16"/>
      <c r="KR60" s="16"/>
      <c r="KS60" s="16"/>
      <c r="KT60" s="16"/>
      <c r="KU60" s="16"/>
      <c r="KV60" s="16"/>
      <c r="KW60" s="16"/>
      <c r="KX60" s="16"/>
      <c r="KY60" s="16"/>
      <c r="KZ60" s="16"/>
      <c r="LA60" s="16"/>
      <c r="LB60" s="16"/>
      <c r="LC60" s="16"/>
      <c r="LD60" s="16"/>
      <c r="LE60" s="16"/>
      <c r="LF60" s="16"/>
      <c r="LG60" s="16"/>
      <c r="LH60" s="16"/>
      <c r="LI60" s="16"/>
      <c r="LJ60" s="16"/>
      <c r="LK60" s="16"/>
      <c r="LL60" s="16"/>
      <c r="LM60" s="16"/>
      <c r="LN60" s="16"/>
      <c r="LO60" s="16"/>
      <c r="LP60" s="16"/>
      <c r="LQ60" s="16"/>
      <c r="LR60" s="16"/>
      <c r="LS60" s="16"/>
      <c r="LT60" s="16"/>
      <c r="LU60" s="16"/>
      <c r="LV60" s="16"/>
      <c r="LW60" s="16"/>
      <c r="LX60" s="16"/>
      <c r="LY60" s="16"/>
      <c r="LZ60" s="16"/>
      <c r="MA60" s="16"/>
      <c r="MB60" s="16"/>
      <c r="MC60" s="16"/>
      <c r="MD60" s="16"/>
      <c r="ME60" s="16"/>
      <c r="MF60" s="16"/>
      <c r="MG60" s="16"/>
      <c r="MH60" s="16"/>
      <c r="MI60" s="16"/>
      <c r="MJ60" s="16"/>
      <c r="MK60" s="16"/>
      <c r="ML60" s="16"/>
      <c r="MM60" s="16"/>
      <c r="MN60" s="16"/>
      <c r="MO60" s="16"/>
      <c r="MP60" s="16"/>
      <c r="MQ60" s="16"/>
      <c r="MR60" s="16"/>
      <c r="MS60" s="16"/>
      <c r="MT60" s="16"/>
      <c r="MU60" s="16"/>
      <c r="MV60" s="16"/>
      <c r="MW60" s="16"/>
      <c r="MX60" s="16"/>
      <c r="MY60" s="16"/>
      <c r="MZ60" s="16"/>
      <c r="NA60" s="16"/>
      <c r="NB60" s="16"/>
      <c r="NC60" s="16"/>
      <c r="ND60" s="16"/>
      <c r="NE60" s="16"/>
      <c r="NF60" s="16"/>
      <c r="NG60" s="16"/>
      <c r="NH60" s="16"/>
      <c r="NI60" s="16"/>
      <c r="NJ60" s="16"/>
      <c r="NK60" s="16"/>
      <c r="NL60" s="16"/>
      <c r="NM60" s="16"/>
      <c r="NN60" s="16"/>
      <c r="NO60" s="16"/>
      <c r="NP60" s="16"/>
      <c r="NQ60" s="16"/>
      <c r="NR60" s="16"/>
      <c r="NS60" s="16"/>
      <c r="NT60" s="16"/>
      <c r="NU60" s="16"/>
      <c r="NV60" s="16"/>
      <c r="NW60" s="16"/>
      <c r="NX60" s="16"/>
      <c r="NY60" s="16"/>
      <c r="NZ60" s="16"/>
      <c r="OA60" s="16"/>
      <c r="OB60" s="16"/>
      <c r="OC60" s="16"/>
      <c r="OD60" s="16"/>
      <c r="OE60" s="16"/>
      <c r="OF60" s="16"/>
      <c r="OG60" s="16"/>
      <c r="OH60" s="16"/>
      <c r="OI60" s="16"/>
      <c r="OJ60" s="16"/>
      <c r="OK60" s="16"/>
      <c r="OL60" s="16"/>
      <c r="OM60" s="16"/>
      <c r="ON60" s="16"/>
      <c r="OO60" s="16"/>
      <c r="OP60" s="16"/>
      <c r="OQ60" s="16"/>
      <c r="OR60" s="16"/>
      <c r="OS60" s="16"/>
      <c r="OT60" s="16"/>
      <c r="OU60" s="16"/>
      <c r="OV60" s="16"/>
      <c r="OW60" s="16"/>
      <c r="OX60" s="16"/>
      <c r="OY60" s="16"/>
      <c r="OZ60" s="16"/>
      <c r="PA60" s="16"/>
      <c r="PB60" s="16"/>
      <c r="PC60" s="16"/>
      <c r="PD60" s="16"/>
      <c r="PE60" s="16"/>
      <c r="PF60" s="16"/>
      <c r="PG60" s="16"/>
      <c r="PH60" s="16"/>
      <c r="PI60" s="16"/>
      <c r="PJ60" s="16"/>
      <c r="PK60" s="16"/>
      <c r="PL60" s="16"/>
      <c r="PM60" s="16"/>
      <c r="PN60" s="16"/>
      <c r="PO60" s="16"/>
      <c r="PP60" s="16"/>
      <c r="PQ60" s="16"/>
      <c r="PR60" s="16"/>
      <c r="PS60" s="16"/>
      <c r="PT60" s="16"/>
      <c r="PU60" s="16"/>
      <c r="PV60" s="16"/>
      <c r="PW60" s="16"/>
      <c r="PX60" s="16"/>
      <c r="PY60" s="16"/>
      <c r="PZ60" s="16"/>
      <c r="QA60" s="16"/>
      <c r="QB60" s="16"/>
      <c r="QC60" s="16"/>
      <c r="QD60" s="16"/>
      <c r="QE60" s="16"/>
      <c r="QF60" s="16"/>
      <c r="QG60" s="16"/>
      <c r="QH60" s="16"/>
      <c r="QI60" s="16"/>
      <c r="QJ60" s="16"/>
      <c r="QK60" s="16"/>
      <c r="QL60" s="16"/>
      <c r="QM60" s="16"/>
      <c r="QN60" s="16"/>
      <c r="QO60" s="16"/>
      <c r="QP60" s="16"/>
      <c r="QQ60" s="16"/>
      <c r="QR60" s="16"/>
      <c r="QS60" s="16"/>
      <c r="QT60" s="16"/>
      <c r="QU60" s="16"/>
      <c r="QV60" s="16"/>
      <c r="QW60" s="16"/>
      <c r="QX60" s="16"/>
      <c r="QY60" s="16"/>
      <c r="QZ60" s="16"/>
      <c r="RA60" s="16"/>
      <c r="RB60" s="16"/>
      <c r="RC60" s="16"/>
      <c r="RD60" s="16"/>
      <c r="RE60" s="16"/>
      <c r="RF60" s="16"/>
      <c r="RG60" s="16"/>
      <c r="RH60" s="16"/>
      <c r="RI60" s="16"/>
      <c r="RJ60" s="16"/>
      <c r="RK60" s="16"/>
      <c r="RL60" s="16"/>
      <c r="RM60" s="16"/>
      <c r="RN60" s="16"/>
      <c r="RO60" s="16"/>
      <c r="RP60" s="16"/>
      <c r="RQ60" s="16"/>
      <c r="RR60" s="16"/>
      <c r="RS60" s="16"/>
      <c r="RT60" s="16"/>
      <c r="RU60" s="16"/>
      <c r="RV60" s="16"/>
      <c r="RW60" s="16"/>
      <c r="RX60" s="16"/>
      <c r="RY60" s="16"/>
      <c r="RZ60" s="16"/>
      <c r="SA60" s="16"/>
      <c r="SB60" s="16"/>
      <c r="SC60" s="16"/>
      <c r="SD60" s="16"/>
      <c r="SE60" s="16"/>
      <c r="SF60" s="16"/>
      <c r="SG60" s="16"/>
      <c r="SH60" s="16"/>
      <c r="SI60" s="16"/>
      <c r="SJ60" s="16"/>
      <c r="SK60" s="16"/>
      <c r="SL60" s="16"/>
      <c r="SM60" s="16"/>
      <c r="SN60" s="16"/>
      <c r="SO60" s="16"/>
      <c r="SP60" s="16"/>
      <c r="SQ60" s="16"/>
      <c r="SR60" s="16"/>
      <c r="SS60" s="16"/>
      <c r="ST60" s="16"/>
      <c r="SU60" s="16"/>
      <c r="SV60" s="16"/>
      <c r="SW60" s="16"/>
      <c r="SX60" s="16"/>
      <c r="SY60" s="16"/>
      <c r="SZ60" s="16"/>
      <c r="TA60" s="16"/>
      <c r="TB60" s="16"/>
      <c r="TC60" s="16"/>
      <c r="TD60" s="16"/>
      <c r="TE60" s="16"/>
      <c r="TF60" s="16"/>
      <c r="TG60" s="16"/>
      <c r="TH60" s="16"/>
      <c r="TI60" s="16"/>
      <c r="TJ60" s="16"/>
      <c r="TK60" s="16"/>
      <c r="TL60" s="16"/>
      <c r="TM60" s="16"/>
      <c r="TN60" s="16"/>
      <c r="TO60" s="16"/>
      <c r="TP60" s="16"/>
      <c r="TQ60" s="16"/>
      <c r="TR60" s="16"/>
      <c r="TS60" s="16"/>
      <c r="TT60" s="16"/>
      <c r="TU60" s="16"/>
      <c r="TV60" s="16"/>
      <c r="TW60" s="16"/>
      <c r="TX60" s="16"/>
      <c r="TY60" s="16"/>
      <c r="TZ60" s="16"/>
      <c r="UA60" s="16"/>
      <c r="UB60" s="16"/>
      <c r="UC60" s="16"/>
      <c r="UD60" s="16"/>
      <c r="UE60" s="16"/>
      <c r="UF60" s="16"/>
      <c r="UG60" s="16"/>
      <c r="UH60" s="16"/>
      <c r="UI60" s="16"/>
      <c r="UJ60" s="16"/>
      <c r="UK60" s="16"/>
      <c r="UL60" s="16"/>
      <c r="UM60" s="16"/>
      <c r="UN60" s="16"/>
      <c r="UO60" s="16"/>
      <c r="UP60" s="16"/>
      <c r="UQ60" s="16"/>
      <c r="UR60" s="16"/>
      <c r="US60" s="16"/>
      <c r="UT60" s="16"/>
      <c r="UU60" s="16"/>
      <c r="UV60" s="16"/>
      <c r="UW60" s="16"/>
      <c r="UX60" s="16"/>
      <c r="UY60" s="16"/>
      <c r="UZ60" s="16"/>
      <c r="VA60" s="16"/>
      <c r="VB60" s="16"/>
      <c r="VC60" s="16"/>
      <c r="VD60" s="16"/>
      <c r="VE60" s="16"/>
      <c r="VF60" s="16"/>
      <c r="VG60" s="16"/>
      <c r="VH60" s="16"/>
      <c r="VI60" s="16"/>
      <c r="VJ60" s="16"/>
      <c r="VK60" s="16"/>
      <c r="VL60" s="16"/>
      <c r="VM60" s="16"/>
      <c r="VN60" s="16"/>
      <c r="VO60" s="16"/>
      <c r="VP60" s="16"/>
      <c r="VQ60" s="16"/>
      <c r="VR60" s="16"/>
      <c r="VS60" s="16"/>
      <c r="VT60" s="16"/>
      <c r="VU60" s="16"/>
      <c r="VV60" s="16"/>
      <c r="VW60" s="16"/>
      <c r="VX60" s="16"/>
      <c r="VY60" s="16"/>
      <c r="VZ60" s="16"/>
      <c r="WA60" s="16"/>
      <c r="WB60" s="16"/>
      <c r="WC60" s="16"/>
      <c r="WD60" s="16"/>
      <c r="WE60" s="16"/>
      <c r="WF60" s="16"/>
      <c r="WG60" s="16"/>
      <c r="WH60" s="16"/>
      <c r="WI60" s="16"/>
      <c r="WJ60" s="16"/>
      <c r="WK60" s="16"/>
      <c r="WL60" s="16"/>
      <c r="WM60" s="16"/>
      <c r="WN60" s="16"/>
      <c r="WO60" s="16"/>
      <c r="WP60" s="16"/>
      <c r="WQ60" s="16"/>
      <c r="WR60" s="16"/>
      <c r="WS60" s="16"/>
      <c r="WT60" s="16"/>
      <c r="WU60" s="16"/>
      <c r="WV60" s="16"/>
      <c r="WW60" s="16"/>
      <c r="WX60" s="16"/>
      <c r="WY60" s="16"/>
      <c r="WZ60" s="16"/>
      <c r="XA60" s="16"/>
      <c r="XB60" s="16"/>
      <c r="XC60" s="16"/>
      <c r="XD60" s="16"/>
      <c r="XE60" s="16"/>
      <c r="XF60" s="16"/>
      <c r="XG60" s="16"/>
      <c r="XH60" s="16"/>
      <c r="XI60" s="16"/>
      <c r="XJ60" s="16"/>
      <c r="XK60" s="16"/>
      <c r="XL60" s="16"/>
      <c r="XM60" s="16"/>
      <c r="XN60" s="16"/>
      <c r="XO60" s="16"/>
      <c r="XP60" s="16"/>
      <c r="XQ60" s="16"/>
      <c r="XR60" s="16"/>
      <c r="XS60" s="16"/>
      <c r="XT60" s="16"/>
      <c r="XU60" s="16"/>
      <c r="XV60" s="16"/>
      <c r="XW60" s="16"/>
      <c r="XX60" s="16"/>
      <c r="XY60" s="16"/>
      <c r="XZ60" s="16"/>
      <c r="YA60" s="16"/>
      <c r="YB60" s="16"/>
      <c r="YC60" s="16"/>
      <c r="YD60" s="16"/>
      <c r="YE60" s="16"/>
      <c r="YF60" s="16"/>
      <c r="YG60" s="16"/>
      <c r="YH60" s="16"/>
      <c r="YI60" s="16"/>
      <c r="YJ60" s="16"/>
      <c r="YK60" s="16"/>
      <c r="YL60" s="16"/>
      <c r="YM60" s="16"/>
      <c r="YN60" s="16"/>
      <c r="YO60" s="16"/>
      <c r="YP60" s="16"/>
      <c r="YQ60" s="16"/>
      <c r="YR60" s="16"/>
      <c r="YS60" s="16"/>
      <c r="YT60" s="16"/>
      <c r="YU60" s="16"/>
      <c r="YV60" s="16"/>
      <c r="YW60" s="16"/>
      <c r="YX60" s="16"/>
      <c r="YY60" s="16"/>
      <c r="YZ60" s="16"/>
      <c r="ZA60" s="16"/>
      <c r="ZB60" s="16"/>
      <c r="ZC60" s="16"/>
      <c r="ZD60" s="16"/>
      <c r="ZE60" s="16"/>
      <c r="ZF60" s="16"/>
      <c r="ZG60" s="16"/>
      <c r="ZH60" s="16"/>
      <c r="ZI60" s="16"/>
      <c r="ZJ60" s="16"/>
      <c r="ZK60" s="16"/>
      <c r="ZL60" s="16"/>
      <c r="ZM60" s="16"/>
      <c r="ZN60" s="16"/>
      <c r="ZO60" s="16"/>
      <c r="ZP60" s="16"/>
      <c r="ZQ60" s="16"/>
      <c r="ZR60" s="16"/>
      <c r="ZS60" s="16"/>
      <c r="ZT60" s="16"/>
      <c r="ZU60" s="16"/>
      <c r="ZV60" s="16"/>
      <c r="ZW60" s="16"/>
      <c r="ZX60" s="16"/>
      <c r="ZY60" s="16"/>
      <c r="ZZ60" s="16"/>
      <c r="AAA60" s="16"/>
      <c r="AAB60" s="16"/>
      <c r="AAC60" s="16"/>
      <c r="AAD60" s="16"/>
      <c r="AAE60" s="16"/>
      <c r="AAF60" s="16"/>
      <c r="AAG60" s="16"/>
      <c r="AAH60" s="16"/>
      <c r="AAI60" s="16"/>
      <c r="AAJ60" s="16"/>
      <c r="AAK60" s="16"/>
      <c r="AAL60" s="16"/>
      <c r="AAM60" s="16"/>
      <c r="AAN60" s="16"/>
      <c r="AAO60" s="16"/>
      <c r="AAP60" s="16"/>
      <c r="AAQ60" s="16"/>
      <c r="AAR60" s="16"/>
      <c r="AAS60" s="16"/>
      <c r="AAT60" s="16"/>
      <c r="AAU60" s="16"/>
      <c r="AAV60" s="16"/>
      <c r="AAW60" s="16"/>
      <c r="AAX60" s="16"/>
      <c r="AAY60" s="16"/>
      <c r="AAZ60" s="16"/>
      <c r="ABA60" s="16"/>
      <c r="ABB60" s="16"/>
      <c r="ABC60" s="16"/>
      <c r="ABD60" s="16"/>
      <c r="ABE60" s="16"/>
      <c r="ABF60" s="16"/>
      <c r="ABG60" s="16"/>
      <c r="ABH60" s="16"/>
      <c r="ABI60" s="16"/>
      <c r="ABJ60" s="16"/>
      <c r="ABK60" s="16"/>
      <c r="ABL60" s="16"/>
      <c r="ABM60" s="16"/>
      <c r="ABN60" s="16"/>
      <c r="ABO60" s="16"/>
      <c r="ABP60" s="16"/>
      <c r="ABQ60" s="16"/>
      <c r="ABR60" s="16"/>
      <c r="ABS60" s="16"/>
      <c r="ABT60" s="16"/>
      <c r="ABU60" s="16"/>
      <c r="ABV60" s="16"/>
      <c r="ABW60" s="16"/>
      <c r="ABX60" s="16"/>
      <c r="ABY60" s="16"/>
      <c r="ABZ60" s="16"/>
      <c r="ACA60" s="16"/>
      <c r="ACB60" s="16"/>
      <c r="ACC60" s="16"/>
      <c r="ACD60" s="16"/>
      <c r="ACE60" s="16"/>
      <c r="ACF60" s="16"/>
      <c r="ACG60" s="16"/>
      <c r="ACH60" s="16"/>
      <c r="ACI60" s="16"/>
      <c r="ACJ60" s="16"/>
      <c r="ACK60" s="16"/>
      <c r="ACL60" s="16"/>
      <c r="ACM60" s="16"/>
      <c r="ACN60" s="16"/>
      <c r="ACO60" s="16"/>
      <c r="ACP60" s="16"/>
      <c r="ACQ60" s="16"/>
      <c r="ACR60" s="16"/>
      <c r="ACS60" s="16"/>
      <c r="ACT60" s="16"/>
      <c r="ACU60" s="16"/>
      <c r="ACV60" s="16"/>
      <c r="ACW60" s="16"/>
      <c r="ACX60" s="16"/>
      <c r="ACY60" s="16"/>
      <c r="ACZ60" s="16"/>
      <c r="ADA60" s="16"/>
      <c r="ADB60" s="16"/>
      <c r="ADC60" s="16"/>
      <c r="ADD60" s="16"/>
      <c r="ADE60" s="16"/>
      <c r="ADF60" s="16"/>
      <c r="ADG60" s="16"/>
      <c r="ADH60" s="16"/>
      <c r="ADI60" s="16"/>
      <c r="ADJ60" s="16"/>
      <c r="ADK60" s="16"/>
      <c r="ADL60" s="16"/>
      <c r="ADM60" s="16"/>
      <c r="ADN60" s="16"/>
      <c r="ADO60" s="16"/>
      <c r="ADP60" s="16"/>
      <c r="ADQ60" s="16"/>
      <c r="ADR60" s="16"/>
      <c r="ADS60" s="16"/>
      <c r="ADT60" s="16"/>
      <c r="ADU60" s="16"/>
      <c r="ADV60" s="16"/>
      <c r="ADW60" s="16"/>
      <c r="ADX60" s="16"/>
      <c r="ADY60" s="16"/>
      <c r="ADZ60" s="16"/>
      <c r="AEA60" s="16"/>
      <c r="AEB60" s="16"/>
      <c r="AEC60" s="16"/>
      <c r="AED60" s="16"/>
      <c r="AEE60" s="16"/>
      <c r="AEF60" s="16"/>
      <c r="AEG60" s="16"/>
      <c r="AEH60" s="16"/>
      <c r="AEI60" s="16"/>
      <c r="AEJ60" s="16"/>
      <c r="AEK60" s="16"/>
      <c r="AEL60" s="16"/>
      <c r="AEM60" s="16"/>
      <c r="AEN60" s="16"/>
      <c r="AEO60" s="16"/>
      <c r="AEP60" s="16"/>
      <c r="AEQ60" s="16"/>
      <c r="AER60" s="16"/>
      <c r="AES60" s="16"/>
      <c r="AET60" s="16"/>
      <c r="AEU60" s="16"/>
      <c r="AEV60" s="16"/>
      <c r="AEW60" s="16"/>
      <c r="AEX60" s="16"/>
      <c r="AEY60" s="16"/>
      <c r="AEZ60" s="16"/>
      <c r="AFA60" s="16"/>
      <c r="AFB60" s="16"/>
      <c r="AFC60" s="16"/>
      <c r="AFD60" s="16"/>
      <c r="AFE60" s="16"/>
      <c r="AFF60" s="16"/>
      <c r="AFG60" s="16"/>
      <c r="AFH60" s="16"/>
      <c r="AFI60" s="16"/>
      <c r="AFJ60" s="16"/>
      <c r="AFK60" s="16"/>
      <c r="AFL60" s="16"/>
      <c r="AFM60" s="16"/>
      <c r="AFN60" s="16"/>
      <c r="AFO60" s="16"/>
      <c r="AFP60" s="16"/>
      <c r="AFQ60" s="16"/>
      <c r="AFR60" s="16"/>
      <c r="AFS60" s="16"/>
      <c r="AFT60" s="16"/>
      <c r="AFU60" s="16"/>
      <c r="AFV60" s="16"/>
      <c r="AFW60" s="16"/>
      <c r="AFX60" s="16"/>
      <c r="AFY60" s="16"/>
      <c r="AFZ60" s="16"/>
      <c r="AGA60" s="16"/>
      <c r="AGB60" s="16"/>
      <c r="AGC60" s="16"/>
      <c r="AGD60" s="16"/>
      <c r="AGE60" s="16"/>
      <c r="AGF60" s="16"/>
      <c r="AGG60" s="16"/>
      <c r="AGH60" s="16"/>
      <c r="AGI60" s="16"/>
      <c r="AGJ60" s="16"/>
      <c r="AGK60" s="16"/>
      <c r="AGL60" s="16"/>
      <c r="AGM60" s="16"/>
      <c r="AGN60" s="16"/>
      <c r="AGO60" s="16"/>
      <c r="AGP60" s="16"/>
      <c r="AGQ60" s="16"/>
      <c r="AGR60" s="16"/>
      <c r="AGS60" s="16"/>
      <c r="AGT60" s="16"/>
      <c r="AGU60" s="16"/>
      <c r="AGV60" s="16"/>
      <c r="AGW60" s="16"/>
      <c r="AGX60" s="16"/>
      <c r="AGY60" s="16"/>
      <c r="AGZ60" s="16"/>
      <c r="AHA60" s="16"/>
      <c r="AHB60" s="16"/>
      <c r="AHC60" s="16"/>
      <c r="AHD60" s="16"/>
      <c r="AHE60" s="16"/>
      <c r="AHF60" s="16"/>
      <c r="AHG60" s="16"/>
      <c r="AHH60" s="16"/>
      <c r="AHI60" s="16"/>
      <c r="AHJ60" s="16"/>
      <c r="AHK60" s="16"/>
      <c r="AHL60" s="16"/>
      <c r="AHM60" s="16"/>
      <c r="AHN60" s="16"/>
      <c r="AHO60" s="16"/>
      <c r="AHP60" s="16"/>
      <c r="AHQ60" s="16"/>
      <c r="AHR60" s="16"/>
      <c r="AHS60" s="16"/>
      <c r="AHT60" s="16"/>
      <c r="AHU60" s="16"/>
      <c r="AHV60" s="16"/>
      <c r="AHW60" s="16"/>
      <c r="AHX60" s="16"/>
      <c r="AHY60" s="16"/>
      <c r="AHZ60" s="16"/>
      <c r="AIA60" s="16"/>
      <c r="AIB60" s="16"/>
      <c r="AIC60" s="16"/>
      <c r="AID60" s="16"/>
      <c r="AIE60" s="16"/>
      <c r="AIF60" s="16"/>
      <c r="AIG60" s="16"/>
      <c r="AIH60" s="16"/>
      <c r="AII60" s="16"/>
      <c r="AIJ60" s="16"/>
      <c r="AIK60" s="16"/>
      <c r="AIL60" s="16"/>
      <c r="AIM60" s="16"/>
      <c r="AIN60" s="16"/>
      <c r="AIO60" s="16"/>
      <c r="AIP60" s="16"/>
      <c r="AIQ60" s="16"/>
      <c r="AIR60" s="16"/>
      <c r="AIS60" s="16"/>
      <c r="AIT60" s="16"/>
      <c r="AIU60" s="16"/>
      <c r="AIV60" s="16"/>
      <c r="AIW60" s="16"/>
      <c r="AIX60" s="16"/>
      <c r="AIY60" s="16"/>
      <c r="AIZ60" s="16"/>
      <c r="AJA60" s="16"/>
      <c r="AJB60" s="16"/>
      <c r="AJC60" s="16"/>
      <c r="AJD60" s="16"/>
      <c r="AJE60" s="16"/>
      <c r="AJF60" s="16"/>
      <c r="AJG60" s="16"/>
      <c r="AJH60" s="16"/>
      <c r="AJI60" s="16"/>
      <c r="AJJ60" s="16"/>
      <c r="AJK60" s="16"/>
      <c r="AJL60" s="16"/>
      <c r="AJM60" s="16"/>
      <c r="AJN60" s="16"/>
      <c r="AJO60" s="16"/>
      <c r="AJP60" s="16"/>
      <c r="AJQ60" s="16"/>
      <c r="AJR60" s="16"/>
      <c r="AJS60" s="16"/>
      <c r="AJT60" s="16"/>
      <c r="AJU60" s="16"/>
      <c r="AJV60" s="16"/>
      <c r="AJW60" s="16"/>
      <c r="AJX60" s="16"/>
      <c r="AJY60" s="16"/>
      <c r="AJZ60" s="16"/>
      <c r="AKA60" s="16"/>
      <c r="AKB60" s="16"/>
      <c r="AKC60" s="16"/>
      <c r="AKD60" s="16"/>
      <c r="AKE60" s="16"/>
      <c r="AKF60" s="16"/>
      <c r="AKG60" s="16"/>
      <c r="AKH60" s="16"/>
      <c r="AKI60" s="16"/>
      <c r="AKJ60" s="16"/>
      <c r="AKK60" s="16"/>
      <c r="AKL60" s="16"/>
      <c r="AKM60" s="16"/>
      <c r="AKN60" s="16"/>
      <c r="AKO60" s="16"/>
      <c r="AKP60" s="16"/>
      <c r="AKQ60" s="16"/>
      <c r="AKR60" s="16"/>
      <c r="AKS60" s="16"/>
      <c r="AKT60" s="16"/>
      <c r="AKU60" s="16"/>
      <c r="AKV60" s="16"/>
      <c r="AKW60" s="16"/>
      <c r="AKX60" s="16"/>
      <c r="AKY60" s="16"/>
      <c r="AKZ60" s="16"/>
      <c r="ALA60" s="16"/>
      <c r="ALB60" s="16"/>
      <c r="ALC60" s="16"/>
      <c r="ALD60" s="16"/>
      <c r="ALE60" s="16"/>
      <c r="ALF60" s="16"/>
      <c r="ALG60" s="16"/>
      <c r="ALH60" s="16"/>
      <c r="ALI60" s="16"/>
      <c r="ALJ60" s="16"/>
      <c r="ALK60" s="16"/>
      <c r="ALL60" s="16"/>
      <c r="ALM60" s="16"/>
      <c r="ALN60" s="16"/>
      <c r="ALO60" s="16"/>
      <c r="ALP60" s="16"/>
      <c r="ALQ60" s="16"/>
      <c r="ALR60" s="16"/>
      <c r="ALS60" s="16"/>
      <c r="ALT60" s="16"/>
      <c r="ALU60" s="16"/>
      <c r="ALV60" s="16"/>
      <c r="ALW60" s="16"/>
      <c r="ALX60" s="16"/>
      <c r="ALY60" s="16"/>
      <c r="ALZ60" s="16"/>
      <c r="AMA60" s="16"/>
      <c r="AMB60" s="16"/>
      <c r="AMC60" s="16"/>
      <c r="AMD60" s="16"/>
      <c r="AME60" s="16"/>
      <c r="AMF60" s="16"/>
      <c r="AMG60" s="16"/>
      <c r="AMH60" s="16"/>
      <c r="AMI60" s="16"/>
      <c r="AMJ60" s="16"/>
      <c r="AMK60" s="16"/>
      <c r="AML60" s="16"/>
      <c r="AMM60" s="16"/>
      <c r="AMN60" s="16"/>
      <c r="AMO60" s="16"/>
      <c r="AMP60" s="16"/>
      <c r="AMQ60" s="16"/>
      <c r="AMR60" s="16"/>
      <c r="AMS60" s="16"/>
      <c r="AMT60" s="16"/>
      <c r="AMU60" s="16"/>
      <c r="AMV60" s="16"/>
      <c r="AMW60" s="16"/>
      <c r="AMX60" s="16"/>
      <c r="AMY60" s="16"/>
      <c r="AMZ60" s="16"/>
      <c r="ANA60" s="16"/>
      <c r="ANB60" s="16"/>
      <c r="ANC60" s="16"/>
      <c r="AND60" s="16"/>
      <c r="ANE60" s="16"/>
      <c r="ANF60" s="16"/>
      <c r="ANG60" s="16"/>
      <c r="ANH60" s="16"/>
      <c r="ANI60" s="16"/>
      <c r="ANJ60" s="16"/>
      <c r="ANK60" s="16"/>
      <c r="ANL60" s="16"/>
      <c r="ANM60" s="16"/>
      <c r="ANN60" s="16"/>
      <c r="ANO60" s="16"/>
      <c r="ANP60" s="16"/>
      <c r="ANQ60" s="16"/>
      <c r="ANR60" s="16"/>
      <c r="ANS60" s="16"/>
      <c r="ANT60" s="16"/>
      <c r="ANU60" s="16"/>
      <c r="ANV60" s="16"/>
      <c r="ANW60" s="16"/>
      <c r="ANX60" s="16"/>
      <c r="ANY60" s="16"/>
      <c r="ANZ60" s="16"/>
      <c r="AOA60" s="16"/>
      <c r="AOB60" s="16"/>
      <c r="AOC60" s="16"/>
      <c r="AOD60" s="16"/>
      <c r="AOE60" s="16"/>
      <c r="AOF60" s="16"/>
      <c r="AOG60" s="16"/>
      <c r="AOH60" s="16"/>
      <c r="AOI60" s="16"/>
      <c r="AOJ60" s="16"/>
      <c r="AOK60" s="16"/>
      <c r="AOL60" s="16"/>
      <c r="AOM60" s="16"/>
      <c r="AON60" s="16"/>
      <c r="AOO60" s="16"/>
      <c r="AOP60" s="16"/>
      <c r="AOQ60" s="16"/>
      <c r="AOR60" s="16"/>
      <c r="AOS60" s="16"/>
      <c r="AOT60" s="16"/>
      <c r="AOU60" s="16"/>
      <c r="AOV60" s="16"/>
      <c r="AOW60" s="16"/>
      <c r="AOX60" s="16"/>
      <c r="AOY60" s="16"/>
      <c r="AOZ60" s="16"/>
      <c r="APA60" s="16"/>
      <c r="APB60" s="16"/>
      <c r="APC60" s="16"/>
      <c r="APD60" s="16"/>
      <c r="APE60" s="16"/>
      <c r="APF60" s="16"/>
      <c r="APG60" s="16"/>
      <c r="APH60" s="16"/>
      <c r="API60" s="16"/>
      <c r="APJ60" s="16"/>
      <c r="APK60" s="16"/>
      <c r="APL60" s="16"/>
      <c r="APM60" s="16"/>
      <c r="APN60" s="16"/>
      <c r="APO60" s="16"/>
      <c r="APP60" s="16"/>
      <c r="APQ60" s="16"/>
      <c r="APR60" s="16"/>
      <c r="APS60" s="16"/>
      <c r="APT60" s="16"/>
      <c r="APU60" s="16"/>
      <c r="APV60" s="16"/>
      <c r="APW60" s="16"/>
      <c r="APX60" s="16"/>
      <c r="APY60" s="16"/>
      <c r="APZ60" s="16"/>
      <c r="AQA60" s="16"/>
      <c r="AQB60" s="16"/>
      <c r="AQC60" s="16"/>
      <c r="AQD60" s="16"/>
      <c r="AQE60" s="16"/>
      <c r="AQF60" s="16"/>
      <c r="AQG60" s="16"/>
      <c r="AQH60" s="16"/>
      <c r="AQI60" s="16"/>
      <c r="AQJ60" s="16"/>
      <c r="AQK60" s="16"/>
      <c r="AQL60" s="16"/>
      <c r="AQM60" s="16"/>
      <c r="AQN60" s="16"/>
      <c r="AQO60" s="16"/>
      <c r="AQP60" s="16"/>
      <c r="AQQ60" s="16"/>
      <c r="AQR60" s="16"/>
      <c r="AQS60" s="16"/>
      <c r="AQT60" s="16"/>
      <c r="AQU60" s="16"/>
      <c r="AQV60" s="16"/>
      <c r="AQW60" s="16"/>
      <c r="AQX60" s="16"/>
      <c r="AQY60" s="16"/>
      <c r="AQZ60" s="16"/>
      <c r="ARA60" s="16"/>
      <c r="ARB60" s="16"/>
      <c r="ARC60" s="16"/>
      <c r="ARD60" s="16"/>
      <c r="ARE60" s="16"/>
      <c r="ARF60" s="16"/>
      <c r="ARG60" s="16"/>
      <c r="ARH60" s="16"/>
      <c r="ARI60" s="16"/>
      <c r="ARJ60" s="16"/>
      <c r="ARK60" s="16"/>
      <c r="ARL60" s="16"/>
      <c r="ARM60" s="16"/>
      <c r="ARN60" s="16"/>
      <c r="ARO60" s="16"/>
      <c r="ARP60" s="16"/>
      <c r="ARQ60" s="16"/>
      <c r="ARR60" s="16"/>
      <c r="ARS60" s="16"/>
      <c r="ART60" s="16"/>
      <c r="ARU60" s="16"/>
      <c r="ARV60" s="16"/>
      <c r="ARW60" s="16"/>
      <c r="ARX60" s="16"/>
      <c r="ARY60" s="16"/>
      <c r="ARZ60" s="16"/>
      <c r="ASA60" s="16"/>
      <c r="ASB60" s="16"/>
      <c r="ASC60" s="16"/>
      <c r="ASD60" s="16"/>
      <c r="ASE60" s="16"/>
      <c r="ASF60" s="16"/>
      <c r="ASG60" s="16"/>
      <c r="ASH60" s="16"/>
      <c r="ASI60" s="16"/>
      <c r="ASJ60" s="16"/>
      <c r="ASK60" s="16"/>
      <c r="ASL60" s="16"/>
      <c r="ASM60" s="16"/>
      <c r="ASN60" s="16"/>
      <c r="ASO60" s="16"/>
      <c r="ASP60" s="16"/>
      <c r="ASQ60" s="16"/>
      <c r="ASR60" s="16"/>
      <c r="ASS60" s="16"/>
      <c r="AST60" s="16"/>
      <c r="ASU60" s="16"/>
      <c r="ASV60" s="16"/>
      <c r="ASW60" s="16"/>
      <c r="ASX60" s="16"/>
      <c r="ASY60" s="16"/>
      <c r="ASZ60" s="16"/>
      <c r="ATA60" s="16"/>
      <c r="ATB60" s="16"/>
      <c r="ATC60" s="16"/>
      <c r="ATD60" s="16"/>
      <c r="ATE60" s="16"/>
      <c r="ATF60" s="16"/>
      <c r="ATG60" s="16"/>
      <c r="ATH60" s="16"/>
      <c r="ATI60" s="16"/>
      <c r="ATJ60" s="16"/>
      <c r="ATK60" s="16"/>
      <c r="ATL60" s="16"/>
      <c r="ATM60" s="16"/>
      <c r="ATN60" s="16"/>
      <c r="ATO60" s="16"/>
      <c r="ATP60" s="16"/>
      <c r="ATQ60" s="16"/>
      <c r="ATR60" s="16"/>
      <c r="ATS60" s="16"/>
      <c r="ATT60" s="16"/>
      <c r="ATU60" s="16"/>
      <c r="ATV60" s="16"/>
      <c r="ATW60" s="16"/>
      <c r="ATX60" s="16"/>
      <c r="ATY60" s="16"/>
      <c r="ATZ60" s="16"/>
      <c r="AUA60" s="16"/>
      <c r="AUB60" s="16"/>
      <c r="AUC60" s="16"/>
      <c r="AUD60" s="16"/>
      <c r="AUE60" s="16"/>
      <c r="AUF60" s="16"/>
      <c r="AUG60" s="16"/>
      <c r="AUH60" s="16"/>
      <c r="AUI60" s="16"/>
      <c r="AUJ60" s="16"/>
      <c r="AUK60" s="16"/>
      <c r="AUL60" s="16"/>
      <c r="AUM60" s="16"/>
      <c r="AUN60" s="16"/>
      <c r="AUO60" s="16"/>
      <c r="AUP60" s="16"/>
      <c r="AUQ60" s="16"/>
      <c r="AUR60" s="16"/>
      <c r="AUS60" s="16"/>
      <c r="AUT60" s="16"/>
      <c r="AUU60" s="16"/>
      <c r="AUV60" s="16"/>
      <c r="AUW60" s="16"/>
      <c r="AUX60" s="16"/>
      <c r="AUY60" s="16"/>
      <c r="AUZ60" s="16"/>
      <c r="AVA60" s="16"/>
      <c r="AVB60" s="16"/>
      <c r="AVC60" s="16"/>
      <c r="AVD60" s="16"/>
      <c r="AVE60" s="16"/>
      <c r="AVF60" s="16"/>
      <c r="AVG60" s="16"/>
      <c r="AVH60" s="16"/>
      <c r="AVI60" s="16"/>
      <c r="AVJ60" s="16"/>
      <c r="AVK60" s="16"/>
      <c r="AVL60" s="16"/>
      <c r="AVM60" s="16"/>
      <c r="AVN60" s="16"/>
      <c r="AVO60" s="16"/>
      <c r="AVP60" s="16"/>
      <c r="AVQ60" s="16"/>
      <c r="AVR60" s="16"/>
      <c r="AVS60" s="16"/>
      <c r="AVT60" s="16"/>
      <c r="AVU60" s="16"/>
      <c r="AVV60" s="16"/>
      <c r="AVW60" s="16"/>
      <c r="AVX60" s="16"/>
      <c r="AVY60" s="16"/>
      <c r="AVZ60" s="16"/>
      <c r="AWA60" s="16"/>
      <c r="AWB60" s="16"/>
      <c r="AWC60" s="16"/>
      <c r="AWD60" s="16"/>
      <c r="AWE60" s="16"/>
      <c r="AWF60" s="16"/>
      <c r="AWG60" s="16"/>
      <c r="AWH60" s="16"/>
      <c r="AWI60" s="16"/>
      <c r="AWJ60" s="16"/>
      <c r="AWK60" s="16"/>
      <c r="AWL60" s="16"/>
      <c r="AWM60" s="16"/>
      <c r="AWN60" s="16"/>
      <c r="AWO60" s="16"/>
      <c r="AWP60" s="16"/>
      <c r="AWQ60" s="16"/>
      <c r="AWR60" s="16"/>
      <c r="AWS60" s="16"/>
      <c r="AWT60" s="16"/>
      <c r="AWU60" s="16"/>
      <c r="AWV60" s="16"/>
      <c r="AWW60" s="16"/>
      <c r="AWX60" s="16"/>
      <c r="AWY60" s="16"/>
      <c r="AWZ60" s="16"/>
      <c r="AXA60" s="16"/>
      <c r="AXB60" s="16"/>
      <c r="AXC60" s="16"/>
      <c r="AXD60" s="16"/>
      <c r="AXE60" s="16"/>
      <c r="AXF60" s="16"/>
      <c r="AXG60" s="16"/>
      <c r="AXH60" s="16"/>
      <c r="AXI60" s="16"/>
      <c r="AXJ60" s="16"/>
      <c r="AXK60" s="16"/>
      <c r="AXL60" s="16"/>
      <c r="AXM60" s="16"/>
      <c r="AXN60" s="16"/>
      <c r="AXO60" s="16"/>
      <c r="AXP60" s="16"/>
      <c r="AXQ60" s="16"/>
      <c r="AXR60" s="16"/>
      <c r="AXS60" s="16"/>
      <c r="AXT60" s="16"/>
      <c r="AXU60" s="16"/>
      <c r="AXV60" s="16"/>
      <c r="AXW60" s="16"/>
      <c r="AXX60" s="16"/>
      <c r="AXY60" s="16"/>
      <c r="AXZ60" s="16"/>
      <c r="AYA60" s="16"/>
      <c r="AYB60" s="16"/>
      <c r="AYC60" s="16"/>
      <c r="AYD60" s="16"/>
      <c r="AYE60" s="16"/>
      <c r="AYF60" s="16"/>
      <c r="AYG60" s="16"/>
      <c r="AYH60" s="16"/>
      <c r="AYI60" s="16"/>
      <c r="AYJ60" s="16"/>
      <c r="AYK60" s="16"/>
      <c r="AYL60" s="16"/>
      <c r="AYM60" s="16"/>
      <c r="AYN60" s="16"/>
      <c r="AYO60" s="16"/>
      <c r="AYP60" s="16"/>
      <c r="AYQ60" s="16"/>
      <c r="AYR60" s="16"/>
      <c r="AYS60" s="16"/>
      <c r="AYT60" s="16"/>
      <c r="AYU60" s="16"/>
      <c r="AYV60" s="16"/>
      <c r="AYW60" s="16"/>
      <c r="AYX60" s="16"/>
      <c r="AYY60" s="16"/>
      <c r="AYZ60" s="16"/>
      <c r="AZA60" s="16"/>
      <c r="AZB60" s="16"/>
      <c r="AZC60" s="16"/>
      <c r="AZD60" s="16"/>
      <c r="AZE60" s="16"/>
      <c r="AZF60" s="16"/>
      <c r="AZG60" s="16"/>
      <c r="AZH60" s="16"/>
      <c r="AZI60" s="16"/>
      <c r="AZJ60" s="16"/>
      <c r="AZK60" s="16"/>
      <c r="AZL60" s="16"/>
      <c r="AZM60" s="16"/>
      <c r="AZN60" s="16"/>
      <c r="AZO60" s="16"/>
      <c r="AZP60" s="16"/>
      <c r="AZQ60" s="16"/>
      <c r="AZR60" s="16"/>
      <c r="AZS60" s="16"/>
      <c r="AZT60" s="16"/>
      <c r="AZU60" s="16"/>
      <c r="AZV60" s="16"/>
      <c r="AZW60" s="16"/>
      <c r="AZX60" s="16"/>
      <c r="AZY60" s="16"/>
      <c r="AZZ60" s="16"/>
      <c r="BAA60" s="16"/>
      <c r="BAB60" s="16"/>
      <c r="BAC60" s="16"/>
      <c r="BAD60" s="16"/>
      <c r="BAE60" s="16"/>
      <c r="BAF60" s="16"/>
      <c r="BAG60" s="16"/>
      <c r="BAH60" s="16"/>
      <c r="BAI60" s="16"/>
      <c r="BAJ60" s="16"/>
      <c r="BAK60" s="16"/>
      <c r="BAL60" s="16"/>
      <c r="BAM60" s="16"/>
      <c r="BAN60" s="16"/>
      <c r="BAO60" s="16"/>
      <c r="BAP60" s="16"/>
      <c r="BAQ60" s="16"/>
      <c r="BAR60" s="16"/>
      <c r="BAS60" s="16"/>
      <c r="BAT60" s="16"/>
      <c r="BAU60" s="16"/>
      <c r="BAV60" s="16"/>
      <c r="BAW60" s="16"/>
      <c r="BAX60" s="16"/>
      <c r="BAY60" s="16"/>
      <c r="BAZ60" s="16"/>
      <c r="BBA60" s="16"/>
      <c r="BBB60" s="16"/>
      <c r="BBC60" s="16"/>
      <c r="BBD60" s="16"/>
      <c r="BBE60" s="16"/>
      <c r="BBF60" s="16"/>
      <c r="BBG60" s="16"/>
      <c r="BBH60" s="16"/>
      <c r="BBI60" s="16"/>
      <c r="BBJ60" s="16"/>
      <c r="BBK60" s="16"/>
      <c r="BBL60" s="16"/>
      <c r="BBM60" s="16"/>
      <c r="BBN60" s="16"/>
      <c r="BBO60" s="16"/>
      <c r="BBP60" s="16"/>
      <c r="BBQ60" s="16"/>
      <c r="BBR60" s="16"/>
      <c r="BBS60" s="16"/>
      <c r="BBT60" s="16"/>
      <c r="BBU60" s="16"/>
      <c r="BBV60" s="16"/>
      <c r="BBW60" s="16"/>
      <c r="BBX60" s="16"/>
      <c r="BBY60" s="16"/>
      <c r="BBZ60" s="16"/>
      <c r="BCA60" s="16"/>
      <c r="BCB60" s="16"/>
      <c r="BCC60" s="16"/>
      <c r="BCD60" s="16"/>
      <c r="BCE60" s="16"/>
      <c r="BCF60" s="16"/>
      <c r="BCG60" s="16"/>
      <c r="BCH60" s="16"/>
      <c r="BCI60" s="16"/>
      <c r="BCJ60" s="16"/>
      <c r="BCK60" s="16"/>
      <c r="BCL60" s="16"/>
      <c r="BCM60" s="16"/>
      <c r="BCN60" s="16"/>
      <c r="BCO60" s="16"/>
      <c r="BCP60" s="16"/>
      <c r="BCQ60" s="16"/>
      <c r="BCR60" s="16"/>
      <c r="BCS60" s="16"/>
      <c r="BCT60" s="16"/>
      <c r="BCU60" s="16"/>
      <c r="BCV60" s="16"/>
      <c r="BCW60" s="16"/>
      <c r="BCX60" s="16"/>
      <c r="BCY60" s="16"/>
      <c r="BCZ60" s="16"/>
      <c r="BDA60" s="16"/>
      <c r="BDB60" s="16"/>
      <c r="BDC60" s="16"/>
      <c r="BDD60" s="16"/>
      <c r="BDE60" s="16"/>
      <c r="BDF60" s="16"/>
      <c r="BDG60" s="16"/>
      <c r="BDH60" s="16"/>
      <c r="BDI60" s="16"/>
      <c r="BDJ60" s="16"/>
      <c r="BDK60" s="16"/>
      <c r="BDL60" s="16"/>
      <c r="BDM60" s="16"/>
      <c r="BDN60" s="16"/>
      <c r="BDO60" s="16"/>
      <c r="BDP60" s="16"/>
      <c r="BDQ60" s="16"/>
      <c r="BDR60" s="16"/>
      <c r="BDS60" s="16"/>
      <c r="BDT60" s="16"/>
      <c r="BDU60" s="16"/>
      <c r="BDV60" s="16"/>
      <c r="BDW60" s="16"/>
      <c r="BDX60" s="16"/>
      <c r="BDY60" s="16"/>
      <c r="BDZ60" s="16"/>
      <c r="BEA60" s="16"/>
      <c r="BEB60" s="16"/>
      <c r="BEC60" s="16"/>
      <c r="BED60" s="16"/>
      <c r="BEE60" s="16"/>
      <c r="BEF60" s="16"/>
      <c r="BEG60" s="16"/>
      <c r="BEH60" s="16"/>
      <c r="BEI60" s="16"/>
      <c r="BEJ60" s="16"/>
      <c r="BEK60" s="16"/>
      <c r="BEL60" s="16"/>
      <c r="BEM60" s="16"/>
      <c r="BEN60" s="16"/>
      <c r="BEO60" s="16"/>
      <c r="BEP60" s="16"/>
      <c r="BEQ60" s="16"/>
      <c r="BER60" s="16"/>
      <c r="BES60" s="16"/>
      <c r="BET60" s="16"/>
      <c r="BEU60" s="16"/>
      <c r="BEV60" s="16"/>
      <c r="BEW60" s="16"/>
      <c r="BEX60" s="16"/>
      <c r="BEY60" s="16"/>
      <c r="BEZ60" s="16"/>
      <c r="BFA60" s="16"/>
      <c r="BFB60" s="16"/>
      <c r="BFC60" s="16"/>
      <c r="BFD60" s="16"/>
      <c r="BFE60" s="16"/>
      <c r="BFF60" s="16"/>
      <c r="BFG60" s="16"/>
      <c r="BFH60" s="16"/>
      <c r="BFI60" s="16"/>
      <c r="BFJ60" s="16"/>
      <c r="BFK60" s="16"/>
      <c r="BFL60" s="16"/>
      <c r="BFM60" s="16"/>
      <c r="BFN60" s="16"/>
      <c r="BFO60" s="16"/>
      <c r="BFP60" s="16"/>
      <c r="BFQ60" s="16"/>
      <c r="BFR60" s="16"/>
      <c r="BFS60" s="16"/>
      <c r="BFT60" s="16"/>
      <c r="BFU60" s="16"/>
      <c r="BFV60" s="16"/>
      <c r="BFW60" s="16"/>
      <c r="BFX60" s="16"/>
      <c r="BFY60" s="16"/>
      <c r="BFZ60" s="16"/>
      <c r="BGA60" s="16"/>
      <c r="BGB60" s="16"/>
      <c r="BGC60" s="16"/>
      <c r="BGD60" s="16"/>
      <c r="BGE60" s="16"/>
      <c r="BGF60" s="16"/>
      <c r="BGG60" s="16"/>
      <c r="BGH60" s="16"/>
      <c r="BGI60" s="16"/>
      <c r="BGJ60" s="16"/>
      <c r="BGK60" s="16"/>
      <c r="BGL60" s="16"/>
      <c r="BGM60" s="16"/>
      <c r="BGN60" s="16"/>
      <c r="BGO60" s="16"/>
      <c r="BGP60" s="16"/>
      <c r="BGQ60" s="16"/>
      <c r="BGR60" s="16"/>
      <c r="BGS60" s="16"/>
      <c r="BGT60" s="16"/>
      <c r="BGU60" s="16"/>
      <c r="BGV60" s="16"/>
      <c r="BGW60" s="16"/>
      <c r="BGX60" s="16"/>
      <c r="BGY60" s="16"/>
      <c r="BGZ60" s="16"/>
      <c r="BHA60" s="16"/>
      <c r="BHB60" s="16"/>
      <c r="BHC60" s="16"/>
      <c r="BHD60" s="16"/>
      <c r="BHE60" s="16"/>
      <c r="BHF60" s="16"/>
      <c r="BHG60" s="16"/>
      <c r="BHH60" s="16"/>
      <c r="BHI60" s="16"/>
      <c r="BHJ60" s="16"/>
      <c r="BHK60" s="16"/>
      <c r="BHL60" s="16"/>
      <c r="BHM60" s="16"/>
      <c r="BHN60" s="16"/>
      <c r="BHO60" s="16"/>
      <c r="BHP60" s="16"/>
      <c r="BHQ60" s="16"/>
      <c r="BHR60" s="16"/>
      <c r="BHS60" s="16"/>
      <c r="BHT60" s="16"/>
      <c r="BHU60" s="16"/>
      <c r="BHV60" s="16"/>
      <c r="BHW60" s="16"/>
      <c r="BHX60" s="16"/>
      <c r="BHY60" s="16"/>
      <c r="BHZ60" s="16"/>
      <c r="BIA60" s="16"/>
      <c r="BIB60" s="16"/>
      <c r="BIC60" s="16"/>
      <c r="BID60" s="16"/>
      <c r="BIE60" s="16"/>
      <c r="BIF60" s="16"/>
      <c r="BIG60" s="16"/>
      <c r="BIH60" s="16"/>
      <c r="BII60" s="16"/>
      <c r="BIJ60" s="16"/>
      <c r="BIK60" s="16"/>
      <c r="BIL60" s="16"/>
      <c r="BIM60" s="16"/>
      <c r="BIN60" s="16"/>
      <c r="BIO60" s="16"/>
      <c r="BIP60" s="16"/>
      <c r="BIQ60" s="16"/>
      <c r="BIR60" s="16"/>
      <c r="BIS60" s="16"/>
      <c r="BIT60" s="16"/>
      <c r="BIU60" s="16"/>
      <c r="BIV60" s="16"/>
      <c r="BIW60" s="16"/>
      <c r="BIX60" s="16"/>
      <c r="BIY60" s="16"/>
      <c r="BIZ60" s="16"/>
      <c r="BJA60" s="16"/>
      <c r="BJB60" s="16"/>
      <c r="BJC60" s="16"/>
      <c r="BJD60" s="16"/>
      <c r="BJE60" s="16"/>
      <c r="BJF60" s="16"/>
      <c r="BJG60" s="16"/>
      <c r="BJH60" s="16"/>
      <c r="BJI60" s="16"/>
      <c r="BJJ60" s="16"/>
      <c r="BJK60" s="16"/>
      <c r="BJL60" s="16"/>
      <c r="BJM60" s="16"/>
      <c r="BJN60" s="16"/>
      <c r="BJO60" s="16"/>
      <c r="BJP60" s="16"/>
      <c r="BJQ60" s="16"/>
      <c r="BJR60" s="16"/>
      <c r="BJS60" s="16"/>
      <c r="BJT60" s="16"/>
      <c r="BJU60" s="16"/>
      <c r="BJV60" s="16"/>
      <c r="BJW60" s="16"/>
      <c r="BJX60" s="16"/>
      <c r="BJY60" s="16"/>
      <c r="BJZ60" s="16"/>
      <c r="BKA60" s="16"/>
      <c r="BKB60" s="16"/>
      <c r="BKC60" s="16"/>
      <c r="BKD60" s="16"/>
      <c r="BKE60" s="16"/>
      <c r="BKF60" s="16"/>
      <c r="BKG60" s="16"/>
      <c r="BKH60" s="16"/>
      <c r="BKI60" s="16"/>
      <c r="BKJ60" s="16"/>
      <c r="BKK60" s="16"/>
      <c r="BKL60" s="16"/>
      <c r="BKM60" s="16"/>
      <c r="BKN60" s="16"/>
      <c r="BKO60" s="16"/>
      <c r="BKP60" s="16"/>
      <c r="BKQ60" s="16"/>
      <c r="BKR60" s="16"/>
      <c r="BKS60" s="16"/>
      <c r="BKT60" s="16"/>
      <c r="BKU60" s="16"/>
      <c r="BKV60" s="16"/>
      <c r="BKW60" s="16"/>
      <c r="BKX60" s="16"/>
      <c r="BKY60" s="16"/>
      <c r="BKZ60" s="16"/>
      <c r="BLA60" s="16"/>
      <c r="BLB60" s="16"/>
      <c r="BLC60" s="16"/>
      <c r="BLD60" s="16"/>
      <c r="BLE60" s="16"/>
      <c r="BLF60" s="16"/>
      <c r="BLG60" s="16"/>
      <c r="BLH60" s="16"/>
      <c r="BLI60" s="16"/>
      <c r="BLJ60" s="16"/>
      <c r="BLK60" s="16"/>
      <c r="BLL60" s="16"/>
      <c r="BLM60" s="16"/>
      <c r="BLN60" s="16"/>
      <c r="BLO60" s="16"/>
      <c r="BLP60" s="16"/>
      <c r="BLQ60" s="16"/>
      <c r="BLR60" s="16"/>
      <c r="BLS60" s="16"/>
      <c r="BLT60" s="16"/>
      <c r="BLU60" s="16"/>
      <c r="BLV60" s="16"/>
      <c r="BLW60" s="16"/>
      <c r="BLX60" s="16"/>
      <c r="BLY60" s="16"/>
      <c r="BLZ60" s="16"/>
      <c r="BMA60" s="16"/>
      <c r="BMB60" s="16"/>
      <c r="BMC60" s="16"/>
      <c r="BMD60" s="16"/>
      <c r="BME60" s="16"/>
      <c r="BMF60" s="16"/>
      <c r="BMG60" s="16"/>
      <c r="BMH60" s="16"/>
      <c r="BMI60" s="16"/>
      <c r="BMJ60" s="16"/>
      <c r="BMK60" s="16"/>
      <c r="BML60" s="16"/>
      <c r="BMM60" s="16"/>
      <c r="BMN60" s="16"/>
      <c r="BMO60" s="16"/>
      <c r="BMP60" s="16"/>
      <c r="BMQ60" s="16"/>
      <c r="BMR60" s="16"/>
      <c r="BMS60" s="16"/>
      <c r="BMT60" s="16"/>
      <c r="BMU60" s="16"/>
      <c r="BMV60" s="16"/>
      <c r="BMW60" s="16"/>
      <c r="BMX60" s="16"/>
      <c r="BMY60" s="16"/>
      <c r="BMZ60" s="16"/>
      <c r="BNA60" s="16"/>
      <c r="BNB60" s="16"/>
      <c r="BNC60" s="16"/>
      <c r="BND60" s="16"/>
      <c r="BNE60" s="16"/>
      <c r="BNF60" s="16"/>
      <c r="BNG60" s="16"/>
      <c r="BNH60" s="16"/>
      <c r="BNI60" s="16"/>
      <c r="BNJ60" s="16"/>
      <c r="BNK60" s="16"/>
      <c r="BNL60" s="16"/>
      <c r="BNM60" s="16"/>
      <c r="BNN60" s="16"/>
      <c r="BNO60" s="16"/>
      <c r="BNP60" s="16"/>
      <c r="BNQ60" s="16"/>
      <c r="BNR60" s="16"/>
      <c r="BNS60" s="16"/>
      <c r="BNT60" s="16"/>
      <c r="BNU60" s="16"/>
      <c r="BNV60" s="16"/>
      <c r="BNW60" s="16"/>
      <c r="BNX60" s="16"/>
      <c r="BNY60" s="16"/>
      <c r="BNZ60" s="16"/>
      <c r="BOA60" s="16"/>
      <c r="BOB60" s="16"/>
      <c r="BOC60" s="16"/>
      <c r="BOD60" s="16"/>
      <c r="BOE60" s="16"/>
      <c r="BOF60" s="16"/>
      <c r="BOG60" s="16"/>
      <c r="BOH60" s="16"/>
      <c r="BOI60" s="16"/>
      <c r="BOJ60" s="16"/>
      <c r="BOK60" s="16"/>
      <c r="BOL60" s="16"/>
      <c r="BOM60" s="16"/>
      <c r="BON60" s="16"/>
      <c r="BOO60" s="16"/>
      <c r="BOP60" s="16"/>
      <c r="BOQ60" s="16"/>
      <c r="BOR60" s="16"/>
      <c r="BOS60" s="16"/>
      <c r="BOT60" s="16"/>
      <c r="BOU60" s="16"/>
      <c r="BOV60" s="16"/>
      <c r="BOW60" s="16"/>
      <c r="BOX60" s="16"/>
      <c r="BOY60" s="16"/>
      <c r="BOZ60" s="16"/>
      <c r="BPA60" s="16"/>
      <c r="BPB60" s="16"/>
      <c r="BPC60" s="16"/>
      <c r="BPD60" s="16"/>
      <c r="BPE60" s="16"/>
      <c r="BPF60" s="16"/>
      <c r="BPG60" s="16"/>
      <c r="BPH60" s="16"/>
      <c r="BPI60" s="16"/>
      <c r="BPJ60" s="16"/>
      <c r="BPK60" s="16"/>
      <c r="BPL60" s="16"/>
      <c r="BPM60" s="16"/>
      <c r="BPN60" s="16"/>
      <c r="BPO60" s="16"/>
      <c r="BPP60" s="16"/>
      <c r="BPQ60" s="16"/>
      <c r="BPR60" s="16"/>
      <c r="BPS60" s="16"/>
      <c r="BPT60" s="16"/>
      <c r="BPU60" s="16"/>
      <c r="BPV60" s="16"/>
      <c r="BPW60" s="16"/>
      <c r="BPX60" s="16"/>
      <c r="BPY60" s="16"/>
      <c r="BPZ60" s="16"/>
      <c r="BQA60" s="16"/>
      <c r="BQB60" s="16"/>
      <c r="BQC60" s="16"/>
      <c r="BQD60" s="16"/>
      <c r="BQE60" s="16"/>
      <c r="BQF60" s="16"/>
      <c r="BQG60" s="16"/>
      <c r="BQH60" s="16"/>
      <c r="BQI60" s="16"/>
      <c r="BQJ60" s="16"/>
      <c r="BQK60" s="16"/>
      <c r="BQL60" s="16"/>
      <c r="BQM60" s="16"/>
      <c r="BQN60" s="16"/>
      <c r="BQO60" s="16"/>
      <c r="BQP60" s="16"/>
      <c r="BQQ60" s="16"/>
      <c r="BQR60" s="16"/>
      <c r="BQS60" s="16"/>
      <c r="BQT60" s="16"/>
      <c r="BQU60" s="16"/>
      <c r="BQV60" s="16"/>
      <c r="BQW60" s="16"/>
      <c r="BQX60" s="16"/>
      <c r="BQY60" s="16"/>
      <c r="BQZ60" s="16"/>
      <c r="BRA60" s="16"/>
      <c r="BRB60" s="16"/>
      <c r="BRC60" s="16"/>
      <c r="BRD60" s="16"/>
      <c r="BRE60" s="16"/>
      <c r="BRF60" s="16"/>
      <c r="BRG60" s="16"/>
      <c r="BRH60" s="16"/>
      <c r="BRI60" s="16"/>
      <c r="BRJ60" s="16"/>
      <c r="BRK60" s="16"/>
      <c r="BRL60" s="16"/>
      <c r="BRM60" s="16"/>
      <c r="BRN60" s="16"/>
      <c r="BRO60" s="16"/>
      <c r="BRP60" s="16"/>
      <c r="BRQ60" s="16"/>
      <c r="BRR60" s="16"/>
      <c r="BRS60" s="16"/>
      <c r="BRT60" s="16"/>
      <c r="BRU60" s="16"/>
      <c r="BRV60" s="16"/>
      <c r="BRW60" s="16"/>
      <c r="BRX60" s="16"/>
      <c r="BRY60" s="16"/>
      <c r="BRZ60" s="16"/>
      <c r="BSA60" s="16"/>
      <c r="BSB60" s="16"/>
      <c r="BSC60" s="16"/>
      <c r="BSD60" s="16"/>
      <c r="BSE60" s="16"/>
      <c r="BSF60" s="16"/>
      <c r="BSG60" s="16"/>
      <c r="BSH60" s="16"/>
      <c r="BSI60" s="16"/>
      <c r="BSJ60" s="16"/>
      <c r="BSK60" s="16"/>
      <c r="BSL60" s="16"/>
      <c r="BSM60" s="16"/>
      <c r="BSN60" s="16"/>
      <c r="BSO60" s="16"/>
      <c r="BSP60" s="16"/>
      <c r="BSQ60" s="16"/>
      <c r="BSR60" s="16"/>
      <c r="BSS60" s="16"/>
      <c r="BST60" s="16"/>
      <c r="BSU60" s="16"/>
      <c r="BSV60" s="16"/>
      <c r="BSW60" s="16"/>
      <c r="BSX60" s="16"/>
      <c r="BSY60" s="16"/>
      <c r="BSZ60" s="16"/>
      <c r="BTA60" s="16"/>
      <c r="BTB60" s="16"/>
      <c r="BTC60" s="16"/>
      <c r="BTD60" s="16"/>
      <c r="BTE60" s="16"/>
      <c r="BTF60" s="16"/>
      <c r="BTG60" s="16"/>
      <c r="BTH60" s="16"/>
      <c r="BTI60" s="16"/>
      <c r="BTJ60" s="16"/>
      <c r="BTK60" s="16"/>
      <c r="BTL60" s="16"/>
      <c r="BTM60" s="16"/>
      <c r="BTN60" s="16"/>
      <c r="BTO60" s="16"/>
      <c r="BTP60" s="16"/>
      <c r="BTQ60" s="16"/>
      <c r="BTR60" s="16"/>
      <c r="BTS60" s="16"/>
      <c r="BTT60" s="16"/>
      <c r="BTU60" s="16"/>
      <c r="BTV60" s="16"/>
      <c r="BTW60" s="16"/>
      <c r="BTX60" s="16"/>
      <c r="BTY60" s="16"/>
      <c r="BTZ60" s="16"/>
      <c r="BUA60" s="16"/>
      <c r="BUB60" s="16"/>
      <c r="BUC60" s="16"/>
      <c r="BUD60" s="16"/>
      <c r="BUE60" s="16"/>
      <c r="BUF60" s="16"/>
      <c r="BUG60" s="16"/>
      <c r="BUH60" s="16"/>
      <c r="BUI60" s="16"/>
      <c r="BUJ60" s="16"/>
      <c r="BUK60" s="16"/>
      <c r="BUL60" s="16"/>
      <c r="BUM60" s="16"/>
      <c r="BUN60" s="16"/>
      <c r="BUO60" s="16"/>
      <c r="BUP60" s="16"/>
      <c r="BUQ60" s="16"/>
      <c r="BUR60" s="16"/>
      <c r="BUS60" s="16"/>
      <c r="BUT60" s="16"/>
      <c r="BUU60" s="16"/>
      <c r="BUV60" s="16"/>
      <c r="BUW60" s="16"/>
      <c r="BUX60" s="16"/>
      <c r="BUY60" s="16"/>
      <c r="BUZ60" s="16"/>
      <c r="BVA60" s="16"/>
      <c r="BVB60" s="16"/>
      <c r="BVC60" s="16"/>
      <c r="BVD60" s="16"/>
      <c r="BVE60" s="16"/>
      <c r="BVF60" s="16"/>
      <c r="BVG60" s="16"/>
      <c r="BVH60" s="16"/>
      <c r="BVI60" s="16"/>
      <c r="BVJ60" s="16"/>
      <c r="BVK60" s="16"/>
      <c r="BVL60" s="16"/>
      <c r="BVM60" s="16"/>
      <c r="BVN60" s="16"/>
      <c r="BVO60" s="16"/>
      <c r="BVP60" s="16"/>
      <c r="BVQ60" s="16"/>
      <c r="BVR60" s="16"/>
      <c r="BVS60" s="16"/>
      <c r="BVT60" s="16"/>
      <c r="BVU60" s="16"/>
      <c r="BVV60" s="16"/>
      <c r="BVW60" s="16"/>
      <c r="BVX60" s="16"/>
      <c r="BVY60" s="16"/>
      <c r="BVZ60" s="16"/>
      <c r="BWA60" s="16"/>
      <c r="BWB60" s="16"/>
      <c r="BWC60" s="16"/>
      <c r="BWD60" s="16"/>
      <c r="BWE60" s="16"/>
      <c r="BWF60" s="16"/>
      <c r="BWG60" s="16"/>
      <c r="BWH60" s="16"/>
      <c r="BWI60" s="16"/>
      <c r="BWJ60" s="16"/>
      <c r="BWK60" s="16"/>
      <c r="BWL60" s="16"/>
      <c r="BWM60" s="16"/>
      <c r="BWN60" s="16"/>
      <c r="BWO60" s="16"/>
      <c r="BWP60" s="16"/>
      <c r="BWQ60" s="16"/>
      <c r="BWR60" s="16"/>
      <c r="BWS60" s="16"/>
      <c r="BWT60" s="16"/>
      <c r="BWU60" s="16"/>
      <c r="BWV60" s="16"/>
      <c r="BWW60" s="16"/>
      <c r="BWX60" s="16"/>
      <c r="BWY60" s="16"/>
      <c r="BWZ60" s="16"/>
      <c r="BXA60" s="16"/>
      <c r="BXB60" s="16"/>
      <c r="BXC60" s="16"/>
      <c r="BXD60" s="16"/>
      <c r="BXE60" s="16"/>
      <c r="BXF60" s="16"/>
      <c r="BXG60" s="16"/>
      <c r="BXH60" s="16"/>
      <c r="BXI60" s="16"/>
      <c r="BXJ60" s="16"/>
      <c r="BXK60" s="16"/>
      <c r="BXL60" s="16"/>
      <c r="BXM60" s="16"/>
      <c r="BXN60" s="16"/>
      <c r="BXO60" s="16"/>
      <c r="BXP60" s="16"/>
      <c r="BXQ60" s="16"/>
      <c r="BXR60" s="16"/>
      <c r="BXS60" s="16"/>
      <c r="BXT60" s="16"/>
      <c r="BXU60" s="16"/>
      <c r="BXV60" s="16"/>
      <c r="BXW60" s="16"/>
      <c r="BXX60" s="16"/>
      <c r="BXY60" s="16"/>
      <c r="BXZ60" s="16"/>
      <c r="BYA60" s="16"/>
      <c r="BYB60" s="16"/>
      <c r="BYC60" s="16"/>
      <c r="BYD60" s="16"/>
      <c r="BYE60" s="16"/>
      <c r="BYF60" s="16"/>
      <c r="BYG60" s="16"/>
      <c r="BYH60" s="16"/>
      <c r="BYI60" s="16"/>
      <c r="BYJ60" s="16"/>
      <c r="BYK60" s="16"/>
      <c r="BYL60" s="16"/>
      <c r="BYM60" s="16"/>
      <c r="BYN60" s="16"/>
      <c r="BYO60" s="16"/>
      <c r="BYP60" s="16"/>
      <c r="BYQ60" s="16"/>
      <c r="BYR60" s="16"/>
      <c r="BYS60" s="16"/>
      <c r="BYT60" s="16"/>
      <c r="BYU60" s="16"/>
      <c r="BYV60" s="16"/>
      <c r="BYW60" s="16"/>
      <c r="BYX60" s="16"/>
      <c r="BYY60" s="16"/>
      <c r="BYZ60" s="16"/>
      <c r="BZA60" s="16"/>
      <c r="BZB60" s="16"/>
      <c r="BZC60" s="16"/>
      <c r="BZD60" s="16"/>
      <c r="BZE60" s="16"/>
      <c r="BZF60" s="16"/>
      <c r="BZG60" s="16"/>
      <c r="BZH60" s="16"/>
      <c r="BZI60" s="16"/>
      <c r="BZJ60" s="16"/>
      <c r="BZK60" s="16"/>
      <c r="BZL60" s="16"/>
      <c r="BZM60" s="16"/>
      <c r="BZN60" s="16"/>
      <c r="BZO60" s="16"/>
      <c r="BZP60" s="16"/>
      <c r="BZQ60" s="16"/>
      <c r="BZR60" s="16"/>
      <c r="BZS60" s="16"/>
      <c r="BZT60" s="16"/>
      <c r="BZU60" s="16"/>
      <c r="BZV60" s="16"/>
      <c r="BZW60" s="16"/>
      <c r="BZX60" s="16"/>
      <c r="BZY60" s="16"/>
      <c r="BZZ60" s="16"/>
      <c r="CAA60" s="16"/>
      <c r="CAB60" s="16"/>
      <c r="CAC60" s="16"/>
      <c r="CAD60" s="16"/>
      <c r="CAE60" s="16"/>
      <c r="CAF60" s="16"/>
      <c r="CAG60" s="16"/>
      <c r="CAH60" s="16"/>
      <c r="CAI60" s="16"/>
      <c r="CAJ60" s="16"/>
      <c r="CAK60" s="16"/>
      <c r="CAL60" s="16"/>
      <c r="CAM60" s="16"/>
      <c r="CAN60" s="16"/>
      <c r="CAO60" s="16"/>
      <c r="CAP60" s="16"/>
      <c r="CAQ60" s="16"/>
      <c r="CAR60" s="16"/>
      <c r="CAS60" s="16"/>
      <c r="CAT60" s="16"/>
      <c r="CAU60" s="16"/>
      <c r="CAV60" s="16"/>
      <c r="CAW60" s="16"/>
      <c r="CAX60" s="16"/>
      <c r="CAY60" s="16"/>
      <c r="CAZ60" s="16"/>
      <c r="CBA60" s="16"/>
      <c r="CBB60" s="16"/>
      <c r="CBC60" s="16"/>
      <c r="CBD60" s="16"/>
      <c r="CBE60" s="16"/>
      <c r="CBF60" s="16"/>
      <c r="CBG60" s="16"/>
      <c r="CBH60" s="16"/>
      <c r="CBI60" s="16"/>
      <c r="CBJ60" s="16"/>
      <c r="CBK60" s="16"/>
      <c r="CBL60" s="16"/>
      <c r="CBM60" s="16"/>
      <c r="CBN60" s="16"/>
      <c r="CBO60" s="16"/>
      <c r="CBP60" s="16"/>
      <c r="CBQ60" s="16"/>
      <c r="CBR60" s="16"/>
      <c r="CBS60" s="16"/>
      <c r="CBT60" s="16"/>
      <c r="CBU60" s="16"/>
      <c r="CBV60" s="16"/>
      <c r="CBW60" s="16"/>
      <c r="CBX60" s="16"/>
      <c r="CBY60" s="16"/>
      <c r="CBZ60" s="16"/>
      <c r="CCA60" s="16"/>
      <c r="CCB60" s="16"/>
      <c r="CCC60" s="16"/>
      <c r="CCD60" s="16"/>
      <c r="CCE60" s="16"/>
      <c r="CCF60" s="16"/>
      <c r="CCG60" s="16"/>
      <c r="CCH60" s="16"/>
      <c r="CCI60" s="16"/>
      <c r="CCJ60" s="16"/>
      <c r="CCK60" s="16"/>
      <c r="CCL60" s="16"/>
      <c r="CCM60" s="16"/>
      <c r="CCN60" s="16"/>
      <c r="CCO60" s="16"/>
      <c r="CCP60" s="16"/>
      <c r="CCQ60" s="16"/>
      <c r="CCR60" s="16"/>
      <c r="CCS60" s="16"/>
      <c r="CCT60" s="16"/>
      <c r="CCU60" s="16"/>
      <c r="CCV60" s="16"/>
      <c r="CCW60" s="16"/>
      <c r="CCX60" s="16"/>
      <c r="CCY60" s="16"/>
      <c r="CCZ60" s="16"/>
      <c r="CDA60" s="16"/>
      <c r="CDB60" s="16"/>
      <c r="CDC60" s="16"/>
      <c r="CDD60" s="16"/>
      <c r="CDE60" s="16"/>
      <c r="CDF60" s="16"/>
      <c r="CDG60" s="16"/>
      <c r="CDH60" s="16"/>
      <c r="CDI60" s="16"/>
      <c r="CDJ60" s="16"/>
      <c r="CDK60" s="16"/>
      <c r="CDL60" s="16"/>
      <c r="CDM60" s="16"/>
      <c r="CDN60" s="16"/>
      <c r="CDO60" s="16"/>
      <c r="CDP60" s="16"/>
      <c r="CDQ60" s="16"/>
      <c r="CDR60" s="16"/>
      <c r="CDS60" s="16"/>
      <c r="CDT60" s="16"/>
      <c r="CDU60" s="16"/>
      <c r="CDV60" s="16"/>
      <c r="CDW60" s="16"/>
      <c r="CDX60" s="16"/>
      <c r="CDY60" s="16"/>
      <c r="CDZ60" s="16"/>
      <c r="CEA60" s="16"/>
      <c r="CEB60" s="16"/>
      <c r="CEC60" s="16"/>
      <c r="CED60" s="16"/>
      <c r="CEE60" s="16"/>
      <c r="CEF60" s="16"/>
      <c r="CEG60" s="16"/>
      <c r="CEH60" s="16"/>
      <c r="CEI60" s="16"/>
      <c r="CEJ60" s="16"/>
      <c r="CEK60" s="16"/>
      <c r="CEL60" s="16"/>
      <c r="CEM60" s="16"/>
      <c r="CEN60" s="16"/>
      <c r="CEO60" s="16"/>
      <c r="CEP60" s="16"/>
      <c r="CEQ60" s="16"/>
      <c r="CER60" s="16"/>
      <c r="CES60" s="16"/>
      <c r="CET60" s="16"/>
      <c r="CEU60" s="16"/>
      <c r="CEV60" s="16"/>
      <c r="CEW60" s="16"/>
      <c r="CEX60" s="16"/>
      <c r="CEY60" s="16"/>
      <c r="CEZ60" s="16"/>
      <c r="CFA60" s="16"/>
      <c r="CFB60" s="16"/>
      <c r="CFC60" s="16"/>
      <c r="CFD60" s="16"/>
      <c r="CFE60" s="16"/>
      <c r="CFF60" s="16"/>
      <c r="CFG60" s="16"/>
      <c r="CFH60" s="16"/>
      <c r="CFI60" s="16"/>
      <c r="CFJ60" s="16"/>
      <c r="CFK60" s="16"/>
      <c r="CFL60" s="16"/>
      <c r="CFM60" s="16"/>
      <c r="CFN60" s="16"/>
      <c r="CFO60" s="16"/>
      <c r="CFP60" s="16"/>
      <c r="CFQ60" s="16"/>
      <c r="CFR60" s="16"/>
      <c r="CFS60" s="16"/>
      <c r="CFT60" s="16"/>
      <c r="CFU60" s="16"/>
      <c r="CFV60" s="16"/>
      <c r="CFW60" s="16"/>
      <c r="CFX60" s="16"/>
      <c r="CFY60" s="16"/>
      <c r="CFZ60" s="16"/>
      <c r="CGA60" s="16"/>
      <c r="CGB60" s="16"/>
      <c r="CGC60" s="16"/>
      <c r="CGD60" s="16"/>
      <c r="CGE60" s="16"/>
      <c r="CGF60" s="16"/>
      <c r="CGG60" s="16"/>
      <c r="CGH60" s="16"/>
      <c r="CGI60" s="16"/>
      <c r="CGJ60" s="16"/>
      <c r="CGK60" s="16"/>
      <c r="CGL60" s="16"/>
      <c r="CGM60" s="16"/>
      <c r="CGN60" s="16"/>
      <c r="CGO60" s="16"/>
      <c r="CGP60" s="16"/>
      <c r="CGQ60" s="16"/>
      <c r="CGR60" s="16"/>
      <c r="CGS60" s="16"/>
      <c r="CGT60" s="16"/>
      <c r="CGU60" s="16"/>
      <c r="CGV60" s="16"/>
      <c r="CGW60" s="16"/>
      <c r="CGX60" s="16"/>
      <c r="CGY60" s="16"/>
      <c r="CGZ60" s="16"/>
      <c r="CHA60" s="16"/>
      <c r="CHB60" s="16"/>
      <c r="CHC60" s="16"/>
      <c r="CHD60" s="16"/>
      <c r="CHE60" s="16"/>
      <c r="CHF60" s="16"/>
      <c r="CHG60" s="16"/>
      <c r="CHH60" s="16"/>
      <c r="CHI60" s="16"/>
      <c r="CHJ60" s="16"/>
      <c r="CHK60" s="16"/>
      <c r="CHL60" s="16"/>
      <c r="CHM60" s="16"/>
      <c r="CHN60" s="16"/>
      <c r="CHO60" s="16"/>
      <c r="CHP60" s="16"/>
      <c r="CHQ60" s="16"/>
      <c r="CHR60" s="16"/>
      <c r="CHS60" s="16"/>
      <c r="CHT60" s="16"/>
      <c r="CHU60" s="16"/>
      <c r="CHV60" s="16"/>
      <c r="CHW60" s="16"/>
      <c r="CHX60" s="16"/>
      <c r="CHY60" s="16"/>
      <c r="CHZ60" s="16"/>
      <c r="CIA60" s="16"/>
      <c r="CIB60" s="16"/>
      <c r="CIC60" s="16"/>
      <c r="CID60" s="16"/>
      <c r="CIE60" s="16"/>
      <c r="CIF60" s="16"/>
      <c r="CIG60" s="16"/>
      <c r="CIH60" s="16"/>
      <c r="CII60" s="16"/>
      <c r="CIJ60" s="16"/>
      <c r="CIK60" s="16"/>
      <c r="CIL60" s="16"/>
      <c r="CIM60" s="16"/>
      <c r="CIN60" s="16"/>
      <c r="CIO60" s="16"/>
      <c r="CIP60" s="16"/>
      <c r="CIQ60" s="16"/>
      <c r="CIR60" s="16"/>
      <c r="CIS60" s="16"/>
      <c r="CIT60" s="16"/>
      <c r="CIU60" s="16"/>
      <c r="CIV60" s="16"/>
      <c r="CIW60" s="16"/>
      <c r="CIX60" s="16"/>
      <c r="CIY60" s="16"/>
      <c r="CIZ60" s="16"/>
      <c r="CJA60" s="16"/>
      <c r="CJB60" s="16"/>
      <c r="CJC60" s="16"/>
      <c r="CJD60" s="16"/>
      <c r="CJE60" s="16"/>
      <c r="CJF60" s="16"/>
      <c r="CJG60" s="16"/>
      <c r="CJH60" s="16"/>
      <c r="CJI60" s="16"/>
      <c r="CJJ60" s="16"/>
      <c r="CJK60" s="16"/>
      <c r="CJL60" s="16"/>
      <c r="CJM60" s="16"/>
      <c r="CJN60" s="16"/>
      <c r="CJO60" s="16"/>
      <c r="CJP60" s="16"/>
      <c r="CJQ60" s="16"/>
      <c r="CJR60" s="16"/>
      <c r="CJS60" s="16"/>
      <c r="CJT60" s="16"/>
      <c r="CJU60" s="16"/>
      <c r="CJV60" s="16"/>
      <c r="CJW60" s="16"/>
      <c r="CJX60" s="16"/>
      <c r="CJY60" s="16"/>
      <c r="CJZ60" s="16"/>
      <c r="CKA60" s="16"/>
      <c r="CKB60" s="16"/>
      <c r="CKC60" s="16"/>
      <c r="CKD60" s="16"/>
      <c r="CKE60" s="16"/>
      <c r="CKF60" s="16"/>
      <c r="CKG60" s="16"/>
      <c r="CKH60" s="16"/>
      <c r="CKI60" s="16"/>
      <c r="CKJ60" s="16"/>
      <c r="CKK60" s="16"/>
      <c r="CKL60" s="16"/>
      <c r="CKM60" s="16"/>
      <c r="CKN60" s="16"/>
      <c r="CKO60" s="16"/>
      <c r="CKP60" s="16"/>
      <c r="CKQ60" s="16"/>
      <c r="CKR60" s="16"/>
      <c r="CKS60" s="16"/>
      <c r="CKT60" s="16"/>
      <c r="CKU60" s="16"/>
      <c r="CKV60" s="16"/>
      <c r="CKW60" s="16"/>
      <c r="CKX60" s="16"/>
      <c r="CKY60" s="16"/>
      <c r="CKZ60" s="16"/>
      <c r="CLA60" s="16"/>
      <c r="CLB60" s="16"/>
      <c r="CLC60" s="16"/>
      <c r="CLD60" s="16"/>
      <c r="CLE60" s="16"/>
      <c r="CLF60" s="16"/>
      <c r="CLG60" s="16"/>
      <c r="CLH60" s="16"/>
      <c r="CLI60" s="16"/>
      <c r="CLJ60" s="16"/>
      <c r="CLK60" s="16"/>
      <c r="CLL60" s="16"/>
      <c r="CLM60" s="16"/>
      <c r="CLN60" s="16"/>
      <c r="CLO60" s="16"/>
      <c r="CLP60" s="16"/>
      <c r="CLQ60" s="16"/>
      <c r="CLR60" s="16"/>
      <c r="CLS60" s="16"/>
      <c r="CLT60" s="16"/>
      <c r="CLU60" s="16"/>
      <c r="CLV60" s="16"/>
      <c r="CLW60" s="16"/>
      <c r="CLX60" s="16"/>
      <c r="CLY60" s="16"/>
      <c r="CLZ60" s="16"/>
      <c r="CMA60" s="16"/>
      <c r="CMB60" s="16"/>
      <c r="CMC60" s="16"/>
      <c r="CMD60" s="16"/>
      <c r="CME60" s="16"/>
      <c r="CMF60" s="16"/>
      <c r="CMG60" s="16"/>
      <c r="CMH60" s="16"/>
      <c r="CMI60" s="16"/>
      <c r="CMJ60" s="16"/>
      <c r="CMK60" s="16"/>
      <c r="CML60" s="16"/>
      <c r="CMM60" s="16"/>
      <c r="CMN60" s="16"/>
      <c r="CMO60" s="16"/>
      <c r="CMP60" s="16"/>
      <c r="CMQ60" s="16"/>
      <c r="CMR60" s="16"/>
      <c r="CMS60" s="16"/>
      <c r="CMT60" s="16"/>
      <c r="CMU60" s="16"/>
      <c r="CMV60" s="16"/>
      <c r="CMW60" s="16"/>
      <c r="CMX60" s="16"/>
      <c r="CMY60" s="16"/>
      <c r="CMZ60" s="16"/>
      <c r="CNA60" s="16"/>
      <c r="CNB60" s="16"/>
      <c r="CNC60" s="16"/>
      <c r="CND60" s="16"/>
      <c r="CNE60" s="16"/>
      <c r="CNF60" s="16"/>
      <c r="CNG60" s="16"/>
      <c r="CNH60" s="16"/>
      <c r="CNI60" s="16"/>
      <c r="CNJ60" s="16"/>
      <c r="CNK60" s="16"/>
      <c r="CNL60" s="16"/>
      <c r="CNM60" s="16"/>
      <c r="CNN60" s="16"/>
      <c r="CNO60" s="16"/>
      <c r="CNP60" s="16"/>
      <c r="CNQ60" s="16"/>
      <c r="CNR60" s="16"/>
      <c r="CNS60" s="16"/>
      <c r="CNT60" s="16"/>
      <c r="CNU60" s="16"/>
      <c r="CNV60" s="16"/>
      <c r="CNW60" s="16"/>
      <c r="CNX60" s="16"/>
      <c r="CNY60" s="16"/>
      <c r="CNZ60" s="16"/>
      <c r="COA60" s="16"/>
      <c r="COB60" s="16"/>
      <c r="COC60" s="16"/>
      <c r="COD60" s="16"/>
      <c r="COE60" s="16"/>
      <c r="COF60" s="16"/>
      <c r="COG60" s="16"/>
      <c r="COH60" s="16"/>
      <c r="COI60" s="16"/>
      <c r="COJ60" s="16"/>
      <c r="COK60" s="16"/>
      <c r="COL60" s="16"/>
      <c r="COM60" s="16"/>
      <c r="CON60" s="16"/>
      <c r="COO60" s="16"/>
      <c r="COP60" s="16"/>
      <c r="COQ60" s="16"/>
      <c r="COR60" s="16"/>
      <c r="COS60" s="16"/>
      <c r="COT60" s="16"/>
      <c r="COU60" s="16"/>
      <c r="COV60" s="16"/>
      <c r="COW60" s="16"/>
      <c r="COX60" s="16"/>
      <c r="COY60" s="16"/>
      <c r="COZ60" s="16"/>
      <c r="CPA60" s="16"/>
      <c r="CPB60" s="16"/>
      <c r="CPC60" s="16"/>
      <c r="CPD60" s="16"/>
      <c r="CPE60" s="16"/>
      <c r="CPF60" s="16"/>
      <c r="CPG60" s="16"/>
      <c r="CPH60" s="16"/>
      <c r="CPI60" s="16"/>
      <c r="CPJ60" s="16"/>
      <c r="CPK60" s="16"/>
      <c r="CPL60" s="16"/>
      <c r="CPM60" s="16"/>
      <c r="CPN60" s="16"/>
      <c r="CPO60" s="16"/>
      <c r="CPP60" s="16"/>
      <c r="CPQ60" s="16"/>
      <c r="CPR60" s="16"/>
      <c r="CPS60" s="16"/>
      <c r="CPT60" s="16"/>
      <c r="CPU60" s="16"/>
      <c r="CPV60" s="16"/>
      <c r="CPW60" s="16"/>
      <c r="CPX60" s="16"/>
      <c r="CPY60" s="16"/>
      <c r="CPZ60" s="16"/>
      <c r="CQA60" s="16"/>
      <c r="CQB60" s="16"/>
      <c r="CQC60" s="16"/>
      <c r="CQD60" s="16"/>
      <c r="CQE60" s="16"/>
      <c r="CQF60" s="16"/>
      <c r="CQG60" s="16"/>
      <c r="CQH60" s="16"/>
      <c r="CQI60" s="16"/>
      <c r="CQJ60" s="16"/>
      <c r="CQK60" s="16"/>
      <c r="CQL60" s="16"/>
      <c r="CQM60" s="16"/>
      <c r="CQN60" s="16"/>
      <c r="CQO60" s="16"/>
      <c r="CQP60" s="16"/>
      <c r="CQQ60" s="16"/>
      <c r="CQR60" s="16"/>
      <c r="CQS60" s="16"/>
      <c r="CQT60" s="16"/>
      <c r="CQU60" s="16"/>
      <c r="CQV60" s="16"/>
      <c r="CQW60" s="16"/>
      <c r="CQX60" s="16"/>
      <c r="CQY60" s="16"/>
      <c r="CQZ60" s="16"/>
      <c r="CRA60" s="16"/>
      <c r="CRB60" s="16"/>
      <c r="CRC60" s="16"/>
      <c r="CRD60" s="16"/>
      <c r="CRE60" s="16"/>
      <c r="CRF60" s="16"/>
      <c r="CRG60" s="16"/>
      <c r="CRH60" s="16"/>
      <c r="CRI60" s="16"/>
      <c r="CRJ60" s="16"/>
      <c r="CRK60" s="16"/>
      <c r="CRL60" s="16"/>
      <c r="CRM60" s="16"/>
      <c r="CRN60" s="16"/>
      <c r="CRO60" s="16"/>
      <c r="CRP60" s="16"/>
      <c r="CRQ60" s="16"/>
      <c r="CRR60" s="16"/>
      <c r="CRS60" s="16"/>
      <c r="CRT60" s="16"/>
      <c r="CRU60" s="16"/>
      <c r="CRV60" s="16"/>
      <c r="CRW60" s="16"/>
      <c r="CRX60" s="16"/>
      <c r="CRY60" s="16"/>
      <c r="CRZ60" s="16"/>
      <c r="CSA60" s="16"/>
      <c r="CSB60" s="16"/>
      <c r="CSC60" s="16"/>
      <c r="CSD60" s="16"/>
      <c r="CSE60" s="16"/>
      <c r="CSF60" s="16"/>
      <c r="CSG60" s="16"/>
      <c r="CSH60" s="16"/>
      <c r="CSI60" s="16"/>
      <c r="CSJ60" s="16"/>
      <c r="CSK60" s="24"/>
      <c r="CSL60" s="16"/>
      <c r="CSM60" s="16"/>
      <c r="CSN60" s="16"/>
      <c r="CSO60" s="16"/>
      <c r="CSP60" s="16"/>
      <c r="CUG60" s="16"/>
      <c r="CUH60" s="16"/>
      <c r="CUI60" s="16"/>
      <c r="CUJ60" s="16"/>
      <c r="CUK60" s="16"/>
      <c r="CUL60" s="16"/>
      <c r="CUM60" s="16"/>
      <c r="CUN60" s="16"/>
      <c r="CUO60" s="16"/>
      <c r="CUP60" s="16"/>
      <c r="CUQ60" s="16"/>
      <c r="CUR60" s="16"/>
      <c r="CUS60" s="16"/>
      <c r="CUT60" s="16"/>
      <c r="CUU60" s="16"/>
      <c r="CUV60" s="16"/>
      <c r="CUW60" s="16"/>
      <c r="CUX60" s="16"/>
      <c r="CUY60" s="16"/>
      <c r="CUZ60" s="16"/>
      <c r="CVA60" s="16"/>
      <c r="CVB60" s="16"/>
      <c r="CVC60" s="16"/>
      <c r="CVD60" s="16"/>
      <c r="CVE60" s="16"/>
      <c r="CVF60" s="16"/>
      <c r="CVG60" s="16"/>
      <c r="CVH60" s="16"/>
      <c r="CVI60" s="16"/>
      <c r="CVJ60" s="16"/>
      <c r="CVK60" s="16"/>
      <c r="CVL60" s="16"/>
      <c r="CVM60" s="16"/>
      <c r="CVN60" s="16"/>
      <c r="CVO60" s="16"/>
      <c r="CVP60" s="16"/>
    </row>
    <row r="61" spans="1:2616" ht="13.8" x14ac:dyDescent="0.25">
      <c r="C61" s="57"/>
      <c r="E61" s="16"/>
      <c r="K61" s="59"/>
      <c r="L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16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16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16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16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16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16"/>
      <c r="JX61" s="16"/>
      <c r="JY61" s="16"/>
      <c r="JZ61" s="16"/>
      <c r="KA61" s="16"/>
      <c r="KB61" s="16"/>
      <c r="KC61" s="16"/>
      <c r="KD61" s="16"/>
      <c r="KE61" s="16"/>
      <c r="KF61" s="16"/>
      <c r="KG61" s="16"/>
      <c r="KH61" s="16"/>
      <c r="KI61" s="16"/>
      <c r="KJ61" s="16"/>
      <c r="KK61" s="16"/>
      <c r="KL61" s="16"/>
      <c r="KM61" s="16"/>
      <c r="KN61" s="16"/>
      <c r="KO61" s="16"/>
      <c r="KP61" s="16"/>
      <c r="KQ61" s="16"/>
      <c r="KR61" s="16"/>
      <c r="KS61" s="16"/>
      <c r="KT61" s="16"/>
      <c r="KU61" s="16"/>
      <c r="KV61" s="16"/>
      <c r="KW61" s="16"/>
      <c r="KX61" s="16"/>
      <c r="KY61" s="16"/>
      <c r="KZ61" s="16"/>
      <c r="LA61" s="16"/>
      <c r="LB61" s="16"/>
      <c r="LC61" s="16"/>
      <c r="LD61" s="16"/>
      <c r="LE61" s="16"/>
      <c r="LF61" s="16"/>
      <c r="LG61" s="16"/>
      <c r="LH61" s="16"/>
      <c r="LI61" s="16"/>
      <c r="LJ61" s="16"/>
      <c r="LK61" s="16"/>
      <c r="LL61" s="16"/>
      <c r="LM61" s="16"/>
      <c r="LN61" s="16"/>
      <c r="LO61" s="16"/>
      <c r="LP61" s="16"/>
      <c r="LQ61" s="16"/>
      <c r="LR61" s="16"/>
      <c r="LS61" s="16"/>
      <c r="LT61" s="16"/>
      <c r="LU61" s="16"/>
      <c r="LV61" s="16"/>
      <c r="LW61" s="16"/>
      <c r="LX61" s="16"/>
      <c r="LY61" s="16"/>
      <c r="LZ61" s="16"/>
      <c r="MA61" s="16"/>
      <c r="MB61" s="16"/>
      <c r="MC61" s="16"/>
      <c r="MD61" s="16"/>
      <c r="ME61" s="16"/>
      <c r="MF61" s="16"/>
      <c r="MG61" s="16"/>
      <c r="MH61" s="16"/>
      <c r="MI61" s="16"/>
      <c r="MJ61" s="16"/>
      <c r="MK61" s="16"/>
      <c r="ML61" s="16"/>
      <c r="MM61" s="16"/>
      <c r="MN61" s="16"/>
      <c r="MO61" s="16"/>
      <c r="MP61" s="16"/>
      <c r="MQ61" s="16"/>
      <c r="MR61" s="16"/>
      <c r="MS61" s="16"/>
      <c r="MT61" s="16"/>
      <c r="MU61" s="16"/>
      <c r="MV61" s="16"/>
      <c r="MW61" s="16"/>
      <c r="MX61" s="16"/>
      <c r="MY61" s="16"/>
      <c r="MZ61" s="16"/>
      <c r="NA61" s="16"/>
      <c r="NB61" s="16"/>
      <c r="NC61" s="16"/>
      <c r="ND61" s="16"/>
      <c r="NE61" s="16"/>
      <c r="NF61" s="16"/>
      <c r="NG61" s="16"/>
      <c r="NH61" s="16"/>
      <c r="NI61" s="16"/>
      <c r="NJ61" s="16"/>
      <c r="NK61" s="16"/>
      <c r="NL61" s="16"/>
      <c r="NM61" s="16"/>
      <c r="NN61" s="16"/>
      <c r="NO61" s="16"/>
      <c r="NP61" s="16"/>
      <c r="NQ61" s="16"/>
      <c r="NR61" s="16"/>
      <c r="NS61" s="16"/>
      <c r="NT61" s="16"/>
      <c r="NU61" s="16"/>
      <c r="NV61" s="16"/>
      <c r="NW61" s="16"/>
      <c r="NX61" s="16"/>
      <c r="NY61" s="16"/>
      <c r="NZ61" s="16"/>
      <c r="OA61" s="16"/>
      <c r="OB61" s="16"/>
      <c r="OC61" s="16"/>
      <c r="OD61" s="16"/>
      <c r="OE61" s="16"/>
      <c r="OF61" s="16"/>
      <c r="OG61" s="16"/>
      <c r="OH61" s="16"/>
      <c r="OI61" s="16"/>
      <c r="OJ61" s="16"/>
      <c r="OK61" s="16"/>
      <c r="OL61" s="16"/>
      <c r="OM61" s="16"/>
      <c r="ON61" s="16"/>
      <c r="OO61" s="16"/>
      <c r="OP61" s="16"/>
      <c r="OQ61" s="16"/>
      <c r="OR61" s="16"/>
      <c r="OS61" s="16"/>
      <c r="OT61" s="16"/>
      <c r="OU61" s="16"/>
      <c r="OV61" s="16"/>
      <c r="OW61" s="16"/>
      <c r="OX61" s="16"/>
      <c r="OY61" s="16"/>
      <c r="OZ61" s="16"/>
      <c r="PA61" s="16"/>
      <c r="PB61" s="16"/>
      <c r="PC61" s="16"/>
      <c r="PD61" s="16"/>
      <c r="PE61" s="16"/>
      <c r="PF61" s="16"/>
      <c r="PG61" s="16"/>
      <c r="PH61" s="16"/>
      <c r="PI61" s="16"/>
      <c r="PJ61" s="16"/>
      <c r="PK61" s="16"/>
      <c r="PL61" s="16"/>
      <c r="PM61" s="16"/>
      <c r="PN61" s="16"/>
      <c r="PO61" s="16"/>
      <c r="PP61" s="16"/>
      <c r="PQ61" s="16"/>
      <c r="PR61" s="16"/>
      <c r="PS61" s="16"/>
      <c r="PT61" s="16"/>
      <c r="PU61" s="16"/>
      <c r="PV61" s="16"/>
      <c r="PW61" s="16"/>
      <c r="PX61" s="16"/>
      <c r="PY61" s="16"/>
      <c r="PZ61" s="16"/>
      <c r="QA61" s="16"/>
      <c r="QB61" s="16"/>
      <c r="QC61" s="16"/>
      <c r="QD61" s="16"/>
      <c r="QE61" s="16"/>
      <c r="QF61" s="16"/>
      <c r="QG61" s="16"/>
      <c r="QH61" s="16"/>
      <c r="QI61" s="16"/>
      <c r="QJ61" s="16"/>
      <c r="QK61" s="16"/>
      <c r="QL61" s="16"/>
      <c r="QM61" s="16"/>
      <c r="QN61" s="16"/>
      <c r="QO61" s="16"/>
      <c r="QP61" s="16"/>
      <c r="QQ61" s="16"/>
      <c r="QR61" s="16"/>
      <c r="QS61" s="16"/>
      <c r="QT61" s="16"/>
      <c r="QU61" s="16"/>
      <c r="QV61" s="16"/>
      <c r="QW61" s="16"/>
      <c r="QX61" s="16"/>
      <c r="QY61" s="16"/>
      <c r="QZ61" s="16"/>
      <c r="RA61" s="16"/>
      <c r="RB61" s="16"/>
      <c r="RC61" s="16"/>
      <c r="RD61" s="16"/>
      <c r="RE61" s="16"/>
      <c r="RF61" s="16"/>
      <c r="RG61" s="16"/>
      <c r="RH61" s="16"/>
      <c r="RI61" s="16"/>
      <c r="RJ61" s="16"/>
      <c r="RK61" s="16"/>
      <c r="RL61" s="16"/>
      <c r="RM61" s="16"/>
      <c r="RN61" s="16"/>
      <c r="RO61" s="16"/>
      <c r="RP61" s="16"/>
      <c r="RQ61" s="16"/>
      <c r="RR61" s="16"/>
      <c r="RS61" s="16"/>
      <c r="RT61" s="16"/>
      <c r="RU61" s="16"/>
      <c r="RV61" s="16"/>
      <c r="RW61" s="16"/>
      <c r="RX61" s="16"/>
      <c r="RY61" s="16"/>
      <c r="RZ61" s="16"/>
      <c r="SA61" s="16"/>
      <c r="SB61" s="16"/>
      <c r="SC61" s="16"/>
      <c r="SD61" s="16"/>
      <c r="SE61" s="16"/>
      <c r="SF61" s="16"/>
      <c r="SG61" s="16"/>
      <c r="SH61" s="16"/>
      <c r="SI61" s="16"/>
      <c r="SJ61" s="16"/>
      <c r="SK61" s="16"/>
      <c r="SL61" s="16"/>
      <c r="SM61" s="16"/>
      <c r="SN61" s="16"/>
      <c r="SO61" s="16"/>
      <c r="SP61" s="16"/>
      <c r="SQ61" s="16"/>
      <c r="SR61" s="16"/>
      <c r="SS61" s="16"/>
      <c r="ST61" s="16"/>
      <c r="SU61" s="16"/>
      <c r="SV61" s="16"/>
      <c r="SW61" s="16"/>
      <c r="SX61" s="16"/>
      <c r="SY61" s="16"/>
      <c r="SZ61" s="16"/>
      <c r="TA61" s="16"/>
      <c r="TB61" s="16"/>
      <c r="TC61" s="16"/>
      <c r="TD61" s="16"/>
      <c r="TE61" s="16"/>
      <c r="TF61" s="16"/>
      <c r="TG61" s="16"/>
      <c r="TH61" s="16"/>
      <c r="TI61" s="16"/>
      <c r="TJ61" s="16"/>
      <c r="TK61" s="16"/>
      <c r="TL61" s="16"/>
      <c r="TM61" s="16"/>
      <c r="TN61" s="16"/>
      <c r="TO61" s="16"/>
      <c r="TP61" s="16"/>
      <c r="TQ61" s="16"/>
      <c r="TR61" s="16"/>
      <c r="TS61" s="16"/>
      <c r="TT61" s="16"/>
      <c r="TU61" s="16"/>
      <c r="TV61" s="16"/>
      <c r="TW61" s="16"/>
      <c r="TX61" s="16"/>
      <c r="TY61" s="16"/>
      <c r="TZ61" s="16"/>
      <c r="UA61" s="16"/>
      <c r="UB61" s="16"/>
      <c r="UC61" s="16"/>
      <c r="UD61" s="16"/>
      <c r="UE61" s="16"/>
      <c r="UF61" s="16"/>
      <c r="UG61" s="16"/>
      <c r="UH61" s="16"/>
      <c r="UI61" s="16"/>
      <c r="UJ61" s="16"/>
      <c r="UK61" s="16"/>
      <c r="UL61" s="16"/>
      <c r="UM61" s="16"/>
      <c r="UN61" s="16"/>
      <c r="UO61" s="16"/>
      <c r="UP61" s="16"/>
      <c r="UQ61" s="16"/>
      <c r="UR61" s="16"/>
      <c r="US61" s="16"/>
      <c r="UT61" s="16"/>
      <c r="UU61" s="16"/>
      <c r="UV61" s="16"/>
      <c r="UW61" s="16"/>
      <c r="UX61" s="16"/>
      <c r="UY61" s="16"/>
      <c r="UZ61" s="16"/>
      <c r="VA61" s="16"/>
      <c r="VB61" s="16"/>
      <c r="VC61" s="16"/>
      <c r="VD61" s="16"/>
      <c r="VE61" s="16"/>
      <c r="VF61" s="16"/>
      <c r="VG61" s="16"/>
      <c r="VH61" s="16"/>
      <c r="VI61" s="16"/>
      <c r="VJ61" s="16"/>
      <c r="VK61" s="16"/>
      <c r="VL61" s="16"/>
      <c r="VM61" s="16"/>
      <c r="VN61" s="16"/>
      <c r="VO61" s="16"/>
      <c r="VP61" s="16"/>
      <c r="VQ61" s="16"/>
      <c r="VR61" s="16"/>
      <c r="VS61" s="16"/>
      <c r="VT61" s="16"/>
      <c r="VU61" s="16"/>
      <c r="VV61" s="16"/>
      <c r="VW61" s="16"/>
      <c r="VX61" s="16"/>
      <c r="VY61" s="16"/>
      <c r="VZ61" s="16"/>
      <c r="WA61" s="16"/>
      <c r="WB61" s="16"/>
      <c r="WC61" s="16"/>
      <c r="WD61" s="16"/>
      <c r="WE61" s="16"/>
      <c r="WF61" s="16"/>
      <c r="WG61" s="16"/>
      <c r="WH61" s="16"/>
      <c r="WI61" s="16"/>
      <c r="WJ61" s="16"/>
      <c r="WK61" s="16"/>
      <c r="WL61" s="16"/>
      <c r="WM61" s="16"/>
      <c r="WN61" s="16"/>
      <c r="WO61" s="16"/>
      <c r="WP61" s="16"/>
      <c r="WQ61" s="16"/>
      <c r="WR61" s="16"/>
      <c r="WS61" s="16"/>
      <c r="WT61" s="16"/>
      <c r="WU61" s="16"/>
      <c r="WV61" s="16"/>
      <c r="WW61" s="16"/>
      <c r="WX61" s="16"/>
      <c r="WY61" s="16"/>
      <c r="WZ61" s="16"/>
      <c r="XA61" s="16"/>
      <c r="XB61" s="16"/>
      <c r="XC61" s="16"/>
      <c r="XD61" s="16"/>
      <c r="XE61" s="16"/>
      <c r="XF61" s="16"/>
      <c r="XG61" s="16"/>
      <c r="XH61" s="16"/>
      <c r="XI61" s="16"/>
      <c r="XJ61" s="16"/>
      <c r="XK61" s="16"/>
      <c r="XL61" s="16"/>
      <c r="XM61" s="16"/>
      <c r="XN61" s="16"/>
      <c r="XO61" s="16"/>
      <c r="XP61" s="16"/>
      <c r="XQ61" s="16"/>
      <c r="XR61" s="16"/>
      <c r="XS61" s="16"/>
      <c r="XT61" s="16"/>
      <c r="XU61" s="16"/>
      <c r="XV61" s="16"/>
      <c r="XW61" s="16"/>
      <c r="XX61" s="16"/>
      <c r="XY61" s="16"/>
      <c r="XZ61" s="16"/>
      <c r="YA61" s="16"/>
      <c r="YB61" s="16"/>
      <c r="YC61" s="16"/>
      <c r="YD61" s="16"/>
      <c r="YE61" s="16"/>
      <c r="YF61" s="16"/>
      <c r="YG61" s="16"/>
      <c r="YH61" s="16"/>
      <c r="YI61" s="16"/>
      <c r="YJ61" s="16"/>
      <c r="YK61" s="16"/>
      <c r="YL61" s="16"/>
      <c r="YM61" s="16"/>
      <c r="YN61" s="16"/>
      <c r="YO61" s="16"/>
      <c r="YP61" s="16"/>
      <c r="YQ61" s="16"/>
      <c r="YR61" s="16"/>
      <c r="YS61" s="16"/>
      <c r="YT61" s="16"/>
      <c r="YU61" s="16"/>
      <c r="YV61" s="16"/>
      <c r="YW61" s="16"/>
      <c r="YX61" s="16"/>
      <c r="YY61" s="16"/>
      <c r="YZ61" s="16"/>
      <c r="ZA61" s="16"/>
      <c r="ZB61" s="16"/>
      <c r="ZC61" s="16"/>
      <c r="ZD61" s="16"/>
      <c r="ZE61" s="16"/>
      <c r="ZF61" s="16"/>
      <c r="ZG61" s="16"/>
      <c r="ZH61" s="16"/>
      <c r="ZI61" s="16"/>
      <c r="ZJ61" s="16"/>
      <c r="ZK61" s="16"/>
      <c r="ZL61" s="16"/>
      <c r="ZM61" s="16"/>
      <c r="ZN61" s="16"/>
      <c r="ZO61" s="16"/>
      <c r="ZP61" s="16"/>
      <c r="ZQ61" s="16"/>
      <c r="ZR61" s="16"/>
      <c r="ZS61" s="16"/>
      <c r="ZT61" s="16"/>
      <c r="ZU61" s="16"/>
      <c r="ZV61" s="16"/>
      <c r="ZW61" s="16"/>
      <c r="ZX61" s="16"/>
      <c r="ZY61" s="16"/>
      <c r="ZZ61" s="16"/>
      <c r="AAA61" s="16"/>
      <c r="AAB61" s="16"/>
      <c r="AAC61" s="16"/>
      <c r="AAD61" s="16"/>
      <c r="AAE61" s="16"/>
      <c r="AAF61" s="16"/>
      <c r="AAG61" s="16"/>
      <c r="AAH61" s="16"/>
      <c r="AAI61" s="16"/>
      <c r="AAJ61" s="16"/>
      <c r="AAK61" s="16"/>
      <c r="AAL61" s="16"/>
      <c r="AAM61" s="16"/>
      <c r="AAN61" s="16"/>
      <c r="AAO61" s="16"/>
      <c r="AAP61" s="16"/>
      <c r="AAQ61" s="16"/>
      <c r="AAR61" s="16"/>
      <c r="AAS61" s="16"/>
      <c r="AAT61" s="16"/>
      <c r="AAU61" s="16"/>
      <c r="AAV61" s="16"/>
      <c r="AAW61" s="16"/>
      <c r="AAX61" s="16"/>
      <c r="AAY61" s="16"/>
      <c r="AAZ61" s="16"/>
      <c r="ABA61" s="16"/>
      <c r="ABB61" s="16"/>
      <c r="ABC61" s="16"/>
      <c r="ABD61" s="16"/>
      <c r="ABE61" s="16"/>
      <c r="ABF61" s="16"/>
      <c r="ABG61" s="16"/>
      <c r="ABH61" s="16"/>
      <c r="ABI61" s="16"/>
      <c r="ABJ61" s="16"/>
      <c r="ABK61" s="16"/>
      <c r="ABL61" s="16"/>
      <c r="ABM61" s="16"/>
      <c r="ABN61" s="16"/>
      <c r="ABO61" s="16"/>
      <c r="ABP61" s="16"/>
      <c r="ABQ61" s="16"/>
      <c r="ABR61" s="16"/>
      <c r="ABS61" s="16"/>
      <c r="ABT61" s="16"/>
      <c r="ABU61" s="16"/>
      <c r="ABV61" s="16"/>
      <c r="ABW61" s="16"/>
      <c r="ABX61" s="16"/>
      <c r="ABY61" s="16"/>
      <c r="ABZ61" s="16"/>
      <c r="ACA61" s="16"/>
      <c r="ACB61" s="16"/>
      <c r="ACC61" s="16"/>
      <c r="ACD61" s="16"/>
      <c r="ACE61" s="16"/>
      <c r="ACF61" s="16"/>
      <c r="ACG61" s="16"/>
      <c r="ACH61" s="16"/>
      <c r="ACI61" s="16"/>
      <c r="ACJ61" s="16"/>
      <c r="ACK61" s="16"/>
      <c r="ACL61" s="16"/>
      <c r="ACM61" s="16"/>
      <c r="ACN61" s="16"/>
      <c r="ACO61" s="16"/>
      <c r="ACP61" s="16"/>
      <c r="ACQ61" s="16"/>
      <c r="ACR61" s="16"/>
      <c r="ACS61" s="16"/>
      <c r="ACT61" s="16"/>
      <c r="ACU61" s="16"/>
      <c r="ACV61" s="16"/>
      <c r="ACW61" s="16"/>
      <c r="ACX61" s="16"/>
      <c r="ACY61" s="16"/>
      <c r="ACZ61" s="16"/>
      <c r="ADA61" s="16"/>
      <c r="ADB61" s="16"/>
      <c r="ADC61" s="16"/>
      <c r="ADD61" s="16"/>
      <c r="ADE61" s="16"/>
      <c r="ADF61" s="16"/>
      <c r="ADG61" s="16"/>
      <c r="ADH61" s="16"/>
      <c r="ADI61" s="16"/>
      <c r="ADJ61" s="16"/>
      <c r="ADK61" s="16"/>
      <c r="ADL61" s="16"/>
      <c r="ADM61" s="16"/>
      <c r="ADN61" s="16"/>
      <c r="ADO61" s="16"/>
      <c r="ADP61" s="16"/>
      <c r="ADQ61" s="16"/>
      <c r="ADR61" s="16"/>
      <c r="ADS61" s="16"/>
      <c r="ADT61" s="16"/>
      <c r="ADU61" s="16"/>
      <c r="ADV61" s="16"/>
      <c r="ADW61" s="16"/>
      <c r="ADX61" s="16"/>
      <c r="ADY61" s="16"/>
      <c r="ADZ61" s="16"/>
      <c r="AEA61" s="16"/>
      <c r="AEB61" s="16"/>
      <c r="AEC61" s="16"/>
      <c r="AED61" s="16"/>
      <c r="AEE61" s="16"/>
      <c r="AEF61" s="16"/>
      <c r="AEG61" s="16"/>
      <c r="AEH61" s="16"/>
      <c r="AEI61" s="16"/>
      <c r="AEJ61" s="16"/>
      <c r="AEK61" s="16"/>
      <c r="AEL61" s="16"/>
      <c r="AEM61" s="16"/>
      <c r="AEN61" s="16"/>
      <c r="AEO61" s="16"/>
      <c r="AEP61" s="16"/>
      <c r="AEQ61" s="16"/>
      <c r="AER61" s="16"/>
      <c r="AES61" s="16"/>
      <c r="AET61" s="16"/>
      <c r="AEU61" s="16"/>
      <c r="AEV61" s="16"/>
      <c r="AEW61" s="16"/>
      <c r="AEX61" s="16"/>
      <c r="AEY61" s="16"/>
      <c r="AEZ61" s="16"/>
      <c r="AFA61" s="16"/>
      <c r="AFB61" s="16"/>
      <c r="AFC61" s="16"/>
      <c r="AFD61" s="16"/>
      <c r="AFE61" s="16"/>
      <c r="AFF61" s="16"/>
      <c r="AFG61" s="16"/>
      <c r="AFH61" s="16"/>
      <c r="AFI61" s="16"/>
      <c r="AFJ61" s="16"/>
      <c r="AFK61" s="16"/>
      <c r="AFL61" s="16"/>
      <c r="AFM61" s="16"/>
      <c r="AFN61" s="16"/>
      <c r="AFO61" s="16"/>
      <c r="AFP61" s="16"/>
      <c r="AFQ61" s="16"/>
      <c r="AFR61" s="16"/>
      <c r="AFS61" s="16"/>
      <c r="AFT61" s="16"/>
      <c r="AFU61" s="16"/>
      <c r="AFV61" s="16"/>
      <c r="AFW61" s="16"/>
      <c r="AFX61" s="16"/>
      <c r="AFY61" s="16"/>
      <c r="AFZ61" s="16"/>
      <c r="AGA61" s="16"/>
      <c r="AGB61" s="16"/>
      <c r="AGC61" s="16"/>
      <c r="AGD61" s="16"/>
      <c r="AGE61" s="16"/>
      <c r="AGF61" s="16"/>
      <c r="AGG61" s="16"/>
      <c r="AGH61" s="16"/>
      <c r="AGI61" s="16"/>
      <c r="AGJ61" s="16"/>
      <c r="AGK61" s="16"/>
      <c r="AGL61" s="16"/>
      <c r="AGM61" s="16"/>
      <c r="AGN61" s="16"/>
      <c r="AGO61" s="16"/>
      <c r="AGP61" s="16"/>
      <c r="AGQ61" s="16"/>
      <c r="AGR61" s="16"/>
      <c r="AGS61" s="16"/>
      <c r="AGT61" s="16"/>
      <c r="AGU61" s="16"/>
      <c r="AGV61" s="16"/>
      <c r="AGW61" s="16"/>
      <c r="AGX61" s="16"/>
      <c r="AGY61" s="16"/>
      <c r="AGZ61" s="16"/>
      <c r="AHA61" s="16"/>
      <c r="AHB61" s="16"/>
      <c r="AHC61" s="16"/>
      <c r="AHD61" s="16"/>
      <c r="AHE61" s="16"/>
      <c r="AHF61" s="16"/>
      <c r="AHG61" s="16"/>
      <c r="AHH61" s="16"/>
      <c r="AHI61" s="16"/>
      <c r="AHJ61" s="16"/>
      <c r="AHK61" s="16"/>
      <c r="AHL61" s="16"/>
      <c r="AHM61" s="16"/>
      <c r="AHN61" s="16"/>
      <c r="AHO61" s="16"/>
      <c r="AHP61" s="16"/>
      <c r="AHQ61" s="16"/>
      <c r="AHR61" s="16"/>
      <c r="AHS61" s="16"/>
      <c r="AHT61" s="16"/>
      <c r="AHU61" s="16"/>
      <c r="AHV61" s="16"/>
      <c r="AHW61" s="16"/>
      <c r="AHX61" s="16"/>
      <c r="AHY61" s="16"/>
      <c r="AHZ61" s="16"/>
      <c r="AIA61" s="16"/>
      <c r="AIB61" s="16"/>
      <c r="AIC61" s="16"/>
      <c r="AID61" s="16"/>
      <c r="AIE61" s="16"/>
      <c r="AIF61" s="16"/>
      <c r="AIG61" s="16"/>
      <c r="AIH61" s="16"/>
      <c r="AII61" s="16"/>
      <c r="AIJ61" s="16"/>
      <c r="AIK61" s="16"/>
      <c r="AIL61" s="16"/>
      <c r="AIM61" s="16"/>
      <c r="AIN61" s="16"/>
      <c r="AIO61" s="16"/>
      <c r="AIP61" s="16"/>
      <c r="AIQ61" s="16"/>
      <c r="AIR61" s="16"/>
      <c r="AIS61" s="16"/>
      <c r="AIT61" s="16"/>
      <c r="AIU61" s="16"/>
      <c r="AIV61" s="16"/>
      <c r="AIW61" s="16"/>
      <c r="AIX61" s="16"/>
      <c r="AIY61" s="16"/>
      <c r="AIZ61" s="16"/>
      <c r="AJA61" s="16"/>
      <c r="AJB61" s="16"/>
      <c r="AJC61" s="16"/>
      <c r="AJD61" s="16"/>
      <c r="AJE61" s="16"/>
      <c r="AJF61" s="16"/>
      <c r="AJG61" s="16"/>
      <c r="AJH61" s="16"/>
      <c r="AJI61" s="16"/>
      <c r="AJJ61" s="16"/>
      <c r="AJK61" s="16"/>
      <c r="AJL61" s="16"/>
      <c r="AJM61" s="16"/>
      <c r="AJN61" s="16"/>
      <c r="AJO61" s="16"/>
      <c r="AJP61" s="16"/>
      <c r="AJQ61" s="16"/>
      <c r="AJR61" s="16"/>
      <c r="AJS61" s="16"/>
      <c r="AJT61" s="16"/>
      <c r="AJU61" s="16"/>
      <c r="AJV61" s="16"/>
      <c r="AJW61" s="16"/>
      <c r="AJX61" s="16"/>
      <c r="AJY61" s="16"/>
      <c r="AJZ61" s="16"/>
      <c r="AKA61" s="16"/>
      <c r="AKB61" s="16"/>
      <c r="AKC61" s="16"/>
      <c r="AKD61" s="16"/>
      <c r="AKE61" s="16"/>
      <c r="AKF61" s="16"/>
      <c r="AKG61" s="16"/>
      <c r="AKH61" s="16"/>
      <c r="AKI61" s="16"/>
      <c r="AKJ61" s="16"/>
      <c r="AKK61" s="16"/>
      <c r="AKL61" s="16"/>
      <c r="AKM61" s="16"/>
      <c r="AKN61" s="16"/>
      <c r="AKO61" s="16"/>
      <c r="AKP61" s="16"/>
      <c r="AKQ61" s="16"/>
      <c r="AKR61" s="16"/>
      <c r="AKS61" s="16"/>
      <c r="AKT61" s="16"/>
      <c r="AKU61" s="16"/>
      <c r="AKV61" s="16"/>
      <c r="AKW61" s="16"/>
      <c r="AKX61" s="16"/>
      <c r="AKY61" s="16"/>
      <c r="AKZ61" s="16"/>
      <c r="ALA61" s="16"/>
      <c r="ALB61" s="16"/>
      <c r="ALC61" s="16"/>
      <c r="ALD61" s="16"/>
      <c r="ALE61" s="16"/>
      <c r="ALF61" s="16"/>
      <c r="ALG61" s="16"/>
      <c r="ALH61" s="16"/>
      <c r="ALI61" s="16"/>
      <c r="ALJ61" s="16"/>
      <c r="ALK61" s="16"/>
      <c r="ALL61" s="16"/>
      <c r="ALM61" s="16"/>
      <c r="ALN61" s="16"/>
      <c r="ALO61" s="16"/>
      <c r="ALP61" s="16"/>
      <c r="ALQ61" s="16"/>
      <c r="ALR61" s="16"/>
      <c r="ALS61" s="16"/>
      <c r="ALT61" s="16"/>
      <c r="ALU61" s="16"/>
      <c r="ALV61" s="16"/>
      <c r="ALW61" s="16"/>
      <c r="ALX61" s="16"/>
      <c r="ALY61" s="16"/>
      <c r="ALZ61" s="16"/>
      <c r="AMA61" s="16"/>
      <c r="AMB61" s="16"/>
      <c r="AMC61" s="16"/>
      <c r="AMD61" s="16"/>
      <c r="AME61" s="16"/>
      <c r="AMF61" s="16"/>
      <c r="AMG61" s="16"/>
      <c r="AMH61" s="16"/>
      <c r="AMI61" s="16"/>
      <c r="AMJ61" s="16"/>
      <c r="AMK61" s="16"/>
      <c r="AML61" s="16"/>
      <c r="AMM61" s="16"/>
      <c r="AMN61" s="16"/>
      <c r="AMO61" s="16"/>
      <c r="AMP61" s="16"/>
      <c r="AMQ61" s="16"/>
      <c r="AMR61" s="16"/>
      <c r="AMS61" s="16"/>
      <c r="AMT61" s="16"/>
      <c r="AMU61" s="16"/>
      <c r="AMV61" s="16"/>
      <c r="AMW61" s="16"/>
      <c r="AMX61" s="16"/>
      <c r="AMY61" s="16"/>
      <c r="AMZ61" s="16"/>
      <c r="ANA61" s="16"/>
      <c r="ANB61" s="16"/>
      <c r="ANC61" s="16"/>
      <c r="AND61" s="16"/>
      <c r="ANE61" s="16"/>
      <c r="ANF61" s="16"/>
      <c r="ANG61" s="16"/>
      <c r="ANH61" s="16"/>
      <c r="ANI61" s="16"/>
      <c r="ANJ61" s="16"/>
      <c r="ANK61" s="16"/>
      <c r="ANL61" s="16"/>
      <c r="ANM61" s="16"/>
      <c r="ANN61" s="16"/>
      <c r="ANO61" s="16"/>
      <c r="ANP61" s="16"/>
      <c r="ANQ61" s="16"/>
      <c r="ANR61" s="16"/>
      <c r="ANS61" s="16"/>
      <c r="ANT61" s="16"/>
      <c r="ANU61" s="16"/>
      <c r="ANV61" s="16"/>
      <c r="ANW61" s="16"/>
      <c r="ANX61" s="16"/>
      <c r="ANY61" s="16"/>
      <c r="ANZ61" s="16"/>
      <c r="AOA61" s="16"/>
      <c r="AOB61" s="16"/>
      <c r="AOC61" s="16"/>
      <c r="AOD61" s="16"/>
      <c r="AOE61" s="16"/>
      <c r="AOF61" s="16"/>
      <c r="AOG61" s="16"/>
      <c r="AOH61" s="16"/>
      <c r="AOI61" s="16"/>
      <c r="AOJ61" s="16"/>
      <c r="AOK61" s="16"/>
      <c r="AOL61" s="16"/>
      <c r="AOM61" s="16"/>
      <c r="AON61" s="16"/>
      <c r="AOO61" s="16"/>
      <c r="AOP61" s="16"/>
      <c r="AOQ61" s="16"/>
      <c r="AOR61" s="16"/>
      <c r="AOS61" s="16"/>
      <c r="AOT61" s="16"/>
      <c r="AOU61" s="16"/>
      <c r="AOV61" s="16"/>
      <c r="AOW61" s="16"/>
      <c r="AOX61" s="16"/>
      <c r="AOY61" s="16"/>
      <c r="AOZ61" s="16"/>
      <c r="APA61" s="16"/>
      <c r="APB61" s="16"/>
      <c r="APC61" s="16"/>
      <c r="APD61" s="16"/>
      <c r="APE61" s="16"/>
      <c r="APF61" s="16"/>
      <c r="APG61" s="16"/>
      <c r="APH61" s="16"/>
      <c r="API61" s="16"/>
      <c r="APJ61" s="16"/>
      <c r="APK61" s="16"/>
      <c r="APL61" s="16"/>
      <c r="APM61" s="16"/>
      <c r="APN61" s="16"/>
      <c r="APO61" s="16"/>
      <c r="APP61" s="16"/>
      <c r="APQ61" s="16"/>
      <c r="APR61" s="16"/>
      <c r="APS61" s="16"/>
      <c r="APT61" s="16"/>
      <c r="APU61" s="16"/>
      <c r="APV61" s="16"/>
      <c r="APW61" s="16"/>
      <c r="APX61" s="16"/>
      <c r="APY61" s="16"/>
      <c r="APZ61" s="16"/>
      <c r="AQA61" s="16"/>
      <c r="AQB61" s="16"/>
      <c r="AQC61" s="16"/>
      <c r="AQD61" s="16"/>
      <c r="AQE61" s="16"/>
      <c r="AQF61" s="16"/>
      <c r="AQG61" s="16"/>
      <c r="AQH61" s="16"/>
      <c r="AQI61" s="16"/>
      <c r="AQJ61" s="16"/>
      <c r="AQK61" s="16"/>
      <c r="AQL61" s="16"/>
      <c r="AQM61" s="16"/>
      <c r="AQN61" s="16"/>
      <c r="AQO61" s="16"/>
      <c r="AQP61" s="16"/>
      <c r="AQQ61" s="16"/>
      <c r="AQR61" s="16"/>
      <c r="AQS61" s="16"/>
      <c r="AQT61" s="16"/>
      <c r="AQU61" s="16"/>
      <c r="AQV61" s="16"/>
      <c r="AQW61" s="16"/>
      <c r="AQX61" s="16"/>
      <c r="AQY61" s="16"/>
      <c r="AQZ61" s="16"/>
      <c r="ARA61" s="16"/>
      <c r="ARB61" s="16"/>
      <c r="ARC61" s="16"/>
      <c r="ARD61" s="16"/>
      <c r="ARE61" s="16"/>
      <c r="ARF61" s="16"/>
      <c r="ARG61" s="16"/>
      <c r="ARH61" s="16"/>
      <c r="ARI61" s="16"/>
      <c r="ARJ61" s="16"/>
      <c r="ARK61" s="16"/>
      <c r="ARL61" s="16"/>
      <c r="ARM61" s="16"/>
      <c r="ARN61" s="16"/>
      <c r="ARO61" s="16"/>
      <c r="ARP61" s="16"/>
      <c r="ARQ61" s="16"/>
      <c r="ARR61" s="16"/>
      <c r="ARS61" s="16"/>
      <c r="ART61" s="16"/>
      <c r="ARU61" s="16"/>
      <c r="ARV61" s="16"/>
      <c r="ARW61" s="16"/>
      <c r="ARX61" s="16"/>
      <c r="ARY61" s="16"/>
      <c r="ARZ61" s="16"/>
      <c r="ASA61" s="16"/>
      <c r="ASB61" s="16"/>
      <c r="ASC61" s="16"/>
      <c r="ASD61" s="16"/>
      <c r="ASE61" s="16"/>
      <c r="ASF61" s="16"/>
      <c r="ASG61" s="16"/>
      <c r="ASH61" s="16"/>
      <c r="ASI61" s="16"/>
      <c r="ASJ61" s="16"/>
      <c r="ASK61" s="16"/>
      <c r="ASL61" s="16"/>
      <c r="ASM61" s="16"/>
      <c r="ASN61" s="16"/>
      <c r="ASO61" s="16"/>
      <c r="ASP61" s="16"/>
      <c r="ASQ61" s="16"/>
      <c r="ASR61" s="16"/>
      <c r="ASS61" s="16"/>
      <c r="AST61" s="16"/>
      <c r="ASU61" s="16"/>
      <c r="ASV61" s="16"/>
      <c r="ASW61" s="16"/>
      <c r="ASX61" s="16"/>
      <c r="ASY61" s="16"/>
      <c r="ASZ61" s="16"/>
      <c r="ATA61" s="16"/>
      <c r="ATB61" s="16"/>
      <c r="ATC61" s="16"/>
      <c r="ATD61" s="16"/>
      <c r="ATE61" s="16"/>
      <c r="ATF61" s="16"/>
      <c r="ATG61" s="16"/>
      <c r="ATH61" s="16"/>
      <c r="ATI61" s="16"/>
      <c r="ATJ61" s="16"/>
      <c r="ATK61" s="16"/>
      <c r="ATL61" s="16"/>
      <c r="ATM61" s="16"/>
      <c r="ATN61" s="16"/>
      <c r="ATO61" s="16"/>
      <c r="ATP61" s="16"/>
      <c r="ATQ61" s="16"/>
      <c r="ATR61" s="16"/>
      <c r="ATS61" s="16"/>
      <c r="ATT61" s="16"/>
      <c r="ATU61" s="16"/>
      <c r="ATV61" s="16"/>
      <c r="ATW61" s="16"/>
      <c r="ATX61" s="16"/>
      <c r="ATY61" s="16"/>
      <c r="ATZ61" s="16"/>
      <c r="AUA61" s="16"/>
      <c r="AUB61" s="16"/>
      <c r="AUC61" s="16"/>
      <c r="AUD61" s="16"/>
      <c r="AUE61" s="16"/>
      <c r="AUF61" s="16"/>
      <c r="AUG61" s="16"/>
      <c r="AUH61" s="16"/>
      <c r="AUI61" s="16"/>
      <c r="AUJ61" s="16"/>
      <c r="AUK61" s="16"/>
      <c r="AUL61" s="16"/>
      <c r="AUM61" s="16"/>
      <c r="AUN61" s="16"/>
      <c r="AUO61" s="16"/>
      <c r="AUP61" s="16"/>
      <c r="AUQ61" s="16"/>
      <c r="AUR61" s="16"/>
      <c r="AUS61" s="16"/>
      <c r="AUT61" s="16"/>
      <c r="AUU61" s="16"/>
      <c r="AUV61" s="16"/>
      <c r="AUW61" s="16"/>
      <c r="AUX61" s="16"/>
      <c r="AUY61" s="16"/>
      <c r="AUZ61" s="16"/>
      <c r="AVA61" s="16"/>
      <c r="AVB61" s="16"/>
      <c r="AVC61" s="16"/>
      <c r="AVD61" s="16"/>
      <c r="AVE61" s="16"/>
      <c r="AVF61" s="16"/>
      <c r="AVG61" s="16"/>
      <c r="AVH61" s="16"/>
      <c r="AVI61" s="16"/>
      <c r="AVJ61" s="16"/>
      <c r="AVK61" s="16"/>
      <c r="AVL61" s="16"/>
      <c r="AVM61" s="16"/>
      <c r="AVN61" s="16"/>
      <c r="AVO61" s="16"/>
      <c r="AVP61" s="16"/>
      <c r="AVQ61" s="16"/>
      <c r="AVR61" s="16"/>
      <c r="AVS61" s="16"/>
      <c r="AVT61" s="16"/>
      <c r="AVU61" s="16"/>
      <c r="AVV61" s="16"/>
      <c r="AVW61" s="16"/>
      <c r="AVX61" s="16"/>
      <c r="AVY61" s="16"/>
      <c r="AVZ61" s="16"/>
      <c r="AWA61" s="16"/>
      <c r="AWB61" s="16"/>
      <c r="AWC61" s="16"/>
      <c r="AWD61" s="16"/>
      <c r="AWE61" s="16"/>
      <c r="AWF61" s="16"/>
      <c r="AWG61" s="16"/>
      <c r="AWH61" s="16"/>
      <c r="AWI61" s="16"/>
      <c r="AWJ61" s="16"/>
      <c r="AWK61" s="16"/>
      <c r="AWL61" s="16"/>
      <c r="AWM61" s="16"/>
      <c r="AWN61" s="16"/>
      <c r="AWO61" s="16"/>
      <c r="AWP61" s="16"/>
      <c r="AWQ61" s="16"/>
      <c r="AWR61" s="16"/>
      <c r="AWS61" s="16"/>
      <c r="AWT61" s="16"/>
      <c r="AWU61" s="16"/>
      <c r="AWV61" s="16"/>
      <c r="AWW61" s="16"/>
      <c r="AWX61" s="16"/>
      <c r="AWY61" s="16"/>
      <c r="AWZ61" s="16"/>
      <c r="AXA61" s="16"/>
      <c r="AXB61" s="16"/>
      <c r="AXC61" s="16"/>
      <c r="AXD61" s="16"/>
      <c r="AXE61" s="16"/>
      <c r="AXF61" s="16"/>
      <c r="AXG61" s="16"/>
      <c r="AXH61" s="16"/>
      <c r="AXI61" s="16"/>
      <c r="AXJ61" s="16"/>
      <c r="AXK61" s="16"/>
      <c r="AXL61" s="16"/>
      <c r="AXM61" s="16"/>
      <c r="AXN61" s="16"/>
      <c r="AXO61" s="16"/>
      <c r="AXP61" s="16"/>
      <c r="AXQ61" s="16"/>
      <c r="AXR61" s="16"/>
      <c r="AXS61" s="16"/>
      <c r="AXT61" s="16"/>
      <c r="AXU61" s="16"/>
      <c r="AXV61" s="16"/>
      <c r="AXW61" s="16"/>
      <c r="AXX61" s="16"/>
      <c r="AXY61" s="16"/>
      <c r="AXZ61" s="16"/>
      <c r="AYA61" s="16"/>
      <c r="AYB61" s="16"/>
      <c r="AYC61" s="16"/>
      <c r="AYD61" s="16"/>
      <c r="AYE61" s="16"/>
      <c r="AYF61" s="16"/>
      <c r="AYG61" s="16"/>
      <c r="AYH61" s="16"/>
      <c r="AYI61" s="16"/>
      <c r="AYJ61" s="16"/>
      <c r="AYK61" s="16"/>
      <c r="AYL61" s="16"/>
      <c r="AYM61" s="16"/>
      <c r="AYN61" s="16"/>
      <c r="AYO61" s="16"/>
      <c r="AYP61" s="16"/>
      <c r="AYQ61" s="16"/>
      <c r="AYR61" s="16"/>
      <c r="AYS61" s="16"/>
      <c r="AYT61" s="16"/>
      <c r="AYU61" s="16"/>
      <c r="AYV61" s="16"/>
      <c r="AYW61" s="16"/>
      <c r="AYX61" s="16"/>
      <c r="AYY61" s="16"/>
      <c r="AYZ61" s="16"/>
      <c r="AZA61" s="16"/>
      <c r="AZB61" s="16"/>
      <c r="AZC61" s="16"/>
      <c r="AZD61" s="16"/>
      <c r="AZE61" s="16"/>
      <c r="AZF61" s="16"/>
      <c r="AZG61" s="16"/>
      <c r="AZH61" s="16"/>
      <c r="AZI61" s="16"/>
      <c r="AZJ61" s="16"/>
      <c r="AZK61" s="16"/>
      <c r="AZL61" s="16"/>
      <c r="AZM61" s="16"/>
      <c r="AZN61" s="16"/>
      <c r="AZO61" s="16"/>
      <c r="AZP61" s="16"/>
      <c r="AZQ61" s="16"/>
      <c r="AZR61" s="16"/>
      <c r="AZS61" s="16"/>
      <c r="AZT61" s="16"/>
      <c r="AZU61" s="16"/>
      <c r="AZV61" s="16"/>
      <c r="AZW61" s="16"/>
      <c r="AZX61" s="16"/>
      <c r="AZY61" s="16"/>
      <c r="AZZ61" s="16"/>
      <c r="BAA61" s="16"/>
      <c r="BAB61" s="16"/>
      <c r="BAC61" s="16"/>
      <c r="BAD61" s="16"/>
      <c r="BAE61" s="16"/>
      <c r="BAF61" s="16"/>
      <c r="BAG61" s="16"/>
      <c r="BAH61" s="16"/>
      <c r="BAI61" s="16"/>
      <c r="BAJ61" s="16"/>
      <c r="BAK61" s="16"/>
      <c r="BAL61" s="16"/>
      <c r="BAM61" s="16"/>
      <c r="BAN61" s="16"/>
      <c r="BAO61" s="16"/>
      <c r="BAP61" s="16"/>
      <c r="BAQ61" s="16"/>
      <c r="BAR61" s="16"/>
      <c r="BAS61" s="16"/>
      <c r="BAT61" s="16"/>
      <c r="BAU61" s="16"/>
      <c r="BAV61" s="16"/>
      <c r="BAW61" s="16"/>
      <c r="BAX61" s="16"/>
      <c r="BAY61" s="16"/>
      <c r="BAZ61" s="16"/>
      <c r="BBA61" s="16"/>
      <c r="BBB61" s="16"/>
      <c r="BBC61" s="16"/>
      <c r="BBD61" s="16"/>
      <c r="BBE61" s="16"/>
      <c r="BBF61" s="16"/>
      <c r="BBG61" s="16"/>
      <c r="BBH61" s="16"/>
      <c r="BBI61" s="16"/>
      <c r="BBJ61" s="16"/>
      <c r="BBK61" s="16"/>
      <c r="BBL61" s="16"/>
      <c r="BBM61" s="16"/>
      <c r="BBN61" s="16"/>
      <c r="BBO61" s="16"/>
      <c r="BBP61" s="16"/>
      <c r="BBQ61" s="16"/>
      <c r="BBR61" s="16"/>
      <c r="BBS61" s="16"/>
      <c r="BBT61" s="16"/>
      <c r="BBU61" s="16"/>
      <c r="BBV61" s="16"/>
      <c r="BBW61" s="16"/>
      <c r="BBX61" s="16"/>
      <c r="BBY61" s="16"/>
      <c r="BBZ61" s="16"/>
      <c r="BCA61" s="16"/>
      <c r="BCB61" s="16"/>
      <c r="BCC61" s="16"/>
      <c r="BCD61" s="16"/>
      <c r="BCE61" s="16"/>
      <c r="BCF61" s="16"/>
      <c r="BCG61" s="16"/>
      <c r="BCH61" s="16"/>
      <c r="BCI61" s="16"/>
      <c r="BCJ61" s="16"/>
      <c r="BCK61" s="16"/>
      <c r="BCL61" s="16"/>
      <c r="BCM61" s="16"/>
      <c r="BCN61" s="16"/>
      <c r="BCO61" s="16"/>
      <c r="BCP61" s="16"/>
      <c r="BCQ61" s="16"/>
      <c r="BCR61" s="16"/>
      <c r="BCS61" s="16"/>
      <c r="BCT61" s="16"/>
      <c r="BCU61" s="16"/>
      <c r="BCV61" s="16"/>
      <c r="BCW61" s="16"/>
      <c r="BCX61" s="16"/>
      <c r="BCY61" s="16"/>
      <c r="BCZ61" s="16"/>
      <c r="BDA61" s="16"/>
      <c r="BDB61" s="16"/>
      <c r="BDC61" s="16"/>
      <c r="BDD61" s="16"/>
      <c r="BDE61" s="16"/>
      <c r="BDF61" s="16"/>
      <c r="BDG61" s="16"/>
      <c r="BDH61" s="16"/>
      <c r="BDI61" s="16"/>
      <c r="BDJ61" s="16"/>
      <c r="BDK61" s="16"/>
      <c r="BDL61" s="16"/>
      <c r="BDM61" s="16"/>
      <c r="BDN61" s="16"/>
      <c r="BDO61" s="16"/>
      <c r="BDP61" s="16"/>
      <c r="BDQ61" s="16"/>
      <c r="BDR61" s="16"/>
      <c r="BDS61" s="16"/>
      <c r="BDT61" s="16"/>
      <c r="BDU61" s="16"/>
      <c r="BDV61" s="16"/>
      <c r="BDW61" s="16"/>
      <c r="BDX61" s="16"/>
      <c r="BDY61" s="16"/>
      <c r="BDZ61" s="16"/>
      <c r="BEA61" s="16"/>
      <c r="BEB61" s="16"/>
      <c r="BEC61" s="16"/>
      <c r="BED61" s="16"/>
      <c r="BEE61" s="16"/>
      <c r="BEF61" s="16"/>
      <c r="BEG61" s="16"/>
      <c r="BEH61" s="16"/>
      <c r="BEI61" s="16"/>
      <c r="BEJ61" s="16"/>
      <c r="BEK61" s="16"/>
      <c r="BEL61" s="16"/>
      <c r="BEM61" s="16"/>
      <c r="BEN61" s="16"/>
      <c r="BEO61" s="16"/>
      <c r="BEP61" s="16"/>
      <c r="BEQ61" s="16"/>
      <c r="BER61" s="16"/>
      <c r="BES61" s="16"/>
      <c r="BET61" s="16"/>
      <c r="BEU61" s="16"/>
      <c r="BEV61" s="16"/>
      <c r="BEW61" s="16"/>
      <c r="BEX61" s="16"/>
      <c r="BEY61" s="16"/>
      <c r="BEZ61" s="16"/>
      <c r="BFA61" s="16"/>
      <c r="BFB61" s="16"/>
      <c r="BFC61" s="16"/>
      <c r="BFD61" s="16"/>
      <c r="BFE61" s="16"/>
      <c r="BFF61" s="16"/>
      <c r="BFG61" s="16"/>
      <c r="BFH61" s="16"/>
      <c r="BFI61" s="16"/>
      <c r="BFJ61" s="16"/>
      <c r="BFK61" s="16"/>
      <c r="BFL61" s="16"/>
      <c r="BFM61" s="16"/>
      <c r="BFN61" s="16"/>
      <c r="BFO61" s="16"/>
      <c r="BFP61" s="16"/>
      <c r="BFQ61" s="16"/>
      <c r="BFR61" s="16"/>
      <c r="BFS61" s="16"/>
      <c r="BFT61" s="16"/>
      <c r="BFU61" s="16"/>
      <c r="BFV61" s="16"/>
      <c r="BFW61" s="16"/>
      <c r="BFX61" s="16"/>
      <c r="BFY61" s="16"/>
      <c r="BFZ61" s="16"/>
      <c r="BGA61" s="16"/>
      <c r="BGB61" s="16"/>
      <c r="BGC61" s="16"/>
      <c r="BGD61" s="16"/>
      <c r="BGE61" s="16"/>
      <c r="BGF61" s="16"/>
      <c r="BGG61" s="16"/>
      <c r="BGH61" s="16"/>
      <c r="BGI61" s="16"/>
      <c r="BGJ61" s="16"/>
      <c r="BGK61" s="16"/>
      <c r="BGL61" s="16"/>
      <c r="BGM61" s="16"/>
      <c r="BGN61" s="16"/>
      <c r="BGO61" s="16"/>
      <c r="BGP61" s="16"/>
      <c r="BGQ61" s="16"/>
      <c r="BGR61" s="16"/>
      <c r="BGS61" s="16"/>
      <c r="BGT61" s="16"/>
      <c r="BGU61" s="16"/>
      <c r="BGV61" s="16"/>
      <c r="BGW61" s="16"/>
      <c r="BGX61" s="16"/>
      <c r="BGY61" s="16"/>
      <c r="BGZ61" s="16"/>
      <c r="BHA61" s="16"/>
      <c r="BHB61" s="16"/>
      <c r="BHC61" s="16"/>
      <c r="BHD61" s="16"/>
      <c r="BHE61" s="16"/>
      <c r="BHF61" s="16"/>
      <c r="BHG61" s="16"/>
      <c r="BHH61" s="16"/>
      <c r="BHI61" s="16"/>
      <c r="BHJ61" s="16"/>
      <c r="BHK61" s="16"/>
      <c r="BHL61" s="16"/>
      <c r="BHM61" s="16"/>
      <c r="BHN61" s="16"/>
      <c r="BHO61" s="16"/>
      <c r="BHP61" s="16"/>
      <c r="BHQ61" s="16"/>
      <c r="BHR61" s="16"/>
      <c r="BHS61" s="16"/>
      <c r="BHT61" s="16"/>
      <c r="BHU61" s="16"/>
      <c r="BHV61" s="16"/>
      <c r="BHW61" s="16"/>
      <c r="BHX61" s="16"/>
      <c r="BHY61" s="16"/>
      <c r="BHZ61" s="16"/>
      <c r="BIA61" s="16"/>
      <c r="BIB61" s="16"/>
      <c r="BIC61" s="16"/>
      <c r="BID61" s="16"/>
      <c r="BIE61" s="16"/>
      <c r="BIF61" s="16"/>
      <c r="BIG61" s="16"/>
      <c r="BIH61" s="16"/>
      <c r="BII61" s="16"/>
      <c r="BIJ61" s="16"/>
      <c r="BIK61" s="16"/>
      <c r="BIL61" s="16"/>
      <c r="BIM61" s="16"/>
      <c r="BIN61" s="16"/>
      <c r="BIO61" s="16"/>
      <c r="BIP61" s="16"/>
      <c r="BIQ61" s="16"/>
      <c r="BIR61" s="16"/>
      <c r="BIS61" s="16"/>
      <c r="BIT61" s="16"/>
      <c r="BIU61" s="16"/>
      <c r="BIV61" s="16"/>
      <c r="BIW61" s="16"/>
      <c r="BIX61" s="16"/>
      <c r="BIY61" s="16"/>
      <c r="BIZ61" s="16"/>
      <c r="BJA61" s="16"/>
      <c r="BJB61" s="16"/>
      <c r="BJC61" s="16"/>
      <c r="BJD61" s="16"/>
      <c r="BJE61" s="16"/>
      <c r="BJF61" s="16"/>
      <c r="BJG61" s="16"/>
      <c r="BJH61" s="16"/>
      <c r="BJI61" s="16"/>
      <c r="BJJ61" s="16"/>
      <c r="BJK61" s="16"/>
      <c r="BJL61" s="16"/>
      <c r="BJM61" s="16"/>
      <c r="BJN61" s="16"/>
      <c r="BJO61" s="16"/>
      <c r="BJP61" s="16"/>
      <c r="BJQ61" s="16"/>
      <c r="BJR61" s="16"/>
      <c r="BJS61" s="16"/>
      <c r="BJT61" s="16"/>
      <c r="BJU61" s="16"/>
      <c r="BJV61" s="16"/>
      <c r="BJW61" s="16"/>
      <c r="BJX61" s="16"/>
      <c r="BJY61" s="16"/>
      <c r="BJZ61" s="16"/>
      <c r="BKA61" s="16"/>
      <c r="BKB61" s="16"/>
      <c r="BKC61" s="16"/>
      <c r="BKD61" s="16"/>
      <c r="BKE61" s="16"/>
      <c r="BKF61" s="16"/>
      <c r="BKG61" s="16"/>
      <c r="BKH61" s="16"/>
      <c r="BKI61" s="16"/>
      <c r="BKJ61" s="16"/>
      <c r="BKK61" s="16"/>
      <c r="BKL61" s="16"/>
      <c r="BKM61" s="16"/>
      <c r="BKN61" s="16"/>
      <c r="BKO61" s="16"/>
      <c r="BKP61" s="16"/>
      <c r="BKQ61" s="16"/>
      <c r="BKR61" s="16"/>
      <c r="BKS61" s="16"/>
      <c r="BKT61" s="16"/>
      <c r="BKU61" s="16"/>
      <c r="BKV61" s="16"/>
      <c r="BKW61" s="16"/>
      <c r="BKX61" s="16"/>
      <c r="BKY61" s="16"/>
      <c r="BKZ61" s="16"/>
      <c r="BLA61" s="16"/>
      <c r="BLB61" s="16"/>
      <c r="BLC61" s="16"/>
      <c r="BLD61" s="16"/>
      <c r="BLE61" s="16"/>
      <c r="BLF61" s="16"/>
      <c r="BLG61" s="16"/>
      <c r="BLH61" s="16"/>
      <c r="BLI61" s="16"/>
      <c r="BLJ61" s="16"/>
      <c r="BLK61" s="16"/>
      <c r="BLL61" s="16"/>
      <c r="BLM61" s="16"/>
      <c r="BLN61" s="16"/>
      <c r="BLO61" s="16"/>
      <c r="BLP61" s="16"/>
      <c r="BLQ61" s="16"/>
      <c r="BLR61" s="16"/>
      <c r="BLS61" s="16"/>
      <c r="BLT61" s="16"/>
      <c r="BLU61" s="16"/>
      <c r="BLV61" s="16"/>
      <c r="BLW61" s="16"/>
      <c r="BLX61" s="16"/>
      <c r="BLY61" s="16"/>
      <c r="BLZ61" s="16"/>
      <c r="BMA61" s="16"/>
      <c r="BMB61" s="16"/>
      <c r="BMC61" s="16"/>
      <c r="BMD61" s="16"/>
      <c r="BME61" s="16"/>
      <c r="BMF61" s="16"/>
      <c r="BMG61" s="16"/>
      <c r="BMH61" s="16"/>
      <c r="BMI61" s="16"/>
      <c r="BMJ61" s="16"/>
      <c r="BMK61" s="16"/>
      <c r="BML61" s="16"/>
      <c r="BMM61" s="16"/>
      <c r="BMN61" s="16"/>
      <c r="BMO61" s="16"/>
      <c r="BMP61" s="16"/>
      <c r="BMQ61" s="16"/>
      <c r="BMR61" s="16"/>
      <c r="BMS61" s="16"/>
      <c r="BMT61" s="16"/>
      <c r="BMU61" s="16"/>
      <c r="BMV61" s="16"/>
      <c r="BMW61" s="16"/>
      <c r="BMX61" s="16"/>
      <c r="BMY61" s="16"/>
      <c r="BMZ61" s="16"/>
      <c r="BNA61" s="16"/>
      <c r="BNB61" s="16"/>
      <c r="BNC61" s="16"/>
      <c r="BND61" s="16"/>
      <c r="BNE61" s="16"/>
      <c r="BNF61" s="16"/>
      <c r="BNG61" s="16"/>
      <c r="BNH61" s="16"/>
      <c r="BNI61" s="16"/>
      <c r="BNJ61" s="16"/>
      <c r="BNK61" s="16"/>
      <c r="BNL61" s="16"/>
      <c r="BNM61" s="16"/>
      <c r="BNN61" s="16"/>
      <c r="BNO61" s="16"/>
      <c r="BNP61" s="16"/>
      <c r="BNQ61" s="16"/>
      <c r="BNR61" s="16"/>
      <c r="BNS61" s="16"/>
      <c r="BNT61" s="16"/>
      <c r="BNU61" s="16"/>
      <c r="BNV61" s="16"/>
      <c r="BNW61" s="16"/>
      <c r="BNX61" s="16"/>
      <c r="BNY61" s="16"/>
      <c r="BNZ61" s="16"/>
      <c r="BOA61" s="16"/>
      <c r="BOB61" s="16"/>
      <c r="BOC61" s="16"/>
      <c r="BOD61" s="16"/>
      <c r="BOE61" s="16"/>
      <c r="BOF61" s="16"/>
      <c r="BOG61" s="16"/>
      <c r="BOH61" s="16"/>
      <c r="BOI61" s="16"/>
      <c r="BOJ61" s="16"/>
      <c r="BOK61" s="16"/>
      <c r="BOL61" s="16"/>
      <c r="BOM61" s="16"/>
      <c r="BON61" s="16"/>
      <c r="BOO61" s="16"/>
      <c r="BOP61" s="16"/>
      <c r="BOQ61" s="16"/>
      <c r="BOR61" s="16"/>
      <c r="BOS61" s="16"/>
      <c r="BOT61" s="16"/>
      <c r="BOU61" s="16"/>
      <c r="BOV61" s="16"/>
      <c r="BOW61" s="16"/>
      <c r="BOX61" s="16"/>
      <c r="BOY61" s="16"/>
      <c r="BOZ61" s="16"/>
      <c r="BPA61" s="16"/>
      <c r="BPB61" s="16"/>
      <c r="BPC61" s="16"/>
      <c r="BPD61" s="16"/>
      <c r="BPE61" s="16"/>
      <c r="BPF61" s="16"/>
      <c r="BPG61" s="16"/>
      <c r="BPH61" s="16"/>
      <c r="BPI61" s="16"/>
      <c r="BPJ61" s="16"/>
      <c r="BPK61" s="16"/>
      <c r="BPL61" s="16"/>
      <c r="BPM61" s="16"/>
      <c r="BPN61" s="16"/>
      <c r="BPO61" s="16"/>
      <c r="BPP61" s="16"/>
      <c r="BPQ61" s="16"/>
      <c r="BPR61" s="16"/>
      <c r="BPS61" s="16"/>
      <c r="BPT61" s="16"/>
      <c r="BPU61" s="16"/>
      <c r="BPV61" s="16"/>
      <c r="BPW61" s="16"/>
      <c r="BPX61" s="16"/>
      <c r="BPY61" s="16"/>
      <c r="BPZ61" s="16"/>
      <c r="BQA61" s="16"/>
      <c r="BQB61" s="16"/>
      <c r="BQC61" s="16"/>
      <c r="BQD61" s="16"/>
      <c r="BQE61" s="16"/>
      <c r="BQF61" s="16"/>
      <c r="BQG61" s="16"/>
      <c r="BQH61" s="16"/>
      <c r="BQI61" s="16"/>
      <c r="BQJ61" s="16"/>
      <c r="BQK61" s="16"/>
      <c r="BQL61" s="16"/>
      <c r="BQM61" s="16"/>
      <c r="BQN61" s="16"/>
      <c r="BQO61" s="16"/>
      <c r="BQP61" s="16"/>
      <c r="BQQ61" s="16"/>
      <c r="BQR61" s="16"/>
      <c r="BQS61" s="16"/>
      <c r="BQT61" s="16"/>
      <c r="BQU61" s="16"/>
      <c r="BQV61" s="16"/>
      <c r="BQW61" s="16"/>
      <c r="BQX61" s="16"/>
      <c r="BQY61" s="16"/>
      <c r="BQZ61" s="16"/>
      <c r="BRA61" s="16"/>
      <c r="BRB61" s="16"/>
      <c r="BRC61" s="16"/>
      <c r="BRD61" s="16"/>
      <c r="BRE61" s="16"/>
      <c r="BRF61" s="16"/>
      <c r="BRG61" s="16"/>
      <c r="BRH61" s="16"/>
      <c r="BRI61" s="16"/>
      <c r="BRJ61" s="16"/>
      <c r="BRK61" s="16"/>
      <c r="BRL61" s="16"/>
      <c r="BRM61" s="16"/>
      <c r="BRN61" s="16"/>
      <c r="BRO61" s="16"/>
      <c r="BRP61" s="16"/>
      <c r="BRQ61" s="16"/>
      <c r="BRR61" s="16"/>
      <c r="BRS61" s="16"/>
      <c r="BRT61" s="16"/>
      <c r="BRU61" s="16"/>
      <c r="BRV61" s="16"/>
      <c r="BRW61" s="16"/>
      <c r="BRX61" s="16"/>
      <c r="BRY61" s="16"/>
      <c r="BRZ61" s="16"/>
      <c r="BSA61" s="16"/>
      <c r="BSB61" s="16"/>
      <c r="BSC61" s="16"/>
      <c r="BSD61" s="16"/>
      <c r="BSE61" s="16"/>
      <c r="BSF61" s="16"/>
      <c r="BSG61" s="16"/>
      <c r="BSH61" s="16"/>
      <c r="BSI61" s="16"/>
      <c r="BSJ61" s="16"/>
      <c r="BSK61" s="16"/>
      <c r="BSL61" s="16"/>
      <c r="BSM61" s="16"/>
      <c r="BSN61" s="16"/>
      <c r="BSO61" s="16"/>
      <c r="BSP61" s="16"/>
      <c r="BSQ61" s="16"/>
      <c r="BSR61" s="16"/>
      <c r="BSS61" s="16"/>
      <c r="BST61" s="16"/>
      <c r="BSU61" s="16"/>
      <c r="BSV61" s="16"/>
      <c r="BSW61" s="16"/>
      <c r="BSX61" s="16"/>
      <c r="BSY61" s="16"/>
      <c r="BSZ61" s="16"/>
      <c r="BTA61" s="16"/>
      <c r="BTB61" s="16"/>
      <c r="BTC61" s="16"/>
      <c r="BTD61" s="16"/>
      <c r="BTE61" s="16"/>
      <c r="BTF61" s="16"/>
      <c r="BTG61" s="16"/>
      <c r="BTH61" s="16"/>
      <c r="BTI61" s="16"/>
      <c r="BTJ61" s="16"/>
      <c r="BTK61" s="16"/>
      <c r="BTL61" s="16"/>
      <c r="BTM61" s="16"/>
      <c r="BTN61" s="16"/>
      <c r="BTO61" s="16"/>
      <c r="BTP61" s="16"/>
      <c r="BTQ61" s="16"/>
      <c r="BTR61" s="16"/>
      <c r="BTS61" s="16"/>
      <c r="BTT61" s="16"/>
      <c r="BTU61" s="16"/>
      <c r="BTV61" s="16"/>
      <c r="BTW61" s="16"/>
      <c r="BTX61" s="16"/>
      <c r="BTY61" s="16"/>
      <c r="BTZ61" s="16"/>
      <c r="BUA61" s="16"/>
      <c r="BUB61" s="16"/>
      <c r="BUC61" s="16"/>
      <c r="BUD61" s="16"/>
      <c r="BUE61" s="16"/>
      <c r="BUF61" s="16"/>
      <c r="BUG61" s="16"/>
      <c r="BUH61" s="16"/>
      <c r="BUI61" s="16"/>
      <c r="BUJ61" s="16"/>
      <c r="BUK61" s="16"/>
      <c r="BUL61" s="16"/>
      <c r="BUM61" s="16"/>
      <c r="BUN61" s="16"/>
      <c r="BUO61" s="16"/>
      <c r="BUP61" s="16"/>
      <c r="BUQ61" s="16"/>
      <c r="BUR61" s="16"/>
      <c r="BUS61" s="16"/>
      <c r="BUT61" s="16"/>
      <c r="BUU61" s="16"/>
      <c r="BUV61" s="16"/>
      <c r="BUW61" s="16"/>
      <c r="BUX61" s="16"/>
      <c r="BUY61" s="16"/>
      <c r="BUZ61" s="16"/>
      <c r="BVA61" s="16"/>
      <c r="BVB61" s="16"/>
      <c r="BVC61" s="16"/>
      <c r="BVD61" s="16"/>
      <c r="BVE61" s="16"/>
      <c r="BVF61" s="16"/>
      <c r="BVG61" s="16"/>
      <c r="BVH61" s="16"/>
      <c r="BVI61" s="16"/>
      <c r="BVJ61" s="16"/>
      <c r="BVK61" s="16"/>
      <c r="BVL61" s="16"/>
      <c r="BVM61" s="16"/>
      <c r="BVN61" s="16"/>
      <c r="BVO61" s="16"/>
      <c r="BVP61" s="16"/>
      <c r="BVQ61" s="16"/>
      <c r="BVR61" s="16"/>
      <c r="BVS61" s="16"/>
      <c r="BVT61" s="16"/>
      <c r="BVU61" s="16"/>
      <c r="BVV61" s="16"/>
      <c r="BVW61" s="16"/>
      <c r="BVX61" s="16"/>
      <c r="BVY61" s="16"/>
      <c r="BVZ61" s="16"/>
      <c r="BWA61" s="16"/>
      <c r="BWB61" s="16"/>
      <c r="BWC61" s="16"/>
      <c r="BWD61" s="16"/>
      <c r="BWE61" s="16"/>
      <c r="BWF61" s="16"/>
      <c r="BWG61" s="16"/>
      <c r="BWH61" s="16"/>
      <c r="BWI61" s="16"/>
      <c r="BWJ61" s="16"/>
      <c r="BWK61" s="16"/>
      <c r="BWL61" s="16"/>
      <c r="BWM61" s="16"/>
      <c r="BWN61" s="16"/>
      <c r="BWO61" s="16"/>
      <c r="BWP61" s="16"/>
      <c r="BWQ61" s="16"/>
      <c r="BWR61" s="16"/>
      <c r="BWS61" s="16"/>
      <c r="BWT61" s="16"/>
      <c r="BWU61" s="16"/>
      <c r="BWV61" s="16"/>
      <c r="BWW61" s="16"/>
      <c r="BWX61" s="16"/>
      <c r="BWY61" s="16"/>
      <c r="BWZ61" s="16"/>
      <c r="BXA61" s="16"/>
      <c r="BXB61" s="16"/>
      <c r="BXC61" s="16"/>
      <c r="BXD61" s="16"/>
      <c r="BXE61" s="16"/>
      <c r="BXF61" s="16"/>
      <c r="BXG61" s="16"/>
      <c r="BXH61" s="16"/>
      <c r="BXI61" s="16"/>
      <c r="BXJ61" s="16"/>
      <c r="BXK61" s="16"/>
      <c r="BXL61" s="16"/>
      <c r="BXM61" s="16"/>
      <c r="BXN61" s="16"/>
      <c r="BXO61" s="16"/>
      <c r="BXP61" s="16"/>
      <c r="BXQ61" s="16"/>
      <c r="BXR61" s="16"/>
      <c r="BXS61" s="16"/>
      <c r="BXT61" s="16"/>
      <c r="BXU61" s="16"/>
      <c r="BXV61" s="16"/>
      <c r="BXW61" s="16"/>
      <c r="BXX61" s="16"/>
      <c r="BXY61" s="16"/>
      <c r="BXZ61" s="16"/>
      <c r="BYA61" s="16"/>
      <c r="BYB61" s="16"/>
      <c r="BYC61" s="16"/>
      <c r="BYD61" s="16"/>
      <c r="BYE61" s="16"/>
      <c r="BYF61" s="16"/>
      <c r="BYG61" s="16"/>
      <c r="BYH61" s="16"/>
      <c r="BYI61" s="16"/>
      <c r="BYJ61" s="16"/>
      <c r="BYK61" s="16"/>
      <c r="BYL61" s="16"/>
      <c r="BYM61" s="16"/>
      <c r="BYN61" s="16"/>
      <c r="BYO61" s="16"/>
      <c r="BYP61" s="16"/>
      <c r="BYQ61" s="16"/>
      <c r="BYR61" s="16"/>
      <c r="BYS61" s="16"/>
      <c r="BYT61" s="16"/>
      <c r="BYU61" s="16"/>
      <c r="BYV61" s="16"/>
      <c r="BYW61" s="16"/>
      <c r="BYX61" s="16"/>
      <c r="BYY61" s="16"/>
      <c r="BYZ61" s="16"/>
      <c r="BZA61" s="16"/>
      <c r="BZB61" s="16"/>
      <c r="BZC61" s="16"/>
      <c r="BZD61" s="16"/>
      <c r="BZE61" s="16"/>
      <c r="BZF61" s="16"/>
      <c r="BZG61" s="16"/>
      <c r="BZH61" s="16"/>
      <c r="BZI61" s="16"/>
      <c r="BZJ61" s="16"/>
      <c r="BZK61" s="16"/>
      <c r="BZL61" s="16"/>
      <c r="BZM61" s="16"/>
      <c r="BZN61" s="16"/>
      <c r="BZO61" s="16"/>
      <c r="BZP61" s="16"/>
      <c r="BZQ61" s="16"/>
      <c r="BZR61" s="16"/>
      <c r="BZS61" s="16"/>
      <c r="BZT61" s="16"/>
      <c r="BZU61" s="16"/>
      <c r="BZV61" s="16"/>
      <c r="BZW61" s="16"/>
      <c r="BZX61" s="16"/>
      <c r="BZY61" s="16"/>
      <c r="BZZ61" s="16"/>
      <c r="CAA61" s="16"/>
      <c r="CAB61" s="16"/>
      <c r="CAC61" s="16"/>
      <c r="CAD61" s="16"/>
      <c r="CAE61" s="16"/>
      <c r="CAF61" s="16"/>
      <c r="CAG61" s="16"/>
      <c r="CAH61" s="16"/>
      <c r="CAI61" s="16"/>
      <c r="CAJ61" s="16"/>
      <c r="CAK61" s="16"/>
      <c r="CAL61" s="16"/>
      <c r="CAM61" s="16"/>
      <c r="CAN61" s="16"/>
      <c r="CAO61" s="16"/>
      <c r="CAP61" s="16"/>
      <c r="CAQ61" s="16"/>
      <c r="CAR61" s="16"/>
      <c r="CAS61" s="16"/>
      <c r="CAT61" s="16"/>
      <c r="CAU61" s="16"/>
      <c r="CAV61" s="16"/>
      <c r="CAW61" s="16"/>
      <c r="CAX61" s="16"/>
      <c r="CAY61" s="16"/>
      <c r="CAZ61" s="16"/>
      <c r="CBA61" s="16"/>
      <c r="CBB61" s="16"/>
      <c r="CBC61" s="16"/>
      <c r="CBD61" s="16"/>
      <c r="CBE61" s="16"/>
      <c r="CBF61" s="16"/>
      <c r="CBG61" s="16"/>
      <c r="CBH61" s="16"/>
      <c r="CBI61" s="16"/>
      <c r="CBJ61" s="16"/>
      <c r="CBK61" s="16"/>
      <c r="CBL61" s="16"/>
      <c r="CBM61" s="16"/>
      <c r="CBN61" s="16"/>
      <c r="CBO61" s="16"/>
      <c r="CBP61" s="16"/>
      <c r="CBQ61" s="16"/>
      <c r="CBR61" s="16"/>
      <c r="CBS61" s="16"/>
      <c r="CBT61" s="16"/>
      <c r="CBU61" s="16"/>
      <c r="CBV61" s="16"/>
      <c r="CBW61" s="16"/>
      <c r="CBX61" s="16"/>
      <c r="CBY61" s="16"/>
      <c r="CBZ61" s="16"/>
      <c r="CCA61" s="16"/>
      <c r="CCB61" s="16"/>
      <c r="CCC61" s="16"/>
      <c r="CCD61" s="16"/>
      <c r="CCE61" s="16"/>
      <c r="CCF61" s="16"/>
      <c r="CCG61" s="16"/>
      <c r="CCH61" s="16"/>
      <c r="CCI61" s="16"/>
      <c r="CCJ61" s="16"/>
      <c r="CCK61" s="16"/>
      <c r="CCL61" s="16"/>
      <c r="CCM61" s="16"/>
      <c r="CCN61" s="16"/>
      <c r="CCO61" s="16"/>
      <c r="CCP61" s="16"/>
      <c r="CCQ61" s="16"/>
      <c r="CCR61" s="16"/>
      <c r="CCS61" s="16"/>
      <c r="CCT61" s="16"/>
      <c r="CCU61" s="16"/>
      <c r="CCV61" s="16"/>
      <c r="CCW61" s="16"/>
      <c r="CCX61" s="16"/>
      <c r="CCY61" s="16"/>
      <c r="CCZ61" s="16"/>
      <c r="CDA61" s="16"/>
      <c r="CDB61" s="16"/>
      <c r="CDC61" s="16"/>
      <c r="CDD61" s="16"/>
      <c r="CDE61" s="16"/>
      <c r="CDF61" s="16"/>
      <c r="CDG61" s="16"/>
      <c r="CDH61" s="16"/>
      <c r="CDI61" s="16"/>
      <c r="CDJ61" s="16"/>
      <c r="CDK61" s="16"/>
      <c r="CDL61" s="16"/>
      <c r="CDM61" s="16"/>
      <c r="CDN61" s="16"/>
      <c r="CDO61" s="16"/>
      <c r="CDP61" s="16"/>
      <c r="CDQ61" s="16"/>
      <c r="CDR61" s="16"/>
      <c r="CDS61" s="16"/>
      <c r="CDT61" s="16"/>
      <c r="CDU61" s="16"/>
      <c r="CDV61" s="16"/>
      <c r="CDW61" s="16"/>
      <c r="CDX61" s="16"/>
      <c r="CDY61" s="16"/>
      <c r="CDZ61" s="16"/>
      <c r="CEA61" s="16"/>
      <c r="CEB61" s="16"/>
      <c r="CEC61" s="16"/>
      <c r="CED61" s="16"/>
      <c r="CEE61" s="16"/>
      <c r="CEF61" s="16"/>
      <c r="CEG61" s="16"/>
      <c r="CEH61" s="16"/>
      <c r="CEI61" s="16"/>
      <c r="CEJ61" s="16"/>
      <c r="CEK61" s="16"/>
      <c r="CEL61" s="16"/>
      <c r="CEM61" s="16"/>
      <c r="CEN61" s="16"/>
      <c r="CEO61" s="16"/>
      <c r="CEP61" s="16"/>
      <c r="CEQ61" s="16"/>
      <c r="CER61" s="16"/>
      <c r="CES61" s="16"/>
      <c r="CET61" s="16"/>
      <c r="CEU61" s="16"/>
      <c r="CEV61" s="16"/>
      <c r="CEW61" s="16"/>
      <c r="CEX61" s="16"/>
      <c r="CEY61" s="16"/>
      <c r="CEZ61" s="16"/>
      <c r="CFA61" s="16"/>
      <c r="CFB61" s="16"/>
      <c r="CFC61" s="16"/>
      <c r="CFD61" s="16"/>
      <c r="CFE61" s="16"/>
      <c r="CFF61" s="16"/>
      <c r="CFG61" s="16"/>
      <c r="CFH61" s="16"/>
      <c r="CFI61" s="16"/>
      <c r="CFJ61" s="16"/>
      <c r="CFK61" s="16"/>
      <c r="CFL61" s="16"/>
      <c r="CFM61" s="16"/>
      <c r="CFN61" s="16"/>
      <c r="CFO61" s="16"/>
      <c r="CFP61" s="16"/>
      <c r="CFQ61" s="16"/>
      <c r="CFR61" s="16"/>
      <c r="CFS61" s="16"/>
      <c r="CFT61" s="16"/>
      <c r="CFU61" s="16"/>
      <c r="CFV61" s="16"/>
      <c r="CFW61" s="16"/>
      <c r="CFX61" s="16"/>
      <c r="CFY61" s="16"/>
      <c r="CFZ61" s="16"/>
      <c r="CGA61" s="16"/>
      <c r="CGB61" s="16"/>
      <c r="CGC61" s="16"/>
      <c r="CGD61" s="16"/>
      <c r="CGE61" s="16"/>
      <c r="CGF61" s="16"/>
      <c r="CGG61" s="16"/>
      <c r="CGH61" s="16"/>
      <c r="CGI61" s="16"/>
      <c r="CGJ61" s="16"/>
      <c r="CGK61" s="16"/>
      <c r="CGL61" s="16"/>
      <c r="CGM61" s="16"/>
      <c r="CGN61" s="16"/>
      <c r="CGO61" s="16"/>
      <c r="CGP61" s="16"/>
      <c r="CGQ61" s="16"/>
      <c r="CGR61" s="16"/>
      <c r="CGS61" s="16"/>
      <c r="CGT61" s="16"/>
      <c r="CGU61" s="16"/>
      <c r="CGV61" s="16"/>
      <c r="CGW61" s="16"/>
      <c r="CGX61" s="16"/>
      <c r="CGY61" s="16"/>
      <c r="CGZ61" s="16"/>
      <c r="CHA61" s="16"/>
      <c r="CHB61" s="16"/>
      <c r="CHC61" s="16"/>
      <c r="CHD61" s="16"/>
      <c r="CHE61" s="16"/>
      <c r="CHF61" s="16"/>
      <c r="CHG61" s="16"/>
      <c r="CHH61" s="16"/>
      <c r="CHI61" s="16"/>
      <c r="CHJ61" s="16"/>
      <c r="CHK61" s="16"/>
      <c r="CHL61" s="16"/>
      <c r="CHM61" s="16"/>
      <c r="CHN61" s="16"/>
      <c r="CHO61" s="16"/>
      <c r="CHP61" s="16"/>
      <c r="CHQ61" s="16"/>
      <c r="CHR61" s="16"/>
      <c r="CHS61" s="16"/>
      <c r="CHT61" s="16"/>
      <c r="CHU61" s="16"/>
      <c r="CHV61" s="16"/>
      <c r="CHW61" s="16"/>
      <c r="CHX61" s="16"/>
      <c r="CHY61" s="16"/>
      <c r="CHZ61" s="16"/>
      <c r="CIA61" s="16"/>
      <c r="CIB61" s="16"/>
      <c r="CIC61" s="16"/>
      <c r="CID61" s="16"/>
      <c r="CIE61" s="16"/>
      <c r="CIF61" s="16"/>
      <c r="CIG61" s="16"/>
      <c r="CIH61" s="16"/>
      <c r="CII61" s="16"/>
      <c r="CIJ61" s="16"/>
      <c r="CIK61" s="16"/>
      <c r="CIL61" s="16"/>
      <c r="CIM61" s="16"/>
      <c r="CIN61" s="16"/>
      <c r="CIO61" s="16"/>
      <c r="CIP61" s="16"/>
      <c r="CIQ61" s="16"/>
      <c r="CIR61" s="16"/>
      <c r="CIS61" s="16"/>
      <c r="CIT61" s="16"/>
      <c r="CIU61" s="16"/>
      <c r="CIV61" s="16"/>
      <c r="CIW61" s="16"/>
      <c r="CIX61" s="16"/>
      <c r="CIY61" s="16"/>
      <c r="CIZ61" s="16"/>
      <c r="CJA61" s="16"/>
      <c r="CJB61" s="16"/>
      <c r="CJC61" s="16"/>
      <c r="CJD61" s="16"/>
      <c r="CJE61" s="16"/>
      <c r="CJF61" s="16"/>
      <c r="CJG61" s="16"/>
      <c r="CJH61" s="16"/>
      <c r="CJI61" s="16"/>
      <c r="CJJ61" s="16"/>
      <c r="CJK61" s="16"/>
      <c r="CJL61" s="16"/>
      <c r="CJM61" s="16"/>
      <c r="CJN61" s="16"/>
      <c r="CJO61" s="16"/>
      <c r="CJP61" s="16"/>
      <c r="CJQ61" s="16"/>
      <c r="CJR61" s="16"/>
      <c r="CJS61" s="16"/>
      <c r="CJT61" s="16"/>
      <c r="CJU61" s="16"/>
      <c r="CJV61" s="16"/>
      <c r="CJW61" s="16"/>
      <c r="CJX61" s="16"/>
      <c r="CJY61" s="16"/>
      <c r="CJZ61" s="16"/>
      <c r="CKA61" s="16"/>
      <c r="CKB61" s="16"/>
      <c r="CKC61" s="16"/>
      <c r="CKD61" s="16"/>
      <c r="CKE61" s="16"/>
      <c r="CKF61" s="16"/>
      <c r="CKG61" s="16"/>
      <c r="CKH61" s="16"/>
      <c r="CKI61" s="16"/>
      <c r="CKJ61" s="16"/>
      <c r="CKK61" s="16"/>
      <c r="CKL61" s="16"/>
      <c r="CKM61" s="16"/>
      <c r="CKN61" s="16"/>
      <c r="CKO61" s="16"/>
      <c r="CKP61" s="16"/>
      <c r="CKQ61" s="16"/>
      <c r="CKR61" s="16"/>
      <c r="CKS61" s="16"/>
      <c r="CKT61" s="16"/>
      <c r="CKU61" s="16"/>
      <c r="CKV61" s="16"/>
      <c r="CKW61" s="16"/>
      <c r="CKX61" s="16"/>
      <c r="CKY61" s="16"/>
      <c r="CKZ61" s="16"/>
      <c r="CLA61" s="16"/>
      <c r="CLB61" s="16"/>
      <c r="CLC61" s="16"/>
      <c r="CLD61" s="16"/>
      <c r="CLE61" s="16"/>
      <c r="CLF61" s="16"/>
      <c r="CLG61" s="16"/>
      <c r="CLH61" s="16"/>
      <c r="CLI61" s="16"/>
      <c r="CLJ61" s="16"/>
      <c r="CLK61" s="16"/>
      <c r="CLL61" s="16"/>
      <c r="CLM61" s="16"/>
      <c r="CLN61" s="16"/>
      <c r="CLO61" s="16"/>
      <c r="CLP61" s="16"/>
      <c r="CLQ61" s="16"/>
      <c r="CLR61" s="16"/>
      <c r="CLS61" s="16"/>
      <c r="CLT61" s="16"/>
      <c r="CLU61" s="16"/>
      <c r="CLV61" s="16"/>
      <c r="CLW61" s="16"/>
      <c r="CLX61" s="16"/>
      <c r="CLY61" s="16"/>
      <c r="CLZ61" s="16"/>
      <c r="CMA61" s="16"/>
      <c r="CMB61" s="16"/>
      <c r="CMC61" s="16"/>
      <c r="CMD61" s="16"/>
      <c r="CME61" s="16"/>
      <c r="CMF61" s="16"/>
      <c r="CMG61" s="16"/>
      <c r="CMH61" s="16"/>
      <c r="CMI61" s="16"/>
      <c r="CMJ61" s="16"/>
      <c r="CMK61" s="16"/>
      <c r="CML61" s="16"/>
      <c r="CMM61" s="16"/>
      <c r="CMN61" s="16"/>
      <c r="CMO61" s="16"/>
      <c r="CMP61" s="16"/>
      <c r="CMQ61" s="16"/>
      <c r="CMR61" s="16"/>
      <c r="CMS61" s="16"/>
      <c r="CMT61" s="16"/>
      <c r="CMU61" s="16"/>
      <c r="CMV61" s="16"/>
      <c r="CMW61" s="16"/>
      <c r="CMX61" s="16"/>
      <c r="CMY61" s="16"/>
      <c r="CMZ61" s="16"/>
      <c r="CNA61" s="16"/>
      <c r="CNB61" s="16"/>
      <c r="CNC61" s="16"/>
      <c r="CND61" s="16"/>
      <c r="CNE61" s="16"/>
      <c r="CNF61" s="16"/>
      <c r="CNG61" s="16"/>
      <c r="CNH61" s="16"/>
      <c r="CNI61" s="16"/>
      <c r="CNJ61" s="16"/>
      <c r="CNK61" s="16"/>
      <c r="CNL61" s="16"/>
      <c r="CNM61" s="16"/>
      <c r="CNN61" s="16"/>
      <c r="CNO61" s="16"/>
      <c r="CNP61" s="16"/>
      <c r="CNQ61" s="16"/>
      <c r="CNR61" s="16"/>
      <c r="CNS61" s="16"/>
      <c r="CNT61" s="16"/>
      <c r="CNU61" s="16"/>
      <c r="CNV61" s="16"/>
      <c r="CNW61" s="16"/>
      <c r="CNX61" s="16"/>
      <c r="CNY61" s="16"/>
      <c r="CNZ61" s="16"/>
      <c r="COA61" s="16"/>
      <c r="COB61" s="16"/>
      <c r="COC61" s="16"/>
      <c r="COD61" s="16"/>
      <c r="COE61" s="16"/>
      <c r="COF61" s="16"/>
      <c r="COG61" s="16"/>
      <c r="COH61" s="16"/>
      <c r="COI61" s="16"/>
      <c r="COJ61" s="16"/>
      <c r="COK61" s="16"/>
      <c r="COL61" s="16"/>
      <c r="COM61" s="16"/>
      <c r="CON61" s="16"/>
      <c r="COO61" s="16"/>
      <c r="COP61" s="16"/>
      <c r="COQ61" s="16"/>
      <c r="COR61" s="16"/>
      <c r="COS61" s="16"/>
      <c r="COT61" s="16"/>
      <c r="COU61" s="16"/>
      <c r="COV61" s="16"/>
      <c r="COW61" s="16"/>
      <c r="COX61" s="16"/>
      <c r="COY61" s="16"/>
      <c r="COZ61" s="16"/>
      <c r="CPA61" s="16"/>
      <c r="CPB61" s="16"/>
      <c r="CPC61" s="16"/>
      <c r="CPD61" s="16"/>
      <c r="CPE61" s="16"/>
      <c r="CPF61" s="16"/>
      <c r="CPG61" s="16"/>
      <c r="CPH61" s="16"/>
      <c r="CPI61" s="16"/>
      <c r="CPJ61" s="16"/>
      <c r="CPK61" s="16"/>
      <c r="CPL61" s="16"/>
      <c r="CPM61" s="16"/>
      <c r="CPN61" s="16"/>
      <c r="CPO61" s="16"/>
      <c r="CPP61" s="16"/>
      <c r="CPQ61" s="16"/>
      <c r="CPR61" s="16"/>
      <c r="CPS61" s="16"/>
      <c r="CPT61" s="16"/>
      <c r="CPU61" s="16"/>
      <c r="CPV61" s="16"/>
      <c r="CPW61" s="16"/>
      <c r="CPX61" s="16"/>
      <c r="CPY61" s="16"/>
      <c r="CPZ61" s="16"/>
      <c r="CQA61" s="16"/>
      <c r="CQB61" s="16"/>
      <c r="CQC61" s="16"/>
      <c r="CQD61" s="16"/>
      <c r="CQE61" s="16"/>
      <c r="CQF61" s="16"/>
      <c r="CQG61" s="16"/>
      <c r="CQH61" s="16"/>
      <c r="CQI61" s="16"/>
      <c r="CQJ61" s="16"/>
      <c r="CQK61" s="16"/>
      <c r="CQL61" s="16"/>
      <c r="CQM61" s="16"/>
      <c r="CQN61" s="16"/>
      <c r="CQO61" s="16"/>
      <c r="CQP61" s="16"/>
      <c r="CQQ61" s="16"/>
      <c r="CQR61" s="16"/>
      <c r="CQS61" s="16"/>
      <c r="CQT61" s="16"/>
      <c r="CQU61" s="16"/>
      <c r="CQV61" s="16"/>
      <c r="CQW61" s="16"/>
      <c r="CQX61" s="16"/>
      <c r="CQY61" s="16"/>
      <c r="CQZ61" s="16"/>
      <c r="CRA61" s="16"/>
      <c r="CRB61" s="16"/>
      <c r="CRC61" s="16"/>
      <c r="CRD61" s="16"/>
      <c r="CRE61" s="16"/>
      <c r="CRF61" s="16"/>
      <c r="CRG61" s="16"/>
      <c r="CRH61" s="16"/>
      <c r="CRI61" s="16"/>
      <c r="CRJ61" s="16"/>
      <c r="CRK61" s="16"/>
      <c r="CRL61" s="16"/>
      <c r="CRM61" s="16"/>
      <c r="CRN61" s="16"/>
      <c r="CRO61" s="16"/>
      <c r="CRP61" s="16"/>
      <c r="CRQ61" s="16"/>
      <c r="CRR61" s="16"/>
      <c r="CRS61" s="16"/>
      <c r="CRT61" s="16"/>
      <c r="CRU61" s="16"/>
      <c r="CRV61" s="16"/>
      <c r="CRW61" s="16"/>
      <c r="CRX61" s="16"/>
      <c r="CRY61" s="16"/>
      <c r="CRZ61" s="16"/>
      <c r="CSA61" s="16"/>
      <c r="CSB61" s="16"/>
      <c r="CSC61" s="16"/>
      <c r="CSD61" s="16"/>
      <c r="CSE61" s="16"/>
      <c r="CSF61" s="16"/>
      <c r="CSG61" s="16"/>
      <c r="CSH61" s="16"/>
      <c r="CSI61" s="16"/>
      <c r="CSJ61" s="16"/>
      <c r="CSK61" s="24"/>
      <c r="CSL61" s="16"/>
      <c r="CSM61" s="16"/>
      <c r="CSN61" s="16"/>
      <c r="CSO61" s="16"/>
      <c r="CSP61" s="16"/>
      <c r="CUG61" s="16"/>
      <c r="CUH61" s="16"/>
      <c r="CUI61" s="16"/>
      <c r="CUJ61" s="16"/>
      <c r="CUK61" s="16"/>
      <c r="CUL61" s="16"/>
      <c r="CUM61" s="16"/>
      <c r="CUN61" s="16"/>
      <c r="CUO61" s="16"/>
      <c r="CUP61" s="16"/>
      <c r="CUQ61" s="16"/>
      <c r="CUR61" s="16"/>
      <c r="CUS61" s="16"/>
      <c r="CUT61" s="16"/>
      <c r="CUU61" s="16"/>
      <c r="CUV61" s="16"/>
      <c r="CUW61" s="16"/>
      <c r="CUX61" s="16"/>
      <c r="CUY61" s="16"/>
      <c r="CUZ61" s="16"/>
      <c r="CVA61" s="16"/>
      <c r="CVB61" s="16"/>
      <c r="CVC61" s="16"/>
      <c r="CVD61" s="16"/>
      <c r="CVE61" s="16"/>
      <c r="CVF61" s="16"/>
      <c r="CVG61" s="16"/>
      <c r="CVH61" s="16"/>
      <c r="CVI61" s="16"/>
      <c r="CVJ61" s="16"/>
      <c r="CVK61" s="16"/>
      <c r="CVL61" s="16"/>
      <c r="CVM61" s="16"/>
      <c r="CVN61" s="16"/>
      <c r="CVO61" s="16"/>
      <c r="CVP61" s="16"/>
    </row>
    <row r="62" spans="1:2616" ht="13.8" x14ac:dyDescent="0.25">
      <c r="C62" s="57"/>
      <c r="E62" s="16"/>
      <c r="K62" s="59"/>
      <c r="L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16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16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16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16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16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16"/>
      <c r="JX62" s="16"/>
      <c r="JY62" s="16"/>
      <c r="JZ62" s="16"/>
      <c r="KA62" s="16"/>
      <c r="KB62" s="16"/>
      <c r="KC62" s="16"/>
      <c r="KD62" s="16"/>
      <c r="KE62" s="16"/>
      <c r="KF62" s="16"/>
      <c r="KG62" s="16"/>
      <c r="KH62" s="16"/>
      <c r="KI62" s="16"/>
      <c r="KJ62" s="16"/>
      <c r="KK62" s="16"/>
      <c r="KL62" s="16"/>
      <c r="KM62" s="16"/>
      <c r="KN62" s="16"/>
      <c r="KO62" s="16"/>
      <c r="KP62" s="16"/>
      <c r="KQ62" s="16"/>
      <c r="KR62" s="16"/>
      <c r="KS62" s="16"/>
      <c r="KT62" s="16"/>
      <c r="KU62" s="16"/>
      <c r="KV62" s="16"/>
      <c r="KW62" s="16"/>
      <c r="KX62" s="16"/>
      <c r="KY62" s="16"/>
      <c r="KZ62" s="16"/>
      <c r="LA62" s="16"/>
      <c r="LB62" s="16"/>
      <c r="LC62" s="16"/>
      <c r="LD62" s="16"/>
      <c r="LE62" s="16"/>
      <c r="LF62" s="16"/>
      <c r="LG62" s="16"/>
      <c r="LH62" s="16"/>
      <c r="LI62" s="16"/>
      <c r="LJ62" s="16"/>
      <c r="LK62" s="16"/>
      <c r="LL62" s="16"/>
      <c r="LM62" s="16"/>
      <c r="LN62" s="16"/>
      <c r="LO62" s="16"/>
      <c r="LP62" s="16"/>
      <c r="LQ62" s="16"/>
      <c r="LR62" s="16"/>
      <c r="LS62" s="16"/>
      <c r="LT62" s="16"/>
      <c r="LU62" s="16"/>
      <c r="LV62" s="16"/>
      <c r="LW62" s="16"/>
      <c r="LX62" s="16"/>
      <c r="LY62" s="16"/>
      <c r="LZ62" s="16"/>
      <c r="MA62" s="16"/>
      <c r="MB62" s="16"/>
      <c r="MC62" s="16"/>
      <c r="MD62" s="16"/>
      <c r="ME62" s="16"/>
      <c r="MF62" s="16"/>
      <c r="MG62" s="16"/>
      <c r="MH62" s="16"/>
      <c r="MI62" s="16"/>
      <c r="MJ62" s="16"/>
      <c r="MK62" s="16"/>
      <c r="ML62" s="16"/>
      <c r="MM62" s="16"/>
      <c r="MN62" s="16"/>
      <c r="MO62" s="16"/>
      <c r="MP62" s="16"/>
      <c r="MQ62" s="16"/>
      <c r="MR62" s="16"/>
      <c r="MS62" s="16"/>
      <c r="MT62" s="16"/>
      <c r="MU62" s="16"/>
      <c r="MV62" s="16"/>
      <c r="MW62" s="16"/>
      <c r="MX62" s="16"/>
      <c r="MY62" s="16"/>
      <c r="MZ62" s="16"/>
      <c r="NA62" s="16"/>
      <c r="NB62" s="16"/>
      <c r="NC62" s="16"/>
      <c r="ND62" s="16"/>
      <c r="NE62" s="16"/>
      <c r="NF62" s="16"/>
      <c r="NG62" s="16"/>
      <c r="NH62" s="16"/>
      <c r="NI62" s="16"/>
      <c r="NJ62" s="16"/>
      <c r="NK62" s="16"/>
      <c r="NL62" s="16"/>
      <c r="NM62" s="16"/>
      <c r="NN62" s="16"/>
      <c r="NO62" s="16"/>
      <c r="NP62" s="16"/>
      <c r="NQ62" s="16"/>
      <c r="NR62" s="16"/>
      <c r="NS62" s="16"/>
      <c r="NT62" s="16"/>
      <c r="NU62" s="16"/>
      <c r="NV62" s="16"/>
      <c r="NW62" s="16"/>
      <c r="NX62" s="16"/>
      <c r="NY62" s="16"/>
      <c r="NZ62" s="16"/>
      <c r="OA62" s="16"/>
      <c r="OB62" s="16"/>
      <c r="OC62" s="16"/>
      <c r="OD62" s="16"/>
      <c r="OE62" s="16"/>
      <c r="OF62" s="16"/>
      <c r="OG62" s="16"/>
      <c r="OH62" s="16"/>
      <c r="OI62" s="16"/>
      <c r="OJ62" s="16"/>
      <c r="OK62" s="16"/>
      <c r="OL62" s="16"/>
      <c r="OM62" s="16"/>
      <c r="ON62" s="16"/>
      <c r="OO62" s="16"/>
      <c r="OP62" s="16"/>
      <c r="OQ62" s="16"/>
      <c r="OR62" s="16"/>
      <c r="OS62" s="16"/>
      <c r="OT62" s="16"/>
      <c r="OU62" s="16"/>
      <c r="OV62" s="16"/>
      <c r="OW62" s="16"/>
      <c r="OX62" s="16"/>
      <c r="OY62" s="16"/>
      <c r="OZ62" s="16"/>
      <c r="PA62" s="16"/>
      <c r="PB62" s="16"/>
      <c r="PC62" s="16"/>
      <c r="PD62" s="16"/>
      <c r="PE62" s="16"/>
      <c r="PF62" s="16"/>
      <c r="PG62" s="16"/>
      <c r="PH62" s="16"/>
      <c r="PI62" s="16"/>
      <c r="PJ62" s="16"/>
      <c r="PK62" s="16"/>
      <c r="PL62" s="16"/>
      <c r="PM62" s="16"/>
      <c r="PN62" s="16"/>
      <c r="PO62" s="16"/>
      <c r="PP62" s="16"/>
      <c r="PQ62" s="16"/>
      <c r="PR62" s="16"/>
      <c r="PS62" s="16"/>
      <c r="PT62" s="16"/>
      <c r="PU62" s="16"/>
      <c r="PV62" s="16"/>
      <c r="PW62" s="16"/>
      <c r="PX62" s="16"/>
      <c r="PY62" s="16"/>
      <c r="PZ62" s="16"/>
      <c r="QA62" s="16"/>
      <c r="QB62" s="16"/>
      <c r="QC62" s="16"/>
      <c r="QD62" s="16"/>
      <c r="QE62" s="16"/>
      <c r="QF62" s="16"/>
      <c r="QG62" s="16"/>
      <c r="QH62" s="16"/>
      <c r="QI62" s="16"/>
      <c r="QJ62" s="16"/>
      <c r="QK62" s="16"/>
      <c r="QL62" s="16"/>
      <c r="QM62" s="16"/>
      <c r="QN62" s="16"/>
      <c r="QO62" s="16"/>
      <c r="QP62" s="16"/>
      <c r="QQ62" s="16"/>
      <c r="QR62" s="16"/>
      <c r="QS62" s="16"/>
      <c r="QT62" s="16"/>
      <c r="QU62" s="16"/>
      <c r="QV62" s="16"/>
      <c r="QW62" s="16"/>
      <c r="QX62" s="16"/>
      <c r="QY62" s="16"/>
      <c r="QZ62" s="16"/>
      <c r="RA62" s="16"/>
      <c r="RB62" s="16"/>
      <c r="RC62" s="16"/>
      <c r="RD62" s="16"/>
      <c r="RE62" s="16"/>
      <c r="RF62" s="16"/>
      <c r="RG62" s="16"/>
      <c r="RH62" s="16"/>
      <c r="RI62" s="16"/>
      <c r="RJ62" s="16"/>
      <c r="RK62" s="16"/>
      <c r="RL62" s="16"/>
      <c r="RM62" s="16"/>
      <c r="RN62" s="16"/>
      <c r="RO62" s="16"/>
      <c r="RP62" s="16"/>
      <c r="RQ62" s="16"/>
      <c r="RR62" s="16"/>
      <c r="RS62" s="16"/>
      <c r="RT62" s="16"/>
      <c r="RU62" s="16"/>
      <c r="RV62" s="16"/>
      <c r="RW62" s="16"/>
      <c r="RX62" s="16"/>
      <c r="RY62" s="16"/>
      <c r="RZ62" s="16"/>
      <c r="SA62" s="16"/>
      <c r="SB62" s="16"/>
      <c r="SC62" s="16"/>
      <c r="SD62" s="16"/>
      <c r="SE62" s="16"/>
      <c r="SF62" s="16"/>
      <c r="SG62" s="16"/>
      <c r="SH62" s="16"/>
      <c r="SI62" s="16"/>
      <c r="SJ62" s="16"/>
      <c r="SK62" s="16"/>
      <c r="SL62" s="16"/>
      <c r="SM62" s="16"/>
      <c r="SN62" s="16"/>
      <c r="SO62" s="16"/>
      <c r="SP62" s="16"/>
      <c r="SQ62" s="16"/>
      <c r="SR62" s="16"/>
      <c r="SS62" s="16"/>
      <c r="ST62" s="16"/>
      <c r="SU62" s="16"/>
      <c r="SV62" s="16"/>
      <c r="SW62" s="16"/>
      <c r="SX62" s="16"/>
      <c r="SY62" s="16"/>
      <c r="SZ62" s="16"/>
      <c r="TA62" s="16"/>
      <c r="TB62" s="16"/>
      <c r="TC62" s="16"/>
      <c r="TD62" s="16"/>
      <c r="TE62" s="16"/>
      <c r="TF62" s="16"/>
      <c r="TG62" s="16"/>
      <c r="TH62" s="16"/>
      <c r="TI62" s="16"/>
      <c r="TJ62" s="16"/>
      <c r="TK62" s="16"/>
      <c r="TL62" s="16"/>
      <c r="TM62" s="16"/>
      <c r="TN62" s="16"/>
      <c r="TO62" s="16"/>
      <c r="TP62" s="16"/>
      <c r="TQ62" s="16"/>
      <c r="TR62" s="16"/>
      <c r="TS62" s="16"/>
      <c r="TT62" s="16"/>
      <c r="TU62" s="16"/>
      <c r="TV62" s="16"/>
      <c r="TW62" s="16"/>
      <c r="TX62" s="16"/>
      <c r="TY62" s="16"/>
      <c r="TZ62" s="16"/>
      <c r="UA62" s="16"/>
      <c r="UB62" s="16"/>
      <c r="UC62" s="16"/>
      <c r="UD62" s="16"/>
      <c r="UE62" s="16"/>
      <c r="UF62" s="16"/>
      <c r="UG62" s="16"/>
      <c r="UH62" s="16"/>
      <c r="UI62" s="16"/>
      <c r="UJ62" s="16"/>
      <c r="UK62" s="16"/>
      <c r="UL62" s="16"/>
      <c r="UM62" s="16"/>
      <c r="UN62" s="16"/>
      <c r="UO62" s="16"/>
      <c r="UP62" s="16"/>
      <c r="UQ62" s="16"/>
      <c r="UR62" s="16"/>
      <c r="US62" s="16"/>
      <c r="UT62" s="16"/>
      <c r="UU62" s="16"/>
      <c r="UV62" s="16"/>
      <c r="UW62" s="16"/>
      <c r="UX62" s="16"/>
      <c r="UY62" s="16"/>
      <c r="UZ62" s="16"/>
      <c r="VA62" s="16"/>
      <c r="VB62" s="16"/>
      <c r="VC62" s="16"/>
      <c r="VD62" s="16"/>
      <c r="VE62" s="16"/>
      <c r="VF62" s="16"/>
      <c r="VG62" s="16"/>
      <c r="VH62" s="16"/>
      <c r="VI62" s="16"/>
      <c r="VJ62" s="16"/>
      <c r="VK62" s="16"/>
      <c r="VL62" s="16"/>
      <c r="VM62" s="16"/>
      <c r="VN62" s="16"/>
      <c r="VO62" s="16"/>
      <c r="VP62" s="16"/>
      <c r="VQ62" s="16"/>
      <c r="VR62" s="16"/>
      <c r="VS62" s="16"/>
      <c r="VT62" s="16"/>
      <c r="VU62" s="16"/>
      <c r="VV62" s="16"/>
      <c r="VW62" s="16"/>
      <c r="VX62" s="16"/>
      <c r="VY62" s="16"/>
      <c r="VZ62" s="16"/>
      <c r="WA62" s="16"/>
      <c r="WB62" s="16"/>
      <c r="WC62" s="16"/>
      <c r="WD62" s="16"/>
      <c r="WE62" s="16"/>
      <c r="WF62" s="16"/>
      <c r="WG62" s="16"/>
      <c r="WH62" s="16"/>
      <c r="WI62" s="16"/>
      <c r="WJ62" s="16"/>
      <c r="WK62" s="16"/>
      <c r="WL62" s="16"/>
      <c r="WM62" s="16"/>
      <c r="WN62" s="16"/>
      <c r="WO62" s="16"/>
      <c r="WP62" s="16"/>
      <c r="WQ62" s="16"/>
      <c r="WR62" s="16"/>
      <c r="WS62" s="16"/>
      <c r="WT62" s="16"/>
      <c r="WU62" s="16"/>
      <c r="WV62" s="16"/>
      <c r="WW62" s="16"/>
      <c r="WX62" s="16"/>
      <c r="WY62" s="16"/>
      <c r="WZ62" s="16"/>
      <c r="XA62" s="16"/>
      <c r="XB62" s="16"/>
      <c r="XC62" s="16"/>
      <c r="XD62" s="16"/>
      <c r="XE62" s="16"/>
      <c r="XF62" s="16"/>
      <c r="XG62" s="16"/>
      <c r="XH62" s="16"/>
      <c r="XI62" s="16"/>
      <c r="XJ62" s="16"/>
      <c r="XK62" s="16"/>
      <c r="XL62" s="16"/>
      <c r="XM62" s="16"/>
      <c r="XN62" s="16"/>
      <c r="XO62" s="16"/>
      <c r="XP62" s="16"/>
      <c r="XQ62" s="16"/>
      <c r="XR62" s="16"/>
      <c r="XS62" s="16"/>
      <c r="XT62" s="16"/>
      <c r="XU62" s="16"/>
      <c r="XV62" s="16"/>
      <c r="XW62" s="16"/>
      <c r="XX62" s="16"/>
      <c r="XY62" s="16"/>
      <c r="XZ62" s="16"/>
      <c r="YA62" s="16"/>
      <c r="YB62" s="16"/>
      <c r="YC62" s="16"/>
      <c r="YD62" s="16"/>
      <c r="YE62" s="16"/>
      <c r="YF62" s="16"/>
      <c r="YG62" s="16"/>
      <c r="YH62" s="16"/>
      <c r="YI62" s="16"/>
      <c r="YJ62" s="16"/>
      <c r="YK62" s="16"/>
      <c r="YL62" s="16"/>
      <c r="YM62" s="16"/>
      <c r="YN62" s="16"/>
      <c r="YO62" s="16"/>
      <c r="YP62" s="16"/>
      <c r="YQ62" s="16"/>
      <c r="YR62" s="16"/>
      <c r="YS62" s="16"/>
      <c r="YT62" s="16"/>
      <c r="YU62" s="16"/>
      <c r="YV62" s="16"/>
      <c r="YW62" s="16"/>
      <c r="YX62" s="16"/>
      <c r="YY62" s="16"/>
      <c r="YZ62" s="16"/>
      <c r="ZA62" s="16"/>
      <c r="ZB62" s="16"/>
      <c r="ZC62" s="16"/>
      <c r="ZD62" s="16"/>
      <c r="ZE62" s="16"/>
      <c r="ZF62" s="16"/>
      <c r="ZG62" s="16"/>
      <c r="ZH62" s="16"/>
      <c r="ZI62" s="16"/>
      <c r="ZJ62" s="16"/>
      <c r="ZK62" s="16"/>
      <c r="ZL62" s="16"/>
      <c r="ZM62" s="16"/>
      <c r="ZN62" s="16"/>
      <c r="ZO62" s="16"/>
      <c r="ZP62" s="16"/>
      <c r="ZQ62" s="16"/>
      <c r="ZR62" s="16"/>
      <c r="ZS62" s="16"/>
      <c r="ZT62" s="16"/>
      <c r="ZU62" s="16"/>
      <c r="ZV62" s="16"/>
      <c r="ZW62" s="16"/>
      <c r="ZX62" s="16"/>
      <c r="ZY62" s="16"/>
      <c r="ZZ62" s="16"/>
      <c r="AAA62" s="16"/>
      <c r="AAB62" s="16"/>
      <c r="AAC62" s="16"/>
      <c r="AAD62" s="16"/>
      <c r="AAE62" s="16"/>
      <c r="AAF62" s="16"/>
      <c r="AAG62" s="16"/>
      <c r="AAH62" s="16"/>
      <c r="AAI62" s="16"/>
      <c r="AAJ62" s="16"/>
      <c r="AAK62" s="16"/>
      <c r="AAL62" s="16"/>
      <c r="AAM62" s="16"/>
      <c r="AAN62" s="16"/>
      <c r="AAO62" s="16"/>
      <c r="AAP62" s="16"/>
      <c r="AAQ62" s="16"/>
      <c r="AAR62" s="16"/>
      <c r="AAS62" s="16"/>
      <c r="AAT62" s="16"/>
      <c r="AAU62" s="16"/>
      <c r="AAV62" s="16"/>
      <c r="AAW62" s="16"/>
      <c r="AAX62" s="16"/>
      <c r="AAY62" s="16"/>
      <c r="AAZ62" s="16"/>
      <c r="ABA62" s="16"/>
      <c r="ABB62" s="16"/>
      <c r="ABC62" s="16"/>
      <c r="ABD62" s="16"/>
      <c r="ABE62" s="16"/>
      <c r="ABF62" s="16"/>
      <c r="ABG62" s="16"/>
      <c r="ABH62" s="16"/>
      <c r="ABI62" s="16"/>
      <c r="ABJ62" s="16"/>
      <c r="ABK62" s="16"/>
      <c r="ABL62" s="16"/>
      <c r="ABM62" s="16"/>
      <c r="ABN62" s="16"/>
      <c r="ABO62" s="16"/>
      <c r="ABP62" s="16"/>
      <c r="ABQ62" s="16"/>
      <c r="ABR62" s="16"/>
      <c r="ABS62" s="16"/>
      <c r="ABT62" s="16"/>
      <c r="ABU62" s="16"/>
      <c r="ABV62" s="16"/>
      <c r="ABW62" s="16"/>
      <c r="ABX62" s="16"/>
      <c r="ABY62" s="16"/>
      <c r="ABZ62" s="16"/>
      <c r="ACA62" s="16"/>
      <c r="ACB62" s="16"/>
      <c r="ACC62" s="16"/>
      <c r="ACD62" s="16"/>
      <c r="ACE62" s="16"/>
      <c r="ACF62" s="16"/>
      <c r="ACG62" s="16"/>
      <c r="ACH62" s="16"/>
      <c r="ACI62" s="16"/>
      <c r="ACJ62" s="16"/>
      <c r="ACK62" s="16"/>
      <c r="ACL62" s="16"/>
      <c r="ACM62" s="16"/>
      <c r="ACN62" s="16"/>
      <c r="ACO62" s="16"/>
      <c r="ACP62" s="16"/>
      <c r="ACQ62" s="16"/>
      <c r="ACR62" s="16"/>
      <c r="ACS62" s="16"/>
      <c r="ACT62" s="16"/>
      <c r="ACU62" s="16"/>
      <c r="ACV62" s="16"/>
      <c r="ACW62" s="16"/>
      <c r="ACX62" s="16"/>
      <c r="ACY62" s="16"/>
      <c r="ACZ62" s="16"/>
      <c r="ADA62" s="16"/>
      <c r="ADB62" s="16"/>
      <c r="ADC62" s="16"/>
      <c r="ADD62" s="16"/>
      <c r="ADE62" s="16"/>
      <c r="ADF62" s="16"/>
      <c r="ADG62" s="16"/>
      <c r="ADH62" s="16"/>
      <c r="ADI62" s="16"/>
      <c r="ADJ62" s="16"/>
      <c r="ADK62" s="16"/>
      <c r="ADL62" s="16"/>
      <c r="ADM62" s="16"/>
      <c r="ADN62" s="16"/>
      <c r="ADO62" s="16"/>
      <c r="ADP62" s="16"/>
      <c r="ADQ62" s="16"/>
      <c r="ADR62" s="16"/>
      <c r="ADS62" s="16"/>
      <c r="ADT62" s="16"/>
      <c r="ADU62" s="16"/>
      <c r="ADV62" s="16"/>
      <c r="ADW62" s="16"/>
      <c r="ADX62" s="16"/>
      <c r="ADY62" s="16"/>
      <c r="ADZ62" s="16"/>
      <c r="AEA62" s="16"/>
      <c r="AEB62" s="16"/>
      <c r="AEC62" s="16"/>
      <c r="AED62" s="16"/>
      <c r="AEE62" s="16"/>
      <c r="AEF62" s="16"/>
      <c r="AEG62" s="16"/>
      <c r="AEH62" s="16"/>
      <c r="AEI62" s="16"/>
      <c r="AEJ62" s="16"/>
      <c r="AEK62" s="16"/>
      <c r="AEL62" s="16"/>
      <c r="AEM62" s="16"/>
      <c r="AEN62" s="16"/>
      <c r="AEO62" s="16"/>
      <c r="AEP62" s="16"/>
      <c r="AEQ62" s="16"/>
      <c r="AER62" s="16"/>
      <c r="AES62" s="16"/>
      <c r="AET62" s="16"/>
      <c r="AEU62" s="16"/>
      <c r="AEV62" s="16"/>
      <c r="AEW62" s="16"/>
      <c r="AEX62" s="16"/>
      <c r="AEY62" s="16"/>
      <c r="AEZ62" s="16"/>
      <c r="AFA62" s="16"/>
      <c r="AFB62" s="16"/>
      <c r="AFC62" s="16"/>
      <c r="AFD62" s="16"/>
      <c r="AFE62" s="16"/>
      <c r="AFF62" s="16"/>
      <c r="AFG62" s="16"/>
      <c r="AFH62" s="16"/>
      <c r="AFI62" s="16"/>
      <c r="AFJ62" s="16"/>
      <c r="AFK62" s="16"/>
      <c r="AFL62" s="16"/>
      <c r="AFM62" s="16"/>
      <c r="AFN62" s="16"/>
      <c r="AFO62" s="16"/>
      <c r="AFP62" s="16"/>
      <c r="AFQ62" s="16"/>
      <c r="AFR62" s="16"/>
      <c r="AFS62" s="16"/>
      <c r="AFT62" s="16"/>
      <c r="AFU62" s="16"/>
      <c r="AFV62" s="16"/>
      <c r="AFW62" s="16"/>
      <c r="AFX62" s="16"/>
      <c r="AFY62" s="16"/>
      <c r="AFZ62" s="16"/>
      <c r="AGA62" s="16"/>
      <c r="AGB62" s="16"/>
      <c r="AGC62" s="16"/>
      <c r="AGD62" s="16"/>
      <c r="AGE62" s="16"/>
      <c r="AGF62" s="16"/>
      <c r="AGG62" s="16"/>
      <c r="AGH62" s="16"/>
      <c r="AGI62" s="16"/>
      <c r="AGJ62" s="16"/>
      <c r="AGK62" s="16"/>
      <c r="AGL62" s="16"/>
      <c r="AGM62" s="16"/>
      <c r="AGN62" s="16"/>
      <c r="AGO62" s="16"/>
      <c r="AGP62" s="16"/>
      <c r="AGQ62" s="16"/>
      <c r="AGR62" s="16"/>
      <c r="AGS62" s="16"/>
      <c r="AGT62" s="16"/>
      <c r="AGU62" s="16"/>
      <c r="AGV62" s="16"/>
      <c r="AGW62" s="16"/>
      <c r="AGX62" s="16"/>
      <c r="AGY62" s="16"/>
      <c r="AGZ62" s="16"/>
      <c r="AHA62" s="16"/>
      <c r="AHB62" s="16"/>
      <c r="AHC62" s="16"/>
      <c r="AHD62" s="16"/>
      <c r="AHE62" s="16"/>
      <c r="AHF62" s="16"/>
      <c r="AHG62" s="16"/>
      <c r="AHH62" s="16"/>
      <c r="AHI62" s="16"/>
      <c r="AHJ62" s="16"/>
      <c r="AHK62" s="16"/>
      <c r="AHL62" s="16"/>
      <c r="AHM62" s="16"/>
      <c r="AHN62" s="16"/>
      <c r="AHO62" s="16"/>
      <c r="AHP62" s="16"/>
      <c r="AHQ62" s="16"/>
      <c r="AHR62" s="16"/>
      <c r="AHS62" s="16"/>
      <c r="AHT62" s="16"/>
      <c r="AHU62" s="16"/>
      <c r="AHV62" s="16"/>
      <c r="AHW62" s="16"/>
      <c r="AHX62" s="16"/>
      <c r="AHY62" s="16"/>
      <c r="AHZ62" s="16"/>
      <c r="AIA62" s="16"/>
      <c r="AIB62" s="16"/>
      <c r="AIC62" s="16"/>
      <c r="AID62" s="16"/>
      <c r="AIE62" s="16"/>
      <c r="AIF62" s="16"/>
      <c r="AIG62" s="16"/>
      <c r="AIH62" s="16"/>
      <c r="AII62" s="16"/>
      <c r="AIJ62" s="16"/>
      <c r="AIK62" s="16"/>
      <c r="AIL62" s="16"/>
      <c r="AIM62" s="16"/>
      <c r="AIN62" s="16"/>
      <c r="AIO62" s="16"/>
      <c r="AIP62" s="16"/>
      <c r="AIQ62" s="16"/>
      <c r="AIR62" s="16"/>
      <c r="AIS62" s="16"/>
      <c r="AIT62" s="16"/>
      <c r="AIU62" s="16"/>
      <c r="AIV62" s="16"/>
      <c r="AIW62" s="16"/>
      <c r="AIX62" s="16"/>
      <c r="AIY62" s="16"/>
      <c r="AIZ62" s="16"/>
      <c r="AJA62" s="16"/>
      <c r="AJB62" s="16"/>
      <c r="AJC62" s="16"/>
      <c r="AJD62" s="16"/>
      <c r="AJE62" s="16"/>
      <c r="AJF62" s="16"/>
      <c r="AJG62" s="16"/>
      <c r="AJH62" s="16"/>
      <c r="AJI62" s="16"/>
      <c r="AJJ62" s="16"/>
      <c r="AJK62" s="16"/>
      <c r="AJL62" s="16"/>
      <c r="AJM62" s="16"/>
      <c r="AJN62" s="16"/>
      <c r="AJO62" s="16"/>
      <c r="AJP62" s="16"/>
      <c r="AJQ62" s="16"/>
      <c r="AJR62" s="16"/>
      <c r="AJS62" s="16"/>
      <c r="AJT62" s="16"/>
      <c r="AJU62" s="16"/>
      <c r="AJV62" s="16"/>
      <c r="AJW62" s="16"/>
      <c r="AJX62" s="16"/>
      <c r="AJY62" s="16"/>
      <c r="AJZ62" s="16"/>
      <c r="AKA62" s="16"/>
      <c r="AKB62" s="16"/>
      <c r="AKC62" s="16"/>
      <c r="AKD62" s="16"/>
      <c r="AKE62" s="16"/>
      <c r="AKF62" s="16"/>
      <c r="AKG62" s="16"/>
      <c r="AKH62" s="16"/>
      <c r="AKI62" s="16"/>
      <c r="AKJ62" s="16"/>
      <c r="AKK62" s="16"/>
      <c r="AKL62" s="16"/>
      <c r="AKM62" s="16"/>
      <c r="AKN62" s="16"/>
      <c r="AKO62" s="16"/>
      <c r="AKP62" s="16"/>
      <c r="AKQ62" s="16"/>
      <c r="AKR62" s="16"/>
      <c r="AKS62" s="16"/>
      <c r="AKT62" s="16"/>
      <c r="AKU62" s="16"/>
      <c r="AKV62" s="16"/>
      <c r="AKW62" s="16"/>
      <c r="AKX62" s="16"/>
      <c r="AKY62" s="16"/>
      <c r="AKZ62" s="16"/>
      <c r="ALA62" s="16"/>
      <c r="ALB62" s="16"/>
      <c r="ALC62" s="16"/>
      <c r="ALD62" s="16"/>
      <c r="ALE62" s="16"/>
      <c r="ALF62" s="16"/>
      <c r="ALG62" s="16"/>
      <c r="ALH62" s="16"/>
      <c r="ALI62" s="16"/>
      <c r="ALJ62" s="16"/>
      <c r="ALK62" s="16"/>
      <c r="ALL62" s="16"/>
      <c r="ALM62" s="16"/>
      <c r="ALN62" s="16"/>
      <c r="ALO62" s="16"/>
      <c r="ALP62" s="16"/>
      <c r="ALQ62" s="16"/>
      <c r="ALR62" s="16"/>
      <c r="ALS62" s="16"/>
      <c r="ALT62" s="16"/>
      <c r="ALU62" s="16"/>
      <c r="ALV62" s="16"/>
      <c r="ALW62" s="16"/>
      <c r="ALX62" s="16"/>
      <c r="ALY62" s="16"/>
      <c r="ALZ62" s="16"/>
      <c r="AMA62" s="16"/>
      <c r="AMB62" s="16"/>
      <c r="AMC62" s="16"/>
      <c r="AMD62" s="16"/>
      <c r="AME62" s="16"/>
      <c r="AMF62" s="16"/>
      <c r="AMG62" s="16"/>
      <c r="AMH62" s="16"/>
      <c r="AMI62" s="16"/>
      <c r="AMJ62" s="16"/>
      <c r="AMK62" s="16"/>
      <c r="AML62" s="16"/>
      <c r="AMM62" s="16"/>
      <c r="AMN62" s="16"/>
      <c r="AMO62" s="16"/>
      <c r="AMP62" s="16"/>
      <c r="AMQ62" s="16"/>
      <c r="AMR62" s="16"/>
      <c r="AMS62" s="16"/>
      <c r="AMT62" s="16"/>
      <c r="AMU62" s="16"/>
      <c r="AMV62" s="16"/>
      <c r="AMW62" s="16"/>
      <c r="AMX62" s="16"/>
      <c r="AMY62" s="16"/>
      <c r="AMZ62" s="16"/>
      <c r="ANA62" s="16"/>
      <c r="ANB62" s="16"/>
      <c r="ANC62" s="16"/>
      <c r="AND62" s="16"/>
      <c r="ANE62" s="16"/>
      <c r="ANF62" s="16"/>
      <c r="ANG62" s="16"/>
      <c r="ANH62" s="16"/>
      <c r="ANI62" s="16"/>
      <c r="ANJ62" s="16"/>
      <c r="ANK62" s="16"/>
      <c r="ANL62" s="16"/>
      <c r="ANM62" s="16"/>
      <c r="ANN62" s="16"/>
      <c r="ANO62" s="16"/>
      <c r="ANP62" s="16"/>
      <c r="ANQ62" s="16"/>
      <c r="ANR62" s="16"/>
      <c r="ANS62" s="16"/>
      <c r="ANT62" s="16"/>
      <c r="ANU62" s="16"/>
      <c r="ANV62" s="16"/>
      <c r="ANW62" s="16"/>
      <c r="ANX62" s="16"/>
      <c r="ANY62" s="16"/>
      <c r="ANZ62" s="16"/>
      <c r="AOA62" s="16"/>
      <c r="AOB62" s="16"/>
      <c r="AOC62" s="16"/>
      <c r="AOD62" s="16"/>
      <c r="AOE62" s="16"/>
      <c r="AOF62" s="16"/>
      <c r="AOG62" s="16"/>
      <c r="AOH62" s="16"/>
      <c r="AOI62" s="16"/>
      <c r="AOJ62" s="16"/>
      <c r="AOK62" s="16"/>
      <c r="AOL62" s="16"/>
      <c r="AOM62" s="16"/>
      <c r="AON62" s="16"/>
      <c r="AOO62" s="16"/>
      <c r="AOP62" s="16"/>
      <c r="AOQ62" s="16"/>
      <c r="AOR62" s="16"/>
      <c r="AOS62" s="16"/>
      <c r="AOT62" s="16"/>
      <c r="AOU62" s="16"/>
      <c r="AOV62" s="16"/>
      <c r="AOW62" s="16"/>
      <c r="AOX62" s="16"/>
      <c r="AOY62" s="16"/>
      <c r="AOZ62" s="16"/>
      <c r="APA62" s="16"/>
      <c r="APB62" s="16"/>
      <c r="APC62" s="16"/>
      <c r="APD62" s="16"/>
      <c r="APE62" s="16"/>
      <c r="APF62" s="16"/>
      <c r="APG62" s="16"/>
      <c r="APH62" s="16"/>
      <c r="API62" s="16"/>
      <c r="APJ62" s="16"/>
      <c r="APK62" s="16"/>
      <c r="APL62" s="16"/>
      <c r="APM62" s="16"/>
      <c r="APN62" s="16"/>
      <c r="APO62" s="16"/>
      <c r="APP62" s="16"/>
      <c r="APQ62" s="16"/>
      <c r="APR62" s="16"/>
      <c r="APS62" s="16"/>
      <c r="APT62" s="16"/>
      <c r="APU62" s="16"/>
      <c r="APV62" s="16"/>
      <c r="APW62" s="16"/>
      <c r="APX62" s="16"/>
      <c r="APY62" s="16"/>
      <c r="APZ62" s="16"/>
      <c r="AQA62" s="16"/>
      <c r="AQB62" s="16"/>
      <c r="AQC62" s="16"/>
      <c r="AQD62" s="16"/>
      <c r="AQE62" s="16"/>
      <c r="AQF62" s="16"/>
      <c r="AQG62" s="16"/>
      <c r="AQH62" s="16"/>
      <c r="AQI62" s="16"/>
      <c r="AQJ62" s="16"/>
      <c r="AQK62" s="16"/>
      <c r="AQL62" s="16"/>
      <c r="AQM62" s="16"/>
      <c r="AQN62" s="16"/>
      <c r="AQO62" s="16"/>
      <c r="AQP62" s="16"/>
      <c r="AQQ62" s="16"/>
      <c r="AQR62" s="16"/>
      <c r="AQS62" s="16"/>
      <c r="AQT62" s="16"/>
      <c r="AQU62" s="16"/>
      <c r="AQV62" s="16"/>
      <c r="AQW62" s="16"/>
      <c r="AQX62" s="16"/>
      <c r="AQY62" s="16"/>
      <c r="AQZ62" s="16"/>
      <c r="ARA62" s="16"/>
      <c r="ARB62" s="16"/>
      <c r="ARC62" s="16"/>
      <c r="ARD62" s="16"/>
      <c r="ARE62" s="16"/>
      <c r="ARF62" s="16"/>
      <c r="ARG62" s="16"/>
      <c r="ARH62" s="16"/>
      <c r="ARI62" s="16"/>
      <c r="ARJ62" s="16"/>
      <c r="ARK62" s="16"/>
      <c r="ARL62" s="16"/>
      <c r="ARM62" s="16"/>
      <c r="ARN62" s="16"/>
      <c r="ARO62" s="16"/>
      <c r="ARP62" s="16"/>
      <c r="ARQ62" s="16"/>
      <c r="ARR62" s="16"/>
      <c r="ARS62" s="16"/>
      <c r="ART62" s="16"/>
      <c r="ARU62" s="16"/>
      <c r="ARV62" s="16"/>
      <c r="ARW62" s="16"/>
      <c r="ARX62" s="16"/>
      <c r="ARY62" s="16"/>
      <c r="ARZ62" s="16"/>
      <c r="ASA62" s="16"/>
      <c r="ASB62" s="16"/>
      <c r="ASC62" s="16"/>
      <c r="ASD62" s="16"/>
      <c r="ASE62" s="16"/>
      <c r="ASF62" s="16"/>
      <c r="ASG62" s="16"/>
      <c r="ASH62" s="16"/>
      <c r="ASI62" s="16"/>
      <c r="ASJ62" s="16"/>
      <c r="ASK62" s="16"/>
      <c r="ASL62" s="16"/>
      <c r="ASM62" s="16"/>
      <c r="ASN62" s="16"/>
      <c r="ASO62" s="16"/>
      <c r="ASP62" s="16"/>
      <c r="ASQ62" s="16"/>
      <c r="ASR62" s="16"/>
      <c r="ASS62" s="16"/>
      <c r="AST62" s="16"/>
      <c r="ASU62" s="16"/>
      <c r="ASV62" s="16"/>
      <c r="ASW62" s="16"/>
      <c r="ASX62" s="16"/>
      <c r="ASY62" s="16"/>
      <c r="ASZ62" s="16"/>
      <c r="ATA62" s="16"/>
      <c r="ATB62" s="16"/>
      <c r="ATC62" s="16"/>
      <c r="ATD62" s="16"/>
      <c r="ATE62" s="16"/>
      <c r="ATF62" s="16"/>
      <c r="ATG62" s="16"/>
      <c r="ATH62" s="16"/>
      <c r="ATI62" s="16"/>
      <c r="ATJ62" s="16"/>
      <c r="ATK62" s="16"/>
      <c r="ATL62" s="16"/>
      <c r="ATM62" s="16"/>
      <c r="ATN62" s="16"/>
      <c r="ATO62" s="16"/>
      <c r="ATP62" s="16"/>
      <c r="ATQ62" s="16"/>
      <c r="ATR62" s="16"/>
      <c r="ATS62" s="16"/>
      <c r="ATT62" s="16"/>
      <c r="ATU62" s="16"/>
      <c r="ATV62" s="16"/>
      <c r="ATW62" s="16"/>
      <c r="ATX62" s="16"/>
      <c r="ATY62" s="16"/>
      <c r="ATZ62" s="16"/>
      <c r="AUA62" s="16"/>
      <c r="AUB62" s="16"/>
      <c r="AUC62" s="16"/>
      <c r="AUD62" s="16"/>
      <c r="AUE62" s="16"/>
      <c r="AUF62" s="16"/>
      <c r="AUG62" s="16"/>
      <c r="AUH62" s="16"/>
      <c r="AUI62" s="16"/>
      <c r="AUJ62" s="16"/>
      <c r="AUK62" s="16"/>
      <c r="AUL62" s="16"/>
      <c r="AUM62" s="16"/>
      <c r="AUN62" s="16"/>
      <c r="AUO62" s="16"/>
      <c r="AUP62" s="16"/>
      <c r="AUQ62" s="16"/>
      <c r="AUR62" s="16"/>
      <c r="AUS62" s="16"/>
      <c r="AUT62" s="16"/>
      <c r="AUU62" s="16"/>
      <c r="AUV62" s="16"/>
      <c r="AUW62" s="16"/>
      <c r="AUX62" s="16"/>
      <c r="AUY62" s="16"/>
      <c r="AUZ62" s="16"/>
      <c r="AVA62" s="16"/>
      <c r="AVB62" s="16"/>
      <c r="AVC62" s="16"/>
      <c r="AVD62" s="16"/>
      <c r="AVE62" s="16"/>
      <c r="AVF62" s="16"/>
      <c r="AVG62" s="16"/>
      <c r="AVH62" s="16"/>
      <c r="AVI62" s="16"/>
      <c r="AVJ62" s="16"/>
      <c r="AVK62" s="16"/>
      <c r="AVL62" s="16"/>
      <c r="AVM62" s="16"/>
      <c r="AVN62" s="16"/>
      <c r="AVO62" s="16"/>
      <c r="AVP62" s="16"/>
      <c r="AVQ62" s="16"/>
      <c r="AVR62" s="16"/>
      <c r="AVS62" s="16"/>
      <c r="AVT62" s="16"/>
      <c r="AVU62" s="16"/>
      <c r="AVV62" s="16"/>
      <c r="AVW62" s="16"/>
      <c r="AVX62" s="16"/>
      <c r="AVY62" s="16"/>
      <c r="AVZ62" s="16"/>
      <c r="AWA62" s="16"/>
      <c r="AWB62" s="16"/>
      <c r="AWC62" s="16"/>
      <c r="AWD62" s="16"/>
      <c r="AWE62" s="16"/>
      <c r="AWF62" s="16"/>
      <c r="AWG62" s="16"/>
      <c r="AWH62" s="16"/>
      <c r="AWI62" s="16"/>
      <c r="AWJ62" s="16"/>
      <c r="AWK62" s="16"/>
      <c r="AWL62" s="16"/>
      <c r="AWM62" s="16"/>
      <c r="AWN62" s="16"/>
      <c r="AWO62" s="16"/>
      <c r="AWP62" s="16"/>
      <c r="AWQ62" s="16"/>
      <c r="AWR62" s="16"/>
      <c r="AWS62" s="16"/>
      <c r="AWT62" s="16"/>
      <c r="AWU62" s="16"/>
      <c r="AWV62" s="16"/>
      <c r="AWW62" s="16"/>
      <c r="AWX62" s="16"/>
      <c r="AWY62" s="16"/>
      <c r="AWZ62" s="16"/>
      <c r="AXA62" s="16"/>
      <c r="AXB62" s="16"/>
      <c r="AXC62" s="16"/>
      <c r="AXD62" s="16"/>
      <c r="AXE62" s="16"/>
      <c r="AXF62" s="16"/>
      <c r="AXG62" s="16"/>
      <c r="AXH62" s="16"/>
      <c r="AXI62" s="16"/>
      <c r="AXJ62" s="16"/>
      <c r="AXK62" s="16"/>
      <c r="AXL62" s="16"/>
      <c r="AXM62" s="16"/>
      <c r="AXN62" s="16"/>
      <c r="AXO62" s="16"/>
      <c r="AXP62" s="16"/>
      <c r="AXQ62" s="16"/>
      <c r="AXR62" s="16"/>
      <c r="AXS62" s="16"/>
      <c r="AXT62" s="16"/>
      <c r="AXU62" s="16"/>
      <c r="AXV62" s="16"/>
      <c r="AXW62" s="16"/>
      <c r="AXX62" s="16"/>
      <c r="AXY62" s="16"/>
      <c r="AXZ62" s="16"/>
      <c r="AYA62" s="16"/>
      <c r="AYB62" s="16"/>
      <c r="AYC62" s="16"/>
      <c r="AYD62" s="16"/>
      <c r="AYE62" s="16"/>
      <c r="AYF62" s="16"/>
      <c r="AYG62" s="16"/>
      <c r="AYH62" s="16"/>
      <c r="AYI62" s="16"/>
      <c r="AYJ62" s="16"/>
      <c r="AYK62" s="16"/>
      <c r="AYL62" s="16"/>
      <c r="AYM62" s="16"/>
      <c r="AYN62" s="16"/>
      <c r="AYO62" s="16"/>
      <c r="AYP62" s="16"/>
      <c r="AYQ62" s="16"/>
      <c r="AYR62" s="16"/>
      <c r="AYS62" s="16"/>
      <c r="AYT62" s="16"/>
      <c r="AYU62" s="16"/>
      <c r="AYV62" s="16"/>
      <c r="AYW62" s="16"/>
      <c r="AYX62" s="16"/>
      <c r="AYY62" s="16"/>
      <c r="AYZ62" s="16"/>
      <c r="AZA62" s="16"/>
      <c r="AZB62" s="16"/>
      <c r="AZC62" s="16"/>
      <c r="AZD62" s="16"/>
      <c r="AZE62" s="16"/>
      <c r="AZF62" s="16"/>
      <c r="AZG62" s="16"/>
      <c r="AZH62" s="16"/>
      <c r="AZI62" s="16"/>
      <c r="AZJ62" s="16"/>
      <c r="AZK62" s="16"/>
      <c r="AZL62" s="16"/>
      <c r="AZM62" s="16"/>
      <c r="AZN62" s="16"/>
      <c r="AZO62" s="16"/>
      <c r="AZP62" s="16"/>
      <c r="AZQ62" s="16"/>
      <c r="AZR62" s="16"/>
      <c r="AZS62" s="16"/>
      <c r="AZT62" s="16"/>
      <c r="AZU62" s="16"/>
      <c r="AZV62" s="16"/>
      <c r="AZW62" s="16"/>
      <c r="AZX62" s="16"/>
      <c r="AZY62" s="16"/>
      <c r="AZZ62" s="16"/>
      <c r="BAA62" s="16"/>
      <c r="BAB62" s="16"/>
      <c r="BAC62" s="16"/>
      <c r="BAD62" s="16"/>
      <c r="BAE62" s="16"/>
      <c r="BAF62" s="16"/>
      <c r="BAG62" s="16"/>
      <c r="BAH62" s="16"/>
      <c r="BAI62" s="16"/>
      <c r="BAJ62" s="16"/>
      <c r="BAK62" s="16"/>
      <c r="BAL62" s="16"/>
      <c r="BAM62" s="16"/>
      <c r="BAN62" s="16"/>
      <c r="BAO62" s="16"/>
      <c r="BAP62" s="16"/>
      <c r="BAQ62" s="16"/>
      <c r="BAR62" s="16"/>
      <c r="BAS62" s="16"/>
      <c r="BAT62" s="16"/>
      <c r="BAU62" s="16"/>
      <c r="BAV62" s="16"/>
      <c r="BAW62" s="16"/>
      <c r="BAX62" s="16"/>
      <c r="BAY62" s="16"/>
      <c r="BAZ62" s="16"/>
      <c r="BBA62" s="16"/>
      <c r="BBB62" s="16"/>
      <c r="BBC62" s="16"/>
      <c r="BBD62" s="16"/>
      <c r="BBE62" s="16"/>
      <c r="BBF62" s="16"/>
      <c r="BBG62" s="16"/>
      <c r="BBH62" s="16"/>
      <c r="BBI62" s="16"/>
      <c r="BBJ62" s="16"/>
      <c r="BBK62" s="16"/>
      <c r="BBL62" s="16"/>
      <c r="BBM62" s="16"/>
      <c r="BBN62" s="16"/>
      <c r="BBO62" s="16"/>
      <c r="BBP62" s="16"/>
      <c r="BBQ62" s="16"/>
      <c r="BBR62" s="16"/>
      <c r="BBS62" s="16"/>
      <c r="BBT62" s="16"/>
      <c r="BBU62" s="16"/>
      <c r="BBV62" s="16"/>
      <c r="BBW62" s="16"/>
      <c r="BBX62" s="16"/>
      <c r="BBY62" s="16"/>
      <c r="BBZ62" s="16"/>
      <c r="BCA62" s="16"/>
      <c r="BCB62" s="16"/>
      <c r="BCC62" s="16"/>
      <c r="BCD62" s="16"/>
      <c r="BCE62" s="16"/>
      <c r="BCF62" s="16"/>
      <c r="BCG62" s="16"/>
      <c r="BCH62" s="16"/>
      <c r="BCI62" s="16"/>
      <c r="BCJ62" s="16"/>
      <c r="BCK62" s="16"/>
      <c r="BCL62" s="16"/>
      <c r="BCM62" s="16"/>
      <c r="BCN62" s="16"/>
      <c r="BCO62" s="16"/>
      <c r="BCP62" s="16"/>
      <c r="BCQ62" s="16"/>
      <c r="BCR62" s="16"/>
      <c r="BCS62" s="16"/>
      <c r="BCT62" s="16"/>
      <c r="BCU62" s="16"/>
      <c r="BCV62" s="16"/>
      <c r="BCW62" s="16"/>
      <c r="BCX62" s="16"/>
      <c r="BCY62" s="16"/>
      <c r="BCZ62" s="16"/>
      <c r="BDA62" s="16"/>
      <c r="BDB62" s="16"/>
      <c r="BDC62" s="16"/>
      <c r="BDD62" s="16"/>
      <c r="BDE62" s="16"/>
      <c r="BDF62" s="16"/>
      <c r="BDG62" s="16"/>
      <c r="BDH62" s="16"/>
      <c r="BDI62" s="16"/>
      <c r="BDJ62" s="16"/>
      <c r="BDK62" s="16"/>
      <c r="BDL62" s="16"/>
      <c r="BDM62" s="16"/>
      <c r="BDN62" s="16"/>
      <c r="BDO62" s="16"/>
      <c r="BDP62" s="16"/>
      <c r="BDQ62" s="16"/>
      <c r="BDR62" s="16"/>
      <c r="BDS62" s="16"/>
      <c r="BDT62" s="16"/>
      <c r="BDU62" s="16"/>
      <c r="BDV62" s="16"/>
      <c r="BDW62" s="16"/>
      <c r="BDX62" s="16"/>
      <c r="BDY62" s="16"/>
      <c r="BDZ62" s="16"/>
      <c r="BEA62" s="16"/>
      <c r="BEB62" s="16"/>
      <c r="BEC62" s="16"/>
      <c r="BED62" s="16"/>
      <c r="BEE62" s="16"/>
      <c r="BEF62" s="16"/>
      <c r="BEG62" s="16"/>
      <c r="BEH62" s="16"/>
      <c r="BEI62" s="16"/>
      <c r="BEJ62" s="16"/>
      <c r="BEK62" s="16"/>
      <c r="BEL62" s="16"/>
      <c r="BEM62" s="16"/>
      <c r="BEN62" s="16"/>
      <c r="BEO62" s="16"/>
      <c r="BEP62" s="16"/>
      <c r="BEQ62" s="16"/>
      <c r="BER62" s="16"/>
      <c r="BES62" s="16"/>
      <c r="BET62" s="16"/>
      <c r="BEU62" s="16"/>
      <c r="BEV62" s="16"/>
      <c r="BEW62" s="16"/>
      <c r="BEX62" s="16"/>
      <c r="BEY62" s="16"/>
      <c r="BEZ62" s="16"/>
      <c r="BFA62" s="16"/>
      <c r="BFB62" s="16"/>
      <c r="BFC62" s="16"/>
      <c r="BFD62" s="16"/>
      <c r="BFE62" s="16"/>
      <c r="BFF62" s="16"/>
      <c r="BFG62" s="16"/>
      <c r="BFH62" s="16"/>
      <c r="BFI62" s="16"/>
      <c r="BFJ62" s="16"/>
      <c r="BFK62" s="16"/>
      <c r="BFL62" s="16"/>
      <c r="BFM62" s="16"/>
      <c r="BFN62" s="16"/>
      <c r="BFO62" s="16"/>
      <c r="BFP62" s="16"/>
      <c r="BFQ62" s="16"/>
      <c r="BFR62" s="16"/>
      <c r="BFS62" s="16"/>
      <c r="BFT62" s="16"/>
      <c r="BFU62" s="16"/>
      <c r="BFV62" s="16"/>
      <c r="BFW62" s="16"/>
      <c r="BFX62" s="16"/>
      <c r="BFY62" s="16"/>
      <c r="BFZ62" s="16"/>
      <c r="BGA62" s="16"/>
      <c r="BGB62" s="16"/>
      <c r="BGC62" s="16"/>
      <c r="BGD62" s="16"/>
      <c r="BGE62" s="16"/>
      <c r="BGF62" s="16"/>
      <c r="BGG62" s="16"/>
      <c r="BGH62" s="16"/>
      <c r="BGI62" s="16"/>
      <c r="BGJ62" s="16"/>
      <c r="BGK62" s="16"/>
      <c r="BGL62" s="16"/>
      <c r="BGM62" s="16"/>
      <c r="BGN62" s="16"/>
      <c r="BGO62" s="16"/>
      <c r="BGP62" s="16"/>
      <c r="BGQ62" s="16"/>
      <c r="BGR62" s="16"/>
      <c r="BGS62" s="16"/>
      <c r="BGT62" s="16"/>
      <c r="BGU62" s="16"/>
      <c r="BGV62" s="16"/>
      <c r="BGW62" s="16"/>
      <c r="BGX62" s="16"/>
      <c r="BGY62" s="16"/>
      <c r="BGZ62" s="16"/>
      <c r="BHA62" s="16"/>
      <c r="BHB62" s="16"/>
      <c r="BHC62" s="16"/>
      <c r="BHD62" s="16"/>
      <c r="BHE62" s="16"/>
      <c r="BHF62" s="16"/>
      <c r="BHG62" s="16"/>
      <c r="BHH62" s="16"/>
      <c r="BHI62" s="16"/>
      <c r="BHJ62" s="16"/>
      <c r="BHK62" s="16"/>
      <c r="BHL62" s="16"/>
      <c r="BHM62" s="16"/>
      <c r="BHN62" s="16"/>
      <c r="BHO62" s="16"/>
      <c r="BHP62" s="16"/>
      <c r="BHQ62" s="16"/>
      <c r="BHR62" s="16"/>
      <c r="BHS62" s="16"/>
      <c r="BHT62" s="16"/>
      <c r="BHU62" s="16"/>
      <c r="BHV62" s="16"/>
      <c r="BHW62" s="16"/>
      <c r="BHX62" s="16"/>
      <c r="BHY62" s="16"/>
      <c r="BHZ62" s="16"/>
      <c r="BIA62" s="16"/>
      <c r="BIB62" s="16"/>
      <c r="BIC62" s="16"/>
      <c r="BID62" s="16"/>
      <c r="BIE62" s="16"/>
      <c r="BIF62" s="16"/>
      <c r="BIG62" s="16"/>
      <c r="BIH62" s="16"/>
      <c r="BII62" s="16"/>
      <c r="BIJ62" s="16"/>
      <c r="BIK62" s="16"/>
      <c r="BIL62" s="16"/>
      <c r="BIM62" s="16"/>
      <c r="BIN62" s="16"/>
      <c r="BIO62" s="16"/>
      <c r="BIP62" s="16"/>
      <c r="BIQ62" s="16"/>
      <c r="BIR62" s="16"/>
      <c r="BIS62" s="16"/>
      <c r="BIT62" s="16"/>
      <c r="BIU62" s="16"/>
      <c r="BIV62" s="16"/>
      <c r="BIW62" s="16"/>
      <c r="BIX62" s="16"/>
      <c r="BIY62" s="16"/>
      <c r="BIZ62" s="16"/>
      <c r="BJA62" s="16"/>
      <c r="BJB62" s="16"/>
      <c r="BJC62" s="16"/>
      <c r="BJD62" s="16"/>
      <c r="BJE62" s="16"/>
      <c r="BJF62" s="16"/>
      <c r="BJG62" s="16"/>
      <c r="BJH62" s="16"/>
      <c r="BJI62" s="16"/>
      <c r="BJJ62" s="16"/>
      <c r="BJK62" s="16"/>
      <c r="BJL62" s="16"/>
      <c r="BJM62" s="16"/>
      <c r="BJN62" s="16"/>
      <c r="BJO62" s="16"/>
      <c r="BJP62" s="16"/>
      <c r="BJQ62" s="16"/>
      <c r="BJR62" s="16"/>
      <c r="BJS62" s="16"/>
      <c r="BJT62" s="16"/>
      <c r="BJU62" s="16"/>
      <c r="BJV62" s="16"/>
      <c r="BJW62" s="16"/>
      <c r="BJX62" s="16"/>
      <c r="BJY62" s="16"/>
      <c r="BJZ62" s="16"/>
      <c r="BKA62" s="16"/>
      <c r="BKB62" s="16"/>
      <c r="BKC62" s="16"/>
      <c r="BKD62" s="16"/>
      <c r="BKE62" s="16"/>
      <c r="BKF62" s="16"/>
      <c r="BKG62" s="16"/>
      <c r="BKH62" s="16"/>
      <c r="BKI62" s="16"/>
      <c r="BKJ62" s="16"/>
      <c r="BKK62" s="16"/>
      <c r="BKL62" s="16"/>
      <c r="BKM62" s="16"/>
      <c r="BKN62" s="16"/>
      <c r="BKO62" s="16"/>
      <c r="BKP62" s="16"/>
      <c r="BKQ62" s="16"/>
      <c r="BKR62" s="16"/>
      <c r="BKS62" s="16"/>
      <c r="BKT62" s="16"/>
      <c r="BKU62" s="16"/>
      <c r="BKV62" s="16"/>
      <c r="BKW62" s="16"/>
      <c r="BKX62" s="16"/>
      <c r="BKY62" s="16"/>
      <c r="BKZ62" s="16"/>
      <c r="BLA62" s="16"/>
      <c r="BLB62" s="16"/>
      <c r="BLC62" s="16"/>
      <c r="BLD62" s="16"/>
      <c r="BLE62" s="16"/>
      <c r="BLF62" s="16"/>
      <c r="BLG62" s="16"/>
      <c r="BLH62" s="16"/>
      <c r="BLI62" s="16"/>
      <c r="BLJ62" s="16"/>
      <c r="BLK62" s="16"/>
      <c r="BLL62" s="16"/>
      <c r="BLM62" s="16"/>
      <c r="BLN62" s="16"/>
      <c r="BLO62" s="16"/>
      <c r="BLP62" s="16"/>
      <c r="BLQ62" s="16"/>
      <c r="BLR62" s="16"/>
      <c r="BLS62" s="16"/>
      <c r="BLT62" s="16"/>
      <c r="BLU62" s="16"/>
      <c r="BLV62" s="16"/>
      <c r="BLW62" s="16"/>
      <c r="BLX62" s="16"/>
      <c r="BLY62" s="16"/>
      <c r="BLZ62" s="16"/>
      <c r="BMA62" s="16"/>
      <c r="BMB62" s="16"/>
      <c r="BMC62" s="16"/>
      <c r="BMD62" s="16"/>
      <c r="BME62" s="16"/>
      <c r="BMF62" s="16"/>
      <c r="BMG62" s="16"/>
      <c r="BMH62" s="16"/>
      <c r="BMI62" s="16"/>
      <c r="BMJ62" s="16"/>
      <c r="BMK62" s="16"/>
      <c r="BML62" s="16"/>
      <c r="BMM62" s="16"/>
      <c r="BMN62" s="16"/>
      <c r="BMO62" s="16"/>
      <c r="BMP62" s="16"/>
      <c r="BMQ62" s="16"/>
      <c r="BMR62" s="16"/>
      <c r="BMS62" s="16"/>
      <c r="BMT62" s="16"/>
      <c r="BMU62" s="16"/>
      <c r="BMV62" s="16"/>
      <c r="BMW62" s="16"/>
      <c r="BMX62" s="16"/>
      <c r="BMY62" s="16"/>
      <c r="BMZ62" s="16"/>
      <c r="BNA62" s="16"/>
      <c r="BNB62" s="16"/>
      <c r="BNC62" s="16"/>
      <c r="BND62" s="16"/>
      <c r="BNE62" s="16"/>
      <c r="BNF62" s="16"/>
      <c r="BNG62" s="16"/>
      <c r="BNH62" s="16"/>
      <c r="BNI62" s="16"/>
      <c r="BNJ62" s="16"/>
      <c r="BNK62" s="16"/>
      <c r="BNL62" s="16"/>
      <c r="BNM62" s="16"/>
      <c r="BNN62" s="16"/>
      <c r="BNO62" s="16"/>
      <c r="BNP62" s="16"/>
      <c r="BNQ62" s="16"/>
      <c r="BNR62" s="16"/>
      <c r="BNS62" s="16"/>
      <c r="BNT62" s="16"/>
      <c r="BNU62" s="16"/>
      <c r="BNV62" s="16"/>
      <c r="BNW62" s="16"/>
      <c r="BNX62" s="16"/>
      <c r="BNY62" s="16"/>
      <c r="BNZ62" s="16"/>
      <c r="BOA62" s="16"/>
      <c r="BOB62" s="16"/>
      <c r="BOC62" s="16"/>
      <c r="BOD62" s="16"/>
      <c r="BOE62" s="16"/>
      <c r="BOF62" s="16"/>
      <c r="BOG62" s="16"/>
      <c r="BOH62" s="16"/>
      <c r="BOI62" s="16"/>
      <c r="BOJ62" s="16"/>
      <c r="BOK62" s="16"/>
      <c r="BOL62" s="16"/>
      <c r="BOM62" s="16"/>
      <c r="BON62" s="16"/>
      <c r="BOO62" s="16"/>
      <c r="BOP62" s="16"/>
      <c r="BOQ62" s="16"/>
      <c r="BOR62" s="16"/>
      <c r="BOS62" s="16"/>
      <c r="BOT62" s="16"/>
      <c r="BOU62" s="16"/>
      <c r="BOV62" s="16"/>
      <c r="BOW62" s="16"/>
      <c r="BOX62" s="16"/>
      <c r="BOY62" s="16"/>
      <c r="BOZ62" s="16"/>
      <c r="BPA62" s="16"/>
      <c r="BPB62" s="16"/>
      <c r="BPC62" s="16"/>
      <c r="BPD62" s="16"/>
      <c r="BPE62" s="16"/>
      <c r="BPF62" s="16"/>
      <c r="BPG62" s="16"/>
      <c r="BPH62" s="16"/>
      <c r="BPI62" s="16"/>
      <c r="BPJ62" s="16"/>
      <c r="BPK62" s="16"/>
      <c r="BPL62" s="16"/>
      <c r="BPM62" s="16"/>
      <c r="BPN62" s="16"/>
      <c r="BPO62" s="16"/>
      <c r="BPP62" s="16"/>
      <c r="BPQ62" s="16"/>
      <c r="BPR62" s="16"/>
      <c r="BPS62" s="16"/>
      <c r="BPT62" s="16"/>
      <c r="BPU62" s="16"/>
      <c r="BPV62" s="16"/>
      <c r="BPW62" s="16"/>
      <c r="BPX62" s="16"/>
      <c r="BPY62" s="16"/>
      <c r="BPZ62" s="16"/>
      <c r="BQA62" s="16"/>
      <c r="BQB62" s="16"/>
      <c r="BQC62" s="16"/>
      <c r="BQD62" s="16"/>
      <c r="BQE62" s="16"/>
      <c r="BQF62" s="16"/>
      <c r="BQG62" s="16"/>
      <c r="BQH62" s="16"/>
      <c r="BQI62" s="16"/>
      <c r="BQJ62" s="16"/>
      <c r="BQK62" s="16"/>
      <c r="BQL62" s="16"/>
      <c r="BQM62" s="16"/>
      <c r="BQN62" s="16"/>
      <c r="BQO62" s="16"/>
      <c r="BQP62" s="16"/>
      <c r="BQQ62" s="16"/>
      <c r="BQR62" s="16"/>
      <c r="BQS62" s="16"/>
      <c r="BQT62" s="16"/>
      <c r="BQU62" s="16"/>
      <c r="BQV62" s="16"/>
      <c r="BQW62" s="16"/>
      <c r="BQX62" s="16"/>
      <c r="BQY62" s="16"/>
      <c r="BQZ62" s="16"/>
      <c r="BRA62" s="16"/>
      <c r="BRB62" s="16"/>
      <c r="BRC62" s="16"/>
      <c r="BRD62" s="16"/>
      <c r="BRE62" s="16"/>
      <c r="BRF62" s="16"/>
      <c r="BRG62" s="16"/>
      <c r="BRH62" s="16"/>
      <c r="BRI62" s="16"/>
      <c r="BRJ62" s="16"/>
      <c r="BRK62" s="16"/>
      <c r="BRL62" s="16"/>
      <c r="BRM62" s="16"/>
      <c r="BRN62" s="16"/>
      <c r="BRO62" s="16"/>
      <c r="BRP62" s="16"/>
      <c r="BRQ62" s="16"/>
      <c r="BRR62" s="16"/>
      <c r="BRS62" s="16"/>
      <c r="BRT62" s="16"/>
      <c r="BRU62" s="16"/>
      <c r="BRV62" s="16"/>
      <c r="BRW62" s="16"/>
      <c r="BRX62" s="16"/>
      <c r="BRY62" s="16"/>
      <c r="BRZ62" s="16"/>
      <c r="BSA62" s="16"/>
      <c r="BSB62" s="16"/>
      <c r="BSC62" s="16"/>
      <c r="BSD62" s="16"/>
      <c r="BSE62" s="16"/>
      <c r="BSF62" s="16"/>
      <c r="BSG62" s="16"/>
      <c r="BSH62" s="16"/>
      <c r="BSI62" s="16"/>
      <c r="BSJ62" s="16"/>
      <c r="BSK62" s="16"/>
      <c r="BSL62" s="16"/>
      <c r="BSM62" s="16"/>
      <c r="BSN62" s="16"/>
      <c r="BSO62" s="16"/>
      <c r="BSP62" s="16"/>
      <c r="BSQ62" s="16"/>
      <c r="BSR62" s="16"/>
      <c r="BSS62" s="16"/>
      <c r="BST62" s="16"/>
      <c r="BSU62" s="16"/>
      <c r="BSV62" s="16"/>
      <c r="BSW62" s="16"/>
      <c r="BSX62" s="16"/>
      <c r="BSY62" s="16"/>
      <c r="BSZ62" s="16"/>
      <c r="BTA62" s="16"/>
      <c r="BTB62" s="16"/>
      <c r="BTC62" s="16"/>
      <c r="BTD62" s="16"/>
      <c r="BTE62" s="16"/>
      <c r="BTF62" s="16"/>
      <c r="BTG62" s="16"/>
      <c r="BTH62" s="16"/>
      <c r="BTI62" s="16"/>
      <c r="BTJ62" s="16"/>
      <c r="BTK62" s="16"/>
      <c r="BTL62" s="16"/>
      <c r="BTM62" s="16"/>
      <c r="BTN62" s="16"/>
      <c r="BTO62" s="16"/>
      <c r="BTP62" s="16"/>
      <c r="BTQ62" s="16"/>
      <c r="BTR62" s="16"/>
      <c r="BTS62" s="16"/>
      <c r="BTT62" s="16"/>
      <c r="BTU62" s="16"/>
      <c r="BTV62" s="16"/>
      <c r="BTW62" s="16"/>
      <c r="BTX62" s="16"/>
      <c r="BTY62" s="16"/>
      <c r="BTZ62" s="16"/>
      <c r="BUA62" s="16"/>
      <c r="BUB62" s="16"/>
      <c r="BUC62" s="16"/>
      <c r="BUD62" s="16"/>
      <c r="BUE62" s="16"/>
      <c r="BUF62" s="16"/>
      <c r="BUG62" s="16"/>
      <c r="BUH62" s="16"/>
      <c r="BUI62" s="16"/>
      <c r="BUJ62" s="16"/>
      <c r="BUK62" s="16"/>
      <c r="BUL62" s="16"/>
      <c r="BUM62" s="16"/>
      <c r="BUN62" s="16"/>
      <c r="BUO62" s="16"/>
      <c r="BUP62" s="16"/>
      <c r="BUQ62" s="16"/>
      <c r="BUR62" s="16"/>
      <c r="BUS62" s="16"/>
      <c r="BUT62" s="16"/>
      <c r="BUU62" s="16"/>
      <c r="BUV62" s="16"/>
      <c r="BUW62" s="16"/>
      <c r="BUX62" s="16"/>
      <c r="BUY62" s="16"/>
      <c r="BUZ62" s="16"/>
      <c r="BVA62" s="16"/>
      <c r="BVB62" s="16"/>
      <c r="BVC62" s="16"/>
      <c r="BVD62" s="16"/>
      <c r="BVE62" s="16"/>
      <c r="BVF62" s="16"/>
      <c r="BVG62" s="16"/>
      <c r="BVH62" s="16"/>
      <c r="BVI62" s="16"/>
      <c r="BVJ62" s="16"/>
      <c r="BVK62" s="16"/>
      <c r="BVL62" s="16"/>
      <c r="BVM62" s="16"/>
      <c r="BVN62" s="16"/>
      <c r="BVO62" s="16"/>
      <c r="BVP62" s="16"/>
      <c r="BVQ62" s="16"/>
      <c r="BVR62" s="16"/>
      <c r="BVS62" s="16"/>
      <c r="BVT62" s="16"/>
      <c r="BVU62" s="16"/>
      <c r="BVV62" s="16"/>
      <c r="BVW62" s="16"/>
      <c r="BVX62" s="16"/>
      <c r="BVY62" s="16"/>
      <c r="BVZ62" s="16"/>
      <c r="BWA62" s="16"/>
      <c r="BWB62" s="16"/>
      <c r="BWC62" s="16"/>
      <c r="BWD62" s="16"/>
      <c r="BWE62" s="16"/>
      <c r="BWF62" s="16"/>
      <c r="BWG62" s="16"/>
      <c r="BWH62" s="16"/>
      <c r="BWI62" s="16"/>
      <c r="BWJ62" s="16"/>
      <c r="BWK62" s="16"/>
      <c r="BWL62" s="16"/>
      <c r="BWM62" s="16"/>
      <c r="BWN62" s="16"/>
      <c r="BWO62" s="16"/>
      <c r="BWP62" s="16"/>
      <c r="BWQ62" s="16"/>
      <c r="BWR62" s="16"/>
      <c r="BWS62" s="16"/>
      <c r="BWT62" s="16"/>
      <c r="BWU62" s="16"/>
      <c r="BWV62" s="16"/>
      <c r="BWW62" s="16"/>
      <c r="BWX62" s="16"/>
      <c r="BWY62" s="16"/>
      <c r="BWZ62" s="16"/>
      <c r="BXA62" s="16"/>
      <c r="BXB62" s="16"/>
      <c r="BXC62" s="16"/>
      <c r="BXD62" s="16"/>
      <c r="BXE62" s="16"/>
      <c r="BXF62" s="16"/>
      <c r="BXG62" s="16"/>
      <c r="BXH62" s="16"/>
      <c r="BXI62" s="16"/>
      <c r="BXJ62" s="16"/>
      <c r="BXK62" s="16"/>
      <c r="BXL62" s="16"/>
      <c r="BXM62" s="16"/>
      <c r="BXN62" s="16"/>
      <c r="BXO62" s="16"/>
      <c r="BXP62" s="16"/>
      <c r="BXQ62" s="16"/>
      <c r="BXR62" s="16"/>
      <c r="BXS62" s="16"/>
      <c r="BXT62" s="16"/>
      <c r="BXU62" s="16"/>
      <c r="BXV62" s="16"/>
      <c r="BXW62" s="16"/>
      <c r="BXX62" s="16"/>
      <c r="BXY62" s="16"/>
      <c r="BXZ62" s="16"/>
      <c r="BYA62" s="16"/>
      <c r="BYB62" s="16"/>
      <c r="BYC62" s="16"/>
      <c r="BYD62" s="16"/>
      <c r="BYE62" s="16"/>
      <c r="BYF62" s="16"/>
      <c r="BYG62" s="16"/>
      <c r="BYH62" s="16"/>
      <c r="BYI62" s="16"/>
      <c r="BYJ62" s="16"/>
      <c r="BYK62" s="16"/>
      <c r="BYL62" s="16"/>
      <c r="BYM62" s="16"/>
      <c r="BYN62" s="16"/>
      <c r="BYO62" s="16"/>
      <c r="BYP62" s="16"/>
      <c r="BYQ62" s="16"/>
      <c r="BYR62" s="16"/>
      <c r="BYS62" s="16"/>
      <c r="BYT62" s="16"/>
      <c r="BYU62" s="16"/>
      <c r="BYV62" s="16"/>
      <c r="BYW62" s="16"/>
      <c r="BYX62" s="16"/>
      <c r="BYY62" s="16"/>
      <c r="BYZ62" s="16"/>
      <c r="BZA62" s="16"/>
      <c r="BZB62" s="16"/>
      <c r="BZC62" s="16"/>
      <c r="BZD62" s="16"/>
      <c r="BZE62" s="16"/>
      <c r="BZF62" s="16"/>
      <c r="BZG62" s="16"/>
      <c r="BZH62" s="16"/>
      <c r="BZI62" s="16"/>
      <c r="BZJ62" s="16"/>
      <c r="BZK62" s="16"/>
      <c r="BZL62" s="16"/>
      <c r="BZM62" s="16"/>
      <c r="BZN62" s="16"/>
      <c r="BZO62" s="16"/>
      <c r="BZP62" s="16"/>
      <c r="BZQ62" s="16"/>
      <c r="BZR62" s="16"/>
      <c r="BZS62" s="16"/>
      <c r="BZT62" s="16"/>
      <c r="BZU62" s="16"/>
      <c r="BZV62" s="16"/>
      <c r="BZW62" s="16"/>
      <c r="BZX62" s="16"/>
      <c r="BZY62" s="16"/>
      <c r="BZZ62" s="16"/>
      <c r="CAA62" s="16"/>
      <c r="CAB62" s="16"/>
      <c r="CAC62" s="16"/>
      <c r="CAD62" s="16"/>
      <c r="CAE62" s="16"/>
      <c r="CAF62" s="16"/>
      <c r="CAG62" s="16"/>
      <c r="CAH62" s="16"/>
      <c r="CAI62" s="16"/>
      <c r="CAJ62" s="16"/>
      <c r="CAK62" s="16"/>
      <c r="CAL62" s="16"/>
      <c r="CAM62" s="16"/>
      <c r="CAN62" s="16"/>
      <c r="CAO62" s="16"/>
      <c r="CAP62" s="16"/>
      <c r="CAQ62" s="16"/>
      <c r="CAR62" s="16"/>
      <c r="CAS62" s="16"/>
      <c r="CAT62" s="16"/>
      <c r="CAU62" s="16"/>
      <c r="CAV62" s="16"/>
      <c r="CAW62" s="16"/>
      <c r="CAX62" s="16"/>
      <c r="CAY62" s="16"/>
      <c r="CAZ62" s="16"/>
      <c r="CBA62" s="16"/>
      <c r="CBB62" s="16"/>
      <c r="CBC62" s="16"/>
      <c r="CBD62" s="16"/>
      <c r="CBE62" s="16"/>
      <c r="CBF62" s="16"/>
      <c r="CBG62" s="16"/>
      <c r="CBH62" s="16"/>
      <c r="CBI62" s="16"/>
      <c r="CBJ62" s="16"/>
      <c r="CBK62" s="16"/>
      <c r="CBL62" s="16"/>
      <c r="CBM62" s="16"/>
      <c r="CBN62" s="16"/>
      <c r="CBO62" s="16"/>
      <c r="CBP62" s="16"/>
      <c r="CBQ62" s="16"/>
      <c r="CBR62" s="16"/>
      <c r="CBS62" s="16"/>
      <c r="CBT62" s="16"/>
      <c r="CBU62" s="16"/>
      <c r="CBV62" s="16"/>
      <c r="CBW62" s="16"/>
      <c r="CBX62" s="16"/>
      <c r="CBY62" s="16"/>
      <c r="CBZ62" s="16"/>
      <c r="CCA62" s="16"/>
      <c r="CCB62" s="16"/>
      <c r="CCC62" s="16"/>
      <c r="CCD62" s="16"/>
      <c r="CCE62" s="16"/>
      <c r="CCF62" s="16"/>
      <c r="CCG62" s="16"/>
      <c r="CCH62" s="16"/>
      <c r="CCI62" s="16"/>
      <c r="CCJ62" s="16"/>
      <c r="CCK62" s="16"/>
      <c r="CCL62" s="16"/>
      <c r="CCM62" s="16"/>
      <c r="CCN62" s="16"/>
      <c r="CCO62" s="16"/>
      <c r="CCP62" s="16"/>
      <c r="CCQ62" s="16"/>
      <c r="CCR62" s="16"/>
      <c r="CCS62" s="16"/>
      <c r="CCT62" s="16"/>
      <c r="CCU62" s="16"/>
      <c r="CCV62" s="16"/>
      <c r="CCW62" s="16"/>
      <c r="CCX62" s="16"/>
      <c r="CCY62" s="16"/>
      <c r="CCZ62" s="16"/>
      <c r="CDA62" s="16"/>
      <c r="CDB62" s="16"/>
      <c r="CDC62" s="16"/>
      <c r="CDD62" s="16"/>
      <c r="CDE62" s="16"/>
      <c r="CDF62" s="16"/>
      <c r="CDG62" s="16"/>
      <c r="CDH62" s="16"/>
      <c r="CDI62" s="16"/>
      <c r="CDJ62" s="16"/>
      <c r="CDK62" s="16"/>
      <c r="CDL62" s="16"/>
      <c r="CDM62" s="16"/>
      <c r="CDN62" s="16"/>
      <c r="CDO62" s="16"/>
      <c r="CDP62" s="16"/>
      <c r="CDQ62" s="16"/>
      <c r="CDR62" s="16"/>
      <c r="CDS62" s="16"/>
      <c r="CDT62" s="16"/>
      <c r="CDU62" s="16"/>
      <c r="CDV62" s="16"/>
      <c r="CDW62" s="16"/>
      <c r="CDX62" s="16"/>
      <c r="CDY62" s="16"/>
      <c r="CDZ62" s="16"/>
      <c r="CEA62" s="16"/>
      <c r="CEB62" s="16"/>
      <c r="CEC62" s="16"/>
      <c r="CED62" s="16"/>
      <c r="CEE62" s="16"/>
      <c r="CEF62" s="16"/>
      <c r="CEG62" s="16"/>
      <c r="CEH62" s="16"/>
      <c r="CEI62" s="16"/>
      <c r="CEJ62" s="16"/>
      <c r="CEK62" s="16"/>
      <c r="CEL62" s="16"/>
      <c r="CEM62" s="16"/>
      <c r="CEN62" s="16"/>
      <c r="CEO62" s="16"/>
      <c r="CEP62" s="16"/>
      <c r="CEQ62" s="16"/>
      <c r="CER62" s="16"/>
      <c r="CES62" s="16"/>
      <c r="CET62" s="16"/>
      <c r="CEU62" s="16"/>
      <c r="CEV62" s="16"/>
      <c r="CEW62" s="16"/>
      <c r="CEX62" s="16"/>
      <c r="CEY62" s="16"/>
      <c r="CEZ62" s="16"/>
      <c r="CFA62" s="16"/>
      <c r="CFB62" s="16"/>
      <c r="CFC62" s="16"/>
      <c r="CFD62" s="16"/>
      <c r="CFE62" s="16"/>
      <c r="CFF62" s="16"/>
      <c r="CFG62" s="16"/>
      <c r="CFH62" s="16"/>
      <c r="CFI62" s="16"/>
      <c r="CFJ62" s="16"/>
      <c r="CFK62" s="16"/>
      <c r="CFL62" s="16"/>
      <c r="CFM62" s="16"/>
      <c r="CFN62" s="16"/>
      <c r="CFO62" s="16"/>
      <c r="CFP62" s="16"/>
      <c r="CFQ62" s="16"/>
      <c r="CFR62" s="16"/>
      <c r="CFS62" s="16"/>
      <c r="CFT62" s="16"/>
      <c r="CFU62" s="16"/>
      <c r="CFV62" s="16"/>
      <c r="CFW62" s="16"/>
      <c r="CFX62" s="16"/>
      <c r="CFY62" s="16"/>
      <c r="CFZ62" s="16"/>
      <c r="CGA62" s="16"/>
      <c r="CGB62" s="16"/>
      <c r="CGC62" s="16"/>
      <c r="CGD62" s="16"/>
      <c r="CGE62" s="16"/>
      <c r="CGF62" s="16"/>
      <c r="CGG62" s="16"/>
      <c r="CGH62" s="16"/>
      <c r="CGI62" s="16"/>
      <c r="CGJ62" s="16"/>
      <c r="CGK62" s="16"/>
      <c r="CGL62" s="16"/>
      <c r="CGM62" s="16"/>
      <c r="CGN62" s="16"/>
      <c r="CGO62" s="16"/>
      <c r="CGP62" s="16"/>
      <c r="CGQ62" s="16"/>
      <c r="CGR62" s="16"/>
      <c r="CGS62" s="16"/>
      <c r="CGT62" s="16"/>
      <c r="CGU62" s="16"/>
      <c r="CGV62" s="16"/>
      <c r="CGW62" s="16"/>
      <c r="CGX62" s="16"/>
      <c r="CGY62" s="16"/>
      <c r="CGZ62" s="16"/>
      <c r="CHA62" s="16"/>
      <c r="CHB62" s="16"/>
      <c r="CHC62" s="16"/>
      <c r="CHD62" s="16"/>
      <c r="CHE62" s="16"/>
      <c r="CHF62" s="16"/>
      <c r="CHG62" s="16"/>
      <c r="CHH62" s="16"/>
      <c r="CHI62" s="16"/>
      <c r="CHJ62" s="16"/>
      <c r="CHK62" s="16"/>
      <c r="CHL62" s="16"/>
      <c r="CHM62" s="16"/>
      <c r="CHN62" s="16"/>
      <c r="CHO62" s="16"/>
      <c r="CHP62" s="16"/>
      <c r="CHQ62" s="16"/>
      <c r="CHR62" s="16"/>
      <c r="CHS62" s="16"/>
      <c r="CHT62" s="16"/>
      <c r="CHU62" s="16"/>
      <c r="CHV62" s="16"/>
      <c r="CHW62" s="16"/>
      <c r="CHX62" s="16"/>
      <c r="CHY62" s="16"/>
      <c r="CHZ62" s="16"/>
      <c r="CIA62" s="16"/>
      <c r="CIB62" s="16"/>
      <c r="CIC62" s="16"/>
      <c r="CID62" s="16"/>
      <c r="CIE62" s="16"/>
      <c r="CIF62" s="16"/>
      <c r="CIG62" s="16"/>
      <c r="CIH62" s="16"/>
      <c r="CII62" s="16"/>
      <c r="CIJ62" s="16"/>
      <c r="CIK62" s="16"/>
      <c r="CIL62" s="16"/>
      <c r="CIM62" s="16"/>
      <c r="CIN62" s="16"/>
      <c r="CIO62" s="16"/>
      <c r="CIP62" s="16"/>
      <c r="CIQ62" s="16"/>
      <c r="CIR62" s="16"/>
      <c r="CIS62" s="16"/>
      <c r="CIT62" s="16"/>
      <c r="CIU62" s="16"/>
      <c r="CIV62" s="16"/>
      <c r="CIW62" s="16"/>
      <c r="CIX62" s="16"/>
      <c r="CIY62" s="16"/>
      <c r="CIZ62" s="16"/>
      <c r="CJA62" s="16"/>
      <c r="CJB62" s="16"/>
      <c r="CJC62" s="16"/>
      <c r="CJD62" s="16"/>
      <c r="CJE62" s="16"/>
      <c r="CJF62" s="16"/>
      <c r="CJG62" s="16"/>
      <c r="CJH62" s="16"/>
      <c r="CJI62" s="16"/>
      <c r="CJJ62" s="16"/>
      <c r="CJK62" s="16"/>
      <c r="CJL62" s="16"/>
      <c r="CJM62" s="16"/>
      <c r="CJN62" s="16"/>
      <c r="CJO62" s="16"/>
      <c r="CJP62" s="16"/>
      <c r="CJQ62" s="16"/>
      <c r="CJR62" s="16"/>
      <c r="CJS62" s="16"/>
      <c r="CJT62" s="16"/>
      <c r="CJU62" s="16"/>
      <c r="CJV62" s="16"/>
      <c r="CJW62" s="16"/>
      <c r="CJX62" s="16"/>
      <c r="CJY62" s="16"/>
      <c r="CJZ62" s="16"/>
      <c r="CKA62" s="16"/>
      <c r="CKB62" s="16"/>
      <c r="CKC62" s="16"/>
      <c r="CKD62" s="16"/>
      <c r="CKE62" s="16"/>
      <c r="CKF62" s="16"/>
      <c r="CKG62" s="16"/>
      <c r="CKH62" s="16"/>
      <c r="CKI62" s="16"/>
      <c r="CKJ62" s="16"/>
      <c r="CKK62" s="16"/>
      <c r="CKL62" s="16"/>
      <c r="CKM62" s="16"/>
      <c r="CKN62" s="16"/>
      <c r="CKO62" s="16"/>
      <c r="CKP62" s="16"/>
      <c r="CKQ62" s="16"/>
      <c r="CKR62" s="16"/>
      <c r="CKS62" s="16"/>
      <c r="CKT62" s="16"/>
      <c r="CKU62" s="16"/>
      <c r="CKV62" s="16"/>
      <c r="CKW62" s="16"/>
      <c r="CKX62" s="16"/>
      <c r="CKY62" s="16"/>
      <c r="CKZ62" s="16"/>
      <c r="CLA62" s="16"/>
      <c r="CLB62" s="16"/>
      <c r="CLC62" s="16"/>
      <c r="CLD62" s="16"/>
      <c r="CLE62" s="16"/>
      <c r="CLF62" s="16"/>
      <c r="CLG62" s="16"/>
      <c r="CLH62" s="16"/>
      <c r="CLI62" s="16"/>
      <c r="CLJ62" s="16"/>
      <c r="CLK62" s="16"/>
      <c r="CLL62" s="16"/>
      <c r="CLM62" s="16"/>
      <c r="CLN62" s="16"/>
      <c r="CLO62" s="16"/>
      <c r="CLP62" s="16"/>
      <c r="CLQ62" s="16"/>
      <c r="CLR62" s="16"/>
      <c r="CLS62" s="16"/>
      <c r="CLT62" s="16"/>
      <c r="CLU62" s="16"/>
      <c r="CLV62" s="16"/>
      <c r="CLW62" s="16"/>
      <c r="CLX62" s="16"/>
      <c r="CLY62" s="16"/>
      <c r="CLZ62" s="16"/>
      <c r="CMA62" s="16"/>
      <c r="CMB62" s="16"/>
      <c r="CMC62" s="16"/>
      <c r="CMD62" s="16"/>
      <c r="CME62" s="16"/>
      <c r="CMF62" s="16"/>
      <c r="CMG62" s="16"/>
      <c r="CMH62" s="16"/>
      <c r="CMI62" s="16"/>
      <c r="CMJ62" s="16"/>
      <c r="CMK62" s="16"/>
      <c r="CML62" s="16"/>
      <c r="CMM62" s="16"/>
      <c r="CMN62" s="16"/>
      <c r="CMO62" s="16"/>
      <c r="CMP62" s="16"/>
      <c r="CMQ62" s="16"/>
      <c r="CMR62" s="16"/>
      <c r="CMS62" s="16"/>
      <c r="CMT62" s="16"/>
      <c r="CMU62" s="16"/>
      <c r="CMV62" s="16"/>
      <c r="CMW62" s="16"/>
      <c r="CMX62" s="16"/>
      <c r="CMY62" s="16"/>
      <c r="CMZ62" s="16"/>
      <c r="CNA62" s="16"/>
      <c r="CNB62" s="16"/>
      <c r="CNC62" s="16"/>
      <c r="CND62" s="16"/>
      <c r="CNE62" s="16"/>
      <c r="CNF62" s="16"/>
      <c r="CNG62" s="16"/>
      <c r="CNH62" s="16"/>
      <c r="CNI62" s="16"/>
      <c r="CNJ62" s="16"/>
      <c r="CNK62" s="16"/>
      <c r="CNL62" s="16"/>
      <c r="CNM62" s="16"/>
      <c r="CNN62" s="16"/>
      <c r="CNO62" s="16"/>
      <c r="CNP62" s="16"/>
      <c r="CNQ62" s="16"/>
      <c r="CNR62" s="16"/>
      <c r="CNS62" s="16"/>
      <c r="CNT62" s="16"/>
      <c r="CNU62" s="16"/>
      <c r="CNV62" s="16"/>
      <c r="CNW62" s="16"/>
      <c r="CNX62" s="16"/>
      <c r="CNY62" s="16"/>
      <c r="CNZ62" s="16"/>
      <c r="COA62" s="16"/>
      <c r="COB62" s="16"/>
      <c r="COC62" s="16"/>
      <c r="COD62" s="16"/>
      <c r="COE62" s="16"/>
      <c r="COF62" s="16"/>
      <c r="COG62" s="16"/>
      <c r="COH62" s="16"/>
      <c r="COI62" s="16"/>
      <c r="COJ62" s="16"/>
      <c r="COK62" s="16"/>
      <c r="COL62" s="16"/>
      <c r="COM62" s="16"/>
      <c r="CON62" s="16"/>
      <c r="COO62" s="16"/>
      <c r="COP62" s="16"/>
      <c r="COQ62" s="16"/>
      <c r="COR62" s="16"/>
      <c r="COS62" s="16"/>
      <c r="COT62" s="16"/>
      <c r="COU62" s="16"/>
      <c r="COV62" s="16"/>
      <c r="COW62" s="16"/>
      <c r="COX62" s="16"/>
      <c r="COY62" s="16"/>
      <c r="COZ62" s="16"/>
      <c r="CPA62" s="16"/>
      <c r="CPB62" s="16"/>
      <c r="CPC62" s="16"/>
      <c r="CPD62" s="16"/>
      <c r="CPE62" s="16"/>
      <c r="CPF62" s="16"/>
      <c r="CPG62" s="16"/>
      <c r="CPH62" s="16"/>
      <c r="CPI62" s="16"/>
      <c r="CPJ62" s="16"/>
      <c r="CPK62" s="16"/>
      <c r="CPL62" s="16"/>
      <c r="CPM62" s="16"/>
      <c r="CPN62" s="16"/>
      <c r="CPO62" s="16"/>
      <c r="CPP62" s="16"/>
      <c r="CPQ62" s="16"/>
      <c r="CPR62" s="16"/>
      <c r="CPS62" s="16"/>
      <c r="CPT62" s="16"/>
      <c r="CPU62" s="16"/>
      <c r="CPV62" s="16"/>
      <c r="CPW62" s="16"/>
      <c r="CPX62" s="16"/>
      <c r="CPY62" s="16"/>
      <c r="CPZ62" s="16"/>
      <c r="CQA62" s="16"/>
      <c r="CQB62" s="16"/>
      <c r="CQC62" s="16"/>
      <c r="CQD62" s="16"/>
      <c r="CQE62" s="16"/>
      <c r="CQF62" s="16"/>
      <c r="CQG62" s="16"/>
      <c r="CQH62" s="16"/>
      <c r="CQI62" s="16"/>
      <c r="CQJ62" s="16"/>
      <c r="CQK62" s="16"/>
      <c r="CQL62" s="16"/>
      <c r="CQM62" s="16"/>
      <c r="CQN62" s="16"/>
      <c r="CQO62" s="16"/>
      <c r="CQP62" s="16"/>
      <c r="CQQ62" s="16"/>
      <c r="CQR62" s="16"/>
      <c r="CQS62" s="16"/>
      <c r="CQT62" s="16"/>
      <c r="CQU62" s="16"/>
      <c r="CQV62" s="16"/>
      <c r="CQW62" s="16"/>
      <c r="CQX62" s="16"/>
      <c r="CQY62" s="16"/>
      <c r="CQZ62" s="16"/>
      <c r="CRA62" s="16"/>
      <c r="CRB62" s="16"/>
      <c r="CRC62" s="16"/>
      <c r="CRD62" s="16"/>
      <c r="CRE62" s="16"/>
      <c r="CRF62" s="16"/>
      <c r="CRG62" s="16"/>
      <c r="CRH62" s="16"/>
      <c r="CRI62" s="16"/>
      <c r="CRJ62" s="16"/>
      <c r="CRK62" s="16"/>
      <c r="CRL62" s="16"/>
      <c r="CRM62" s="16"/>
      <c r="CRN62" s="16"/>
      <c r="CRO62" s="16"/>
      <c r="CRP62" s="16"/>
      <c r="CRQ62" s="16"/>
      <c r="CRR62" s="16"/>
      <c r="CRS62" s="16"/>
      <c r="CRT62" s="16"/>
      <c r="CRU62" s="16"/>
      <c r="CRV62" s="16"/>
      <c r="CRW62" s="16"/>
      <c r="CRX62" s="16"/>
      <c r="CRY62" s="16"/>
      <c r="CRZ62" s="16"/>
      <c r="CSA62" s="16"/>
      <c r="CSB62" s="16"/>
      <c r="CSC62" s="16"/>
      <c r="CSD62" s="16"/>
      <c r="CSE62" s="16"/>
      <c r="CSF62" s="16"/>
      <c r="CSG62" s="16"/>
      <c r="CSH62" s="16"/>
      <c r="CSI62" s="16"/>
      <c r="CSJ62" s="16"/>
      <c r="CSK62" s="24"/>
      <c r="CSL62" s="16"/>
      <c r="CSM62" s="16"/>
      <c r="CSN62" s="16"/>
      <c r="CSO62" s="16"/>
      <c r="CSP62" s="16"/>
      <c r="CUG62" s="16"/>
      <c r="CUH62" s="16"/>
      <c r="CUI62" s="16"/>
      <c r="CUJ62" s="16"/>
      <c r="CUK62" s="16"/>
      <c r="CUL62" s="16"/>
      <c r="CUM62" s="16"/>
      <c r="CUN62" s="16"/>
      <c r="CUO62" s="16"/>
      <c r="CUP62" s="16"/>
      <c r="CUQ62" s="16"/>
      <c r="CUR62" s="16"/>
      <c r="CUS62" s="16"/>
      <c r="CUT62" s="16"/>
      <c r="CUU62" s="16"/>
      <c r="CUV62" s="16"/>
      <c r="CUW62" s="16"/>
      <c r="CUX62" s="16"/>
      <c r="CUY62" s="16"/>
      <c r="CUZ62" s="16"/>
      <c r="CVA62" s="16"/>
      <c r="CVB62" s="16"/>
      <c r="CVC62" s="16"/>
      <c r="CVD62" s="16"/>
      <c r="CVE62" s="16"/>
      <c r="CVF62" s="16"/>
      <c r="CVG62" s="16"/>
      <c r="CVH62" s="16"/>
      <c r="CVI62" s="16"/>
      <c r="CVJ62" s="16"/>
      <c r="CVK62" s="16"/>
      <c r="CVL62" s="16"/>
      <c r="CVM62" s="16"/>
      <c r="CVN62" s="16"/>
      <c r="CVO62" s="16"/>
      <c r="CVP62" s="16"/>
    </row>
    <row r="63" spans="1:2616" ht="13.8" x14ac:dyDescent="0.25">
      <c r="C63" s="57"/>
      <c r="E63" s="16"/>
      <c r="K63" s="59"/>
      <c r="L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  <c r="FC63" s="16"/>
      <c r="FD63" s="16"/>
      <c r="FE63" s="16"/>
      <c r="FF63" s="16"/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6"/>
      <c r="FV63" s="16"/>
      <c r="FW63" s="16"/>
      <c r="FX63" s="16"/>
      <c r="FY63" s="16"/>
      <c r="FZ63" s="16"/>
      <c r="GA63" s="16"/>
      <c r="GB63" s="16"/>
      <c r="GC63" s="16"/>
      <c r="GD63" s="16"/>
      <c r="GE63" s="16"/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6"/>
      <c r="LU63" s="16"/>
      <c r="LV63" s="16"/>
      <c r="LW63" s="16"/>
      <c r="LX63" s="16"/>
      <c r="LY63" s="16"/>
      <c r="LZ63" s="16"/>
      <c r="MA63" s="16"/>
      <c r="MB63" s="16"/>
      <c r="MC63" s="16"/>
      <c r="MD63" s="16"/>
      <c r="ME63" s="16"/>
      <c r="MF63" s="16"/>
      <c r="MG63" s="16"/>
      <c r="MH63" s="16"/>
      <c r="MI63" s="16"/>
      <c r="MJ63" s="16"/>
      <c r="MK63" s="16"/>
      <c r="ML63" s="16"/>
      <c r="MM63" s="16"/>
      <c r="MN63" s="16"/>
      <c r="MO63" s="16"/>
      <c r="MP63" s="16"/>
      <c r="MQ63" s="16"/>
      <c r="MR63" s="16"/>
      <c r="MS63" s="16"/>
      <c r="MT63" s="16"/>
      <c r="MU63" s="16"/>
      <c r="MV63" s="16"/>
      <c r="MW63" s="16"/>
      <c r="MX63" s="16"/>
      <c r="MY63" s="16"/>
      <c r="MZ63" s="16"/>
      <c r="NA63" s="16"/>
      <c r="NB63" s="16"/>
      <c r="NC63" s="16"/>
      <c r="ND63" s="16"/>
      <c r="NE63" s="16"/>
      <c r="NF63" s="16"/>
      <c r="NG63" s="16"/>
      <c r="NH63" s="16"/>
      <c r="NI63" s="16"/>
      <c r="NJ63" s="16"/>
      <c r="NK63" s="16"/>
      <c r="NL63" s="16"/>
      <c r="NM63" s="16"/>
      <c r="NN63" s="16"/>
      <c r="NO63" s="16"/>
      <c r="NP63" s="16"/>
      <c r="NQ63" s="16"/>
      <c r="NR63" s="16"/>
      <c r="NS63" s="16"/>
      <c r="NT63" s="16"/>
      <c r="NU63" s="16"/>
      <c r="NV63" s="16"/>
      <c r="NW63" s="16"/>
      <c r="NX63" s="16"/>
      <c r="NY63" s="16"/>
      <c r="NZ63" s="16"/>
      <c r="OA63" s="16"/>
      <c r="OB63" s="16"/>
      <c r="OC63" s="16"/>
      <c r="OD63" s="16"/>
      <c r="OE63" s="16"/>
      <c r="OF63" s="16"/>
      <c r="OG63" s="16"/>
      <c r="OH63" s="16"/>
      <c r="OI63" s="16"/>
      <c r="OJ63" s="16"/>
      <c r="OK63" s="16"/>
      <c r="OL63" s="16"/>
      <c r="OM63" s="16"/>
      <c r="ON63" s="16"/>
      <c r="OO63" s="16"/>
      <c r="OP63" s="16"/>
      <c r="OQ63" s="16"/>
      <c r="OR63" s="16"/>
      <c r="OS63" s="16"/>
      <c r="OT63" s="16"/>
      <c r="OU63" s="16"/>
      <c r="OV63" s="16"/>
      <c r="OW63" s="16"/>
      <c r="OX63" s="16"/>
      <c r="OY63" s="16"/>
      <c r="OZ63" s="16"/>
      <c r="PA63" s="16"/>
      <c r="PB63" s="16"/>
      <c r="PC63" s="16"/>
      <c r="PD63" s="16"/>
      <c r="PE63" s="16"/>
      <c r="PF63" s="16"/>
      <c r="PG63" s="16"/>
      <c r="PH63" s="16"/>
      <c r="PI63" s="16"/>
      <c r="PJ63" s="16"/>
      <c r="PK63" s="16"/>
      <c r="PL63" s="16"/>
      <c r="PM63" s="16"/>
      <c r="PN63" s="16"/>
      <c r="PO63" s="16"/>
      <c r="PP63" s="16"/>
      <c r="PQ63" s="16"/>
      <c r="PR63" s="16"/>
      <c r="PS63" s="16"/>
      <c r="PT63" s="16"/>
      <c r="PU63" s="16"/>
      <c r="PV63" s="16"/>
      <c r="PW63" s="16"/>
      <c r="PX63" s="16"/>
      <c r="PY63" s="16"/>
      <c r="PZ63" s="16"/>
      <c r="QA63" s="16"/>
      <c r="QB63" s="16"/>
      <c r="QC63" s="16"/>
      <c r="QD63" s="16"/>
      <c r="QE63" s="16"/>
      <c r="QF63" s="16"/>
      <c r="QG63" s="16"/>
      <c r="QH63" s="16"/>
      <c r="QI63" s="16"/>
      <c r="QJ63" s="16"/>
      <c r="QK63" s="16"/>
      <c r="QL63" s="16"/>
      <c r="QM63" s="16"/>
      <c r="QN63" s="16"/>
      <c r="QO63" s="16"/>
      <c r="QP63" s="16"/>
      <c r="QQ63" s="16"/>
      <c r="QR63" s="16"/>
      <c r="QS63" s="16"/>
      <c r="QT63" s="16"/>
      <c r="QU63" s="16"/>
      <c r="QV63" s="16"/>
      <c r="QW63" s="16"/>
      <c r="QX63" s="16"/>
      <c r="QY63" s="16"/>
      <c r="QZ63" s="16"/>
      <c r="RA63" s="16"/>
      <c r="RB63" s="16"/>
      <c r="RC63" s="16"/>
      <c r="RD63" s="16"/>
      <c r="RE63" s="16"/>
      <c r="RF63" s="16"/>
      <c r="RG63" s="16"/>
      <c r="RH63" s="16"/>
      <c r="RI63" s="16"/>
      <c r="RJ63" s="16"/>
      <c r="RK63" s="16"/>
      <c r="RL63" s="16"/>
      <c r="RM63" s="16"/>
      <c r="RN63" s="16"/>
      <c r="RO63" s="16"/>
      <c r="RP63" s="16"/>
      <c r="RQ63" s="16"/>
      <c r="RR63" s="16"/>
      <c r="RS63" s="16"/>
      <c r="RT63" s="16"/>
      <c r="RU63" s="16"/>
      <c r="RV63" s="16"/>
      <c r="RW63" s="16"/>
      <c r="RX63" s="16"/>
      <c r="RY63" s="16"/>
      <c r="RZ63" s="16"/>
      <c r="SA63" s="16"/>
      <c r="SB63" s="16"/>
      <c r="SC63" s="16"/>
      <c r="SD63" s="16"/>
      <c r="SE63" s="16"/>
      <c r="SF63" s="16"/>
      <c r="SG63" s="16"/>
      <c r="SH63" s="16"/>
      <c r="SI63" s="16"/>
      <c r="SJ63" s="16"/>
      <c r="SK63" s="16"/>
      <c r="SL63" s="16"/>
      <c r="SM63" s="16"/>
      <c r="SN63" s="16"/>
      <c r="SO63" s="16"/>
      <c r="SP63" s="16"/>
      <c r="SQ63" s="16"/>
      <c r="SR63" s="16"/>
      <c r="SS63" s="16"/>
      <c r="ST63" s="16"/>
      <c r="SU63" s="16"/>
      <c r="SV63" s="16"/>
      <c r="SW63" s="16"/>
      <c r="SX63" s="16"/>
      <c r="SY63" s="16"/>
      <c r="SZ63" s="16"/>
      <c r="TA63" s="16"/>
      <c r="TB63" s="16"/>
      <c r="TC63" s="16"/>
      <c r="TD63" s="16"/>
      <c r="TE63" s="16"/>
      <c r="TF63" s="16"/>
      <c r="TG63" s="16"/>
      <c r="TH63" s="16"/>
      <c r="TI63" s="16"/>
      <c r="TJ63" s="16"/>
      <c r="TK63" s="16"/>
      <c r="TL63" s="16"/>
      <c r="TM63" s="16"/>
      <c r="TN63" s="16"/>
      <c r="TO63" s="16"/>
      <c r="TP63" s="16"/>
      <c r="TQ63" s="16"/>
      <c r="TR63" s="16"/>
      <c r="TS63" s="16"/>
      <c r="TT63" s="16"/>
      <c r="TU63" s="16"/>
      <c r="TV63" s="16"/>
      <c r="TW63" s="16"/>
      <c r="TX63" s="16"/>
      <c r="TY63" s="16"/>
      <c r="TZ63" s="16"/>
      <c r="UA63" s="16"/>
      <c r="UB63" s="16"/>
      <c r="UC63" s="16"/>
      <c r="UD63" s="16"/>
      <c r="UE63" s="16"/>
      <c r="UF63" s="16"/>
      <c r="UG63" s="16"/>
      <c r="UH63" s="16"/>
      <c r="UI63" s="16"/>
      <c r="UJ63" s="16"/>
      <c r="UK63" s="16"/>
      <c r="UL63" s="16"/>
      <c r="UM63" s="16"/>
      <c r="UN63" s="16"/>
      <c r="UO63" s="16"/>
      <c r="UP63" s="16"/>
      <c r="UQ63" s="16"/>
      <c r="UR63" s="16"/>
      <c r="US63" s="16"/>
      <c r="UT63" s="16"/>
      <c r="UU63" s="16"/>
      <c r="UV63" s="16"/>
      <c r="UW63" s="16"/>
      <c r="UX63" s="16"/>
      <c r="UY63" s="16"/>
      <c r="UZ63" s="16"/>
      <c r="VA63" s="16"/>
      <c r="VB63" s="16"/>
      <c r="VC63" s="16"/>
      <c r="VD63" s="16"/>
      <c r="VE63" s="16"/>
      <c r="VF63" s="16"/>
      <c r="VG63" s="16"/>
      <c r="VH63" s="16"/>
      <c r="VI63" s="16"/>
      <c r="VJ63" s="16"/>
      <c r="VK63" s="16"/>
      <c r="VL63" s="16"/>
      <c r="VM63" s="16"/>
      <c r="VN63" s="16"/>
      <c r="VO63" s="16"/>
      <c r="VP63" s="16"/>
      <c r="VQ63" s="16"/>
      <c r="VR63" s="16"/>
      <c r="VS63" s="16"/>
      <c r="VT63" s="16"/>
      <c r="VU63" s="16"/>
      <c r="VV63" s="16"/>
      <c r="VW63" s="16"/>
      <c r="VX63" s="16"/>
      <c r="VY63" s="16"/>
      <c r="VZ63" s="16"/>
      <c r="WA63" s="16"/>
      <c r="WB63" s="16"/>
      <c r="WC63" s="16"/>
      <c r="WD63" s="16"/>
      <c r="WE63" s="16"/>
      <c r="WF63" s="16"/>
      <c r="WG63" s="16"/>
      <c r="WH63" s="16"/>
      <c r="WI63" s="16"/>
      <c r="WJ63" s="16"/>
      <c r="WK63" s="16"/>
      <c r="WL63" s="16"/>
      <c r="WM63" s="16"/>
      <c r="WN63" s="16"/>
      <c r="WO63" s="16"/>
      <c r="WP63" s="16"/>
      <c r="WQ63" s="16"/>
      <c r="WR63" s="16"/>
      <c r="WS63" s="16"/>
      <c r="WT63" s="16"/>
      <c r="WU63" s="16"/>
      <c r="WV63" s="16"/>
      <c r="WW63" s="16"/>
      <c r="WX63" s="16"/>
      <c r="WY63" s="16"/>
      <c r="WZ63" s="16"/>
      <c r="XA63" s="16"/>
      <c r="XB63" s="16"/>
      <c r="XC63" s="16"/>
      <c r="XD63" s="16"/>
      <c r="XE63" s="16"/>
      <c r="XF63" s="16"/>
      <c r="XG63" s="16"/>
      <c r="XH63" s="16"/>
      <c r="XI63" s="16"/>
      <c r="XJ63" s="16"/>
      <c r="XK63" s="16"/>
      <c r="XL63" s="16"/>
      <c r="XM63" s="16"/>
      <c r="XN63" s="16"/>
      <c r="XO63" s="16"/>
      <c r="XP63" s="16"/>
      <c r="XQ63" s="16"/>
      <c r="XR63" s="16"/>
      <c r="XS63" s="16"/>
      <c r="XT63" s="16"/>
      <c r="XU63" s="16"/>
      <c r="XV63" s="16"/>
      <c r="XW63" s="16"/>
      <c r="XX63" s="16"/>
      <c r="XY63" s="16"/>
      <c r="XZ63" s="16"/>
      <c r="YA63" s="16"/>
      <c r="YB63" s="16"/>
      <c r="YC63" s="16"/>
      <c r="YD63" s="16"/>
      <c r="YE63" s="16"/>
      <c r="YF63" s="16"/>
      <c r="YG63" s="16"/>
      <c r="YH63" s="16"/>
      <c r="YI63" s="16"/>
      <c r="YJ63" s="16"/>
      <c r="YK63" s="16"/>
      <c r="YL63" s="16"/>
      <c r="YM63" s="16"/>
      <c r="YN63" s="16"/>
      <c r="YO63" s="16"/>
      <c r="YP63" s="16"/>
      <c r="YQ63" s="16"/>
      <c r="YR63" s="16"/>
      <c r="YS63" s="16"/>
      <c r="YT63" s="16"/>
      <c r="YU63" s="16"/>
      <c r="YV63" s="16"/>
      <c r="YW63" s="16"/>
      <c r="YX63" s="16"/>
      <c r="YY63" s="16"/>
      <c r="YZ63" s="16"/>
      <c r="ZA63" s="16"/>
      <c r="ZB63" s="16"/>
      <c r="ZC63" s="16"/>
      <c r="ZD63" s="16"/>
      <c r="ZE63" s="16"/>
      <c r="ZF63" s="16"/>
      <c r="ZG63" s="16"/>
      <c r="ZH63" s="16"/>
      <c r="ZI63" s="16"/>
      <c r="ZJ63" s="16"/>
      <c r="ZK63" s="16"/>
      <c r="ZL63" s="16"/>
      <c r="ZM63" s="16"/>
      <c r="ZN63" s="16"/>
      <c r="ZO63" s="16"/>
      <c r="ZP63" s="16"/>
      <c r="ZQ63" s="16"/>
      <c r="ZR63" s="16"/>
      <c r="ZS63" s="16"/>
      <c r="ZT63" s="16"/>
      <c r="ZU63" s="16"/>
      <c r="ZV63" s="16"/>
      <c r="ZW63" s="16"/>
      <c r="ZX63" s="16"/>
      <c r="ZY63" s="16"/>
      <c r="ZZ63" s="16"/>
      <c r="AAA63" s="16"/>
      <c r="AAB63" s="16"/>
      <c r="AAC63" s="16"/>
      <c r="AAD63" s="16"/>
      <c r="AAE63" s="16"/>
      <c r="AAF63" s="16"/>
      <c r="AAG63" s="16"/>
      <c r="AAH63" s="16"/>
      <c r="AAI63" s="16"/>
      <c r="AAJ63" s="16"/>
      <c r="AAK63" s="16"/>
      <c r="AAL63" s="16"/>
      <c r="AAM63" s="16"/>
      <c r="AAN63" s="16"/>
      <c r="AAO63" s="16"/>
      <c r="AAP63" s="16"/>
      <c r="AAQ63" s="16"/>
      <c r="AAR63" s="16"/>
      <c r="AAS63" s="16"/>
      <c r="AAT63" s="16"/>
      <c r="AAU63" s="16"/>
      <c r="AAV63" s="16"/>
      <c r="AAW63" s="16"/>
      <c r="AAX63" s="16"/>
      <c r="AAY63" s="16"/>
      <c r="AAZ63" s="16"/>
      <c r="ABA63" s="16"/>
      <c r="ABB63" s="16"/>
      <c r="ABC63" s="16"/>
      <c r="ABD63" s="16"/>
      <c r="ABE63" s="16"/>
      <c r="ABF63" s="16"/>
      <c r="ABG63" s="16"/>
      <c r="ABH63" s="16"/>
      <c r="ABI63" s="16"/>
      <c r="ABJ63" s="16"/>
      <c r="ABK63" s="16"/>
      <c r="ABL63" s="16"/>
      <c r="ABM63" s="16"/>
      <c r="ABN63" s="16"/>
      <c r="ABO63" s="16"/>
      <c r="ABP63" s="16"/>
      <c r="ABQ63" s="16"/>
      <c r="ABR63" s="16"/>
      <c r="ABS63" s="16"/>
      <c r="ABT63" s="16"/>
      <c r="ABU63" s="16"/>
      <c r="ABV63" s="16"/>
      <c r="ABW63" s="16"/>
      <c r="ABX63" s="16"/>
      <c r="ABY63" s="16"/>
      <c r="ABZ63" s="16"/>
      <c r="ACA63" s="16"/>
      <c r="ACB63" s="16"/>
      <c r="ACC63" s="16"/>
      <c r="ACD63" s="16"/>
      <c r="ACE63" s="16"/>
      <c r="ACF63" s="16"/>
      <c r="ACG63" s="16"/>
      <c r="ACH63" s="16"/>
      <c r="ACI63" s="16"/>
      <c r="ACJ63" s="16"/>
      <c r="ACK63" s="16"/>
      <c r="ACL63" s="16"/>
      <c r="ACM63" s="16"/>
      <c r="ACN63" s="16"/>
      <c r="ACO63" s="16"/>
      <c r="ACP63" s="16"/>
      <c r="ACQ63" s="16"/>
      <c r="ACR63" s="16"/>
      <c r="ACS63" s="16"/>
      <c r="ACT63" s="16"/>
      <c r="ACU63" s="16"/>
      <c r="ACV63" s="16"/>
      <c r="ACW63" s="16"/>
      <c r="ACX63" s="16"/>
      <c r="ACY63" s="16"/>
      <c r="ACZ63" s="16"/>
      <c r="ADA63" s="16"/>
      <c r="ADB63" s="16"/>
      <c r="ADC63" s="16"/>
      <c r="ADD63" s="16"/>
      <c r="ADE63" s="16"/>
      <c r="ADF63" s="16"/>
      <c r="ADG63" s="16"/>
      <c r="ADH63" s="16"/>
      <c r="ADI63" s="16"/>
      <c r="ADJ63" s="16"/>
      <c r="ADK63" s="16"/>
      <c r="ADL63" s="16"/>
      <c r="ADM63" s="16"/>
      <c r="ADN63" s="16"/>
      <c r="ADO63" s="16"/>
      <c r="ADP63" s="16"/>
      <c r="ADQ63" s="16"/>
      <c r="ADR63" s="16"/>
      <c r="ADS63" s="16"/>
      <c r="ADT63" s="16"/>
      <c r="ADU63" s="16"/>
      <c r="ADV63" s="16"/>
      <c r="ADW63" s="16"/>
      <c r="ADX63" s="16"/>
      <c r="ADY63" s="16"/>
      <c r="ADZ63" s="16"/>
      <c r="AEA63" s="16"/>
      <c r="AEB63" s="16"/>
      <c r="AEC63" s="16"/>
      <c r="AED63" s="16"/>
      <c r="AEE63" s="16"/>
      <c r="AEF63" s="16"/>
      <c r="AEG63" s="16"/>
      <c r="AEH63" s="16"/>
      <c r="AEI63" s="16"/>
      <c r="AEJ63" s="16"/>
      <c r="AEK63" s="16"/>
      <c r="AEL63" s="16"/>
      <c r="AEM63" s="16"/>
      <c r="AEN63" s="16"/>
      <c r="AEO63" s="16"/>
      <c r="AEP63" s="16"/>
      <c r="AEQ63" s="16"/>
      <c r="AER63" s="16"/>
      <c r="AES63" s="16"/>
      <c r="AET63" s="16"/>
      <c r="AEU63" s="16"/>
      <c r="AEV63" s="16"/>
      <c r="AEW63" s="16"/>
      <c r="AEX63" s="16"/>
      <c r="AEY63" s="16"/>
      <c r="AEZ63" s="16"/>
      <c r="AFA63" s="16"/>
      <c r="AFB63" s="16"/>
      <c r="AFC63" s="16"/>
      <c r="AFD63" s="16"/>
      <c r="AFE63" s="16"/>
      <c r="AFF63" s="16"/>
      <c r="AFG63" s="16"/>
      <c r="AFH63" s="16"/>
      <c r="AFI63" s="16"/>
      <c r="AFJ63" s="16"/>
      <c r="AFK63" s="16"/>
      <c r="AFL63" s="16"/>
      <c r="AFM63" s="16"/>
      <c r="AFN63" s="16"/>
      <c r="AFO63" s="16"/>
      <c r="AFP63" s="16"/>
      <c r="AFQ63" s="16"/>
      <c r="AFR63" s="16"/>
      <c r="AFS63" s="16"/>
      <c r="AFT63" s="16"/>
      <c r="AFU63" s="16"/>
      <c r="AFV63" s="16"/>
      <c r="AFW63" s="16"/>
      <c r="AFX63" s="16"/>
      <c r="AFY63" s="16"/>
      <c r="AFZ63" s="16"/>
      <c r="AGA63" s="16"/>
      <c r="AGB63" s="16"/>
      <c r="AGC63" s="16"/>
      <c r="AGD63" s="16"/>
      <c r="AGE63" s="16"/>
      <c r="AGF63" s="16"/>
      <c r="AGG63" s="16"/>
      <c r="AGH63" s="16"/>
      <c r="AGI63" s="16"/>
      <c r="AGJ63" s="16"/>
      <c r="AGK63" s="16"/>
      <c r="AGL63" s="16"/>
      <c r="AGM63" s="16"/>
      <c r="AGN63" s="16"/>
      <c r="AGO63" s="16"/>
      <c r="AGP63" s="16"/>
      <c r="AGQ63" s="16"/>
      <c r="AGR63" s="16"/>
      <c r="AGS63" s="16"/>
      <c r="AGT63" s="16"/>
      <c r="AGU63" s="16"/>
      <c r="AGV63" s="16"/>
      <c r="AGW63" s="16"/>
      <c r="AGX63" s="16"/>
      <c r="AGY63" s="16"/>
      <c r="AGZ63" s="16"/>
      <c r="AHA63" s="16"/>
      <c r="AHB63" s="16"/>
      <c r="AHC63" s="16"/>
      <c r="AHD63" s="16"/>
      <c r="AHE63" s="16"/>
      <c r="AHF63" s="16"/>
      <c r="AHG63" s="16"/>
      <c r="AHH63" s="16"/>
      <c r="AHI63" s="16"/>
      <c r="AHJ63" s="16"/>
      <c r="AHK63" s="16"/>
      <c r="AHL63" s="16"/>
      <c r="AHM63" s="16"/>
      <c r="AHN63" s="16"/>
      <c r="AHO63" s="16"/>
      <c r="AHP63" s="16"/>
      <c r="AHQ63" s="16"/>
      <c r="AHR63" s="16"/>
      <c r="AHS63" s="16"/>
      <c r="AHT63" s="16"/>
      <c r="AHU63" s="16"/>
      <c r="AHV63" s="16"/>
      <c r="AHW63" s="16"/>
      <c r="AHX63" s="16"/>
      <c r="AHY63" s="16"/>
      <c r="AHZ63" s="16"/>
      <c r="AIA63" s="16"/>
      <c r="AIB63" s="16"/>
      <c r="AIC63" s="16"/>
      <c r="AID63" s="16"/>
      <c r="AIE63" s="16"/>
      <c r="AIF63" s="16"/>
      <c r="AIG63" s="16"/>
      <c r="AIH63" s="16"/>
      <c r="AII63" s="16"/>
      <c r="AIJ63" s="16"/>
      <c r="AIK63" s="16"/>
      <c r="AIL63" s="16"/>
      <c r="AIM63" s="16"/>
      <c r="AIN63" s="16"/>
      <c r="AIO63" s="16"/>
      <c r="AIP63" s="16"/>
      <c r="AIQ63" s="16"/>
      <c r="AIR63" s="16"/>
      <c r="AIS63" s="16"/>
      <c r="AIT63" s="16"/>
      <c r="AIU63" s="16"/>
      <c r="AIV63" s="16"/>
      <c r="AIW63" s="16"/>
      <c r="AIX63" s="16"/>
      <c r="AIY63" s="16"/>
      <c r="AIZ63" s="16"/>
      <c r="AJA63" s="16"/>
      <c r="AJB63" s="16"/>
      <c r="AJC63" s="16"/>
      <c r="AJD63" s="16"/>
      <c r="AJE63" s="16"/>
      <c r="AJF63" s="16"/>
      <c r="AJG63" s="16"/>
      <c r="AJH63" s="16"/>
      <c r="AJI63" s="16"/>
      <c r="AJJ63" s="16"/>
      <c r="AJK63" s="16"/>
      <c r="AJL63" s="16"/>
      <c r="AJM63" s="16"/>
      <c r="AJN63" s="16"/>
      <c r="AJO63" s="16"/>
      <c r="AJP63" s="16"/>
      <c r="AJQ63" s="16"/>
      <c r="AJR63" s="16"/>
      <c r="AJS63" s="16"/>
      <c r="AJT63" s="16"/>
      <c r="AJU63" s="16"/>
      <c r="AJV63" s="16"/>
      <c r="AJW63" s="16"/>
      <c r="AJX63" s="16"/>
      <c r="AJY63" s="16"/>
      <c r="AJZ63" s="16"/>
      <c r="AKA63" s="16"/>
      <c r="AKB63" s="16"/>
      <c r="AKC63" s="16"/>
      <c r="AKD63" s="16"/>
      <c r="AKE63" s="16"/>
      <c r="AKF63" s="16"/>
      <c r="AKG63" s="16"/>
      <c r="AKH63" s="16"/>
      <c r="AKI63" s="16"/>
      <c r="AKJ63" s="16"/>
      <c r="AKK63" s="16"/>
      <c r="AKL63" s="16"/>
      <c r="AKM63" s="16"/>
      <c r="AKN63" s="16"/>
      <c r="AKO63" s="16"/>
      <c r="AKP63" s="16"/>
      <c r="AKQ63" s="16"/>
      <c r="AKR63" s="16"/>
      <c r="AKS63" s="16"/>
      <c r="AKT63" s="16"/>
      <c r="AKU63" s="16"/>
      <c r="AKV63" s="16"/>
      <c r="AKW63" s="16"/>
      <c r="AKX63" s="16"/>
      <c r="AKY63" s="16"/>
      <c r="AKZ63" s="16"/>
      <c r="ALA63" s="16"/>
      <c r="ALB63" s="16"/>
      <c r="ALC63" s="16"/>
      <c r="ALD63" s="16"/>
      <c r="ALE63" s="16"/>
      <c r="ALF63" s="16"/>
      <c r="ALG63" s="16"/>
      <c r="ALH63" s="16"/>
      <c r="ALI63" s="16"/>
      <c r="ALJ63" s="16"/>
      <c r="ALK63" s="16"/>
      <c r="ALL63" s="16"/>
      <c r="ALM63" s="16"/>
      <c r="ALN63" s="16"/>
      <c r="ALO63" s="16"/>
      <c r="ALP63" s="16"/>
      <c r="ALQ63" s="16"/>
      <c r="ALR63" s="16"/>
      <c r="ALS63" s="16"/>
      <c r="ALT63" s="16"/>
      <c r="ALU63" s="16"/>
      <c r="ALV63" s="16"/>
      <c r="ALW63" s="16"/>
      <c r="ALX63" s="16"/>
      <c r="ALY63" s="16"/>
      <c r="ALZ63" s="16"/>
      <c r="AMA63" s="16"/>
      <c r="AMB63" s="16"/>
      <c r="AMC63" s="16"/>
      <c r="AMD63" s="16"/>
      <c r="AME63" s="16"/>
      <c r="AMF63" s="16"/>
      <c r="AMG63" s="16"/>
      <c r="AMH63" s="16"/>
      <c r="AMI63" s="16"/>
      <c r="AMJ63" s="16"/>
      <c r="AMK63" s="16"/>
      <c r="AML63" s="16"/>
      <c r="AMM63" s="16"/>
      <c r="AMN63" s="16"/>
      <c r="AMO63" s="16"/>
      <c r="AMP63" s="16"/>
      <c r="AMQ63" s="16"/>
      <c r="AMR63" s="16"/>
      <c r="AMS63" s="16"/>
      <c r="AMT63" s="16"/>
      <c r="AMU63" s="16"/>
      <c r="AMV63" s="16"/>
      <c r="AMW63" s="16"/>
      <c r="AMX63" s="16"/>
      <c r="AMY63" s="16"/>
      <c r="AMZ63" s="16"/>
      <c r="ANA63" s="16"/>
      <c r="ANB63" s="16"/>
      <c r="ANC63" s="16"/>
      <c r="AND63" s="16"/>
      <c r="ANE63" s="16"/>
      <c r="ANF63" s="16"/>
      <c r="ANG63" s="16"/>
      <c r="ANH63" s="16"/>
      <c r="ANI63" s="16"/>
      <c r="ANJ63" s="16"/>
      <c r="ANK63" s="16"/>
      <c r="ANL63" s="16"/>
      <c r="ANM63" s="16"/>
      <c r="ANN63" s="16"/>
      <c r="ANO63" s="16"/>
      <c r="ANP63" s="16"/>
      <c r="ANQ63" s="16"/>
      <c r="ANR63" s="16"/>
      <c r="ANS63" s="16"/>
      <c r="ANT63" s="16"/>
      <c r="ANU63" s="16"/>
      <c r="ANV63" s="16"/>
      <c r="ANW63" s="16"/>
      <c r="ANX63" s="16"/>
      <c r="ANY63" s="16"/>
      <c r="ANZ63" s="16"/>
      <c r="AOA63" s="16"/>
      <c r="AOB63" s="16"/>
      <c r="AOC63" s="16"/>
      <c r="AOD63" s="16"/>
      <c r="AOE63" s="16"/>
      <c r="AOF63" s="16"/>
      <c r="AOG63" s="16"/>
      <c r="AOH63" s="16"/>
      <c r="AOI63" s="16"/>
      <c r="AOJ63" s="16"/>
      <c r="AOK63" s="16"/>
      <c r="AOL63" s="16"/>
      <c r="AOM63" s="16"/>
      <c r="AON63" s="16"/>
      <c r="AOO63" s="16"/>
      <c r="AOP63" s="16"/>
      <c r="AOQ63" s="16"/>
      <c r="AOR63" s="16"/>
      <c r="AOS63" s="16"/>
      <c r="AOT63" s="16"/>
      <c r="AOU63" s="16"/>
      <c r="AOV63" s="16"/>
      <c r="AOW63" s="16"/>
      <c r="AOX63" s="16"/>
      <c r="AOY63" s="16"/>
      <c r="AOZ63" s="16"/>
      <c r="APA63" s="16"/>
      <c r="APB63" s="16"/>
      <c r="APC63" s="16"/>
      <c r="APD63" s="16"/>
      <c r="APE63" s="16"/>
      <c r="APF63" s="16"/>
      <c r="APG63" s="16"/>
      <c r="APH63" s="16"/>
      <c r="API63" s="16"/>
      <c r="APJ63" s="16"/>
      <c r="APK63" s="16"/>
      <c r="APL63" s="16"/>
      <c r="APM63" s="16"/>
      <c r="APN63" s="16"/>
      <c r="APO63" s="16"/>
      <c r="APP63" s="16"/>
      <c r="APQ63" s="16"/>
      <c r="APR63" s="16"/>
      <c r="APS63" s="16"/>
      <c r="APT63" s="16"/>
      <c r="APU63" s="16"/>
      <c r="APV63" s="16"/>
      <c r="APW63" s="16"/>
      <c r="APX63" s="16"/>
      <c r="APY63" s="16"/>
      <c r="APZ63" s="16"/>
      <c r="AQA63" s="16"/>
      <c r="AQB63" s="16"/>
      <c r="AQC63" s="16"/>
      <c r="AQD63" s="16"/>
      <c r="AQE63" s="16"/>
      <c r="AQF63" s="16"/>
      <c r="AQG63" s="16"/>
      <c r="AQH63" s="16"/>
      <c r="AQI63" s="16"/>
      <c r="AQJ63" s="16"/>
      <c r="AQK63" s="16"/>
      <c r="AQL63" s="16"/>
      <c r="AQM63" s="16"/>
      <c r="AQN63" s="16"/>
      <c r="AQO63" s="16"/>
      <c r="AQP63" s="16"/>
      <c r="AQQ63" s="16"/>
      <c r="AQR63" s="16"/>
      <c r="AQS63" s="16"/>
      <c r="AQT63" s="16"/>
      <c r="AQU63" s="16"/>
      <c r="AQV63" s="16"/>
      <c r="AQW63" s="16"/>
      <c r="AQX63" s="16"/>
      <c r="AQY63" s="16"/>
      <c r="AQZ63" s="16"/>
      <c r="ARA63" s="16"/>
      <c r="ARB63" s="16"/>
      <c r="ARC63" s="16"/>
      <c r="ARD63" s="16"/>
      <c r="ARE63" s="16"/>
      <c r="ARF63" s="16"/>
      <c r="ARG63" s="16"/>
      <c r="ARH63" s="16"/>
      <c r="ARI63" s="16"/>
      <c r="ARJ63" s="16"/>
      <c r="ARK63" s="16"/>
      <c r="ARL63" s="16"/>
      <c r="ARM63" s="16"/>
      <c r="ARN63" s="16"/>
      <c r="ARO63" s="16"/>
      <c r="ARP63" s="16"/>
      <c r="ARQ63" s="16"/>
      <c r="ARR63" s="16"/>
      <c r="ARS63" s="16"/>
      <c r="ART63" s="16"/>
      <c r="ARU63" s="16"/>
      <c r="ARV63" s="16"/>
      <c r="ARW63" s="16"/>
      <c r="ARX63" s="16"/>
      <c r="ARY63" s="16"/>
      <c r="ARZ63" s="16"/>
      <c r="ASA63" s="16"/>
      <c r="ASB63" s="16"/>
      <c r="ASC63" s="16"/>
      <c r="ASD63" s="16"/>
      <c r="ASE63" s="16"/>
      <c r="ASF63" s="16"/>
      <c r="ASG63" s="16"/>
      <c r="ASH63" s="16"/>
      <c r="ASI63" s="16"/>
      <c r="ASJ63" s="16"/>
      <c r="ASK63" s="16"/>
      <c r="ASL63" s="16"/>
      <c r="ASM63" s="16"/>
      <c r="ASN63" s="16"/>
      <c r="ASO63" s="16"/>
      <c r="ASP63" s="16"/>
      <c r="ASQ63" s="16"/>
      <c r="ASR63" s="16"/>
      <c r="ASS63" s="16"/>
      <c r="AST63" s="16"/>
      <c r="ASU63" s="16"/>
      <c r="ASV63" s="16"/>
      <c r="ASW63" s="16"/>
      <c r="ASX63" s="16"/>
      <c r="ASY63" s="16"/>
      <c r="ASZ63" s="16"/>
      <c r="ATA63" s="16"/>
      <c r="ATB63" s="16"/>
      <c r="ATC63" s="16"/>
      <c r="ATD63" s="16"/>
      <c r="ATE63" s="16"/>
      <c r="ATF63" s="16"/>
      <c r="ATG63" s="16"/>
      <c r="ATH63" s="16"/>
      <c r="ATI63" s="16"/>
      <c r="ATJ63" s="16"/>
      <c r="ATK63" s="16"/>
      <c r="ATL63" s="16"/>
      <c r="ATM63" s="16"/>
      <c r="ATN63" s="16"/>
      <c r="ATO63" s="16"/>
      <c r="ATP63" s="16"/>
      <c r="ATQ63" s="16"/>
      <c r="ATR63" s="16"/>
      <c r="ATS63" s="16"/>
      <c r="ATT63" s="16"/>
      <c r="ATU63" s="16"/>
      <c r="ATV63" s="16"/>
      <c r="ATW63" s="16"/>
      <c r="ATX63" s="16"/>
      <c r="ATY63" s="16"/>
      <c r="ATZ63" s="16"/>
      <c r="AUA63" s="16"/>
      <c r="AUB63" s="16"/>
      <c r="AUC63" s="16"/>
      <c r="AUD63" s="16"/>
      <c r="AUE63" s="16"/>
      <c r="AUF63" s="16"/>
      <c r="AUG63" s="16"/>
      <c r="AUH63" s="16"/>
      <c r="AUI63" s="16"/>
      <c r="AUJ63" s="16"/>
      <c r="AUK63" s="16"/>
      <c r="AUL63" s="16"/>
      <c r="AUM63" s="16"/>
      <c r="AUN63" s="16"/>
      <c r="AUO63" s="16"/>
      <c r="AUP63" s="16"/>
      <c r="AUQ63" s="16"/>
      <c r="AUR63" s="16"/>
      <c r="AUS63" s="16"/>
      <c r="AUT63" s="16"/>
      <c r="AUU63" s="16"/>
      <c r="AUV63" s="16"/>
      <c r="AUW63" s="16"/>
      <c r="AUX63" s="16"/>
      <c r="AUY63" s="16"/>
      <c r="AUZ63" s="16"/>
      <c r="AVA63" s="16"/>
      <c r="AVB63" s="16"/>
      <c r="AVC63" s="16"/>
      <c r="AVD63" s="16"/>
      <c r="AVE63" s="16"/>
      <c r="AVF63" s="16"/>
      <c r="AVG63" s="16"/>
      <c r="AVH63" s="16"/>
      <c r="AVI63" s="16"/>
      <c r="AVJ63" s="16"/>
      <c r="AVK63" s="16"/>
      <c r="AVL63" s="16"/>
      <c r="AVM63" s="16"/>
      <c r="AVN63" s="16"/>
      <c r="AVO63" s="16"/>
      <c r="AVP63" s="16"/>
      <c r="AVQ63" s="16"/>
      <c r="AVR63" s="16"/>
      <c r="AVS63" s="16"/>
      <c r="AVT63" s="16"/>
      <c r="AVU63" s="16"/>
      <c r="AVV63" s="16"/>
      <c r="AVW63" s="16"/>
      <c r="AVX63" s="16"/>
      <c r="AVY63" s="16"/>
      <c r="AVZ63" s="16"/>
      <c r="AWA63" s="16"/>
      <c r="AWB63" s="16"/>
      <c r="AWC63" s="16"/>
      <c r="AWD63" s="16"/>
      <c r="AWE63" s="16"/>
      <c r="AWF63" s="16"/>
      <c r="AWG63" s="16"/>
      <c r="AWH63" s="16"/>
      <c r="AWI63" s="16"/>
      <c r="AWJ63" s="16"/>
      <c r="AWK63" s="16"/>
      <c r="AWL63" s="16"/>
      <c r="AWM63" s="16"/>
      <c r="AWN63" s="16"/>
      <c r="AWO63" s="16"/>
      <c r="AWP63" s="16"/>
      <c r="AWQ63" s="16"/>
      <c r="AWR63" s="16"/>
      <c r="AWS63" s="16"/>
      <c r="AWT63" s="16"/>
      <c r="AWU63" s="16"/>
      <c r="AWV63" s="16"/>
      <c r="AWW63" s="16"/>
      <c r="AWX63" s="16"/>
      <c r="AWY63" s="16"/>
      <c r="AWZ63" s="16"/>
      <c r="AXA63" s="16"/>
      <c r="AXB63" s="16"/>
      <c r="AXC63" s="16"/>
      <c r="AXD63" s="16"/>
      <c r="AXE63" s="16"/>
      <c r="AXF63" s="16"/>
      <c r="AXG63" s="16"/>
      <c r="AXH63" s="16"/>
      <c r="AXI63" s="16"/>
      <c r="AXJ63" s="16"/>
      <c r="AXK63" s="16"/>
      <c r="AXL63" s="16"/>
      <c r="AXM63" s="16"/>
      <c r="AXN63" s="16"/>
      <c r="AXO63" s="16"/>
      <c r="AXP63" s="16"/>
      <c r="AXQ63" s="16"/>
      <c r="AXR63" s="16"/>
      <c r="AXS63" s="16"/>
      <c r="AXT63" s="16"/>
      <c r="AXU63" s="16"/>
      <c r="AXV63" s="16"/>
      <c r="AXW63" s="16"/>
      <c r="AXX63" s="16"/>
      <c r="AXY63" s="16"/>
      <c r="AXZ63" s="16"/>
      <c r="AYA63" s="16"/>
      <c r="AYB63" s="16"/>
      <c r="AYC63" s="16"/>
      <c r="AYD63" s="16"/>
      <c r="AYE63" s="16"/>
      <c r="AYF63" s="16"/>
      <c r="AYG63" s="16"/>
      <c r="AYH63" s="16"/>
      <c r="AYI63" s="16"/>
      <c r="AYJ63" s="16"/>
      <c r="AYK63" s="16"/>
      <c r="AYL63" s="16"/>
      <c r="AYM63" s="16"/>
      <c r="AYN63" s="16"/>
      <c r="AYO63" s="16"/>
      <c r="AYP63" s="16"/>
      <c r="AYQ63" s="16"/>
      <c r="AYR63" s="16"/>
      <c r="AYS63" s="16"/>
      <c r="AYT63" s="16"/>
      <c r="AYU63" s="16"/>
      <c r="AYV63" s="16"/>
      <c r="AYW63" s="16"/>
      <c r="AYX63" s="16"/>
      <c r="AYY63" s="16"/>
      <c r="AYZ63" s="16"/>
      <c r="AZA63" s="16"/>
      <c r="AZB63" s="16"/>
      <c r="AZC63" s="16"/>
      <c r="AZD63" s="16"/>
      <c r="AZE63" s="16"/>
      <c r="AZF63" s="16"/>
      <c r="AZG63" s="16"/>
      <c r="AZH63" s="16"/>
      <c r="AZI63" s="16"/>
      <c r="AZJ63" s="16"/>
      <c r="AZK63" s="16"/>
      <c r="AZL63" s="16"/>
      <c r="AZM63" s="16"/>
      <c r="AZN63" s="16"/>
      <c r="AZO63" s="16"/>
      <c r="AZP63" s="16"/>
      <c r="AZQ63" s="16"/>
      <c r="AZR63" s="16"/>
      <c r="AZS63" s="16"/>
      <c r="AZT63" s="16"/>
      <c r="AZU63" s="16"/>
      <c r="AZV63" s="16"/>
      <c r="AZW63" s="16"/>
      <c r="AZX63" s="16"/>
      <c r="AZY63" s="16"/>
      <c r="AZZ63" s="16"/>
      <c r="BAA63" s="16"/>
      <c r="BAB63" s="16"/>
      <c r="BAC63" s="16"/>
      <c r="BAD63" s="16"/>
      <c r="BAE63" s="16"/>
      <c r="BAF63" s="16"/>
      <c r="BAG63" s="16"/>
      <c r="BAH63" s="16"/>
      <c r="BAI63" s="16"/>
      <c r="BAJ63" s="16"/>
      <c r="BAK63" s="16"/>
      <c r="BAL63" s="16"/>
      <c r="BAM63" s="16"/>
      <c r="BAN63" s="16"/>
      <c r="BAO63" s="16"/>
      <c r="BAP63" s="16"/>
      <c r="BAQ63" s="16"/>
      <c r="BAR63" s="16"/>
      <c r="BAS63" s="16"/>
      <c r="BAT63" s="16"/>
      <c r="BAU63" s="16"/>
      <c r="BAV63" s="16"/>
      <c r="BAW63" s="16"/>
      <c r="BAX63" s="16"/>
      <c r="BAY63" s="16"/>
      <c r="BAZ63" s="16"/>
      <c r="BBA63" s="16"/>
      <c r="BBB63" s="16"/>
      <c r="BBC63" s="16"/>
      <c r="BBD63" s="16"/>
      <c r="BBE63" s="16"/>
      <c r="BBF63" s="16"/>
      <c r="BBG63" s="16"/>
      <c r="BBH63" s="16"/>
      <c r="BBI63" s="16"/>
      <c r="BBJ63" s="16"/>
      <c r="BBK63" s="16"/>
      <c r="BBL63" s="16"/>
      <c r="BBM63" s="16"/>
      <c r="BBN63" s="16"/>
      <c r="BBO63" s="16"/>
      <c r="BBP63" s="16"/>
      <c r="BBQ63" s="16"/>
      <c r="BBR63" s="16"/>
      <c r="BBS63" s="16"/>
      <c r="BBT63" s="16"/>
      <c r="BBU63" s="16"/>
      <c r="BBV63" s="16"/>
      <c r="BBW63" s="16"/>
      <c r="BBX63" s="16"/>
      <c r="BBY63" s="16"/>
      <c r="BBZ63" s="16"/>
      <c r="BCA63" s="16"/>
      <c r="BCB63" s="16"/>
      <c r="BCC63" s="16"/>
      <c r="BCD63" s="16"/>
      <c r="BCE63" s="16"/>
      <c r="BCF63" s="16"/>
      <c r="BCG63" s="16"/>
      <c r="BCH63" s="16"/>
      <c r="BCI63" s="16"/>
      <c r="BCJ63" s="16"/>
      <c r="BCK63" s="16"/>
      <c r="BCL63" s="16"/>
      <c r="BCM63" s="16"/>
      <c r="BCN63" s="16"/>
      <c r="BCO63" s="16"/>
      <c r="BCP63" s="16"/>
      <c r="BCQ63" s="16"/>
      <c r="BCR63" s="16"/>
      <c r="BCS63" s="16"/>
      <c r="BCT63" s="16"/>
      <c r="BCU63" s="16"/>
      <c r="BCV63" s="16"/>
      <c r="BCW63" s="16"/>
      <c r="BCX63" s="16"/>
      <c r="BCY63" s="16"/>
      <c r="BCZ63" s="16"/>
      <c r="BDA63" s="16"/>
      <c r="BDB63" s="16"/>
      <c r="BDC63" s="16"/>
      <c r="BDD63" s="16"/>
      <c r="BDE63" s="16"/>
      <c r="BDF63" s="16"/>
      <c r="BDG63" s="16"/>
      <c r="BDH63" s="16"/>
      <c r="BDI63" s="16"/>
      <c r="BDJ63" s="16"/>
      <c r="BDK63" s="16"/>
      <c r="BDL63" s="16"/>
      <c r="BDM63" s="16"/>
      <c r="BDN63" s="16"/>
      <c r="BDO63" s="16"/>
      <c r="BDP63" s="16"/>
      <c r="BDQ63" s="16"/>
      <c r="BDR63" s="16"/>
      <c r="BDS63" s="16"/>
      <c r="BDT63" s="16"/>
      <c r="BDU63" s="16"/>
      <c r="BDV63" s="16"/>
      <c r="BDW63" s="16"/>
      <c r="BDX63" s="16"/>
      <c r="BDY63" s="16"/>
      <c r="BDZ63" s="16"/>
      <c r="BEA63" s="16"/>
      <c r="BEB63" s="16"/>
      <c r="BEC63" s="16"/>
      <c r="BED63" s="16"/>
      <c r="BEE63" s="16"/>
      <c r="BEF63" s="16"/>
      <c r="BEG63" s="16"/>
      <c r="BEH63" s="16"/>
      <c r="BEI63" s="16"/>
      <c r="BEJ63" s="16"/>
      <c r="BEK63" s="16"/>
      <c r="BEL63" s="16"/>
      <c r="BEM63" s="16"/>
      <c r="BEN63" s="16"/>
      <c r="BEO63" s="16"/>
      <c r="BEP63" s="16"/>
      <c r="BEQ63" s="16"/>
      <c r="BER63" s="16"/>
      <c r="BES63" s="16"/>
      <c r="BET63" s="16"/>
      <c r="BEU63" s="16"/>
      <c r="BEV63" s="16"/>
      <c r="BEW63" s="16"/>
      <c r="BEX63" s="16"/>
      <c r="BEY63" s="16"/>
      <c r="BEZ63" s="16"/>
      <c r="BFA63" s="16"/>
      <c r="BFB63" s="16"/>
      <c r="BFC63" s="16"/>
      <c r="BFD63" s="16"/>
      <c r="BFE63" s="16"/>
      <c r="BFF63" s="16"/>
      <c r="BFG63" s="16"/>
      <c r="BFH63" s="16"/>
      <c r="BFI63" s="16"/>
      <c r="BFJ63" s="16"/>
      <c r="BFK63" s="16"/>
      <c r="BFL63" s="16"/>
      <c r="BFM63" s="16"/>
      <c r="BFN63" s="16"/>
      <c r="BFO63" s="16"/>
      <c r="BFP63" s="16"/>
      <c r="BFQ63" s="16"/>
      <c r="BFR63" s="16"/>
      <c r="BFS63" s="16"/>
      <c r="BFT63" s="16"/>
      <c r="BFU63" s="16"/>
      <c r="BFV63" s="16"/>
      <c r="BFW63" s="16"/>
      <c r="BFX63" s="16"/>
      <c r="BFY63" s="16"/>
      <c r="BFZ63" s="16"/>
      <c r="BGA63" s="16"/>
      <c r="BGB63" s="16"/>
      <c r="BGC63" s="16"/>
      <c r="BGD63" s="16"/>
      <c r="BGE63" s="16"/>
      <c r="BGF63" s="16"/>
      <c r="BGG63" s="16"/>
      <c r="BGH63" s="16"/>
      <c r="BGI63" s="16"/>
      <c r="BGJ63" s="16"/>
      <c r="BGK63" s="16"/>
      <c r="BGL63" s="16"/>
      <c r="BGM63" s="16"/>
      <c r="BGN63" s="16"/>
      <c r="BGO63" s="16"/>
      <c r="BGP63" s="16"/>
      <c r="BGQ63" s="16"/>
      <c r="BGR63" s="16"/>
      <c r="BGS63" s="16"/>
      <c r="BGT63" s="16"/>
      <c r="BGU63" s="16"/>
      <c r="BGV63" s="16"/>
      <c r="BGW63" s="16"/>
      <c r="BGX63" s="16"/>
      <c r="BGY63" s="16"/>
      <c r="BGZ63" s="16"/>
      <c r="BHA63" s="16"/>
      <c r="BHB63" s="16"/>
      <c r="BHC63" s="16"/>
      <c r="BHD63" s="16"/>
      <c r="BHE63" s="16"/>
      <c r="BHF63" s="16"/>
      <c r="BHG63" s="16"/>
      <c r="BHH63" s="16"/>
      <c r="BHI63" s="16"/>
      <c r="BHJ63" s="16"/>
      <c r="BHK63" s="16"/>
      <c r="BHL63" s="16"/>
      <c r="BHM63" s="16"/>
      <c r="BHN63" s="16"/>
      <c r="BHO63" s="16"/>
      <c r="BHP63" s="16"/>
      <c r="BHQ63" s="16"/>
      <c r="BHR63" s="16"/>
      <c r="BHS63" s="16"/>
      <c r="BHT63" s="16"/>
      <c r="BHU63" s="16"/>
      <c r="BHV63" s="16"/>
      <c r="BHW63" s="16"/>
      <c r="BHX63" s="16"/>
      <c r="BHY63" s="16"/>
      <c r="BHZ63" s="16"/>
      <c r="BIA63" s="16"/>
      <c r="BIB63" s="16"/>
      <c r="BIC63" s="16"/>
      <c r="BID63" s="16"/>
      <c r="BIE63" s="16"/>
      <c r="BIF63" s="16"/>
      <c r="BIG63" s="16"/>
      <c r="BIH63" s="16"/>
      <c r="BII63" s="16"/>
      <c r="BIJ63" s="16"/>
      <c r="BIK63" s="16"/>
      <c r="BIL63" s="16"/>
      <c r="BIM63" s="16"/>
      <c r="BIN63" s="16"/>
      <c r="BIO63" s="16"/>
      <c r="BIP63" s="16"/>
      <c r="BIQ63" s="16"/>
      <c r="BIR63" s="16"/>
      <c r="BIS63" s="16"/>
      <c r="BIT63" s="16"/>
      <c r="BIU63" s="16"/>
      <c r="BIV63" s="16"/>
      <c r="BIW63" s="16"/>
      <c r="BIX63" s="16"/>
      <c r="BIY63" s="16"/>
      <c r="BIZ63" s="16"/>
      <c r="BJA63" s="16"/>
      <c r="BJB63" s="16"/>
      <c r="BJC63" s="16"/>
      <c r="BJD63" s="16"/>
      <c r="BJE63" s="16"/>
      <c r="BJF63" s="16"/>
      <c r="BJG63" s="16"/>
      <c r="BJH63" s="16"/>
      <c r="BJI63" s="16"/>
      <c r="BJJ63" s="16"/>
      <c r="BJK63" s="16"/>
      <c r="BJL63" s="16"/>
      <c r="BJM63" s="16"/>
      <c r="BJN63" s="16"/>
      <c r="BJO63" s="16"/>
      <c r="BJP63" s="16"/>
      <c r="BJQ63" s="16"/>
      <c r="BJR63" s="16"/>
      <c r="BJS63" s="16"/>
      <c r="BJT63" s="16"/>
      <c r="BJU63" s="16"/>
      <c r="BJV63" s="16"/>
      <c r="BJW63" s="16"/>
      <c r="BJX63" s="16"/>
      <c r="BJY63" s="16"/>
      <c r="BJZ63" s="16"/>
      <c r="BKA63" s="16"/>
      <c r="BKB63" s="16"/>
      <c r="BKC63" s="16"/>
      <c r="BKD63" s="16"/>
      <c r="BKE63" s="16"/>
      <c r="BKF63" s="16"/>
      <c r="BKG63" s="16"/>
      <c r="BKH63" s="16"/>
      <c r="BKI63" s="16"/>
      <c r="BKJ63" s="16"/>
      <c r="BKK63" s="16"/>
      <c r="BKL63" s="16"/>
      <c r="BKM63" s="16"/>
      <c r="BKN63" s="16"/>
      <c r="BKO63" s="16"/>
      <c r="BKP63" s="16"/>
      <c r="BKQ63" s="16"/>
      <c r="BKR63" s="16"/>
      <c r="BKS63" s="16"/>
      <c r="BKT63" s="16"/>
      <c r="BKU63" s="16"/>
      <c r="BKV63" s="16"/>
      <c r="BKW63" s="16"/>
      <c r="BKX63" s="16"/>
      <c r="BKY63" s="16"/>
      <c r="BKZ63" s="16"/>
      <c r="BLA63" s="16"/>
      <c r="BLB63" s="16"/>
      <c r="BLC63" s="16"/>
      <c r="BLD63" s="16"/>
      <c r="BLE63" s="16"/>
      <c r="BLF63" s="16"/>
      <c r="BLG63" s="16"/>
      <c r="BLH63" s="16"/>
      <c r="BLI63" s="16"/>
      <c r="BLJ63" s="16"/>
      <c r="BLK63" s="16"/>
      <c r="BLL63" s="16"/>
      <c r="BLM63" s="16"/>
      <c r="BLN63" s="16"/>
      <c r="BLO63" s="16"/>
      <c r="BLP63" s="16"/>
      <c r="BLQ63" s="16"/>
      <c r="BLR63" s="16"/>
      <c r="BLS63" s="16"/>
      <c r="BLT63" s="16"/>
      <c r="BLU63" s="16"/>
      <c r="BLV63" s="16"/>
      <c r="BLW63" s="16"/>
      <c r="BLX63" s="16"/>
      <c r="BLY63" s="16"/>
      <c r="BLZ63" s="16"/>
      <c r="BMA63" s="16"/>
      <c r="BMB63" s="16"/>
      <c r="BMC63" s="16"/>
      <c r="BMD63" s="16"/>
      <c r="BME63" s="16"/>
      <c r="BMF63" s="16"/>
      <c r="BMG63" s="16"/>
      <c r="BMH63" s="16"/>
      <c r="BMI63" s="16"/>
      <c r="BMJ63" s="16"/>
      <c r="BMK63" s="16"/>
      <c r="BML63" s="16"/>
      <c r="BMM63" s="16"/>
      <c r="BMN63" s="16"/>
      <c r="BMO63" s="16"/>
      <c r="BMP63" s="16"/>
      <c r="BMQ63" s="16"/>
      <c r="BMR63" s="16"/>
      <c r="BMS63" s="16"/>
      <c r="BMT63" s="16"/>
      <c r="BMU63" s="16"/>
      <c r="BMV63" s="16"/>
      <c r="BMW63" s="16"/>
      <c r="BMX63" s="16"/>
      <c r="BMY63" s="16"/>
      <c r="BMZ63" s="16"/>
      <c r="BNA63" s="16"/>
      <c r="BNB63" s="16"/>
      <c r="BNC63" s="16"/>
      <c r="BND63" s="16"/>
      <c r="BNE63" s="16"/>
      <c r="BNF63" s="16"/>
      <c r="BNG63" s="16"/>
      <c r="BNH63" s="16"/>
      <c r="BNI63" s="16"/>
      <c r="BNJ63" s="16"/>
      <c r="BNK63" s="16"/>
      <c r="BNL63" s="16"/>
      <c r="BNM63" s="16"/>
      <c r="BNN63" s="16"/>
      <c r="BNO63" s="16"/>
      <c r="BNP63" s="16"/>
      <c r="BNQ63" s="16"/>
      <c r="BNR63" s="16"/>
      <c r="BNS63" s="16"/>
      <c r="BNT63" s="16"/>
      <c r="BNU63" s="16"/>
      <c r="BNV63" s="16"/>
      <c r="BNW63" s="16"/>
      <c r="BNX63" s="16"/>
      <c r="BNY63" s="16"/>
      <c r="BNZ63" s="16"/>
      <c r="BOA63" s="16"/>
      <c r="BOB63" s="16"/>
      <c r="BOC63" s="16"/>
      <c r="BOD63" s="16"/>
      <c r="BOE63" s="16"/>
      <c r="BOF63" s="16"/>
      <c r="BOG63" s="16"/>
      <c r="BOH63" s="16"/>
      <c r="BOI63" s="16"/>
      <c r="BOJ63" s="16"/>
      <c r="BOK63" s="16"/>
      <c r="BOL63" s="16"/>
      <c r="BOM63" s="16"/>
      <c r="BON63" s="16"/>
      <c r="BOO63" s="16"/>
      <c r="BOP63" s="16"/>
      <c r="BOQ63" s="16"/>
      <c r="BOR63" s="16"/>
      <c r="BOS63" s="16"/>
      <c r="BOT63" s="16"/>
      <c r="BOU63" s="16"/>
      <c r="BOV63" s="16"/>
      <c r="BOW63" s="16"/>
      <c r="BOX63" s="16"/>
      <c r="BOY63" s="16"/>
      <c r="BOZ63" s="16"/>
      <c r="BPA63" s="16"/>
      <c r="BPB63" s="16"/>
      <c r="BPC63" s="16"/>
      <c r="BPD63" s="16"/>
      <c r="BPE63" s="16"/>
      <c r="BPF63" s="16"/>
      <c r="BPG63" s="16"/>
      <c r="BPH63" s="16"/>
      <c r="BPI63" s="16"/>
      <c r="BPJ63" s="16"/>
      <c r="BPK63" s="16"/>
      <c r="BPL63" s="16"/>
      <c r="BPM63" s="16"/>
      <c r="BPN63" s="16"/>
      <c r="BPO63" s="16"/>
      <c r="BPP63" s="16"/>
      <c r="BPQ63" s="16"/>
      <c r="BPR63" s="16"/>
      <c r="BPS63" s="16"/>
      <c r="BPT63" s="16"/>
      <c r="BPU63" s="16"/>
      <c r="BPV63" s="16"/>
      <c r="BPW63" s="16"/>
      <c r="BPX63" s="16"/>
      <c r="BPY63" s="16"/>
      <c r="BPZ63" s="16"/>
      <c r="BQA63" s="16"/>
      <c r="BQB63" s="16"/>
      <c r="BQC63" s="16"/>
      <c r="BQD63" s="16"/>
      <c r="BQE63" s="16"/>
      <c r="BQF63" s="16"/>
      <c r="BQG63" s="16"/>
      <c r="BQH63" s="16"/>
      <c r="BQI63" s="16"/>
      <c r="BQJ63" s="16"/>
      <c r="BQK63" s="16"/>
      <c r="BQL63" s="16"/>
      <c r="BQM63" s="16"/>
      <c r="BQN63" s="16"/>
      <c r="BQO63" s="16"/>
      <c r="BQP63" s="16"/>
      <c r="BQQ63" s="16"/>
      <c r="BQR63" s="16"/>
      <c r="BQS63" s="16"/>
      <c r="BQT63" s="16"/>
      <c r="BQU63" s="16"/>
      <c r="BQV63" s="16"/>
      <c r="BQW63" s="16"/>
      <c r="BQX63" s="16"/>
      <c r="BQY63" s="16"/>
      <c r="BQZ63" s="16"/>
      <c r="BRA63" s="16"/>
      <c r="BRB63" s="16"/>
      <c r="BRC63" s="16"/>
      <c r="BRD63" s="16"/>
      <c r="BRE63" s="16"/>
      <c r="BRF63" s="16"/>
      <c r="BRG63" s="16"/>
      <c r="BRH63" s="16"/>
      <c r="BRI63" s="16"/>
      <c r="BRJ63" s="16"/>
      <c r="BRK63" s="16"/>
      <c r="BRL63" s="16"/>
      <c r="BRM63" s="16"/>
      <c r="BRN63" s="16"/>
      <c r="BRO63" s="16"/>
      <c r="BRP63" s="16"/>
      <c r="BRQ63" s="16"/>
      <c r="BRR63" s="16"/>
      <c r="BRS63" s="16"/>
      <c r="BRT63" s="16"/>
      <c r="BRU63" s="16"/>
      <c r="BRV63" s="16"/>
      <c r="BRW63" s="16"/>
      <c r="BRX63" s="16"/>
      <c r="BRY63" s="16"/>
      <c r="BRZ63" s="16"/>
      <c r="BSA63" s="16"/>
      <c r="BSB63" s="16"/>
      <c r="BSC63" s="16"/>
      <c r="BSD63" s="16"/>
      <c r="BSE63" s="16"/>
      <c r="BSF63" s="16"/>
      <c r="BSG63" s="16"/>
      <c r="BSH63" s="16"/>
      <c r="BSI63" s="16"/>
      <c r="BSJ63" s="16"/>
      <c r="BSK63" s="16"/>
      <c r="BSL63" s="16"/>
      <c r="BSM63" s="16"/>
      <c r="BSN63" s="16"/>
      <c r="BSO63" s="16"/>
      <c r="BSP63" s="16"/>
      <c r="BSQ63" s="16"/>
      <c r="BSR63" s="16"/>
      <c r="BSS63" s="16"/>
      <c r="BST63" s="16"/>
      <c r="BSU63" s="16"/>
      <c r="BSV63" s="16"/>
      <c r="BSW63" s="16"/>
      <c r="BSX63" s="16"/>
      <c r="BSY63" s="16"/>
      <c r="BSZ63" s="16"/>
      <c r="BTA63" s="16"/>
      <c r="BTB63" s="16"/>
      <c r="BTC63" s="16"/>
      <c r="BTD63" s="16"/>
      <c r="BTE63" s="16"/>
      <c r="BTF63" s="16"/>
      <c r="BTG63" s="16"/>
      <c r="BTH63" s="16"/>
      <c r="BTI63" s="16"/>
      <c r="BTJ63" s="16"/>
      <c r="BTK63" s="16"/>
      <c r="BTL63" s="16"/>
      <c r="BTM63" s="16"/>
      <c r="BTN63" s="16"/>
      <c r="BTO63" s="16"/>
      <c r="BTP63" s="16"/>
      <c r="BTQ63" s="16"/>
      <c r="BTR63" s="16"/>
      <c r="BTS63" s="16"/>
      <c r="BTT63" s="16"/>
      <c r="BTU63" s="16"/>
      <c r="BTV63" s="16"/>
      <c r="BTW63" s="16"/>
      <c r="BTX63" s="16"/>
      <c r="BTY63" s="16"/>
      <c r="BTZ63" s="16"/>
      <c r="BUA63" s="16"/>
      <c r="BUB63" s="16"/>
      <c r="BUC63" s="16"/>
      <c r="BUD63" s="16"/>
      <c r="BUE63" s="16"/>
      <c r="BUF63" s="16"/>
      <c r="BUG63" s="16"/>
      <c r="BUH63" s="16"/>
      <c r="BUI63" s="16"/>
      <c r="BUJ63" s="16"/>
      <c r="BUK63" s="16"/>
      <c r="BUL63" s="16"/>
      <c r="BUM63" s="16"/>
      <c r="BUN63" s="16"/>
      <c r="BUO63" s="16"/>
      <c r="BUP63" s="16"/>
      <c r="BUQ63" s="16"/>
      <c r="BUR63" s="16"/>
      <c r="BUS63" s="16"/>
      <c r="BUT63" s="16"/>
      <c r="BUU63" s="16"/>
      <c r="BUV63" s="16"/>
      <c r="BUW63" s="16"/>
      <c r="BUX63" s="16"/>
      <c r="BUY63" s="16"/>
      <c r="BUZ63" s="16"/>
      <c r="BVA63" s="16"/>
      <c r="BVB63" s="16"/>
      <c r="BVC63" s="16"/>
      <c r="BVD63" s="16"/>
      <c r="BVE63" s="16"/>
      <c r="BVF63" s="16"/>
      <c r="BVG63" s="16"/>
      <c r="BVH63" s="16"/>
      <c r="BVI63" s="16"/>
      <c r="BVJ63" s="16"/>
      <c r="BVK63" s="16"/>
      <c r="BVL63" s="16"/>
      <c r="BVM63" s="16"/>
      <c r="BVN63" s="16"/>
      <c r="BVO63" s="16"/>
      <c r="BVP63" s="16"/>
      <c r="BVQ63" s="16"/>
      <c r="BVR63" s="16"/>
      <c r="BVS63" s="16"/>
      <c r="BVT63" s="16"/>
      <c r="BVU63" s="16"/>
      <c r="BVV63" s="16"/>
      <c r="BVW63" s="16"/>
      <c r="BVX63" s="16"/>
      <c r="BVY63" s="16"/>
      <c r="BVZ63" s="16"/>
      <c r="BWA63" s="16"/>
      <c r="BWB63" s="16"/>
      <c r="BWC63" s="16"/>
      <c r="BWD63" s="16"/>
      <c r="BWE63" s="16"/>
      <c r="BWF63" s="16"/>
      <c r="BWG63" s="16"/>
      <c r="BWH63" s="16"/>
      <c r="BWI63" s="16"/>
      <c r="BWJ63" s="16"/>
      <c r="BWK63" s="16"/>
      <c r="BWL63" s="16"/>
      <c r="BWM63" s="16"/>
      <c r="BWN63" s="16"/>
      <c r="BWO63" s="16"/>
      <c r="BWP63" s="16"/>
      <c r="BWQ63" s="16"/>
      <c r="BWR63" s="16"/>
      <c r="BWS63" s="16"/>
      <c r="BWT63" s="16"/>
      <c r="BWU63" s="16"/>
      <c r="BWV63" s="16"/>
      <c r="BWW63" s="16"/>
      <c r="BWX63" s="16"/>
      <c r="BWY63" s="16"/>
      <c r="BWZ63" s="16"/>
      <c r="BXA63" s="16"/>
      <c r="BXB63" s="16"/>
      <c r="BXC63" s="16"/>
      <c r="BXD63" s="16"/>
      <c r="BXE63" s="16"/>
      <c r="BXF63" s="16"/>
      <c r="BXG63" s="16"/>
      <c r="BXH63" s="16"/>
      <c r="BXI63" s="16"/>
      <c r="BXJ63" s="16"/>
      <c r="BXK63" s="16"/>
      <c r="BXL63" s="16"/>
      <c r="BXM63" s="16"/>
      <c r="BXN63" s="16"/>
      <c r="BXO63" s="16"/>
      <c r="BXP63" s="16"/>
      <c r="BXQ63" s="16"/>
      <c r="BXR63" s="16"/>
      <c r="BXS63" s="16"/>
      <c r="BXT63" s="16"/>
      <c r="BXU63" s="16"/>
      <c r="BXV63" s="16"/>
      <c r="BXW63" s="16"/>
      <c r="BXX63" s="16"/>
      <c r="BXY63" s="16"/>
      <c r="BXZ63" s="16"/>
      <c r="BYA63" s="16"/>
      <c r="BYB63" s="16"/>
      <c r="BYC63" s="16"/>
      <c r="BYD63" s="16"/>
      <c r="BYE63" s="16"/>
      <c r="BYF63" s="16"/>
      <c r="BYG63" s="16"/>
      <c r="BYH63" s="16"/>
      <c r="BYI63" s="16"/>
      <c r="BYJ63" s="16"/>
      <c r="BYK63" s="16"/>
      <c r="BYL63" s="16"/>
      <c r="BYM63" s="16"/>
      <c r="BYN63" s="16"/>
      <c r="BYO63" s="16"/>
      <c r="BYP63" s="16"/>
      <c r="BYQ63" s="16"/>
      <c r="BYR63" s="16"/>
      <c r="BYS63" s="16"/>
      <c r="BYT63" s="16"/>
      <c r="BYU63" s="16"/>
      <c r="BYV63" s="16"/>
      <c r="BYW63" s="16"/>
      <c r="BYX63" s="16"/>
      <c r="BYY63" s="16"/>
      <c r="BYZ63" s="16"/>
      <c r="BZA63" s="16"/>
      <c r="BZB63" s="16"/>
      <c r="BZC63" s="16"/>
      <c r="BZD63" s="16"/>
      <c r="BZE63" s="16"/>
      <c r="BZF63" s="16"/>
      <c r="BZG63" s="16"/>
      <c r="BZH63" s="16"/>
      <c r="BZI63" s="16"/>
      <c r="BZJ63" s="16"/>
      <c r="BZK63" s="16"/>
      <c r="BZL63" s="16"/>
      <c r="BZM63" s="16"/>
      <c r="BZN63" s="16"/>
      <c r="BZO63" s="16"/>
      <c r="BZP63" s="16"/>
      <c r="BZQ63" s="16"/>
      <c r="BZR63" s="16"/>
      <c r="BZS63" s="16"/>
      <c r="BZT63" s="16"/>
      <c r="BZU63" s="16"/>
      <c r="BZV63" s="16"/>
      <c r="BZW63" s="16"/>
      <c r="BZX63" s="16"/>
      <c r="BZY63" s="16"/>
      <c r="BZZ63" s="16"/>
      <c r="CAA63" s="16"/>
      <c r="CAB63" s="16"/>
      <c r="CAC63" s="16"/>
      <c r="CAD63" s="16"/>
      <c r="CAE63" s="16"/>
      <c r="CAF63" s="16"/>
      <c r="CAG63" s="16"/>
      <c r="CAH63" s="16"/>
      <c r="CAI63" s="16"/>
      <c r="CAJ63" s="16"/>
      <c r="CAK63" s="16"/>
      <c r="CAL63" s="16"/>
      <c r="CAM63" s="16"/>
      <c r="CAN63" s="16"/>
      <c r="CAO63" s="16"/>
      <c r="CAP63" s="16"/>
      <c r="CAQ63" s="16"/>
      <c r="CAR63" s="16"/>
      <c r="CAS63" s="16"/>
      <c r="CAT63" s="16"/>
      <c r="CAU63" s="16"/>
      <c r="CAV63" s="16"/>
      <c r="CAW63" s="16"/>
      <c r="CAX63" s="16"/>
      <c r="CAY63" s="16"/>
      <c r="CAZ63" s="16"/>
      <c r="CBA63" s="16"/>
      <c r="CBB63" s="16"/>
      <c r="CBC63" s="16"/>
      <c r="CBD63" s="16"/>
      <c r="CBE63" s="16"/>
      <c r="CBF63" s="16"/>
      <c r="CBG63" s="16"/>
      <c r="CBH63" s="16"/>
      <c r="CBI63" s="16"/>
      <c r="CBJ63" s="16"/>
      <c r="CBK63" s="16"/>
      <c r="CBL63" s="16"/>
      <c r="CBM63" s="16"/>
      <c r="CBN63" s="16"/>
      <c r="CBO63" s="16"/>
      <c r="CBP63" s="16"/>
      <c r="CBQ63" s="16"/>
      <c r="CBR63" s="16"/>
      <c r="CBS63" s="16"/>
      <c r="CBT63" s="16"/>
      <c r="CBU63" s="16"/>
      <c r="CBV63" s="16"/>
      <c r="CBW63" s="16"/>
      <c r="CBX63" s="16"/>
      <c r="CBY63" s="16"/>
      <c r="CBZ63" s="16"/>
      <c r="CCA63" s="16"/>
      <c r="CCB63" s="16"/>
      <c r="CCC63" s="16"/>
      <c r="CCD63" s="16"/>
      <c r="CCE63" s="16"/>
      <c r="CCF63" s="16"/>
      <c r="CCG63" s="16"/>
      <c r="CCH63" s="16"/>
      <c r="CCI63" s="16"/>
      <c r="CCJ63" s="16"/>
      <c r="CCK63" s="16"/>
      <c r="CCL63" s="16"/>
      <c r="CCM63" s="16"/>
      <c r="CCN63" s="16"/>
      <c r="CCO63" s="16"/>
      <c r="CCP63" s="16"/>
      <c r="CCQ63" s="16"/>
      <c r="CCR63" s="16"/>
      <c r="CCS63" s="16"/>
      <c r="CCT63" s="16"/>
      <c r="CCU63" s="16"/>
      <c r="CCV63" s="16"/>
      <c r="CCW63" s="16"/>
      <c r="CCX63" s="16"/>
      <c r="CCY63" s="16"/>
      <c r="CCZ63" s="16"/>
      <c r="CDA63" s="16"/>
      <c r="CDB63" s="16"/>
      <c r="CDC63" s="16"/>
      <c r="CDD63" s="16"/>
      <c r="CDE63" s="16"/>
      <c r="CDF63" s="16"/>
      <c r="CDG63" s="16"/>
      <c r="CDH63" s="16"/>
      <c r="CDI63" s="16"/>
      <c r="CDJ63" s="16"/>
      <c r="CDK63" s="16"/>
      <c r="CDL63" s="16"/>
      <c r="CDM63" s="16"/>
      <c r="CDN63" s="16"/>
      <c r="CDO63" s="16"/>
      <c r="CDP63" s="16"/>
      <c r="CDQ63" s="16"/>
      <c r="CDR63" s="16"/>
      <c r="CDS63" s="16"/>
      <c r="CDT63" s="16"/>
      <c r="CDU63" s="16"/>
      <c r="CDV63" s="16"/>
      <c r="CDW63" s="16"/>
      <c r="CDX63" s="16"/>
      <c r="CDY63" s="16"/>
      <c r="CDZ63" s="16"/>
      <c r="CEA63" s="16"/>
      <c r="CEB63" s="16"/>
      <c r="CEC63" s="16"/>
      <c r="CED63" s="16"/>
      <c r="CEE63" s="16"/>
      <c r="CEF63" s="16"/>
      <c r="CEG63" s="16"/>
      <c r="CEH63" s="16"/>
      <c r="CEI63" s="16"/>
      <c r="CEJ63" s="16"/>
      <c r="CEK63" s="16"/>
      <c r="CEL63" s="16"/>
      <c r="CEM63" s="16"/>
      <c r="CEN63" s="16"/>
      <c r="CEO63" s="16"/>
      <c r="CEP63" s="16"/>
      <c r="CEQ63" s="16"/>
      <c r="CER63" s="16"/>
      <c r="CES63" s="16"/>
      <c r="CET63" s="16"/>
      <c r="CEU63" s="16"/>
      <c r="CEV63" s="16"/>
      <c r="CEW63" s="16"/>
      <c r="CEX63" s="16"/>
      <c r="CEY63" s="16"/>
      <c r="CEZ63" s="16"/>
      <c r="CFA63" s="16"/>
      <c r="CFB63" s="16"/>
      <c r="CFC63" s="16"/>
      <c r="CFD63" s="16"/>
      <c r="CFE63" s="16"/>
      <c r="CFF63" s="16"/>
      <c r="CFG63" s="16"/>
      <c r="CFH63" s="16"/>
      <c r="CFI63" s="16"/>
      <c r="CFJ63" s="16"/>
      <c r="CFK63" s="16"/>
      <c r="CFL63" s="16"/>
      <c r="CFM63" s="16"/>
      <c r="CFN63" s="16"/>
      <c r="CFO63" s="16"/>
      <c r="CFP63" s="16"/>
      <c r="CFQ63" s="16"/>
      <c r="CFR63" s="16"/>
      <c r="CFS63" s="16"/>
      <c r="CFT63" s="16"/>
      <c r="CFU63" s="16"/>
      <c r="CFV63" s="16"/>
      <c r="CFW63" s="16"/>
      <c r="CFX63" s="16"/>
      <c r="CFY63" s="16"/>
      <c r="CFZ63" s="16"/>
      <c r="CGA63" s="16"/>
      <c r="CGB63" s="16"/>
      <c r="CGC63" s="16"/>
      <c r="CGD63" s="16"/>
      <c r="CGE63" s="16"/>
      <c r="CGF63" s="16"/>
      <c r="CGG63" s="16"/>
      <c r="CGH63" s="16"/>
      <c r="CGI63" s="16"/>
      <c r="CGJ63" s="16"/>
      <c r="CGK63" s="16"/>
      <c r="CGL63" s="16"/>
      <c r="CGM63" s="16"/>
      <c r="CGN63" s="16"/>
      <c r="CGO63" s="16"/>
      <c r="CGP63" s="16"/>
      <c r="CGQ63" s="16"/>
      <c r="CGR63" s="16"/>
      <c r="CGS63" s="16"/>
      <c r="CGT63" s="16"/>
      <c r="CGU63" s="16"/>
      <c r="CGV63" s="16"/>
      <c r="CGW63" s="16"/>
      <c r="CGX63" s="16"/>
      <c r="CGY63" s="16"/>
      <c r="CGZ63" s="16"/>
      <c r="CHA63" s="16"/>
      <c r="CHB63" s="16"/>
      <c r="CHC63" s="16"/>
      <c r="CHD63" s="16"/>
      <c r="CHE63" s="16"/>
      <c r="CHF63" s="16"/>
      <c r="CHG63" s="16"/>
      <c r="CHH63" s="16"/>
      <c r="CHI63" s="16"/>
      <c r="CHJ63" s="16"/>
      <c r="CHK63" s="16"/>
      <c r="CHL63" s="16"/>
      <c r="CHM63" s="16"/>
      <c r="CHN63" s="16"/>
      <c r="CHO63" s="16"/>
      <c r="CHP63" s="16"/>
      <c r="CHQ63" s="16"/>
      <c r="CHR63" s="16"/>
      <c r="CHS63" s="16"/>
      <c r="CHT63" s="16"/>
      <c r="CHU63" s="16"/>
      <c r="CHV63" s="16"/>
      <c r="CHW63" s="16"/>
      <c r="CHX63" s="16"/>
      <c r="CHY63" s="16"/>
      <c r="CHZ63" s="16"/>
      <c r="CIA63" s="16"/>
      <c r="CIB63" s="16"/>
      <c r="CIC63" s="16"/>
      <c r="CID63" s="16"/>
      <c r="CIE63" s="16"/>
      <c r="CIF63" s="16"/>
      <c r="CIG63" s="16"/>
      <c r="CIH63" s="16"/>
      <c r="CII63" s="16"/>
      <c r="CIJ63" s="16"/>
      <c r="CIK63" s="16"/>
      <c r="CIL63" s="16"/>
      <c r="CIM63" s="16"/>
      <c r="CIN63" s="16"/>
      <c r="CIO63" s="16"/>
      <c r="CIP63" s="16"/>
      <c r="CIQ63" s="16"/>
      <c r="CIR63" s="16"/>
      <c r="CIS63" s="16"/>
      <c r="CIT63" s="16"/>
      <c r="CIU63" s="16"/>
      <c r="CIV63" s="16"/>
      <c r="CIW63" s="16"/>
      <c r="CIX63" s="16"/>
      <c r="CIY63" s="16"/>
      <c r="CIZ63" s="16"/>
      <c r="CJA63" s="16"/>
      <c r="CJB63" s="16"/>
      <c r="CJC63" s="16"/>
      <c r="CJD63" s="16"/>
      <c r="CJE63" s="16"/>
      <c r="CJF63" s="16"/>
      <c r="CJG63" s="16"/>
      <c r="CJH63" s="16"/>
      <c r="CJI63" s="16"/>
      <c r="CJJ63" s="16"/>
      <c r="CJK63" s="16"/>
      <c r="CJL63" s="16"/>
      <c r="CJM63" s="16"/>
      <c r="CJN63" s="16"/>
      <c r="CJO63" s="16"/>
      <c r="CJP63" s="16"/>
      <c r="CJQ63" s="16"/>
      <c r="CJR63" s="16"/>
      <c r="CJS63" s="16"/>
      <c r="CJT63" s="16"/>
      <c r="CJU63" s="16"/>
      <c r="CJV63" s="16"/>
      <c r="CJW63" s="16"/>
      <c r="CJX63" s="16"/>
      <c r="CJY63" s="16"/>
      <c r="CJZ63" s="16"/>
      <c r="CKA63" s="16"/>
      <c r="CKB63" s="16"/>
      <c r="CKC63" s="16"/>
      <c r="CKD63" s="16"/>
      <c r="CKE63" s="16"/>
      <c r="CKF63" s="16"/>
      <c r="CKG63" s="16"/>
      <c r="CKH63" s="16"/>
      <c r="CKI63" s="16"/>
      <c r="CKJ63" s="16"/>
      <c r="CKK63" s="16"/>
      <c r="CKL63" s="16"/>
      <c r="CKM63" s="16"/>
      <c r="CKN63" s="16"/>
      <c r="CKO63" s="16"/>
      <c r="CKP63" s="16"/>
      <c r="CKQ63" s="16"/>
      <c r="CKR63" s="16"/>
      <c r="CKS63" s="16"/>
      <c r="CKT63" s="16"/>
      <c r="CKU63" s="16"/>
      <c r="CKV63" s="16"/>
      <c r="CKW63" s="16"/>
      <c r="CKX63" s="16"/>
      <c r="CKY63" s="16"/>
      <c r="CKZ63" s="16"/>
      <c r="CLA63" s="16"/>
      <c r="CLB63" s="16"/>
      <c r="CLC63" s="16"/>
      <c r="CLD63" s="16"/>
      <c r="CLE63" s="16"/>
      <c r="CLF63" s="16"/>
      <c r="CLG63" s="16"/>
      <c r="CLH63" s="16"/>
      <c r="CLI63" s="16"/>
      <c r="CLJ63" s="16"/>
      <c r="CLK63" s="16"/>
      <c r="CLL63" s="16"/>
      <c r="CLM63" s="16"/>
      <c r="CLN63" s="16"/>
      <c r="CLO63" s="16"/>
      <c r="CLP63" s="16"/>
      <c r="CLQ63" s="16"/>
      <c r="CLR63" s="16"/>
      <c r="CLS63" s="16"/>
      <c r="CLT63" s="16"/>
      <c r="CLU63" s="16"/>
      <c r="CLV63" s="16"/>
      <c r="CLW63" s="16"/>
      <c r="CLX63" s="16"/>
      <c r="CLY63" s="16"/>
      <c r="CLZ63" s="16"/>
      <c r="CMA63" s="16"/>
      <c r="CMB63" s="16"/>
      <c r="CMC63" s="16"/>
      <c r="CMD63" s="16"/>
      <c r="CME63" s="16"/>
      <c r="CMF63" s="16"/>
      <c r="CMG63" s="16"/>
      <c r="CMH63" s="16"/>
      <c r="CMI63" s="16"/>
      <c r="CMJ63" s="16"/>
      <c r="CMK63" s="16"/>
      <c r="CML63" s="16"/>
      <c r="CMM63" s="16"/>
      <c r="CMN63" s="16"/>
      <c r="CMO63" s="16"/>
      <c r="CMP63" s="16"/>
      <c r="CMQ63" s="16"/>
      <c r="CMR63" s="16"/>
      <c r="CMS63" s="16"/>
      <c r="CMT63" s="16"/>
      <c r="CMU63" s="16"/>
      <c r="CMV63" s="16"/>
      <c r="CMW63" s="16"/>
      <c r="CMX63" s="16"/>
      <c r="CMY63" s="16"/>
      <c r="CMZ63" s="16"/>
      <c r="CNA63" s="16"/>
      <c r="CNB63" s="16"/>
      <c r="CNC63" s="16"/>
      <c r="CND63" s="16"/>
      <c r="CNE63" s="16"/>
      <c r="CNF63" s="16"/>
      <c r="CNG63" s="16"/>
      <c r="CNH63" s="16"/>
      <c r="CNI63" s="16"/>
      <c r="CNJ63" s="16"/>
      <c r="CNK63" s="16"/>
      <c r="CNL63" s="16"/>
      <c r="CNM63" s="16"/>
      <c r="CNN63" s="16"/>
      <c r="CNO63" s="16"/>
      <c r="CNP63" s="16"/>
      <c r="CNQ63" s="16"/>
      <c r="CNR63" s="16"/>
      <c r="CNS63" s="16"/>
      <c r="CNT63" s="16"/>
      <c r="CNU63" s="16"/>
      <c r="CNV63" s="16"/>
      <c r="CNW63" s="16"/>
      <c r="CNX63" s="16"/>
      <c r="CNY63" s="16"/>
      <c r="CNZ63" s="16"/>
      <c r="COA63" s="16"/>
      <c r="COB63" s="16"/>
      <c r="COC63" s="16"/>
      <c r="COD63" s="16"/>
      <c r="COE63" s="16"/>
      <c r="COF63" s="16"/>
      <c r="COG63" s="16"/>
      <c r="COH63" s="16"/>
      <c r="COI63" s="16"/>
      <c r="COJ63" s="16"/>
      <c r="COK63" s="16"/>
      <c r="COL63" s="16"/>
      <c r="COM63" s="16"/>
      <c r="CON63" s="16"/>
      <c r="COO63" s="16"/>
      <c r="COP63" s="16"/>
      <c r="COQ63" s="16"/>
      <c r="COR63" s="16"/>
      <c r="COS63" s="16"/>
      <c r="COT63" s="16"/>
      <c r="COU63" s="16"/>
      <c r="COV63" s="16"/>
      <c r="COW63" s="16"/>
      <c r="COX63" s="16"/>
      <c r="COY63" s="16"/>
      <c r="COZ63" s="16"/>
      <c r="CPA63" s="16"/>
      <c r="CPB63" s="16"/>
      <c r="CPC63" s="16"/>
      <c r="CPD63" s="16"/>
      <c r="CPE63" s="16"/>
      <c r="CPF63" s="16"/>
      <c r="CPG63" s="16"/>
      <c r="CPH63" s="16"/>
      <c r="CPI63" s="16"/>
      <c r="CPJ63" s="16"/>
      <c r="CPK63" s="16"/>
      <c r="CPL63" s="16"/>
      <c r="CPM63" s="16"/>
      <c r="CPN63" s="16"/>
      <c r="CPO63" s="16"/>
      <c r="CPP63" s="16"/>
      <c r="CPQ63" s="16"/>
      <c r="CPR63" s="16"/>
      <c r="CPS63" s="16"/>
      <c r="CPT63" s="16"/>
      <c r="CPU63" s="16"/>
      <c r="CPV63" s="16"/>
      <c r="CPW63" s="16"/>
      <c r="CPX63" s="16"/>
      <c r="CPY63" s="16"/>
      <c r="CPZ63" s="16"/>
      <c r="CQA63" s="16"/>
      <c r="CQB63" s="16"/>
      <c r="CQC63" s="16"/>
      <c r="CQD63" s="16"/>
      <c r="CQE63" s="16"/>
      <c r="CQF63" s="16"/>
      <c r="CQG63" s="16"/>
      <c r="CQH63" s="16"/>
      <c r="CQI63" s="16"/>
      <c r="CQJ63" s="16"/>
      <c r="CQK63" s="16"/>
      <c r="CQL63" s="16"/>
      <c r="CQM63" s="16"/>
      <c r="CQN63" s="16"/>
      <c r="CQO63" s="16"/>
      <c r="CQP63" s="16"/>
      <c r="CQQ63" s="16"/>
      <c r="CQR63" s="16"/>
      <c r="CQS63" s="16"/>
      <c r="CQT63" s="16"/>
      <c r="CQU63" s="16"/>
      <c r="CQV63" s="16"/>
      <c r="CQW63" s="16"/>
      <c r="CQX63" s="16"/>
      <c r="CQY63" s="16"/>
      <c r="CQZ63" s="16"/>
      <c r="CRA63" s="16"/>
      <c r="CRB63" s="16"/>
      <c r="CRC63" s="16"/>
      <c r="CRD63" s="16"/>
      <c r="CRE63" s="16"/>
      <c r="CRF63" s="16"/>
      <c r="CRG63" s="16"/>
      <c r="CRH63" s="16"/>
      <c r="CRI63" s="16"/>
      <c r="CRJ63" s="16"/>
      <c r="CRK63" s="16"/>
      <c r="CRL63" s="16"/>
      <c r="CRM63" s="16"/>
      <c r="CRN63" s="16"/>
      <c r="CRO63" s="16"/>
      <c r="CRP63" s="16"/>
      <c r="CRQ63" s="16"/>
      <c r="CRR63" s="16"/>
      <c r="CRS63" s="16"/>
      <c r="CRT63" s="16"/>
      <c r="CRU63" s="16"/>
      <c r="CRV63" s="16"/>
      <c r="CRW63" s="16"/>
      <c r="CRX63" s="16"/>
      <c r="CRY63" s="16"/>
      <c r="CRZ63" s="16"/>
      <c r="CSA63" s="16"/>
      <c r="CSB63" s="16"/>
      <c r="CSC63" s="16"/>
      <c r="CSD63" s="16"/>
      <c r="CSE63" s="16"/>
      <c r="CSF63" s="16"/>
      <c r="CSG63" s="16"/>
      <c r="CSH63" s="16"/>
      <c r="CSI63" s="16"/>
      <c r="CSJ63" s="16"/>
      <c r="CSK63" s="24"/>
      <c r="CSL63" s="16"/>
      <c r="CSM63" s="16"/>
      <c r="CSN63" s="16"/>
      <c r="CSO63" s="16"/>
      <c r="CSP63" s="16"/>
      <c r="CUG63" s="16"/>
      <c r="CUH63" s="16"/>
      <c r="CUI63" s="16"/>
      <c r="CUJ63" s="16"/>
      <c r="CUK63" s="16"/>
      <c r="CUL63" s="16"/>
      <c r="CUM63" s="16"/>
      <c r="CUN63" s="16"/>
      <c r="CUO63" s="16"/>
      <c r="CUP63" s="16"/>
      <c r="CUQ63" s="16"/>
      <c r="CUR63" s="16"/>
      <c r="CUS63" s="16"/>
      <c r="CUT63" s="16"/>
      <c r="CUU63" s="16"/>
      <c r="CUV63" s="16"/>
      <c r="CUW63" s="16"/>
      <c r="CUX63" s="16"/>
      <c r="CUY63" s="16"/>
      <c r="CUZ63" s="16"/>
      <c r="CVA63" s="16"/>
      <c r="CVB63" s="16"/>
      <c r="CVC63" s="16"/>
      <c r="CVD63" s="16"/>
      <c r="CVE63" s="16"/>
      <c r="CVF63" s="16"/>
      <c r="CVG63" s="16"/>
      <c r="CVH63" s="16"/>
      <c r="CVI63" s="16"/>
      <c r="CVJ63" s="16"/>
      <c r="CVK63" s="16"/>
      <c r="CVL63" s="16"/>
      <c r="CVM63" s="16"/>
      <c r="CVN63" s="16"/>
      <c r="CVO63" s="16"/>
      <c r="CVP63" s="16"/>
    </row>
    <row r="64" spans="1:2616" ht="13.8" x14ac:dyDescent="0.25">
      <c r="C64" s="57"/>
      <c r="E64" s="16"/>
      <c r="K64" s="59"/>
      <c r="L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6"/>
      <c r="FV64" s="16"/>
      <c r="FW64" s="16"/>
      <c r="FX64" s="16"/>
      <c r="FY64" s="16"/>
      <c r="FZ64" s="16"/>
      <c r="GA64" s="16"/>
      <c r="GB64" s="16"/>
      <c r="GC64" s="16"/>
      <c r="GD64" s="16"/>
      <c r="GE64" s="16"/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6"/>
      <c r="LU64" s="16"/>
      <c r="LV64" s="16"/>
      <c r="LW64" s="16"/>
      <c r="LX64" s="16"/>
      <c r="LY64" s="16"/>
      <c r="LZ64" s="16"/>
      <c r="MA64" s="16"/>
      <c r="MB64" s="16"/>
      <c r="MC64" s="16"/>
      <c r="MD64" s="16"/>
      <c r="ME64" s="16"/>
      <c r="MF64" s="16"/>
      <c r="MG64" s="16"/>
      <c r="MH64" s="16"/>
      <c r="MI64" s="16"/>
      <c r="MJ64" s="16"/>
      <c r="MK64" s="16"/>
      <c r="ML64" s="16"/>
      <c r="MM64" s="16"/>
      <c r="MN64" s="16"/>
      <c r="MO64" s="16"/>
      <c r="MP64" s="16"/>
      <c r="MQ64" s="16"/>
      <c r="MR64" s="16"/>
      <c r="MS64" s="16"/>
      <c r="MT64" s="16"/>
      <c r="MU64" s="16"/>
      <c r="MV64" s="16"/>
      <c r="MW64" s="16"/>
      <c r="MX64" s="16"/>
      <c r="MY64" s="16"/>
      <c r="MZ64" s="16"/>
      <c r="NA64" s="16"/>
      <c r="NB64" s="16"/>
      <c r="NC64" s="16"/>
      <c r="ND64" s="16"/>
      <c r="NE64" s="16"/>
      <c r="NF64" s="16"/>
      <c r="NG64" s="16"/>
      <c r="NH64" s="16"/>
      <c r="NI64" s="16"/>
      <c r="NJ64" s="16"/>
      <c r="NK64" s="16"/>
      <c r="NL64" s="16"/>
      <c r="NM64" s="16"/>
      <c r="NN64" s="16"/>
      <c r="NO64" s="16"/>
      <c r="NP64" s="16"/>
      <c r="NQ64" s="16"/>
      <c r="NR64" s="16"/>
      <c r="NS64" s="16"/>
      <c r="NT64" s="16"/>
      <c r="NU64" s="16"/>
      <c r="NV64" s="16"/>
      <c r="NW64" s="16"/>
      <c r="NX64" s="16"/>
      <c r="NY64" s="16"/>
      <c r="NZ64" s="16"/>
      <c r="OA64" s="16"/>
      <c r="OB64" s="16"/>
      <c r="OC64" s="16"/>
      <c r="OD64" s="16"/>
      <c r="OE64" s="16"/>
      <c r="OF64" s="16"/>
      <c r="OG64" s="16"/>
      <c r="OH64" s="16"/>
      <c r="OI64" s="16"/>
      <c r="OJ64" s="16"/>
      <c r="OK64" s="16"/>
      <c r="OL64" s="16"/>
      <c r="OM64" s="16"/>
      <c r="ON64" s="16"/>
      <c r="OO64" s="16"/>
      <c r="OP64" s="16"/>
      <c r="OQ64" s="16"/>
      <c r="OR64" s="16"/>
      <c r="OS64" s="16"/>
      <c r="OT64" s="16"/>
      <c r="OU64" s="16"/>
      <c r="OV64" s="16"/>
      <c r="OW64" s="16"/>
      <c r="OX64" s="16"/>
      <c r="OY64" s="16"/>
      <c r="OZ64" s="16"/>
      <c r="PA64" s="16"/>
      <c r="PB64" s="16"/>
      <c r="PC64" s="16"/>
      <c r="PD64" s="16"/>
      <c r="PE64" s="16"/>
      <c r="PF64" s="16"/>
      <c r="PG64" s="16"/>
      <c r="PH64" s="16"/>
      <c r="PI64" s="16"/>
      <c r="PJ64" s="16"/>
      <c r="PK64" s="16"/>
      <c r="PL64" s="16"/>
      <c r="PM64" s="16"/>
      <c r="PN64" s="16"/>
      <c r="PO64" s="16"/>
      <c r="PP64" s="16"/>
      <c r="PQ64" s="16"/>
      <c r="PR64" s="16"/>
      <c r="PS64" s="16"/>
      <c r="PT64" s="16"/>
      <c r="PU64" s="16"/>
      <c r="PV64" s="16"/>
      <c r="PW64" s="16"/>
      <c r="PX64" s="16"/>
      <c r="PY64" s="16"/>
      <c r="PZ64" s="16"/>
      <c r="QA64" s="16"/>
      <c r="QB64" s="16"/>
      <c r="QC64" s="16"/>
      <c r="QD64" s="16"/>
      <c r="QE64" s="16"/>
      <c r="QF64" s="16"/>
      <c r="QG64" s="16"/>
      <c r="QH64" s="16"/>
      <c r="QI64" s="16"/>
      <c r="QJ64" s="16"/>
      <c r="QK64" s="16"/>
      <c r="QL64" s="16"/>
      <c r="QM64" s="16"/>
      <c r="QN64" s="16"/>
      <c r="QO64" s="16"/>
      <c r="QP64" s="16"/>
      <c r="QQ64" s="16"/>
      <c r="QR64" s="16"/>
      <c r="QS64" s="16"/>
      <c r="QT64" s="16"/>
      <c r="QU64" s="16"/>
      <c r="QV64" s="16"/>
      <c r="QW64" s="16"/>
      <c r="QX64" s="16"/>
      <c r="QY64" s="16"/>
      <c r="QZ64" s="16"/>
      <c r="RA64" s="16"/>
      <c r="RB64" s="16"/>
      <c r="RC64" s="16"/>
      <c r="RD64" s="16"/>
      <c r="RE64" s="16"/>
      <c r="RF64" s="16"/>
      <c r="RG64" s="16"/>
      <c r="RH64" s="16"/>
      <c r="RI64" s="16"/>
      <c r="RJ64" s="16"/>
      <c r="RK64" s="16"/>
      <c r="RL64" s="16"/>
      <c r="RM64" s="16"/>
      <c r="RN64" s="16"/>
      <c r="RO64" s="16"/>
      <c r="RP64" s="16"/>
      <c r="RQ64" s="16"/>
      <c r="RR64" s="16"/>
      <c r="RS64" s="16"/>
      <c r="RT64" s="16"/>
      <c r="RU64" s="16"/>
      <c r="RV64" s="16"/>
      <c r="RW64" s="16"/>
      <c r="RX64" s="16"/>
      <c r="RY64" s="16"/>
      <c r="RZ64" s="16"/>
      <c r="SA64" s="16"/>
      <c r="SB64" s="16"/>
      <c r="SC64" s="16"/>
      <c r="SD64" s="16"/>
      <c r="SE64" s="16"/>
      <c r="SF64" s="16"/>
      <c r="SG64" s="16"/>
      <c r="SH64" s="16"/>
      <c r="SI64" s="16"/>
      <c r="SJ64" s="16"/>
      <c r="SK64" s="16"/>
      <c r="SL64" s="16"/>
      <c r="SM64" s="16"/>
      <c r="SN64" s="16"/>
      <c r="SO64" s="16"/>
      <c r="SP64" s="16"/>
      <c r="SQ64" s="16"/>
      <c r="SR64" s="16"/>
      <c r="SS64" s="16"/>
      <c r="ST64" s="16"/>
      <c r="SU64" s="16"/>
      <c r="SV64" s="16"/>
      <c r="SW64" s="16"/>
      <c r="SX64" s="16"/>
      <c r="SY64" s="16"/>
      <c r="SZ64" s="16"/>
      <c r="TA64" s="16"/>
      <c r="TB64" s="16"/>
      <c r="TC64" s="16"/>
      <c r="TD64" s="16"/>
      <c r="TE64" s="16"/>
      <c r="TF64" s="16"/>
      <c r="TG64" s="16"/>
      <c r="TH64" s="16"/>
      <c r="TI64" s="16"/>
      <c r="TJ64" s="16"/>
      <c r="TK64" s="16"/>
      <c r="TL64" s="16"/>
      <c r="TM64" s="16"/>
      <c r="TN64" s="16"/>
      <c r="TO64" s="16"/>
      <c r="TP64" s="16"/>
      <c r="TQ64" s="16"/>
      <c r="TR64" s="16"/>
      <c r="TS64" s="16"/>
      <c r="TT64" s="16"/>
      <c r="TU64" s="16"/>
      <c r="TV64" s="16"/>
      <c r="TW64" s="16"/>
      <c r="TX64" s="16"/>
      <c r="TY64" s="16"/>
      <c r="TZ64" s="16"/>
      <c r="UA64" s="16"/>
      <c r="UB64" s="16"/>
      <c r="UC64" s="16"/>
      <c r="UD64" s="16"/>
      <c r="UE64" s="16"/>
      <c r="UF64" s="16"/>
      <c r="UG64" s="16"/>
      <c r="UH64" s="16"/>
      <c r="UI64" s="16"/>
      <c r="UJ64" s="16"/>
      <c r="UK64" s="16"/>
      <c r="UL64" s="16"/>
      <c r="UM64" s="16"/>
      <c r="UN64" s="16"/>
      <c r="UO64" s="16"/>
      <c r="UP64" s="16"/>
      <c r="UQ64" s="16"/>
      <c r="UR64" s="16"/>
      <c r="US64" s="16"/>
      <c r="UT64" s="16"/>
      <c r="UU64" s="16"/>
      <c r="UV64" s="16"/>
      <c r="UW64" s="16"/>
      <c r="UX64" s="16"/>
      <c r="UY64" s="16"/>
      <c r="UZ64" s="16"/>
      <c r="VA64" s="16"/>
      <c r="VB64" s="16"/>
      <c r="VC64" s="16"/>
      <c r="VD64" s="16"/>
      <c r="VE64" s="16"/>
      <c r="VF64" s="16"/>
      <c r="VG64" s="16"/>
      <c r="VH64" s="16"/>
      <c r="VI64" s="16"/>
      <c r="VJ64" s="16"/>
      <c r="VK64" s="16"/>
      <c r="VL64" s="16"/>
      <c r="VM64" s="16"/>
      <c r="VN64" s="16"/>
      <c r="VO64" s="16"/>
      <c r="VP64" s="16"/>
      <c r="VQ64" s="16"/>
      <c r="VR64" s="16"/>
      <c r="VS64" s="16"/>
      <c r="VT64" s="16"/>
      <c r="VU64" s="16"/>
      <c r="VV64" s="16"/>
      <c r="VW64" s="16"/>
      <c r="VX64" s="16"/>
      <c r="VY64" s="16"/>
      <c r="VZ64" s="16"/>
      <c r="WA64" s="16"/>
      <c r="WB64" s="16"/>
      <c r="WC64" s="16"/>
      <c r="WD64" s="16"/>
      <c r="WE64" s="16"/>
      <c r="WF64" s="16"/>
      <c r="WG64" s="16"/>
      <c r="WH64" s="16"/>
      <c r="WI64" s="16"/>
      <c r="WJ64" s="16"/>
      <c r="WK64" s="16"/>
      <c r="WL64" s="16"/>
      <c r="WM64" s="16"/>
      <c r="WN64" s="16"/>
      <c r="WO64" s="16"/>
      <c r="WP64" s="16"/>
      <c r="WQ64" s="16"/>
      <c r="WR64" s="16"/>
      <c r="WS64" s="16"/>
      <c r="WT64" s="16"/>
      <c r="WU64" s="16"/>
      <c r="WV64" s="16"/>
      <c r="WW64" s="16"/>
      <c r="WX64" s="16"/>
      <c r="WY64" s="16"/>
      <c r="WZ64" s="16"/>
      <c r="XA64" s="16"/>
      <c r="XB64" s="16"/>
      <c r="XC64" s="16"/>
      <c r="XD64" s="16"/>
      <c r="XE64" s="16"/>
      <c r="XF64" s="16"/>
      <c r="XG64" s="16"/>
      <c r="XH64" s="16"/>
      <c r="XI64" s="16"/>
      <c r="XJ64" s="16"/>
      <c r="XK64" s="16"/>
      <c r="XL64" s="16"/>
      <c r="XM64" s="16"/>
      <c r="XN64" s="16"/>
      <c r="XO64" s="16"/>
      <c r="XP64" s="16"/>
      <c r="XQ64" s="16"/>
      <c r="XR64" s="16"/>
      <c r="XS64" s="16"/>
      <c r="XT64" s="16"/>
      <c r="XU64" s="16"/>
      <c r="XV64" s="16"/>
      <c r="XW64" s="16"/>
      <c r="XX64" s="16"/>
      <c r="XY64" s="16"/>
      <c r="XZ64" s="16"/>
      <c r="YA64" s="16"/>
      <c r="YB64" s="16"/>
      <c r="YC64" s="16"/>
      <c r="YD64" s="16"/>
      <c r="YE64" s="16"/>
      <c r="YF64" s="16"/>
      <c r="YG64" s="16"/>
      <c r="YH64" s="16"/>
      <c r="YI64" s="16"/>
      <c r="YJ64" s="16"/>
      <c r="YK64" s="16"/>
      <c r="YL64" s="16"/>
      <c r="YM64" s="16"/>
      <c r="YN64" s="16"/>
      <c r="YO64" s="16"/>
      <c r="YP64" s="16"/>
      <c r="YQ64" s="16"/>
      <c r="YR64" s="16"/>
      <c r="YS64" s="16"/>
      <c r="YT64" s="16"/>
      <c r="YU64" s="16"/>
      <c r="YV64" s="16"/>
      <c r="YW64" s="16"/>
      <c r="YX64" s="16"/>
      <c r="YY64" s="16"/>
      <c r="YZ64" s="16"/>
      <c r="ZA64" s="16"/>
      <c r="ZB64" s="16"/>
      <c r="ZC64" s="16"/>
      <c r="ZD64" s="16"/>
      <c r="ZE64" s="16"/>
      <c r="ZF64" s="16"/>
      <c r="ZG64" s="16"/>
      <c r="ZH64" s="16"/>
      <c r="ZI64" s="16"/>
      <c r="ZJ64" s="16"/>
      <c r="ZK64" s="16"/>
      <c r="ZL64" s="16"/>
      <c r="ZM64" s="16"/>
      <c r="ZN64" s="16"/>
      <c r="ZO64" s="16"/>
      <c r="ZP64" s="16"/>
      <c r="ZQ64" s="16"/>
      <c r="ZR64" s="16"/>
      <c r="ZS64" s="16"/>
      <c r="ZT64" s="16"/>
      <c r="ZU64" s="16"/>
      <c r="ZV64" s="16"/>
      <c r="ZW64" s="16"/>
      <c r="ZX64" s="16"/>
      <c r="ZY64" s="16"/>
      <c r="ZZ64" s="16"/>
      <c r="AAA64" s="16"/>
      <c r="AAB64" s="16"/>
      <c r="AAC64" s="16"/>
      <c r="AAD64" s="16"/>
      <c r="AAE64" s="16"/>
      <c r="AAF64" s="16"/>
      <c r="AAG64" s="16"/>
      <c r="AAH64" s="16"/>
      <c r="AAI64" s="16"/>
      <c r="AAJ64" s="16"/>
      <c r="AAK64" s="16"/>
      <c r="AAL64" s="16"/>
      <c r="AAM64" s="16"/>
      <c r="AAN64" s="16"/>
      <c r="AAO64" s="16"/>
      <c r="AAP64" s="16"/>
      <c r="AAQ64" s="16"/>
      <c r="AAR64" s="16"/>
      <c r="AAS64" s="16"/>
      <c r="AAT64" s="16"/>
      <c r="AAU64" s="16"/>
      <c r="AAV64" s="16"/>
      <c r="AAW64" s="16"/>
      <c r="AAX64" s="16"/>
      <c r="AAY64" s="16"/>
      <c r="AAZ64" s="16"/>
      <c r="ABA64" s="16"/>
      <c r="ABB64" s="16"/>
      <c r="ABC64" s="16"/>
      <c r="ABD64" s="16"/>
      <c r="ABE64" s="16"/>
      <c r="ABF64" s="16"/>
      <c r="ABG64" s="16"/>
      <c r="ABH64" s="16"/>
      <c r="ABI64" s="16"/>
      <c r="ABJ64" s="16"/>
      <c r="ABK64" s="16"/>
      <c r="ABL64" s="16"/>
      <c r="ABM64" s="16"/>
      <c r="ABN64" s="16"/>
      <c r="ABO64" s="16"/>
      <c r="ABP64" s="16"/>
      <c r="ABQ64" s="16"/>
      <c r="ABR64" s="16"/>
      <c r="ABS64" s="16"/>
      <c r="ABT64" s="16"/>
      <c r="ABU64" s="16"/>
      <c r="ABV64" s="16"/>
      <c r="ABW64" s="16"/>
      <c r="ABX64" s="16"/>
      <c r="ABY64" s="16"/>
      <c r="ABZ64" s="16"/>
      <c r="ACA64" s="16"/>
      <c r="ACB64" s="16"/>
      <c r="ACC64" s="16"/>
      <c r="ACD64" s="16"/>
      <c r="ACE64" s="16"/>
      <c r="ACF64" s="16"/>
      <c r="ACG64" s="16"/>
      <c r="ACH64" s="16"/>
      <c r="ACI64" s="16"/>
      <c r="ACJ64" s="16"/>
      <c r="ACK64" s="16"/>
      <c r="ACL64" s="16"/>
      <c r="ACM64" s="16"/>
      <c r="ACN64" s="16"/>
      <c r="ACO64" s="16"/>
      <c r="ACP64" s="16"/>
      <c r="ACQ64" s="16"/>
      <c r="ACR64" s="16"/>
      <c r="ACS64" s="16"/>
      <c r="ACT64" s="16"/>
      <c r="ACU64" s="16"/>
      <c r="ACV64" s="16"/>
      <c r="ACW64" s="16"/>
      <c r="ACX64" s="16"/>
      <c r="ACY64" s="16"/>
      <c r="ACZ64" s="16"/>
      <c r="ADA64" s="16"/>
      <c r="ADB64" s="16"/>
      <c r="ADC64" s="16"/>
      <c r="ADD64" s="16"/>
      <c r="ADE64" s="16"/>
      <c r="ADF64" s="16"/>
      <c r="ADG64" s="16"/>
      <c r="ADH64" s="16"/>
      <c r="ADI64" s="16"/>
      <c r="ADJ64" s="16"/>
      <c r="ADK64" s="16"/>
      <c r="ADL64" s="16"/>
      <c r="ADM64" s="16"/>
      <c r="ADN64" s="16"/>
      <c r="ADO64" s="16"/>
      <c r="ADP64" s="16"/>
      <c r="ADQ64" s="16"/>
      <c r="ADR64" s="16"/>
      <c r="ADS64" s="16"/>
      <c r="ADT64" s="16"/>
      <c r="ADU64" s="16"/>
      <c r="ADV64" s="16"/>
      <c r="ADW64" s="16"/>
      <c r="ADX64" s="16"/>
      <c r="ADY64" s="16"/>
      <c r="ADZ64" s="16"/>
      <c r="AEA64" s="16"/>
      <c r="AEB64" s="16"/>
      <c r="AEC64" s="16"/>
      <c r="AED64" s="16"/>
      <c r="AEE64" s="16"/>
      <c r="AEF64" s="16"/>
      <c r="AEG64" s="16"/>
      <c r="AEH64" s="16"/>
      <c r="AEI64" s="16"/>
      <c r="AEJ64" s="16"/>
      <c r="AEK64" s="16"/>
      <c r="AEL64" s="16"/>
      <c r="AEM64" s="16"/>
      <c r="AEN64" s="16"/>
      <c r="AEO64" s="16"/>
      <c r="AEP64" s="16"/>
      <c r="AEQ64" s="16"/>
      <c r="AER64" s="16"/>
      <c r="AES64" s="16"/>
      <c r="AET64" s="16"/>
      <c r="AEU64" s="16"/>
      <c r="AEV64" s="16"/>
      <c r="AEW64" s="16"/>
      <c r="AEX64" s="16"/>
      <c r="AEY64" s="16"/>
      <c r="AEZ64" s="16"/>
      <c r="AFA64" s="16"/>
      <c r="AFB64" s="16"/>
      <c r="AFC64" s="16"/>
      <c r="AFD64" s="16"/>
      <c r="AFE64" s="16"/>
      <c r="AFF64" s="16"/>
      <c r="AFG64" s="16"/>
      <c r="AFH64" s="16"/>
      <c r="AFI64" s="16"/>
      <c r="AFJ64" s="16"/>
      <c r="AFK64" s="16"/>
      <c r="AFL64" s="16"/>
      <c r="AFM64" s="16"/>
      <c r="AFN64" s="16"/>
      <c r="AFO64" s="16"/>
      <c r="AFP64" s="16"/>
      <c r="AFQ64" s="16"/>
      <c r="AFR64" s="16"/>
      <c r="AFS64" s="16"/>
      <c r="AFT64" s="16"/>
      <c r="AFU64" s="16"/>
      <c r="AFV64" s="16"/>
      <c r="AFW64" s="16"/>
      <c r="AFX64" s="16"/>
      <c r="AFY64" s="16"/>
      <c r="AFZ64" s="16"/>
      <c r="AGA64" s="16"/>
      <c r="AGB64" s="16"/>
      <c r="AGC64" s="16"/>
      <c r="AGD64" s="16"/>
      <c r="AGE64" s="16"/>
      <c r="AGF64" s="16"/>
      <c r="AGG64" s="16"/>
      <c r="AGH64" s="16"/>
      <c r="AGI64" s="16"/>
      <c r="AGJ64" s="16"/>
      <c r="AGK64" s="16"/>
      <c r="AGL64" s="16"/>
      <c r="AGM64" s="16"/>
      <c r="AGN64" s="16"/>
      <c r="AGO64" s="16"/>
      <c r="AGP64" s="16"/>
      <c r="AGQ64" s="16"/>
      <c r="AGR64" s="16"/>
      <c r="AGS64" s="16"/>
      <c r="AGT64" s="16"/>
      <c r="AGU64" s="16"/>
      <c r="AGV64" s="16"/>
      <c r="AGW64" s="16"/>
      <c r="AGX64" s="16"/>
      <c r="AGY64" s="16"/>
      <c r="AGZ64" s="16"/>
      <c r="AHA64" s="16"/>
      <c r="AHB64" s="16"/>
      <c r="AHC64" s="16"/>
      <c r="AHD64" s="16"/>
      <c r="AHE64" s="16"/>
      <c r="AHF64" s="16"/>
      <c r="AHG64" s="16"/>
      <c r="AHH64" s="16"/>
      <c r="AHI64" s="16"/>
      <c r="AHJ64" s="16"/>
      <c r="AHK64" s="16"/>
      <c r="AHL64" s="16"/>
      <c r="AHM64" s="16"/>
      <c r="AHN64" s="16"/>
      <c r="AHO64" s="16"/>
      <c r="AHP64" s="16"/>
      <c r="AHQ64" s="16"/>
      <c r="AHR64" s="16"/>
      <c r="AHS64" s="16"/>
      <c r="AHT64" s="16"/>
      <c r="AHU64" s="16"/>
      <c r="AHV64" s="16"/>
      <c r="AHW64" s="16"/>
      <c r="AHX64" s="16"/>
      <c r="AHY64" s="16"/>
      <c r="AHZ64" s="16"/>
      <c r="AIA64" s="16"/>
      <c r="AIB64" s="16"/>
      <c r="AIC64" s="16"/>
      <c r="AID64" s="16"/>
      <c r="AIE64" s="16"/>
      <c r="AIF64" s="16"/>
      <c r="AIG64" s="16"/>
      <c r="AIH64" s="16"/>
      <c r="AII64" s="16"/>
      <c r="AIJ64" s="16"/>
      <c r="AIK64" s="16"/>
      <c r="AIL64" s="16"/>
      <c r="AIM64" s="16"/>
      <c r="AIN64" s="16"/>
      <c r="AIO64" s="16"/>
      <c r="AIP64" s="16"/>
      <c r="AIQ64" s="16"/>
      <c r="AIR64" s="16"/>
      <c r="AIS64" s="16"/>
      <c r="AIT64" s="16"/>
      <c r="AIU64" s="16"/>
      <c r="AIV64" s="16"/>
      <c r="AIW64" s="16"/>
      <c r="AIX64" s="16"/>
      <c r="AIY64" s="16"/>
      <c r="AIZ64" s="16"/>
      <c r="AJA64" s="16"/>
      <c r="AJB64" s="16"/>
      <c r="AJC64" s="16"/>
      <c r="AJD64" s="16"/>
      <c r="AJE64" s="16"/>
      <c r="AJF64" s="16"/>
      <c r="AJG64" s="16"/>
      <c r="AJH64" s="16"/>
      <c r="AJI64" s="16"/>
      <c r="AJJ64" s="16"/>
      <c r="AJK64" s="16"/>
      <c r="AJL64" s="16"/>
      <c r="AJM64" s="16"/>
      <c r="AJN64" s="16"/>
      <c r="AJO64" s="16"/>
      <c r="AJP64" s="16"/>
      <c r="AJQ64" s="16"/>
      <c r="AJR64" s="16"/>
      <c r="AJS64" s="16"/>
      <c r="AJT64" s="16"/>
      <c r="AJU64" s="16"/>
      <c r="AJV64" s="16"/>
      <c r="AJW64" s="16"/>
      <c r="AJX64" s="16"/>
      <c r="AJY64" s="16"/>
      <c r="AJZ64" s="16"/>
      <c r="AKA64" s="16"/>
      <c r="AKB64" s="16"/>
      <c r="AKC64" s="16"/>
      <c r="AKD64" s="16"/>
      <c r="AKE64" s="16"/>
      <c r="AKF64" s="16"/>
      <c r="AKG64" s="16"/>
      <c r="AKH64" s="16"/>
      <c r="AKI64" s="16"/>
      <c r="AKJ64" s="16"/>
      <c r="AKK64" s="16"/>
      <c r="AKL64" s="16"/>
      <c r="AKM64" s="16"/>
      <c r="AKN64" s="16"/>
      <c r="AKO64" s="16"/>
      <c r="AKP64" s="16"/>
      <c r="AKQ64" s="16"/>
      <c r="AKR64" s="16"/>
      <c r="AKS64" s="16"/>
      <c r="AKT64" s="16"/>
      <c r="AKU64" s="16"/>
      <c r="AKV64" s="16"/>
      <c r="AKW64" s="16"/>
      <c r="AKX64" s="16"/>
      <c r="AKY64" s="16"/>
      <c r="AKZ64" s="16"/>
      <c r="ALA64" s="16"/>
      <c r="ALB64" s="16"/>
      <c r="ALC64" s="16"/>
      <c r="ALD64" s="16"/>
      <c r="ALE64" s="16"/>
      <c r="ALF64" s="16"/>
      <c r="ALG64" s="16"/>
      <c r="ALH64" s="16"/>
      <c r="ALI64" s="16"/>
      <c r="ALJ64" s="16"/>
      <c r="ALK64" s="16"/>
      <c r="ALL64" s="16"/>
      <c r="ALM64" s="16"/>
      <c r="ALN64" s="16"/>
      <c r="ALO64" s="16"/>
      <c r="ALP64" s="16"/>
      <c r="ALQ64" s="16"/>
      <c r="ALR64" s="16"/>
      <c r="ALS64" s="16"/>
      <c r="ALT64" s="16"/>
      <c r="ALU64" s="16"/>
      <c r="ALV64" s="16"/>
      <c r="ALW64" s="16"/>
      <c r="ALX64" s="16"/>
      <c r="ALY64" s="16"/>
      <c r="ALZ64" s="16"/>
      <c r="AMA64" s="16"/>
      <c r="AMB64" s="16"/>
      <c r="AMC64" s="16"/>
      <c r="AMD64" s="16"/>
      <c r="AME64" s="16"/>
      <c r="AMF64" s="16"/>
      <c r="AMG64" s="16"/>
      <c r="AMH64" s="16"/>
      <c r="AMI64" s="16"/>
      <c r="AMJ64" s="16"/>
      <c r="AMK64" s="16"/>
      <c r="AML64" s="16"/>
      <c r="AMM64" s="16"/>
      <c r="AMN64" s="16"/>
      <c r="AMO64" s="16"/>
      <c r="AMP64" s="16"/>
      <c r="AMQ64" s="16"/>
      <c r="AMR64" s="16"/>
      <c r="AMS64" s="16"/>
      <c r="AMT64" s="16"/>
      <c r="AMU64" s="16"/>
      <c r="AMV64" s="16"/>
      <c r="AMW64" s="16"/>
      <c r="AMX64" s="16"/>
      <c r="AMY64" s="16"/>
      <c r="AMZ64" s="16"/>
      <c r="ANA64" s="16"/>
      <c r="ANB64" s="16"/>
      <c r="ANC64" s="16"/>
      <c r="AND64" s="16"/>
      <c r="ANE64" s="16"/>
      <c r="ANF64" s="16"/>
      <c r="ANG64" s="16"/>
      <c r="ANH64" s="16"/>
      <c r="ANI64" s="16"/>
      <c r="ANJ64" s="16"/>
      <c r="ANK64" s="16"/>
      <c r="ANL64" s="16"/>
      <c r="ANM64" s="16"/>
      <c r="ANN64" s="16"/>
      <c r="ANO64" s="16"/>
      <c r="ANP64" s="16"/>
      <c r="ANQ64" s="16"/>
      <c r="ANR64" s="16"/>
      <c r="ANS64" s="16"/>
      <c r="ANT64" s="16"/>
      <c r="ANU64" s="16"/>
      <c r="ANV64" s="16"/>
      <c r="ANW64" s="16"/>
      <c r="ANX64" s="16"/>
      <c r="ANY64" s="16"/>
      <c r="ANZ64" s="16"/>
      <c r="AOA64" s="16"/>
      <c r="AOB64" s="16"/>
      <c r="AOC64" s="16"/>
      <c r="AOD64" s="16"/>
      <c r="AOE64" s="16"/>
      <c r="AOF64" s="16"/>
      <c r="AOG64" s="16"/>
      <c r="AOH64" s="16"/>
      <c r="AOI64" s="16"/>
      <c r="AOJ64" s="16"/>
      <c r="AOK64" s="16"/>
      <c r="AOL64" s="16"/>
      <c r="AOM64" s="16"/>
      <c r="AON64" s="16"/>
      <c r="AOO64" s="16"/>
      <c r="AOP64" s="16"/>
      <c r="AOQ64" s="16"/>
      <c r="AOR64" s="16"/>
      <c r="AOS64" s="16"/>
      <c r="AOT64" s="16"/>
      <c r="AOU64" s="16"/>
      <c r="AOV64" s="16"/>
      <c r="AOW64" s="16"/>
      <c r="AOX64" s="16"/>
      <c r="AOY64" s="16"/>
      <c r="AOZ64" s="16"/>
      <c r="APA64" s="16"/>
      <c r="APB64" s="16"/>
      <c r="APC64" s="16"/>
      <c r="APD64" s="16"/>
      <c r="APE64" s="16"/>
      <c r="APF64" s="16"/>
      <c r="APG64" s="16"/>
      <c r="APH64" s="16"/>
      <c r="API64" s="16"/>
      <c r="APJ64" s="16"/>
      <c r="APK64" s="16"/>
      <c r="APL64" s="16"/>
      <c r="APM64" s="16"/>
      <c r="APN64" s="16"/>
      <c r="APO64" s="16"/>
      <c r="APP64" s="16"/>
      <c r="APQ64" s="16"/>
      <c r="APR64" s="16"/>
      <c r="APS64" s="16"/>
      <c r="APT64" s="16"/>
      <c r="APU64" s="16"/>
      <c r="APV64" s="16"/>
      <c r="APW64" s="16"/>
      <c r="APX64" s="16"/>
      <c r="APY64" s="16"/>
      <c r="APZ64" s="16"/>
      <c r="AQA64" s="16"/>
      <c r="AQB64" s="16"/>
      <c r="AQC64" s="16"/>
      <c r="AQD64" s="16"/>
      <c r="AQE64" s="16"/>
      <c r="AQF64" s="16"/>
      <c r="AQG64" s="16"/>
      <c r="AQH64" s="16"/>
      <c r="AQI64" s="16"/>
      <c r="AQJ64" s="16"/>
      <c r="AQK64" s="16"/>
      <c r="AQL64" s="16"/>
      <c r="AQM64" s="16"/>
      <c r="AQN64" s="16"/>
      <c r="AQO64" s="16"/>
      <c r="AQP64" s="16"/>
      <c r="AQQ64" s="16"/>
      <c r="AQR64" s="16"/>
      <c r="AQS64" s="16"/>
      <c r="AQT64" s="16"/>
      <c r="AQU64" s="16"/>
      <c r="AQV64" s="16"/>
      <c r="AQW64" s="16"/>
      <c r="AQX64" s="16"/>
      <c r="AQY64" s="16"/>
      <c r="AQZ64" s="16"/>
      <c r="ARA64" s="16"/>
      <c r="ARB64" s="16"/>
      <c r="ARC64" s="16"/>
      <c r="ARD64" s="16"/>
      <c r="ARE64" s="16"/>
      <c r="ARF64" s="16"/>
      <c r="ARG64" s="16"/>
      <c r="ARH64" s="16"/>
      <c r="ARI64" s="16"/>
      <c r="ARJ64" s="16"/>
      <c r="ARK64" s="16"/>
      <c r="ARL64" s="16"/>
      <c r="ARM64" s="16"/>
      <c r="ARN64" s="16"/>
      <c r="ARO64" s="16"/>
      <c r="ARP64" s="16"/>
      <c r="ARQ64" s="16"/>
      <c r="ARR64" s="16"/>
      <c r="ARS64" s="16"/>
      <c r="ART64" s="16"/>
      <c r="ARU64" s="16"/>
      <c r="ARV64" s="16"/>
      <c r="ARW64" s="16"/>
      <c r="ARX64" s="16"/>
      <c r="ARY64" s="16"/>
      <c r="ARZ64" s="16"/>
      <c r="ASA64" s="16"/>
      <c r="ASB64" s="16"/>
      <c r="ASC64" s="16"/>
      <c r="ASD64" s="16"/>
      <c r="ASE64" s="16"/>
      <c r="ASF64" s="16"/>
      <c r="ASG64" s="16"/>
      <c r="ASH64" s="16"/>
      <c r="ASI64" s="16"/>
      <c r="ASJ64" s="16"/>
      <c r="ASK64" s="16"/>
      <c r="ASL64" s="16"/>
      <c r="ASM64" s="16"/>
      <c r="ASN64" s="16"/>
      <c r="ASO64" s="16"/>
      <c r="ASP64" s="16"/>
      <c r="ASQ64" s="16"/>
      <c r="ASR64" s="16"/>
      <c r="ASS64" s="16"/>
      <c r="AST64" s="16"/>
      <c r="ASU64" s="16"/>
      <c r="ASV64" s="16"/>
      <c r="ASW64" s="16"/>
      <c r="ASX64" s="16"/>
      <c r="ASY64" s="16"/>
      <c r="ASZ64" s="16"/>
      <c r="ATA64" s="16"/>
      <c r="ATB64" s="16"/>
      <c r="ATC64" s="16"/>
      <c r="ATD64" s="16"/>
      <c r="ATE64" s="16"/>
      <c r="ATF64" s="16"/>
      <c r="ATG64" s="16"/>
      <c r="ATH64" s="16"/>
      <c r="ATI64" s="16"/>
      <c r="ATJ64" s="16"/>
      <c r="ATK64" s="16"/>
      <c r="ATL64" s="16"/>
      <c r="ATM64" s="16"/>
      <c r="ATN64" s="16"/>
      <c r="ATO64" s="16"/>
      <c r="ATP64" s="16"/>
      <c r="ATQ64" s="16"/>
      <c r="ATR64" s="16"/>
      <c r="ATS64" s="16"/>
      <c r="ATT64" s="16"/>
      <c r="ATU64" s="16"/>
      <c r="ATV64" s="16"/>
      <c r="ATW64" s="16"/>
      <c r="ATX64" s="16"/>
      <c r="ATY64" s="16"/>
      <c r="ATZ64" s="16"/>
      <c r="AUA64" s="16"/>
      <c r="AUB64" s="16"/>
      <c r="AUC64" s="16"/>
      <c r="AUD64" s="16"/>
      <c r="AUE64" s="16"/>
      <c r="AUF64" s="16"/>
      <c r="AUG64" s="16"/>
      <c r="AUH64" s="16"/>
      <c r="AUI64" s="16"/>
      <c r="AUJ64" s="16"/>
      <c r="AUK64" s="16"/>
      <c r="AUL64" s="16"/>
      <c r="AUM64" s="16"/>
      <c r="AUN64" s="16"/>
      <c r="AUO64" s="16"/>
      <c r="AUP64" s="16"/>
      <c r="AUQ64" s="16"/>
      <c r="AUR64" s="16"/>
      <c r="AUS64" s="16"/>
      <c r="AUT64" s="16"/>
      <c r="AUU64" s="16"/>
      <c r="AUV64" s="16"/>
      <c r="AUW64" s="16"/>
      <c r="AUX64" s="16"/>
      <c r="AUY64" s="16"/>
      <c r="AUZ64" s="16"/>
      <c r="AVA64" s="16"/>
      <c r="AVB64" s="16"/>
      <c r="AVC64" s="16"/>
      <c r="AVD64" s="16"/>
      <c r="AVE64" s="16"/>
      <c r="AVF64" s="16"/>
      <c r="AVG64" s="16"/>
      <c r="AVH64" s="16"/>
      <c r="AVI64" s="16"/>
      <c r="AVJ64" s="16"/>
      <c r="AVK64" s="16"/>
      <c r="AVL64" s="16"/>
      <c r="AVM64" s="16"/>
      <c r="AVN64" s="16"/>
      <c r="AVO64" s="16"/>
      <c r="AVP64" s="16"/>
      <c r="AVQ64" s="16"/>
      <c r="AVR64" s="16"/>
      <c r="AVS64" s="16"/>
      <c r="AVT64" s="16"/>
      <c r="AVU64" s="16"/>
      <c r="AVV64" s="16"/>
      <c r="AVW64" s="16"/>
      <c r="AVX64" s="16"/>
      <c r="AVY64" s="16"/>
      <c r="AVZ64" s="16"/>
      <c r="AWA64" s="16"/>
      <c r="AWB64" s="16"/>
      <c r="AWC64" s="16"/>
      <c r="AWD64" s="16"/>
      <c r="AWE64" s="16"/>
      <c r="AWF64" s="16"/>
      <c r="AWG64" s="16"/>
      <c r="AWH64" s="16"/>
      <c r="AWI64" s="16"/>
      <c r="AWJ64" s="16"/>
      <c r="AWK64" s="16"/>
      <c r="AWL64" s="16"/>
      <c r="AWM64" s="16"/>
      <c r="AWN64" s="16"/>
      <c r="AWO64" s="16"/>
      <c r="AWP64" s="16"/>
      <c r="AWQ64" s="16"/>
      <c r="AWR64" s="16"/>
      <c r="AWS64" s="16"/>
      <c r="AWT64" s="16"/>
      <c r="AWU64" s="16"/>
      <c r="AWV64" s="16"/>
      <c r="AWW64" s="16"/>
      <c r="AWX64" s="16"/>
      <c r="AWY64" s="16"/>
      <c r="AWZ64" s="16"/>
      <c r="AXA64" s="16"/>
      <c r="AXB64" s="16"/>
      <c r="AXC64" s="16"/>
      <c r="AXD64" s="16"/>
      <c r="AXE64" s="16"/>
      <c r="AXF64" s="16"/>
      <c r="AXG64" s="16"/>
      <c r="AXH64" s="16"/>
      <c r="AXI64" s="16"/>
      <c r="AXJ64" s="16"/>
      <c r="AXK64" s="16"/>
      <c r="AXL64" s="16"/>
      <c r="AXM64" s="16"/>
      <c r="AXN64" s="16"/>
      <c r="AXO64" s="16"/>
      <c r="AXP64" s="16"/>
      <c r="AXQ64" s="16"/>
      <c r="AXR64" s="16"/>
      <c r="AXS64" s="16"/>
      <c r="AXT64" s="16"/>
      <c r="AXU64" s="16"/>
      <c r="AXV64" s="16"/>
      <c r="AXW64" s="16"/>
      <c r="AXX64" s="16"/>
      <c r="AXY64" s="16"/>
      <c r="AXZ64" s="16"/>
      <c r="AYA64" s="16"/>
      <c r="AYB64" s="16"/>
      <c r="AYC64" s="16"/>
      <c r="AYD64" s="16"/>
      <c r="AYE64" s="16"/>
      <c r="AYF64" s="16"/>
      <c r="AYG64" s="16"/>
      <c r="AYH64" s="16"/>
      <c r="AYI64" s="16"/>
      <c r="AYJ64" s="16"/>
      <c r="AYK64" s="16"/>
      <c r="AYL64" s="16"/>
      <c r="AYM64" s="16"/>
      <c r="AYN64" s="16"/>
      <c r="AYO64" s="16"/>
      <c r="AYP64" s="16"/>
      <c r="AYQ64" s="16"/>
      <c r="AYR64" s="16"/>
      <c r="AYS64" s="16"/>
      <c r="AYT64" s="16"/>
      <c r="AYU64" s="16"/>
      <c r="AYV64" s="16"/>
      <c r="AYW64" s="16"/>
      <c r="AYX64" s="16"/>
      <c r="AYY64" s="16"/>
      <c r="AYZ64" s="16"/>
      <c r="AZA64" s="16"/>
      <c r="AZB64" s="16"/>
      <c r="AZC64" s="16"/>
      <c r="AZD64" s="16"/>
      <c r="AZE64" s="16"/>
      <c r="AZF64" s="16"/>
      <c r="AZG64" s="16"/>
      <c r="AZH64" s="16"/>
      <c r="AZI64" s="16"/>
      <c r="AZJ64" s="16"/>
      <c r="AZK64" s="16"/>
      <c r="AZL64" s="16"/>
      <c r="AZM64" s="16"/>
      <c r="AZN64" s="16"/>
      <c r="AZO64" s="16"/>
      <c r="AZP64" s="16"/>
      <c r="AZQ64" s="16"/>
      <c r="AZR64" s="16"/>
      <c r="AZS64" s="16"/>
      <c r="AZT64" s="16"/>
      <c r="AZU64" s="16"/>
      <c r="AZV64" s="16"/>
      <c r="AZW64" s="16"/>
      <c r="AZX64" s="16"/>
      <c r="AZY64" s="16"/>
      <c r="AZZ64" s="16"/>
      <c r="BAA64" s="16"/>
      <c r="BAB64" s="16"/>
      <c r="BAC64" s="16"/>
      <c r="BAD64" s="16"/>
      <c r="BAE64" s="16"/>
      <c r="BAF64" s="16"/>
      <c r="BAG64" s="16"/>
      <c r="BAH64" s="16"/>
      <c r="BAI64" s="16"/>
      <c r="BAJ64" s="16"/>
      <c r="BAK64" s="16"/>
      <c r="BAL64" s="16"/>
      <c r="BAM64" s="16"/>
      <c r="BAN64" s="16"/>
      <c r="BAO64" s="16"/>
      <c r="BAP64" s="16"/>
      <c r="BAQ64" s="16"/>
      <c r="BAR64" s="16"/>
      <c r="BAS64" s="16"/>
      <c r="BAT64" s="16"/>
      <c r="BAU64" s="16"/>
      <c r="BAV64" s="16"/>
      <c r="BAW64" s="16"/>
      <c r="BAX64" s="16"/>
      <c r="BAY64" s="16"/>
      <c r="BAZ64" s="16"/>
      <c r="BBA64" s="16"/>
      <c r="BBB64" s="16"/>
      <c r="BBC64" s="16"/>
      <c r="BBD64" s="16"/>
      <c r="BBE64" s="16"/>
      <c r="BBF64" s="16"/>
      <c r="BBG64" s="16"/>
      <c r="BBH64" s="16"/>
      <c r="BBI64" s="16"/>
      <c r="BBJ64" s="16"/>
      <c r="BBK64" s="16"/>
      <c r="BBL64" s="16"/>
      <c r="BBM64" s="16"/>
      <c r="BBN64" s="16"/>
      <c r="BBO64" s="16"/>
      <c r="BBP64" s="16"/>
      <c r="BBQ64" s="16"/>
      <c r="BBR64" s="16"/>
      <c r="BBS64" s="16"/>
      <c r="BBT64" s="16"/>
      <c r="BBU64" s="16"/>
      <c r="BBV64" s="16"/>
      <c r="BBW64" s="16"/>
      <c r="BBX64" s="16"/>
      <c r="BBY64" s="16"/>
      <c r="BBZ64" s="16"/>
      <c r="BCA64" s="16"/>
      <c r="BCB64" s="16"/>
      <c r="BCC64" s="16"/>
      <c r="BCD64" s="16"/>
      <c r="BCE64" s="16"/>
      <c r="BCF64" s="16"/>
      <c r="BCG64" s="16"/>
      <c r="BCH64" s="16"/>
      <c r="BCI64" s="16"/>
      <c r="BCJ64" s="16"/>
      <c r="BCK64" s="16"/>
      <c r="BCL64" s="16"/>
      <c r="BCM64" s="16"/>
      <c r="BCN64" s="16"/>
      <c r="BCO64" s="16"/>
      <c r="BCP64" s="16"/>
      <c r="BCQ64" s="16"/>
      <c r="BCR64" s="16"/>
      <c r="BCS64" s="16"/>
      <c r="BCT64" s="16"/>
      <c r="BCU64" s="16"/>
      <c r="BCV64" s="16"/>
      <c r="BCW64" s="16"/>
      <c r="BCX64" s="16"/>
      <c r="BCY64" s="16"/>
      <c r="BCZ64" s="16"/>
      <c r="BDA64" s="16"/>
      <c r="BDB64" s="16"/>
      <c r="BDC64" s="16"/>
      <c r="BDD64" s="16"/>
      <c r="BDE64" s="16"/>
      <c r="BDF64" s="16"/>
      <c r="BDG64" s="16"/>
      <c r="BDH64" s="16"/>
      <c r="BDI64" s="16"/>
      <c r="BDJ64" s="16"/>
      <c r="BDK64" s="16"/>
      <c r="BDL64" s="16"/>
      <c r="BDM64" s="16"/>
      <c r="BDN64" s="16"/>
      <c r="BDO64" s="16"/>
      <c r="BDP64" s="16"/>
      <c r="BDQ64" s="16"/>
      <c r="BDR64" s="16"/>
      <c r="BDS64" s="16"/>
      <c r="BDT64" s="16"/>
      <c r="BDU64" s="16"/>
      <c r="BDV64" s="16"/>
      <c r="BDW64" s="16"/>
      <c r="BDX64" s="16"/>
      <c r="BDY64" s="16"/>
      <c r="BDZ64" s="16"/>
      <c r="BEA64" s="16"/>
      <c r="BEB64" s="16"/>
      <c r="BEC64" s="16"/>
      <c r="BED64" s="16"/>
      <c r="BEE64" s="16"/>
      <c r="BEF64" s="16"/>
      <c r="BEG64" s="16"/>
      <c r="BEH64" s="16"/>
      <c r="BEI64" s="16"/>
      <c r="BEJ64" s="16"/>
      <c r="BEK64" s="16"/>
      <c r="BEL64" s="16"/>
      <c r="BEM64" s="16"/>
      <c r="BEN64" s="16"/>
      <c r="BEO64" s="16"/>
      <c r="BEP64" s="16"/>
      <c r="BEQ64" s="16"/>
      <c r="BER64" s="16"/>
      <c r="BES64" s="16"/>
      <c r="BET64" s="16"/>
      <c r="BEU64" s="16"/>
      <c r="BEV64" s="16"/>
      <c r="BEW64" s="16"/>
      <c r="BEX64" s="16"/>
      <c r="BEY64" s="16"/>
      <c r="BEZ64" s="16"/>
      <c r="BFA64" s="16"/>
      <c r="BFB64" s="16"/>
      <c r="BFC64" s="16"/>
      <c r="BFD64" s="16"/>
      <c r="BFE64" s="16"/>
      <c r="BFF64" s="16"/>
      <c r="BFG64" s="16"/>
      <c r="BFH64" s="16"/>
      <c r="BFI64" s="16"/>
      <c r="BFJ64" s="16"/>
      <c r="BFK64" s="16"/>
      <c r="BFL64" s="16"/>
      <c r="BFM64" s="16"/>
      <c r="BFN64" s="16"/>
      <c r="BFO64" s="16"/>
      <c r="BFP64" s="16"/>
      <c r="BFQ64" s="16"/>
      <c r="BFR64" s="16"/>
      <c r="BFS64" s="16"/>
      <c r="BFT64" s="16"/>
      <c r="BFU64" s="16"/>
      <c r="BFV64" s="16"/>
      <c r="BFW64" s="16"/>
      <c r="BFX64" s="16"/>
      <c r="BFY64" s="16"/>
      <c r="BFZ64" s="16"/>
      <c r="BGA64" s="16"/>
      <c r="BGB64" s="16"/>
      <c r="BGC64" s="16"/>
      <c r="BGD64" s="16"/>
      <c r="BGE64" s="16"/>
      <c r="BGF64" s="16"/>
      <c r="BGG64" s="16"/>
      <c r="BGH64" s="16"/>
      <c r="BGI64" s="16"/>
      <c r="BGJ64" s="16"/>
      <c r="BGK64" s="16"/>
      <c r="BGL64" s="16"/>
      <c r="BGM64" s="16"/>
      <c r="BGN64" s="16"/>
      <c r="BGO64" s="16"/>
      <c r="BGP64" s="16"/>
      <c r="BGQ64" s="16"/>
      <c r="BGR64" s="16"/>
      <c r="BGS64" s="16"/>
      <c r="BGT64" s="16"/>
      <c r="BGU64" s="16"/>
      <c r="BGV64" s="16"/>
      <c r="BGW64" s="16"/>
      <c r="BGX64" s="16"/>
      <c r="BGY64" s="16"/>
      <c r="BGZ64" s="16"/>
      <c r="BHA64" s="16"/>
      <c r="BHB64" s="16"/>
      <c r="BHC64" s="16"/>
      <c r="BHD64" s="16"/>
      <c r="BHE64" s="16"/>
      <c r="BHF64" s="16"/>
      <c r="BHG64" s="16"/>
      <c r="BHH64" s="16"/>
      <c r="BHI64" s="16"/>
      <c r="BHJ64" s="16"/>
      <c r="BHK64" s="16"/>
      <c r="BHL64" s="16"/>
      <c r="BHM64" s="16"/>
      <c r="BHN64" s="16"/>
      <c r="BHO64" s="16"/>
      <c r="BHP64" s="16"/>
      <c r="BHQ64" s="16"/>
      <c r="BHR64" s="16"/>
      <c r="BHS64" s="16"/>
      <c r="BHT64" s="16"/>
      <c r="BHU64" s="16"/>
      <c r="BHV64" s="16"/>
      <c r="BHW64" s="16"/>
      <c r="BHX64" s="16"/>
      <c r="BHY64" s="16"/>
      <c r="BHZ64" s="16"/>
      <c r="BIA64" s="16"/>
      <c r="BIB64" s="16"/>
      <c r="BIC64" s="16"/>
      <c r="BID64" s="16"/>
      <c r="BIE64" s="16"/>
      <c r="BIF64" s="16"/>
      <c r="BIG64" s="16"/>
      <c r="BIH64" s="16"/>
      <c r="BII64" s="16"/>
      <c r="BIJ64" s="16"/>
      <c r="BIK64" s="16"/>
      <c r="BIL64" s="16"/>
      <c r="BIM64" s="16"/>
      <c r="BIN64" s="16"/>
      <c r="BIO64" s="16"/>
      <c r="BIP64" s="16"/>
      <c r="BIQ64" s="16"/>
      <c r="BIR64" s="16"/>
      <c r="BIS64" s="16"/>
      <c r="BIT64" s="16"/>
      <c r="BIU64" s="16"/>
      <c r="BIV64" s="16"/>
      <c r="BIW64" s="16"/>
      <c r="BIX64" s="16"/>
      <c r="BIY64" s="16"/>
      <c r="BIZ64" s="16"/>
      <c r="BJA64" s="16"/>
      <c r="BJB64" s="16"/>
      <c r="BJC64" s="16"/>
      <c r="BJD64" s="16"/>
      <c r="BJE64" s="16"/>
      <c r="BJF64" s="16"/>
      <c r="BJG64" s="16"/>
      <c r="BJH64" s="16"/>
      <c r="BJI64" s="16"/>
      <c r="BJJ64" s="16"/>
      <c r="BJK64" s="16"/>
      <c r="BJL64" s="16"/>
      <c r="BJM64" s="16"/>
      <c r="BJN64" s="16"/>
      <c r="BJO64" s="16"/>
      <c r="BJP64" s="16"/>
      <c r="BJQ64" s="16"/>
      <c r="BJR64" s="16"/>
      <c r="BJS64" s="16"/>
      <c r="BJT64" s="16"/>
      <c r="BJU64" s="16"/>
      <c r="BJV64" s="16"/>
      <c r="BJW64" s="16"/>
      <c r="BJX64" s="16"/>
      <c r="BJY64" s="16"/>
      <c r="BJZ64" s="16"/>
      <c r="BKA64" s="16"/>
      <c r="BKB64" s="16"/>
      <c r="BKC64" s="16"/>
      <c r="BKD64" s="16"/>
      <c r="BKE64" s="16"/>
      <c r="BKF64" s="16"/>
      <c r="BKG64" s="16"/>
      <c r="BKH64" s="16"/>
      <c r="BKI64" s="16"/>
      <c r="BKJ64" s="16"/>
      <c r="BKK64" s="16"/>
      <c r="BKL64" s="16"/>
      <c r="BKM64" s="16"/>
      <c r="BKN64" s="16"/>
      <c r="BKO64" s="16"/>
      <c r="BKP64" s="16"/>
      <c r="BKQ64" s="16"/>
      <c r="BKR64" s="16"/>
      <c r="BKS64" s="16"/>
      <c r="BKT64" s="16"/>
      <c r="BKU64" s="16"/>
      <c r="BKV64" s="16"/>
      <c r="BKW64" s="16"/>
      <c r="BKX64" s="16"/>
      <c r="BKY64" s="16"/>
      <c r="BKZ64" s="16"/>
      <c r="BLA64" s="16"/>
      <c r="BLB64" s="16"/>
      <c r="BLC64" s="16"/>
      <c r="BLD64" s="16"/>
      <c r="BLE64" s="16"/>
      <c r="BLF64" s="16"/>
      <c r="BLG64" s="16"/>
      <c r="BLH64" s="16"/>
      <c r="BLI64" s="16"/>
      <c r="BLJ64" s="16"/>
      <c r="BLK64" s="16"/>
      <c r="BLL64" s="16"/>
      <c r="BLM64" s="16"/>
      <c r="BLN64" s="16"/>
      <c r="BLO64" s="16"/>
      <c r="BLP64" s="16"/>
      <c r="BLQ64" s="16"/>
      <c r="BLR64" s="16"/>
      <c r="BLS64" s="16"/>
      <c r="BLT64" s="16"/>
      <c r="BLU64" s="16"/>
      <c r="BLV64" s="16"/>
      <c r="BLW64" s="16"/>
      <c r="BLX64" s="16"/>
      <c r="BLY64" s="16"/>
      <c r="BLZ64" s="16"/>
      <c r="BMA64" s="16"/>
      <c r="BMB64" s="16"/>
      <c r="BMC64" s="16"/>
      <c r="BMD64" s="16"/>
      <c r="BME64" s="16"/>
      <c r="BMF64" s="16"/>
      <c r="BMG64" s="16"/>
      <c r="BMH64" s="16"/>
      <c r="BMI64" s="16"/>
      <c r="BMJ64" s="16"/>
      <c r="BMK64" s="16"/>
      <c r="BML64" s="16"/>
      <c r="BMM64" s="16"/>
      <c r="BMN64" s="16"/>
      <c r="BMO64" s="16"/>
      <c r="BMP64" s="16"/>
      <c r="BMQ64" s="16"/>
      <c r="BMR64" s="16"/>
      <c r="BMS64" s="16"/>
      <c r="BMT64" s="16"/>
      <c r="BMU64" s="16"/>
      <c r="BMV64" s="16"/>
      <c r="BMW64" s="16"/>
      <c r="BMX64" s="16"/>
      <c r="BMY64" s="16"/>
      <c r="BMZ64" s="16"/>
      <c r="BNA64" s="16"/>
      <c r="BNB64" s="16"/>
      <c r="BNC64" s="16"/>
      <c r="BND64" s="16"/>
      <c r="BNE64" s="16"/>
      <c r="BNF64" s="16"/>
      <c r="BNG64" s="16"/>
      <c r="BNH64" s="16"/>
      <c r="BNI64" s="16"/>
      <c r="BNJ64" s="16"/>
      <c r="BNK64" s="16"/>
      <c r="BNL64" s="16"/>
      <c r="BNM64" s="16"/>
      <c r="BNN64" s="16"/>
      <c r="BNO64" s="16"/>
      <c r="BNP64" s="16"/>
      <c r="BNQ64" s="16"/>
      <c r="BNR64" s="16"/>
      <c r="BNS64" s="16"/>
      <c r="BNT64" s="16"/>
      <c r="BNU64" s="16"/>
      <c r="BNV64" s="16"/>
      <c r="BNW64" s="16"/>
      <c r="BNX64" s="16"/>
      <c r="BNY64" s="16"/>
      <c r="BNZ64" s="16"/>
      <c r="BOA64" s="16"/>
      <c r="BOB64" s="16"/>
      <c r="BOC64" s="16"/>
      <c r="BOD64" s="16"/>
      <c r="BOE64" s="16"/>
      <c r="BOF64" s="16"/>
      <c r="BOG64" s="16"/>
      <c r="BOH64" s="16"/>
      <c r="BOI64" s="16"/>
      <c r="BOJ64" s="16"/>
      <c r="BOK64" s="16"/>
      <c r="BOL64" s="16"/>
      <c r="BOM64" s="16"/>
      <c r="BON64" s="16"/>
      <c r="BOO64" s="16"/>
      <c r="BOP64" s="16"/>
      <c r="BOQ64" s="16"/>
      <c r="BOR64" s="16"/>
      <c r="BOS64" s="16"/>
      <c r="BOT64" s="16"/>
      <c r="BOU64" s="16"/>
      <c r="BOV64" s="16"/>
      <c r="BOW64" s="16"/>
      <c r="BOX64" s="16"/>
      <c r="BOY64" s="16"/>
      <c r="BOZ64" s="16"/>
      <c r="BPA64" s="16"/>
      <c r="BPB64" s="16"/>
      <c r="BPC64" s="16"/>
      <c r="BPD64" s="16"/>
      <c r="BPE64" s="16"/>
      <c r="BPF64" s="16"/>
      <c r="BPG64" s="16"/>
      <c r="BPH64" s="16"/>
      <c r="BPI64" s="16"/>
      <c r="BPJ64" s="16"/>
      <c r="BPK64" s="16"/>
      <c r="BPL64" s="16"/>
      <c r="BPM64" s="16"/>
      <c r="BPN64" s="16"/>
      <c r="BPO64" s="16"/>
      <c r="BPP64" s="16"/>
      <c r="BPQ64" s="16"/>
      <c r="BPR64" s="16"/>
      <c r="BPS64" s="16"/>
      <c r="BPT64" s="16"/>
      <c r="BPU64" s="16"/>
      <c r="BPV64" s="16"/>
      <c r="BPW64" s="16"/>
      <c r="BPX64" s="16"/>
      <c r="BPY64" s="16"/>
      <c r="BPZ64" s="16"/>
      <c r="BQA64" s="16"/>
      <c r="BQB64" s="16"/>
      <c r="BQC64" s="16"/>
      <c r="BQD64" s="16"/>
      <c r="BQE64" s="16"/>
      <c r="BQF64" s="16"/>
      <c r="BQG64" s="16"/>
      <c r="BQH64" s="16"/>
      <c r="BQI64" s="16"/>
      <c r="BQJ64" s="16"/>
      <c r="BQK64" s="16"/>
      <c r="BQL64" s="16"/>
      <c r="BQM64" s="16"/>
      <c r="BQN64" s="16"/>
      <c r="BQO64" s="16"/>
      <c r="BQP64" s="16"/>
      <c r="BQQ64" s="16"/>
      <c r="BQR64" s="16"/>
      <c r="BQS64" s="16"/>
      <c r="BQT64" s="16"/>
      <c r="BQU64" s="16"/>
      <c r="BQV64" s="16"/>
      <c r="BQW64" s="16"/>
      <c r="BQX64" s="16"/>
      <c r="BQY64" s="16"/>
      <c r="BQZ64" s="16"/>
      <c r="BRA64" s="16"/>
      <c r="BRB64" s="16"/>
      <c r="BRC64" s="16"/>
      <c r="BRD64" s="16"/>
      <c r="BRE64" s="16"/>
      <c r="BRF64" s="16"/>
      <c r="BRG64" s="16"/>
      <c r="BRH64" s="16"/>
      <c r="BRI64" s="16"/>
      <c r="BRJ64" s="16"/>
      <c r="BRK64" s="16"/>
      <c r="BRL64" s="16"/>
      <c r="BRM64" s="16"/>
      <c r="BRN64" s="16"/>
      <c r="BRO64" s="16"/>
      <c r="BRP64" s="16"/>
      <c r="BRQ64" s="16"/>
      <c r="BRR64" s="16"/>
      <c r="BRS64" s="16"/>
      <c r="BRT64" s="16"/>
      <c r="BRU64" s="16"/>
      <c r="BRV64" s="16"/>
      <c r="BRW64" s="16"/>
      <c r="BRX64" s="16"/>
      <c r="BRY64" s="16"/>
      <c r="BRZ64" s="16"/>
      <c r="BSA64" s="16"/>
      <c r="BSB64" s="16"/>
      <c r="BSC64" s="16"/>
      <c r="BSD64" s="16"/>
      <c r="BSE64" s="16"/>
      <c r="BSF64" s="16"/>
      <c r="BSG64" s="16"/>
      <c r="BSH64" s="16"/>
      <c r="BSI64" s="16"/>
      <c r="BSJ64" s="16"/>
      <c r="BSK64" s="16"/>
      <c r="BSL64" s="16"/>
      <c r="BSM64" s="16"/>
      <c r="BSN64" s="16"/>
      <c r="BSO64" s="16"/>
      <c r="BSP64" s="16"/>
      <c r="BSQ64" s="16"/>
      <c r="BSR64" s="16"/>
      <c r="BSS64" s="16"/>
      <c r="BST64" s="16"/>
      <c r="BSU64" s="16"/>
      <c r="BSV64" s="16"/>
      <c r="BSW64" s="16"/>
      <c r="BSX64" s="16"/>
      <c r="BSY64" s="16"/>
      <c r="BSZ64" s="16"/>
      <c r="BTA64" s="16"/>
      <c r="BTB64" s="16"/>
      <c r="BTC64" s="16"/>
      <c r="BTD64" s="16"/>
      <c r="BTE64" s="16"/>
      <c r="BTF64" s="16"/>
      <c r="BTG64" s="16"/>
      <c r="BTH64" s="16"/>
      <c r="BTI64" s="16"/>
      <c r="BTJ64" s="16"/>
      <c r="BTK64" s="16"/>
      <c r="BTL64" s="16"/>
      <c r="BTM64" s="16"/>
      <c r="BTN64" s="16"/>
      <c r="BTO64" s="16"/>
      <c r="BTP64" s="16"/>
      <c r="BTQ64" s="16"/>
      <c r="BTR64" s="16"/>
      <c r="BTS64" s="16"/>
      <c r="BTT64" s="16"/>
      <c r="BTU64" s="16"/>
      <c r="BTV64" s="16"/>
      <c r="BTW64" s="16"/>
      <c r="BTX64" s="16"/>
      <c r="BTY64" s="16"/>
      <c r="BTZ64" s="16"/>
      <c r="BUA64" s="16"/>
      <c r="BUB64" s="16"/>
      <c r="BUC64" s="16"/>
      <c r="BUD64" s="16"/>
      <c r="BUE64" s="16"/>
      <c r="BUF64" s="16"/>
      <c r="BUG64" s="16"/>
      <c r="BUH64" s="16"/>
      <c r="BUI64" s="16"/>
      <c r="BUJ64" s="16"/>
      <c r="BUK64" s="16"/>
      <c r="BUL64" s="16"/>
      <c r="BUM64" s="16"/>
      <c r="BUN64" s="16"/>
      <c r="BUO64" s="16"/>
      <c r="BUP64" s="16"/>
      <c r="BUQ64" s="16"/>
      <c r="BUR64" s="16"/>
      <c r="BUS64" s="16"/>
      <c r="BUT64" s="16"/>
      <c r="BUU64" s="16"/>
      <c r="BUV64" s="16"/>
      <c r="BUW64" s="16"/>
      <c r="BUX64" s="16"/>
      <c r="BUY64" s="16"/>
      <c r="BUZ64" s="16"/>
      <c r="BVA64" s="16"/>
      <c r="BVB64" s="16"/>
      <c r="BVC64" s="16"/>
      <c r="BVD64" s="16"/>
      <c r="BVE64" s="16"/>
      <c r="BVF64" s="16"/>
      <c r="BVG64" s="16"/>
      <c r="BVH64" s="16"/>
      <c r="BVI64" s="16"/>
      <c r="BVJ64" s="16"/>
      <c r="BVK64" s="16"/>
      <c r="BVL64" s="16"/>
      <c r="BVM64" s="16"/>
      <c r="BVN64" s="16"/>
      <c r="BVO64" s="16"/>
      <c r="BVP64" s="16"/>
      <c r="BVQ64" s="16"/>
      <c r="BVR64" s="16"/>
      <c r="BVS64" s="16"/>
      <c r="BVT64" s="16"/>
      <c r="BVU64" s="16"/>
      <c r="BVV64" s="16"/>
      <c r="BVW64" s="16"/>
      <c r="BVX64" s="16"/>
      <c r="BVY64" s="16"/>
      <c r="BVZ64" s="16"/>
      <c r="BWA64" s="16"/>
      <c r="BWB64" s="16"/>
      <c r="BWC64" s="16"/>
      <c r="BWD64" s="16"/>
      <c r="BWE64" s="16"/>
      <c r="BWF64" s="16"/>
      <c r="BWG64" s="16"/>
      <c r="BWH64" s="16"/>
      <c r="BWI64" s="16"/>
      <c r="BWJ64" s="16"/>
      <c r="BWK64" s="16"/>
      <c r="BWL64" s="16"/>
      <c r="BWM64" s="16"/>
      <c r="BWN64" s="16"/>
      <c r="BWO64" s="16"/>
      <c r="BWP64" s="16"/>
      <c r="BWQ64" s="16"/>
      <c r="BWR64" s="16"/>
      <c r="BWS64" s="16"/>
      <c r="BWT64" s="16"/>
      <c r="BWU64" s="16"/>
      <c r="BWV64" s="16"/>
      <c r="BWW64" s="16"/>
      <c r="BWX64" s="16"/>
      <c r="BWY64" s="16"/>
      <c r="BWZ64" s="16"/>
      <c r="BXA64" s="16"/>
      <c r="BXB64" s="16"/>
      <c r="BXC64" s="16"/>
      <c r="BXD64" s="16"/>
      <c r="BXE64" s="16"/>
      <c r="BXF64" s="16"/>
      <c r="BXG64" s="16"/>
      <c r="BXH64" s="16"/>
      <c r="BXI64" s="16"/>
      <c r="BXJ64" s="16"/>
      <c r="BXK64" s="16"/>
      <c r="BXL64" s="16"/>
      <c r="BXM64" s="16"/>
      <c r="BXN64" s="16"/>
      <c r="BXO64" s="16"/>
      <c r="BXP64" s="16"/>
      <c r="BXQ64" s="16"/>
      <c r="BXR64" s="16"/>
      <c r="BXS64" s="16"/>
      <c r="BXT64" s="16"/>
      <c r="BXU64" s="16"/>
      <c r="BXV64" s="16"/>
      <c r="BXW64" s="16"/>
      <c r="BXX64" s="16"/>
      <c r="BXY64" s="16"/>
      <c r="BXZ64" s="16"/>
      <c r="BYA64" s="16"/>
      <c r="BYB64" s="16"/>
      <c r="BYC64" s="16"/>
      <c r="BYD64" s="16"/>
      <c r="BYE64" s="16"/>
      <c r="BYF64" s="16"/>
      <c r="BYG64" s="16"/>
      <c r="BYH64" s="16"/>
      <c r="BYI64" s="16"/>
      <c r="BYJ64" s="16"/>
      <c r="BYK64" s="16"/>
      <c r="BYL64" s="16"/>
      <c r="BYM64" s="16"/>
      <c r="BYN64" s="16"/>
      <c r="BYO64" s="16"/>
      <c r="BYP64" s="16"/>
      <c r="BYQ64" s="16"/>
      <c r="BYR64" s="16"/>
      <c r="BYS64" s="16"/>
      <c r="BYT64" s="16"/>
      <c r="BYU64" s="16"/>
      <c r="BYV64" s="16"/>
      <c r="BYW64" s="16"/>
      <c r="BYX64" s="16"/>
      <c r="BYY64" s="16"/>
      <c r="BYZ64" s="16"/>
      <c r="BZA64" s="16"/>
      <c r="BZB64" s="16"/>
      <c r="BZC64" s="16"/>
      <c r="BZD64" s="16"/>
      <c r="BZE64" s="16"/>
      <c r="BZF64" s="16"/>
      <c r="BZG64" s="16"/>
      <c r="BZH64" s="16"/>
      <c r="BZI64" s="16"/>
      <c r="BZJ64" s="16"/>
      <c r="BZK64" s="16"/>
      <c r="BZL64" s="16"/>
      <c r="BZM64" s="16"/>
      <c r="BZN64" s="16"/>
      <c r="BZO64" s="16"/>
      <c r="BZP64" s="16"/>
      <c r="BZQ64" s="16"/>
      <c r="BZR64" s="16"/>
      <c r="BZS64" s="16"/>
      <c r="BZT64" s="16"/>
      <c r="BZU64" s="16"/>
      <c r="BZV64" s="16"/>
      <c r="BZW64" s="16"/>
      <c r="BZX64" s="16"/>
      <c r="BZY64" s="16"/>
      <c r="BZZ64" s="16"/>
      <c r="CAA64" s="16"/>
      <c r="CAB64" s="16"/>
      <c r="CAC64" s="16"/>
      <c r="CAD64" s="16"/>
      <c r="CAE64" s="16"/>
      <c r="CAF64" s="16"/>
      <c r="CAG64" s="16"/>
      <c r="CAH64" s="16"/>
      <c r="CAI64" s="16"/>
      <c r="CAJ64" s="16"/>
      <c r="CAK64" s="16"/>
      <c r="CAL64" s="16"/>
      <c r="CAM64" s="16"/>
      <c r="CAN64" s="16"/>
      <c r="CAO64" s="16"/>
      <c r="CAP64" s="16"/>
      <c r="CAQ64" s="16"/>
      <c r="CAR64" s="16"/>
      <c r="CAS64" s="16"/>
      <c r="CAT64" s="16"/>
      <c r="CAU64" s="16"/>
      <c r="CAV64" s="16"/>
      <c r="CAW64" s="16"/>
      <c r="CAX64" s="16"/>
      <c r="CAY64" s="16"/>
      <c r="CAZ64" s="16"/>
      <c r="CBA64" s="16"/>
      <c r="CBB64" s="16"/>
      <c r="CBC64" s="16"/>
      <c r="CBD64" s="16"/>
      <c r="CBE64" s="16"/>
      <c r="CBF64" s="16"/>
      <c r="CBG64" s="16"/>
      <c r="CBH64" s="16"/>
      <c r="CBI64" s="16"/>
      <c r="CBJ64" s="16"/>
      <c r="CBK64" s="16"/>
      <c r="CBL64" s="16"/>
      <c r="CBM64" s="16"/>
      <c r="CBN64" s="16"/>
      <c r="CBO64" s="16"/>
      <c r="CBP64" s="16"/>
      <c r="CBQ64" s="16"/>
      <c r="CBR64" s="16"/>
      <c r="CBS64" s="16"/>
      <c r="CBT64" s="16"/>
      <c r="CBU64" s="16"/>
      <c r="CBV64" s="16"/>
      <c r="CBW64" s="16"/>
      <c r="CBX64" s="16"/>
      <c r="CBY64" s="16"/>
      <c r="CBZ64" s="16"/>
      <c r="CCA64" s="16"/>
      <c r="CCB64" s="16"/>
      <c r="CCC64" s="16"/>
      <c r="CCD64" s="16"/>
      <c r="CCE64" s="16"/>
      <c r="CCF64" s="16"/>
      <c r="CCG64" s="16"/>
      <c r="CCH64" s="16"/>
      <c r="CCI64" s="16"/>
      <c r="CCJ64" s="16"/>
      <c r="CCK64" s="16"/>
      <c r="CCL64" s="16"/>
      <c r="CCM64" s="16"/>
      <c r="CCN64" s="16"/>
      <c r="CCO64" s="16"/>
      <c r="CCP64" s="16"/>
      <c r="CCQ64" s="16"/>
      <c r="CCR64" s="16"/>
      <c r="CCS64" s="16"/>
      <c r="CCT64" s="16"/>
      <c r="CCU64" s="16"/>
      <c r="CCV64" s="16"/>
      <c r="CCW64" s="16"/>
      <c r="CCX64" s="16"/>
      <c r="CCY64" s="16"/>
      <c r="CCZ64" s="16"/>
      <c r="CDA64" s="16"/>
      <c r="CDB64" s="16"/>
      <c r="CDC64" s="16"/>
      <c r="CDD64" s="16"/>
      <c r="CDE64" s="16"/>
      <c r="CDF64" s="16"/>
      <c r="CDG64" s="16"/>
      <c r="CDH64" s="16"/>
      <c r="CDI64" s="16"/>
      <c r="CDJ64" s="16"/>
      <c r="CDK64" s="16"/>
      <c r="CDL64" s="16"/>
      <c r="CDM64" s="16"/>
      <c r="CDN64" s="16"/>
      <c r="CDO64" s="16"/>
      <c r="CDP64" s="16"/>
      <c r="CDQ64" s="16"/>
      <c r="CDR64" s="16"/>
      <c r="CDS64" s="16"/>
      <c r="CDT64" s="16"/>
      <c r="CDU64" s="16"/>
      <c r="CDV64" s="16"/>
      <c r="CDW64" s="16"/>
      <c r="CDX64" s="16"/>
      <c r="CDY64" s="16"/>
      <c r="CDZ64" s="16"/>
      <c r="CEA64" s="16"/>
      <c r="CEB64" s="16"/>
      <c r="CEC64" s="16"/>
      <c r="CED64" s="16"/>
      <c r="CEE64" s="16"/>
      <c r="CEF64" s="16"/>
      <c r="CEG64" s="16"/>
      <c r="CEH64" s="16"/>
      <c r="CEI64" s="16"/>
      <c r="CEJ64" s="16"/>
      <c r="CEK64" s="16"/>
      <c r="CEL64" s="16"/>
      <c r="CEM64" s="16"/>
      <c r="CEN64" s="16"/>
      <c r="CEO64" s="16"/>
      <c r="CEP64" s="16"/>
      <c r="CEQ64" s="16"/>
      <c r="CER64" s="16"/>
      <c r="CES64" s="16"/>
      <c r="CET64" s="16"/>
      <c r="CEU64" s="16"/>
      <c r="CEV64" s="16"/>
      <c r="CEW64" s="16"/>
      <c r="CEX64" s="16"/>
      <c r="CEY64" s="16"/>
      <c r="CEZ64" s="16"/>
      <c r="CFA64" s="16"/>
      <c r="CFB64" s="16"/>
      <c r="CFC64" s="16"/>
      <c r="CFD64" s="16"/>
      <c r="CFE64" s="16"/>
      <c r="CFF64" s="16"/>
      <c r="CFG64" s="16"/>
      <c r="CFH64" s="16"/>
      <c r="CFI64" s="16"/>
      <c r="CFJ64" s="16"/>
      <c r="CFK64" s="16"/>
      <c r="CFL64" s="16"/>
      <c r="CFM64" s="16"/>
      <c r="CFN64" s="16"/>
      <c r="CFO64" s="16"/>
      <c r="CFP64" s="16"/>
      <c r="CFQ64" s="16"/>
      <c r="CFR64" s="16"/>
      <c r="CFS64" s="16"/>
      <c r="CFT64" s="16"/>
      <c r="CFU64" s="16"/>
      <c r="CFV64" s="16"/>
      <c r="CFW64" s="16"/>
      <c r="CFX64" s="16"/>
      <c r="CFY64" s="16"/>
      <c r="CFZ64" s="16"/>
      <c r="CGA64" s="16"/>
      <c r="CGB64" s="16"/>
      <c r="CGC64" s="16"/>
      <c r="CGD64" s="16"/>
      <c r="CGE64" s="16"/>
      <c r="CGF64" s="16"/>
      <c r="CGG64" s="16"/>
      <c r="CGH64" s="16"/>
      <c r="CGI64" s="16"/>
      <c r="CGJ64" s="16"/>
      <c r="CGK64" s="16"/>
      <c r="CGL64" s="16"/>
      <c r="CGM64" s="16"/>
      <c r="CGN64" s="16"/>
      <c r="CGO64" s="16"/>
      <c r="CGP64" s="16"/>
      <c r="CGQ64" s="16"/>
      <c r="CGR64" s="16"/>
      <c r="CGS64" s="16"/>
      <c r="CGT64" s="16"/>
      <c r="CGU64" s="16"/>
      <c r="CGV64" s="16"/>
      <c r="CGW64" s="16"/>
      <c r="CGX64" s="16"/>
      <c r="CGY64" s="16"/>
      <c r="CGZ64" s="16"/>
      <c r="CHA64" s="16"/>
      <c r="CHB64" s="16"/>
      <c r="CHC64" s="16"/>
      <c r="CHD64" s="16"/>
      <c r="CHE64" s="16"/>
      <c r="CHF64" s="16"/>
      <c r="CHG64" s="16"/>
      <c r="CHH64" s="16"/>
      <c r="CHI64" s="16"/>
      <c r="CHJ64" s="16"/>
      <c r="CHK64" s="16"/>
      <c r="CHL64" s="16"/>
      <c r="CHM64" s="16"/>
      <c r="CHN64" s="16"/>
      <c r="CHO64" s="16"/>
      <c r="CHP64" s="16"/>
      <c r="CHQ64" s="16"/>
      <c r="CHR64" s="16"/>
      <c r="CHS64" s="16"/>
      <c r="CHT64" s="16"/>
      <c r="CHU64" s="16"/>
      <c r="CHV64" s="16"/>
      <c r="CHW64" s="16"/>
      <c r="CHX64" s="16"/>
      <c r="CHY64" s="16"/>
      <c r="CHZ64" s="16"/>
      <c r="CIA64" s="16"/>
      <c r="CIB64" s="16"/>
      <c r="CIC64" s="16"/>
      <c r="CID64" s="16"/>
      <c r="CIE64" s="16"/>
      <c r="CIF64" s="16"/>
      <c r="CIG64" s="16"/>
      <c r="CIH64" s="16"/>
      <c r="CII64" s="16"/>
      <c r="CIJ64" s="16"/>
      <c r="CIK64" s="16"/>
      <c r="CIL64" s="16"/>
      <c r="CIM64" s="16"/>
      <c r="CIN64" s="16"/>
      <c r="CIO64" s="16"/>
      <c r="CIP64" s="16"/>
      <c r="CIQ64" s="16"/>
      <c r="CIR64" s="16"/>
      <c r="CIS64" s="16"/>
      <c r="CIT64" s="16"/>
      <c r="CIU64" s="16"/>
      <c r="CIV64" s="16"/>
      <c r="CIW64" s="16"/>
      <c r="CIX64" s="16"/>
      <c r="CIY64" s="16"/>
      <c r="CIZ64" s="16"/>
      <c r="CJA64" s="16"/>
      <c r="CJB64" s="16"/>
      <c r="CJC64" s="16"/>
      <c r="CJD64" s="16"/>
      <c r="CJE64" s="16"/>
      <c r="CJF64" s="16"/>
      <c r="CJG64" s="16"/>
      <c r="CJH64" s="16"/>
      <c r="CJI64" s="16"/>
      <c r="CJJ64" s="16"/>
      <c r="CJK64" s="16"/>
      <c r="CJL64" s="16"/>
      <c r="CJM64" s="16"/>
      <c r="CJN64" s="16"/>
      <c r="CJO64" s="16"/>
      <c r="CJP64" s="16"/>
      <c r="CJQ64" s="16"/>
      <c r="CJR64" s="16"/>
      <c r="CJS64" s="16"/>
      <c r="CJT64" s="16"/>
      <c r="CJU64" s="16"/>
      <c r="CJV64" s="16"/>
      <c r="CJW64" s="16"/>
      <c r="CJX64" s="16"/>
      <c r="CJY64" s="16"/>
      <c r="CJZ64" s="16"/>
      <c r="CKA64" s="16"/>
      <c r="CKB64" s="16"/>
      <c r="CKC64" s="16"/>
      <c r="CKD64" s="16"/>
      <c r="CKE64" s="16"/>
      <c r="CKF64" s="16"/>
      <c r="CKG64" s="16"/>
      <c r="CKH64" s="16"/>
      <c r="CKI64" s="16"/>
      <c r="CKJ64" s="16"/>
      <c r="CKK64" s="16"/>
      <c r="CKL64" s="16"/>
      <c r="CKM64" s="16"/>
      <c r="CKN64" s="16"/>
      <c r="CKO64" s="16"/>
      <c r="CKP64" s="16"/>
      <c r="CKQ64" s="16"/>
      <c r="CKR64" s="16"/>
      <c r="CKS64" s="16"/>
      <c r="CKT64" s="16"/>
      <c r="CKU64" s="16"/>
      <c r="CKV64" s="16"/>
      <c r="CKW64" s="16"/>
      <c r="CKX64" s="16"/>
      <c r="CKY64" s="16"/>
      <c r="CKZ64" s="16"/>
      <c r="CLA64" s="16"/>
      <c r="CLB64" s="16"/>
      <c r="CLC64" s="16"/>
      <c r="CLD64" s="16"/>
      <c r="CLE64" s="16"/>
      <c r="CLF64" s="16"/>
      <c r="CLG64" s="16"/>
      <c r="CLH64" s="16"/>
      <c r="CLI64" s="16"/>
      <c r="CLJ64" s="16"/>
      <c r="CLK64" s="16"/>
      <c r="CLL64" s="16"/>
      <c r="CLM64" s="16"/>
      <c r="CLN64" s="16"/>
      <c r="CLO64" s="16"/>
      <c r="CLP64" s="16"/>
      <c r="CLQ64" s="16"/>
      <c r="CLR64" s="16"/>
      <c r="CLS64" s="16"/>
      <c r="CLT64" s="16"/>
      <c r="CLU64" s="16"/>
      <c r="CLV64" s="16"/>
      <c r="CLW64" s="16"/>
      <c r="CLX64" s="16"/>
      <c r="CLY64" s="16"/>
      <c r="CLZ64" s="16"/>
      <c r="CMA64" s="16"/>
      <c r="CMB64" s="16"/>
      <c r="CMC64" s="16"/>
      <c r="CMD64" s="16"/>
      <c r="CME64" s="16"/>
      <c r="CMF64" s="16"/>
      <c r="CMG64" s="16"/>
      <c r="CMH64" s="16"/>
      <c r="CMI64" s="16"/>
      <c r="CMJ64" s="16"/>
      <c r="CMK64" s="16"/>
      <c r="CML64" s="16"/>
      <c r="CMM64" s="16"/>
      <c r="CMN64" s="16"/>
      <c r="CMO64" s="16"/>
      <c r="CMP64" s="16"/>
      <c r="CMQ64" s="16"/>
      <c r="CMR64" s="16"/>
      <c r="CMS64" s="16"/>
      <c r="CMT64" s="16"/>
      <c r="CMU64" s="16"/>
      <c r="CMV64" s="16"/>
      <c r="CMW64" s="16"/>
      <c r="CMX64" s="16"/>
      <c r="CMY64" s="16"/>
      <c r="CMZ64" s="16"/>
      <c r="CNA64" s="16"/>
      <c r="CNB64" s="16"/>
      <c r="CNC64" s="16"/>
      <c r="CND64" s="16"/>
      <c r="CNE64" s="16"/>
      <c r="CNF64" s="16"/>
      <c r="CNG64" s="16"/>
      <c r="CNH64" s="16"/>
      <c r="CNI64" s="16"/>
      <c r="CNJ64" s="16"/>
      <c r="CNK64" s="16"/>
      <c r="CNL64" s="16"/>
      <c r="CNM64" s="16"/>
      <c r="CNN64" s="16"/>
      <c r="CNO64" s="16"/>
      <c r="CNP64" s="16"/>
      <c r="CNQ64" s="16"/>
      <c r="CNR64" s="16"/>
      <c r="CNS64" s="16"/>
      <c r="CNT64" s="16"/>
      <c r="CNU64" s="16"/>
      <c r="CNV64" s="16"/>
      <c r="CNW64" s="16"/>
      <c r="CNX64" s="16"/>
      <c r="CNY64" s="16"/>
      <c r="CNZ64" s="16"/>
      <c r="COA64" s="16"/>
      <c r="COB64" s="16"/>
      <c r="COC64" s="16"/>
      <c r="COD64" s="16"/>
      <c r="COE64" s="16"/>
      <c r="COF64" s="16"/>
      <c r="COG64" s="16"/>
      <c r="COH64" s="16"/>
      <c r="COI64" s="16"/>
      <c r="COJ64" s="16"/>
      <c r="COK64" s="16"/>
      <c r="COL64" s="16"/>
      <c r="COM64" s="16"/>
      <c r="CON64" s="16"/>
      <c r="COO64" s="16"/>
      <c r="COP64" s="16"/>
      <c r="COQ64" s="16"/>
      <c r="COR64" s="16"/>
      <c r="COS64" s="16"/>
      <c r="COT64" s="16"/>
      <c r="COU64" s="16"/>
      <c r="COV64" s="16"/>
      <c r="COW64" s="16"/>
      <c r="COX64" s="16"/>
      <c r="COY64" s="16"/>
      <c r="COZ64" s="16"/>
      <c r="CPA64" s="16"/>
      <c r="CPB64" s="16"/>
      <c r="CPC64" s="16"/>
      <c r="CPD64" s="16"/>
      <c r="CPE64" s="16"/>
      <c r="CPF64" s="16"/>
      <c r="CPG64" s="16"/>
      <c r="CPH64" s="16"/>
      <c r="CPI64" s="16"/>
      <c r="CPJ64" s="16"/>
      <c r="CPK64" s="16"/>
      <c r="CPL64" s="16"/>
      <c r="CPM64" s="16"/>
      <c r="CPN64" s="16"/>
      <c r="CPO64" s="16"/>
      <c r="CPP64" s="16"/>
      <c r="CPQ64" s="16"/>
      <c r="CPR64" s="16"/>
      <c r="CPS64" s="16"/>
      <c r="CPT64" s="16"/>
      <c r="CPU64" s="16"/>
      <c r="CPV64" s="16"/>
      <c r="CPW64" s="16"/>
      <c r="CPX64" s="16"/>
      <c r="CPY64" s="16"/>
      <c r="CPZ64" s="16"/>
      <c r="CQA64" s="16"/>
      <c r="CQB64" s="16"/>
      <c r="CQC64" s="16"/>
      <c r="CQD64" s="16"/>
      <c r="CQE64" s="16"/>
      <c r="CQF64" s="16"/>
      <c r="CQG64" s="16"/>
      <c r="CQH64" s="16"/>
      <c r="CQI64" s="16"/>
      <c r="CQJ64" s="16"/>
      <c r="CQK64" s="16"/>
      <c r="CQL64" s="16"/>
      <c r="CQM64" s="16"/>
      <c r="CQN64" s="16"/>
      <c r="CQO64" s="16"/>
      <c r="CQP64" s="16"/>
      <c r="CQQ64" s="16"/>
      <c r="CQR64" s="16"/>
      <c r="CQS64" s="16"/>
      <c r="CQT64" s="16"/>
      <c r="CQU64" s="16"/>
      <c r="CQV64" s="16"/>
      <c r="CQW64" s="16"/>
      <c r="CQX64" s="16"/>
      <c r="CQY64" s="16"/>
      <c r="CQZ64" s="16"/>
      <c r="CRA64" s="16"/>
      <c r="CRB64" s="16"/>
      <c r="CRC64" s="16"/>
      <c r="CRD64" s="16"/>
      <c r="CRE64" s="16"/>
      <c r="CRF64" s="16"/>
      <c r="CRG64" s="16"/>
      <c r="CRH64" s="16"/>
      <c r="CRI64" s="16"/>
      <c r="CRJ64" s="16"/>
      <c r="CRK64" s="16"/>
      <c r="CRL64" s="16"/>
      <c r="CRM64" s="16"/>
      <c r="CRN64" s="16"/>
      <c r="CRO64" s="16"/>
      <c r="CRP64" s="16"/>
      <c r="CRQ64" s="16"/>
      <c r="CRR64" s="16"/>
      <c r="CRS64" s="16"/>
      <c r="CRT64" s="16"/>
      <c r="CRU64" s="16"/>
      <c r="CRV64" s="16"/>
      <c r="CRW64" s="16"/>
      <c r="CRX64" s="16"/>
      <c r="CRY64" s="16"/>
      <c r="CRZ64" s="16"/>
      <c r="CSA64" s="16"/>
      <c r="CSB64" s="16"/>
      <c r="CSC64" s="16"/>
      <c r="CSD64" s="16"/>
      <c r="CSE64" s="16"/>
      <c r="CSF64" s="16"/>
      <c r="CSG64" s="16"/>
      <c r="CSH64" s="16"/>
      <c r="CSI64" s="16"/>
      <c r="CSJ64" s="16"/>
      <c r="CSK64" s="24"/>
      <c r="CSL64" s="16"/>
      <c r="CSM64" s="16"/>
      <c r="CSN64" s="16"/>
      <c r="CSO64" s="16"/>
      <c r="CSP64" s="16"/>
      <c r="CUG64" s="16"/>
      <c r="CUH64" s="16"/>
      <c r="CUI64" s="16"/>
      <c r="CUJ64" s="16"/>
      <c r="CUK64" s="16"/>
      <c r="CUL64" s="16"/>
      <c r="CUM64" s="16"/>
      <c r="CUN64" s="16"/>
      <c r="CUO64" s="16"/>
      <c r="CUP64" s="16"/>
      <c r="CUQ64" s="16"/>
      <c r="CUR64" s="16"/>
      <c r="CUS64" s="16"/>
      <c r="CUT64" s="16"/>
      <c r="CUU64" s="16"/>
      <c r="CUV64" s="16"/>
      <c r="CUW64" s="16"/>
      <c r="CUX64" s="16"/>
      <c r="CUY64" s="16"/>
      <c r="CUZ64" s="16"/>
      <c r="CVA64" s="16"/>
      <c r="CVB64" s="16"/>
      <c r="CVC64" s="16"/>
      <c r="CVD64" s="16"/>
      <c r="CVE64" s="16"/>
      <c r="CVF64" s="16"/>
      <c r="CVG64" s="16"/>
      <c r="CVH64" s="16"/>
      <c r="CVI64" s="16"/>
      <c r="CVJ64" s="16"/>
      <c r="CVK64" s="16"/>
      <c r="CVL64" s="16"/>
      <c r="CVM64" s="16"/>
      <c r="CVN64" s="16"/>
      <c r="CVO64" s="16"/>
      <c r="CVP64" s="16"/>
    </row>
    <row r="65" spans="3:2616" ht="13.8" x14ac:dyDescent="0.25">
      <c r="C65" s="57"/>
      <c r="E65" s="16"/>
      <c r="K65" s="59"/>
      <c r="L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16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/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/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/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/>
      <c r="LR65" s="16"/>
      <c r="LS65" s="16"/>
      <c r="LT65" s="16"/>
      <c r="LU65" s="16"/>
      <c r="LV65" s="16"/>
      <c r="LW65" s="16"/>
      <c r="LX65" s="16"/>
      <c r="LY65" s="16"/>
      <c r="LZ65" s="16"/>
      <c r="MA65" s="16"/>
      <c r="MB65" s="16"/>
      <c r="MC65" s="16"/>
      <c r="MD65" s="16"/>
      <c r="ME65" s="16"/>
      <c r="MF65" s="16"/>
      <c r="MG65" s="16"/>
      <c r="MH65" s="16"/>
      <c r="MI65" s="16"/>
      <c r="MJ65" s="16"/>
      <c r="MK65" s="16"/>
      <c r="ML65" s="16"/>
      <c r="MM65" s="16"/>
      <c r="MN65" s="16"/>
      <c r="MO65" s="16"/>
      <c r="MP65" s="16"/>
      <c r="MQ65" s="16"/>
      <c r="MR65" s="16"/>
      <c r="MS65" s="16"/>
      <c r="MT65" s="16"/>
      <c r="MU65" s="16"/>
      <c r="MV65" s="16"/>
      <c r="MW65" s="16"/>
      <c r="MX65" s="16"/>
      <c r="MY65" s="16"/>
      <c r="MZ65" s="16"/>
      <c r="NA65" s="16"/>
      <c r="NB65" s="16"/>
      <c r="NC65" s="16"/>
      <c r="ND65" s="16"/>
      <c r="NE65" s="16"/>
      <c r="NF65" s="16"/>
      <c r="NG65" s="16"/>
      <c r="NH65" s="16"/>
      <c r="NI65" s="16"/>
      <c r="NJ65" s="16"/>
      <c r="NK65" s="16"/>
      <c r="NL65" s="16"/>
      <c r="NM65" s="16"/>
      <c r="NN65" s="16"/>
      <c r="NO65" s="16"/>
      <c r="NP65" s="16"/>
      <c r="NQ65" s="16"/>
      <c r="NR65" s="16"/>
      <c r="NS65" s="16"/>
      <c r="NT65" s="16"/>
      <c r="NU65" s="16"/>
      <c r="NV65" s="16"/>
      <c r="NW65" s="16"/>
      <c r="NX65" s="16"/>
      <c r="NY65" s="16"/>
      <c r="NZ65" s="16"/>
      <c r="OA65" s="16"/>
      <c r="OB65" s="16"/>
      <c r="OC65" s="16"/>
      <c r="OD65" s="16"/>
      <c r="OE65" s="16"/>
      <c r="OF65" s="16"/>
      <c r="OG65" s="16"/>
      <c r="OH65" s="16"/>
      <c r="OI65" s="16"/>
      <c r="OJ65" s="16"/>
      <c r="OK65" s="16"/>
      <c r="OL65" s="16"/>
      <c r="OM65" s="16"/>
      <c r="ON65" s="16"/>
      <c r="OO65" s="16"/>
      <c r="OP65" s="16"/>
      <c r="OQ65" s="16"/>
      <c r="OR65" s="16"/>
      <c r="OS65" s="16"/>
      <c r="OT65" s="16"/>
      <c r="OU65" s="16"/>
      <c r="OV65" s="16"/>
      <c r="OW65" s="16"/>
      <c r="OX65" s="16"/>
      <c r="OY65" s="16"/>
      <c r="OZ65" s="16"/>
      <c r="PA65" s="16"/>
      <c r="PB65" s="16"/>
      <c r="PC65" s="16"/>
      <c r="PD65" s="16"/>
      <c r="PE65" s="16"/>
      <c r="PF65" s="16"/>
      <c r="PG65" s="16"/>
      <c r="PH65" s="16"/>
      <c r="PI65" s="16"/>
      <c r="PJ65" s="16"/>
      <c r="PK65" s="16"/>
      <c r="PL65" s="16"/>
      <c r="PM65" s="16"/>
      <c r="PN65" s="16"/>
      <c r="PO65" s="16"/>
      <c r="PP65" s="16"/>
      <c r="PQ65" s="16"/>
      <c r="PR65" s="16"/>
      <c r="PS65" s="16"/>
      <c r="PT65" s="16"/>
      <c r="PU65" s="16"/>
      <c r="PV65" s="16"/>
      <c r="PW65" s="16"/>
      <c r="PX65" s="16"/>
      <c r="PY65" s="16"/>
      <c r="PZ65" s="16"/>
      <c r="QA65" s="16"/>
      <c r="QB65" s="16"/>
      <c r="QC65" s="16"/>
      <c r="QD65" s="16"/>
      <c r="QE65" s="16"/>
      <c r="QF65" s="16"/>
      <c r="QG65" s="16"/>
      <c r="QH65" s="16"/>
      <c r="QI65" s="16"/>
      <c r="QJ65" s="16"/>
      <c r="QK65" s="16"/>
      <c r="QL65" s="16"/>
      <c r="QM65" s="16"/>
      <c r="QN65" s="16"/>
      <c r="QO65" s="16"/>
      <c r="QP65" s="16"/>
      <c r="QQ65" s="16"/>
      <c r="QR65" s="16"/>
      <c r="QS65" s="16"/>
      <c r="QT65" s="16"/>
      <c r="QU65" s="16"/>
      <c r="QV65" s="16"/>
      <c r="QW65" s="16"/>
      <c r="QX65" s="16"/>
      <c r="QY65" s="16"/>
      <c r="QZ65" s="16"/>
      <c r="RA65" s="16"/>
      <c r="RB65" s="16"/>
      <c r="RC65" s="16"/>
      <c r="RD65" s="16"/>
      <c r="RE65" s="16"/>
      <c r="RF65" s="16"/>
      <c r="RG65" s="16"/>
      <c r="RH65" s="16"/>
      <c r="RI65" s="16"/>
      <c r="RJ65" s="16"/>
      <c r="RK65" s="16"/>
      <c r="RL65" s="16"/>
      <c r="RM65" s="16"/>
      <c r="RN65" s="16"/>
      <c r="RO65" s="16"/>
      <c r="RP65" s="16"/>
      <c r="RQ65" s="16"/>
      <c r="RR65" s="16"/>
      <c r="RS65" s="16"/>
      <c r="RT65" s="16"/>
      <c r="RU65" s="16"/>
      <c r="RV65" s="16"/>
      <c r="RW65" s="16"/>
      <c r="RX65" s="16"/>
      <c r="RY65" s="16"/>
      <c r="RZ65" s="16"/>
      <c r="SA65" s="16"/>
      <c r="SB65" s="16"/>
      <c r="SC65" s="16"/>
      <c r="SD65" s="16"/>
      <c r="SE65" s="16"/>
      <c r="SF65" s="16"/>
      <c r="SG65" s="16"/>
      <c r="SH65" s="16"/>
      <c r="SI65" s="16"/>
      <c r="SJ65" s="16"/>
      <c r="SK65" s="16"/>
      <c r="SL65" s="16"/>
      <c r="SM65" s="16"/>
      <c r="SN65" s="16"/>
      <c r="SO65" s="16"/>
      <c r="SP65" s="16"/>
      <c r="SQ65" s="16"/>
      <c r="SR65" s="16"/>
      <c r="SS65" s="16"/>
      <c r="ST65" s="16"/>
      <c r="SU65" s="16"/>
      <c r="SV65" s="16"/>
      <c r="SW65" s="16"/>
      <c r="SX65" s="16"/>
      <c r="SY65" s="16"/>
      <c r="SZ65" s="16"/>
      <c r="TA65" s="16"/>
      <c r="TB65" s="16"/>
      <c r="TC65" s="16"/>
      <c r="TD65" s="16"/>
      <c r="TE65" s="16"/>
      <c r="TF65" s="16"/>
      <c r="TG65" s="16"/>
      <c r="TH65" s="16"/>
      <c r="TI65" s="16"/>
      <c r="TJ65" s="16"/>
      <c r="TK65" s="16"/>
      <c r="TL65" s="16"/>
      <c r="TM65" s="16"/>
      <c r="TN65" s="16"/>
      <c r="TO65" s="16"/>
      <c r="TP65" s="16"/>
      <c r="TQ65" s="16"/>
      <c r="TR65" s="16"/>
      <c r="TS65" s="16"/>
      <c r="TT65" s="16"/>
      <c r="TU65" s="16"/>
      <c r="TV65" s="16"/>
      <c r="TW65" s="16"/>
      <c r="TX65" s="16"/>
      <c r="TY65" s="16"/>
      <c r="TZ65" s="16"/>
      <c r="UA65" s="16"/>
      <c r="UB65" s="16"/>
      <c r="UC65" s="16"/>
      <c r="UD65" s="16"/>
      <c r="UE65" s="16"/>
      <c r="UF65" s="16"/>
      <c r="UG65" s="16"/>
      <c r="UH65" s="16"/>
      <c r="UI65" s="16"/>
      <c r="UJ65" s="16"/>
      <c r="UK65" s="16"/>
      <c r="UL65" s="16"/>
      <c r="UM65" s="16"/>
      <c r="UN65" s="16"/>
      <c r="UO65" s="16"/>
      <c r="UP65" s="16"/>
      <c r="UQ65" s="16"/>
      <c r="UR65" s="16"/>
      <c r="US65" s="16"/>
      <c r="UT65" s="16"/>
      <c r="UU65" s="16"/>
      <c r="UV65" s="16"/>
      <c r="UW65" s="16"/>
      <c r="UX65" s="16"/>
      <c r="UY65" s="16"/>
      <c r="UZ65" s="16"/>
      <c r="VA65" s="16"/>
      <c r="VB65" s="16"/>
      <c r="VC65" s="16"/>
      <c r="VD65" s="16"/>
      <c r="VE65" s="16"/>
      <c r="VF65" s="16"/>
      <c r="VG65" s="16"/>
      <c r="VH65" s="16"/>
      <c r="VI65" s="16"/>
      <c r="VJ65" s="16"/>
      <c r="VK65" s="16"/>
      <c r="VL65" s="16"/>
      <c r="VM65" s="16"/>
      <c r="VN65" s="16"/>
      <c r="VO65" s="16"/>
      <c r="VP65" s="16"/>
      <c r="VQ65" s="16"/>
      <c r="VR65" s="16"/>
      <c r="VS65" s="16"/>
      <c r="VT65" s="16"/>
      <c r="VU65" s="16"/>
      <c r="VV65" s="16"/>
      <c r="VW65" s="16"/>
      <c r="VX65" s="16"/>
      <c r="VY65" s="16"/>
      <c r="VZ65" s="16"/>
      <c r="WA65" s="16"/>
      <c r="WB65" s="16"/>
      <c r="WC65" s="16"/>
      <c r="WD65" s="16"/>
      <c r="WE65" s="16"/>
      <c r="WF65" s="16"/>
      <c r="WG65" s="16"/>
      <c r="WH65" s="16"/>
      <c r="WI65" s="16"/>
      <c r="WJ65" s="16"/>
      <c r="WK65" s="16"/>
      <c r="WL65" s="16"/>
      <c r="WM65" s="16"/>
      <c r="WN65" s="16"/>
      <c r="WO65" s="16"/>
      <c r="WP65" s="16"/>
      <c r="WQ65" s="16"/>
      <c r="WR65" s="16"/>
      <c r="WS65" s="16"/>
      <c r="WT65" s="16"/>
      <c r="WU65" s="16"/>
      <c r="WV65" s="16"/>
      <c r="WW65" s="16"/>
      <c r="WX65" s="16"/>
      <c r="WY65" s="16"/>
      <c r="WZ65" s="16"/>
      <c r="XA65" s="16"/>
      <c r="XB65" s="16"/>
      <c r="XC65" s="16"/>
      <c r="XD65" s="16"/>
      <c r="XE65" s="16"/>
      <c r="XF65" s="16"/>
      <c r="XG65" s="16"/>
      <c r="XH65" s="16"/>
      <c r="XI65" s="16"/>
      <c r="XJ65" s="16"/>
      <c r="XK65" s="16"/>
      <c r="XL65" s="16"/>
      <c r="XM65" s="16"/>
      <c r="XN65" s="16"/>
      <c r="XO65" s="16"/>
      <c r="XP65" s="16"/>
      <c r="XQ65" s="16"/>
      <c r="XR65" s="16"/>
      <c r="XS65" s="16"/>
      <c r="XT65" s="16"/>
      <c r="XU65" s="16"/>
      <c r="XV65" s="16"/>
      <c r="XW65" s="16"/>
      <c r="XX65" s="16"/>
      <c r="XY65" s="16"/>
      <c r="XZ65" s="16"/>
      <c r="YA65" s="16"/>
      <c r="YB65" s="16"/>
      <c r="YC65" s="16"/>
      <c r="YD65" s="16"/>
      <c r="YE65" s="16"/>
      <c r="YF65" s="16"/>
      <c r="YG65" s="16"/>
      <c r="YH65" s="16"/>
      <c r="YI65" s="16"/>
      <c r="YJ65" s="16"/>
      <c r="YK65" s="16"/>
      <c r="YL65" s="16"/>
      <c r="YM65" s="16"/>
      <c r="YN65" s="16"/>
      <c r="YO65" s="16"/>
      <c r="YP65" s="16"/>
      <c r="YQ65" s="16"/>
      <c r="YR65" s="16"/>
      <c r="YS65" s="16"/>
      <c r="YT65" s="16"/>
      <c r="YU65" s="16"/>
      <c r="YV65" s="16"/>
      <c r="YW65" s="16"/>
      <c r="YX65" s="16"/>
      <c r="YY65" s="16"/>
      <c r="YZ65" s="16"/>
      <c r="ZA65" s="16"/>
      <c r="ZB65" s="16"/>
      <c r="ZC65" s="16"/>
      <c r="ZD65" s="16"/>
      <c r="ZE65" s="16"/>
      <c r="ZF65" s="16"/>
      <c r="ZG65" s="16"/>
      <c r="ZH65" s="16"/>
      <c r="ZI65" s="16"/>
      <c r="ZJ65" s="16"/>
      <c r="ZK65" s="16"/>
      <c r="ZL65" s="16"/>
      <c r="ZM65" s="16"/>
      <c r="ZN65" s="16"/>
      <c r="ZO65" s="16"/>
      <c r="ZP65" s="16"/>
      <c r="ZQ65" s="16"/>
      <c r="ZR65" s="16"/>
      <c r="ZS65" s="16"/>
      <c r="ZT65" s="16"/>
      <c r="ZU65" s="16"/>
      <c r="ZV65" s="16"/>
      <c r="ZW65" s="16"/>
      <c r="ZX65" s="16"/>
      <c r="ZY65" s="16"/>
      <c r="ZZ65" s="16"/>
      <c r="AAA65" s="16"/>
      <c r="AAB65" s="16"/>
      <c r="AAC65" s="16"/>
      <c r="AAD65" s="16"/>
      <c r="AAE65" s="16"/>
      <c r="AAF65" s="16"/>
      <c r="AAG65" s="16"/>
      <c r="AAH65" s="16"/>
      <c r="AAI65" s="16"/>
      <c r="AAJ65" s="16"/>
      <c r="AAK65" s="16"/>
      <c r="AAL65" s="16"/>
      <c r="AAM65" s="16"/>
      <c r="AAN65" s="16"/>
      <c r="AAO65" s="16"/>
      <c r="AAP65" s="16"/>
      <c r="AAQ65" s="16"/>
      <c r="AAR65" s="16"/>
      <c r="AAS65" s="16"/>
      <c r="AAT65" s="16"/>
      <c r="AAU65" s="16"/>
      <c r="AAV65" s="16"/>
      <c r="AAW65" s="16"/>
      <c r="AAX65" s="16"/>
      <c r="AAY65" s="16"/>
      <c r="AAZ65" s="16"/>
      <c r="ABA65" s="16"/>
      <c r="ABB65" s="16"/>
      <c r="ABC65" s="16"/>
      <c r="ABD65" s="16"/>
      <c r="ABE65" s="16"/>
      <c r="ABF65" s="16"/>
      <c r="ABG65" s="16"/>
      <c r="ABH65" s="16"/>
      <c r="ABI65" s="16"/>
      <c r="ABJ65" s="16"/>
      <c r="ABK65" s="16"/>
      <c r="ABL65" s="16"/>
      <c r="ABM65" s="16"/>
      <c r="ABN65" s="16"/>
      <c r="ABO65" s="16"/>
      <c r="ABP65" s="16"/>
      <c r="ABQ65" s="16"/>
      <c r="ABR65" s="16"/>
      <c r="ABS65" s="16"/>
      <c r="ABT65" s="16"/>
      <c r="ABU65" s="16"/>
      <c r="ABV65" s="16"/>
      <c r="ABW65" s="16"/>
      <c r="ABX65" s="16"/>
      <c r="ABY65" s="16"/>
      <c r="ABZ65" s="16"/>
      <c r="ACA65" s="16"/>
      <c r="ACB65" s="16"/>
      <c r="ACC65" s="16"/>
      <c r="ACD65" s="16"/>
      <c r="ACE65" s="16"/>
      <c r="ACF65" s="16"/>
      <c r="ACG65" s="16"/>
      <c r="ACH65" s="16"/>
      <c r="ACI65" s="16"/>
      <c r="ACJ65" s="16"/>
      <c r="ACK65" s="16"/>
      <c r="ACL65" s="16"/>
      <c r="ACM65" s="16"/>
      <c r="ACN65" s="16"/>
      <c r="ACO65" s="16"/>
      <c r="ACP65" s="16"/>
      <c r="ACQ65" s="16"/>
      <c r="ACR65" s="16"/>
      <c r="ACS65" s="16"/>
      <c r="ACT65" s="16"/>
      <c r="ACU65" s="16"/>
      <c r="ACV65" s="16"/>
      <c r="ACW65" s="16"/>
      <c r="ACX65" s="16"/>
      <c r="ACY65" s="16"/>
      <c r="ACZ65" s="16"/>
      <c r="ADA65" s="16"/>
      <c r="ADB65" s="16"/>
      <c r="ADC65" s="16"/>
      <c r="ADD65" s="16"/>
      <c r="ADE65" s="16"/>
      <c r="ADF65" s="16"/>
      <c r="ADG65" s="16"/>
      <c r="ADH65" s="16"/>
      <c r="ADI65" s="16"/>
      <c r="ADJ65" s="16"/>
      <c r="ADK65" s="16"/>
      <c r="ADL65" s="16"/>
      <c r="ADM65" s="16"/>
      <c r="ADN65" s="16"/>
      <c r="ADO65" s="16"/>
      <c r="ADP65" s="16"/>
      <c r="ADQ65" s="16"/>
      <c r="ADR65" s="16"/>
      <c r="ADS65" s="16"/>
      <c r="ADT65" s="16"/>
      <c r="ADU65" s="16"/>
      <c r="ADV65" s="16"/>
      <c r="ADW65" s="16"/>
      <c r="ADX65" s="16"/>
      <c r="ADY65" s="16"/>
      <c r="ADZ65" s="16"/>
      <c r="AEA65" s="16"/>
      <c r="AEB65" s="16"/>
      <c r="AEC65" s="16"/>
      <c r="AED65" s="16"/>
      <c r="AEE65" s="16"/>
      <c r="AEF65" s="16"/>
      <c r="AEG65" s="16"/>
      <c r="AEH65" s="16"/>
      <c r="AEI65" s="16"/>
      <c r="AEJ65" s="16"/>
      <c r="AEK65" s="16"/>
      <c r="AEL65" s="16"/>
      <c r="AEM65" s="16"/>
      <c r="AEN65" s="16"/>
      <c r="AEO65" s="16"/>
      <c r="AEP65" s="16"/>
      <c r="AEQ65" s="16"/>
      <c r="AER65" s="16"/>
      <c r="AES65" s="16"/>
      <c r="AET65" s="16"/>
      <c r="AEU65" s="16"/>
      <c r="AEV65" s="16"/>
      <c r="AEW65" s="16"/>
      <c r="AEX65" s="16"/>
      <c r="AEY65" s="16"/>
      <c r="AEZ65" s="16"/>
      <c r="AFA65" s="16"/>
      <c r="AFB65" s="16"/>
      <c r="AFC65" s="16"/>
      <c r="AFD65" s="16"/>
      <c r="AFE65" s="16"/>
      <c r="AFF65" s="16"/>
      <c r="AFG65" s="16"/>
      <c r="AFH65" s="16"/>
      <c r="AFI65" s="16"/>
      <c r="AFJ65" s="16"/>
      <c r="AFK65" s="16"/>
      <c r="AFL65" s="16"/>
      <c r="AFM65" s="16"/>
      <c r="AFN65" s="16"/>
      <c r="AFO65" s="16"/>
      <c r="AFP65" s="16"/>
      <c r="AFQ65" s="16"/>
      <c r="AFR65" s="16"/>
      <c r="AFS65" s="16"/>
      <c r="AFT65" s="16"/>
      <c r="AFU65" s="16"/>
      <c r="AFV65" s="16"/>
      <c r="AFW65" s="16"/>
      <c r="AFX65" s="16"/>
      <c r="AFY65" s="16"/>
      <c r="AFZ65" s="16"/>
      <c r="AGA65" s="16"/>
      <c r="AGB65" s="16"/>
      <c r="AGC65" s="16"/>
      <c r="AGD65" s="16"/>
      <c r="AGE65" s="16"/>
      <c r="AGF65" s="16"/>
      <c r="AGG65" s="16"/>
      <c r="AGH65" s="16"/>
      <c r="AGI65" s="16"/>
      <c r="AGJ65" s="16"/>
      <c r="AGK65" s="16"/>
      <c r="AGL65" s="16"/>
      <c r="AGM65" s="16"/>
      <c r="AGN65" s="16"/>
      <c r="AGO65" s="16"/>
      <c r="AGP65" s="16"/>
      <c r="AGQ65" s="16"/>
      <c r="AGR65" s="16"/>
      <c r="AGS65" s="16"/>
      <c r="AGT65" s="16"/>
      <c r="AGU65" s="16"/>
      <c r="AGV65" s="16"/>
      <c r="AGW65" s="16"/>
      <c r="AGX65" s="16"/>
      <c r="AGY65" s="16"/>
      <c r="AGZ65" s="16"/>
      <c r="AHA65" s="16"/>
      <c r="AHB65" s="16"/>
      <c r="AHC65" s="16"/>
      <c r="AHD65" s="16"/>
      <c r="AHE65" s="16"/>
      <c r="AHF65" s="16"/>
      <c r="AHG65" s="16"/>
      <c r="AHH65" s="16"/>
      <c r="AHI65" s="16"/>
      <c r="AHJ65" s="16"/>
      <c r="AHK65" s="16"/>
      <c r="AHL65" s="16"/>
      <c r="AHM65" s="16"/>
      <c r="AHN65" s="16"/>
      <c r="AHO65" s="16"/>
      <c r="AHP65" s="16"/>
      <c r="AHQ65" s="16"/>
      <c r="AHR65" s="16"/>
      <c r="AHS65" s="16"/>
      <c r="AHT65" s="16"/>
      <c r="AHU65" s="16"/>
      <c r="AHV65" s="16"/>
      <c r="AHW65" s="16"/>
      <c r="AHX65" s="16"/>
      <c r="AHY65" s="16"/>
      <c r="AHZ65" s="16"/>
      <c r="AIA65" s="16"/>
      <c r="AIB65" s="16"/>
      <c r="AIC65" s="16"/>
      <c r="AID65" s="16"/>
      <c r="AIE65" s="16"/>
      <c r="AIF65" s="16"/>
      <c r="AIG65" s="16"/>
      <c r="AIH65" s="16"/>
      <c r="AII65" s="16"/>
      <c r="AIJ65" s="16"/>
      <c r="AIK65" s="16"/>
      <c r="AIL65" s="16"/>
      <c r="AIM65" s="16"/>
      <c r="AIN65" s="16"/>
      <c r="AIO65" s="16"/>
      <c r="AIP65" s="16"/>
      <c r="AIQ65" s="16"/>
      <c r="AIR65" s="16"/>
      <c r="AIS65" s="16"/>
      <c r="AIT65" s="16"/>
      <c r="AIU65" s="16"/>
      <c r="AIV65" s="16"/>
      <c r="AIW65" s="16"/>
      <c r="AIX65" s="16"/>
      <c r="AIY65" s="16"/>
      <c r="AIZ65" s="16"/>
      <c r="AJA65" s="16"/>
      <c r="AJB65" s="16"/>
      <c r="AJC65" s="16"/>
      <c r="AJD65" s="16"/>
      <c r="AJE65" s="16"/>
      <c r="AJF65" s="16"/>
      <c r="AJG65" s="16"/>
      <c r="AJH65" s="16"/>
      <c r="AJI65" s="16"/>
      <c r="AJJ65" s="16"/>
      <c r="AJK65" s="16"/>
      <c r="AJL65" s="16"/>
      <c r="AJM65" s="16"/>
      <c r="AJN65" s="16"/>
      <c r="AJO65" s="16"/>
      <c r="AJP65" s="16"/>
      <c r="AJQ65" s="16"/>
      <c r="AJR65" s="16"/>
      <c r="AJS65" s="16"/>
      <c r="AJT65" s="16"/>
      <c r="AJU65" s="16"/>
      <c r="AJV65" s="16"/>
      <c r="AJW65" s="16"/>
      <c r="AJX65" s="16"/>
      <c r="AJY65" s="16"/>
      <c r="AJZ65" s="16"/>
      <c r="AKA65" s="16"/>
      <c r="AKB65" s="16"/>
      <c r="AKC65" s="16"/>
      <c r="AKD65" s="16"/>
      <c r="AKE65" s="16"/>
      <c r="AKF65" s="16"/>
      <c r="AKG65" s="16"/>
      <c r="AKH65" s="16"/>
      <c r="AKI65" s="16"/>
      <c r="AKJ65" s="16"/>
      <c r="AKK65" s="16"/>
      <c r="AKL65" s="16"/>
      <c r="AKM65" s="16"/>
      <c r="AKN65" s="16"/>
      <c r="AKO65" s="16"/>
      <c r="AKP65" s="16"/>
      <c r="AKQ65" s="16"/>
      <c r="AKR65" s="16"/>
      <c r="AKS65" s="16"/>
      <c r="AKT65" s="16"/>
      <c r="AKU65" s="16"/>
      <c r="AKV65" s="16"/>
      <c r="AKW65" s="16"/>
      <c r="AKX65" s="16"/>
      <c r="AKY65" s="16"/>
      <c r="AKZ65" s="16"/>
      <c r="ALA65" s="16"/>
      <c r="ALB65" s="16"/>
      <c r="ALC65" s="16"/>
      <c r="ALD65" s="16"/>
      <c r="ALE65" s="16"/>
      <c r="ALF65" s="16"/>
      <c r="ALG65" s="16"/>
      <c r="ALH65" s="16"/>
      <c r="ALI65" s="16"/>
      <c r="ALJ65" s="16"/>
      <c r="ALK65" s="16"/>
      <c r="ALL65" s="16"/>
      <c r="ALM65" s="16"/>
      <c r="ALN65" s="16"/>
      <c r="ALO65" s="16"/>
      <c r="ALP65" s="16"/>
      <c r="ALQ65" s="16"/>
      <c r="ALR65" s="16"/>
      <c r="ALS65" s="16"/>
      <c r="ALT65" s="16"/>
      <c r="ALU65" s="16"/>
      <c r="ALV65" s="16"/>
      <c r="ALW65" s="16"/>
      <c r="ALX65" s="16"/>
      <c r="ALY65" s="16"/>
      <c r="ALZ65" s="16"/>
      <c r="AMA65" s="16"/>
      <c r="AMB65" s="16"/>
      <c r="AMC65" s="16"/>
      <c r="AMD65" s="16"/>
      <c r="AME65" s="16"/>
      <c r="AMF65" s="16"/>
      <c r="AMG65" s="16"/>
      <c r="AMH65" s="16"/>
      <c r="AMI65" s="16"/>
      <c r="AMJ65" s="16"/>
      <c r="AMK65" s="16"/>
      <c r="AML65" s="16"/>
      <c r="AMM65" s="16"/>
      <c r="AMN65" s="16"/>
      <c r="AMO65" s="16"/>
      <c r="AMP65" s="16"/>
      <c r="AMQ65" s="16"/>
      <c r="AMR65" s="16"/>
      <c r="AMS65" s="16"/>
      <c r="AMT65" s="16"/>
      <c r="AMU65" s="16"/>
      <c r="AMV65" s="16"/>
      <c r="AMW65" s="16"/>
      <c r="AMX65" s="16"/>
      <c r="AMY65" s="16"/>
      <c r="AMZ65" s="16"/>
      <c r="ANA65" s="16"/>
      <c r="ANB65" s="16"/>
      <c r="ANC65" s="16"/>
      <c r="AND65" s="16"/>
      <c r="ANE65" s="16"/>
      <c r="ANF65" s="16"/>
      <c r="ANG65" s="16"/>
      <c r="ANH65" s="16"/>
      <c r="ANI65" s="16"/>
      <c r="ANJ65" s="16"/>
      <c r="ANK65" s="16"/>
      <c r="ANL65" s="16"/>
      <c r="ANM65" s="16"/>
      <c r="ANN65" s="16"/>
      <c r="ANO65" s="16"/>
      <c r="ANP65" s="16"/>
      <c r="ANQ65" s="16"/>
      <c r="ANR65" s="16"/>
      <c r="ANS65" s="16"/>
      <c r="ANT65" s="16"/>
      <c r="ANU65" s="16"/>
      <c r="ANV65" s="16"/>
      <c r="ANW65" s="16"/>
      <c r="ANX65" s="16"/>
      <c r="ANY65" s="16"/>
      <c r="ANZ65" s="16"/>
      <c r="AOA65" s="16"/>
      <c r="AOB65" s="16"/>
      <c r="AOC65" s="16"/>
      <c r="AOD65" s="16"/>
      <c r="AOE65" s="16"/>
      <c r="AOF65" s="16"/>
      <c r="AOG65" s="16"/>
      <c r="AOH65" s="16"/>
      <c r="AOI65" s="16"/>
      <c r="AOJ65" s="16"/>
      <c r="AOK65" s="16"/>
      <c r="AOL65" s="16"/>
      <c r="AOM65" s="16"/>
      <c r="AON65" s="16"/>
      <c r="AOO65" s="16"/>
      <c r="AOP65" s="16"/>
      <c r="AOQ65" s="16"/>
      <c r="AOR65" s="16"/>
      <c r="AOS65" s="16"/>
      <c r="AOT65" s="16"/>
      <c r="AOU65" s="16"/>
      <c r="AOV65" s="16"/>
      <c r="AOW65" s="16"/>
      <c r="AOX65" s="16"/>
      <c r="AOY65" s="16"/>
      <c r="AOZ65" s="16"/>
      <c r="APA65" s="16"/>
      <c r="APB65" s="16"/>
      <c r="APC65" s="16"/>
      <c r="APD65" s="16"/>
      <c r="APE65" s="16"/>
      <c r="APF65" s="16"/>
      <c r="APG65" s="16"/>
      <c r="APH65" s="16"/>
      <c r="API65" s="16"/>
      <c r="APJ65" s="16"/>
      <c r="APK65" s="16"/>
      <c r="APL65" s="16"/>
      <c r="APM65" s="16"/>
      <c r="APN65" s="16"/>
      <c r="APO65" s="16"/>
      <c r="APP65" s="16"/>
      <c r="APQ65" s="16"/>
      <c r="APR65" s="16"/>
      <c r="APS65" s="16"/>
      <c r="APT65" s="16"/>
      <c r="APU65" s="16"/>
      <c r="APV65" s="16"/>
      <c r="APW65" s="16"/>
      <c r="APX65" s="16"/>
      <c r="APY65" s="16"/>
      <c r="APZ65" s="16"/>
      <c r="AQA65" s="16"/>
      <c r="AQB65" s="16"/>
      <c r="AQC65" s="16"/>
      <c r="AQD65" s="16"/>
      <c r="AQE65" s="16"/>
      <c r="AQF65" s="16"/>
      <c r="AQG65" s="16"/>
      <c r="AQH65" s="16"/>
      <c r="AQI65" s="16"/>
      <c r="AQJ65" s="16"/>
      <c r="AQK65" s="16"/>
      <c r="AQL65" s="16"/>
      <c r="AQM65" s="16"/>
      <c r="AQN65" s="16"/>
      <c r="AQO65" s="16"/>
      <c r="AQP65" s="16"/>
      <c r="AQQ65" s="16"/>
      <c r="AQR65" s="16"/>
      <c r="AQS65" s="16"/>
      <c r="AQT65" s="16"/>
      <c r="AQU65" s="16"/>
      <c r="AQV65" s="16"/>
      <c r="AQW65" s="16"/>
      <c r="AQX65" s="16"/>
      <c r="AQY65" s="16"/>
      <c r="AQZ65" s="16"/>
      <c r="ARA65" s="16"/>
      <c r="ARB65" s="16"/>
      <c r="ARC65" s="16"/>
      <c r="ARD65" s="16"/>
      <c r="ARE65" s="16"/>
      <c r="ARF65" s="16"/>
      <c r="ARG65" s="16"/>
      <c r="ARH65" s="16"/>
      <c r="ARI65" s="16"/>
      <c r="ARJ65" s="16"/>
      <c r="ARK65" s="16"/>
      <c r="ARL65" s="16"/>
      <c r="ARM65" s="16"/>
      <c r="ARN65" s="16"/>
      <c r="ARO65" s="16"/>
      <c r="ARP65" s="16"/>
      <c r="ARQ65" s="16"/>
      <c r="ARR65" s="16"/>
      <c r="ARS65" s="16"/>
      <c r="ART65" s="16"/>
      <c r="ARU65" s="16"/>
      <c r="ARV65" s="16"/>
      <c r="ARW65" s="16"/>
      <c r="ARX65" s="16"/>
      <c r="ARY65" s="16"/>
      <c r="ARZ65" s="16"/>
      <c r="ASA65" s="16"/>
      <c r="ASB65" s="16"/>
      <c r="ASC65" s="16"/>
      <c r="ASD65" s="16"/>
      <c r="ASE65" s="16"/>
      <c r="ASF65" s="16"/>
      <c r="ASG65" s="16"/>
      <c r="ASH65" s="16"/>
      <c r="ASI65" s="16"/>
      <c r="ASJ65" s="16"/>
      <c r="ASK65" s="16"/>
      <c r="ASL65" s="16"/>
      <c r="ASM65" s="16"/>
      <c r="ASN65" s="16"/>
      <c r="ASO65" s="16"/>
      <c r="ASP65" s="16"/>
      <c r="ASQ65" s="16"/>
      <c r="ASR65" s="16"/>
      <c r="ASS65" s="16"/>
      <c r="AST65" s="16"/>
      <c r="ASU65" s="16"/>
      <c r="ASV65" s="16"/>
      <c r="ASW65" s="16"/>
      <c r="ASX65" s="16"/>
      <c r="ASY65" s="16"/>
      <c r="ASZ65" s="16"/>
      <c r="ATA65" s="16"/>
      <c r="ATB65" s="16"/>
      <c r="ATC65" s="16"/>
      <c r="ATD65" s="16"/>
      <c r="ATE65" s="16"/>
      <c r="ATF65" s="16"/>
      <c r="ATG65" s="16"/>
      <c r="ATH65" s="16"/>
      <c r="ATI65" s="16"/>
      <c r="ATJ65" s="16"/>
      <c r="ATK65" s="16"/>
      <c r="ATL65" s="16"/>
      <c r="ATM65" s="16"/>
      <c r="ATN65" s="16"/>
      <c r="ATO65" s="16"/>
      <c r="ATP65" s="16"/>
      <c r="ATQ65" s="16"/>
      <c r="ATR65" s="16"/>
      <c r="ATS65" s="16"/>
      <c r="ATT65" s="16"/>
      <c r="ATU65" s="16"/>
      <c r="ATV65" s="16"/>
      <c r="ATW65" s="16"/>
      <c r="ATX65" s="16"/>
      <c r="ATY65" s="16"/>
      <c r="ATZ65" s="16"/>
      <c r="AUA65" s="16"/>
      <c r="AUB65" s="16"/>
      <c r="AUC65" s="16"/>
      <c r="AUD65" s="16"/>
      <c r="AUE65" s="16"/>
      <c r="AUF65" s="16"/>
      <c r="AUG65" s="16"/>
      <c r="AUH65" s="16"/>
      <c r="AUI65" s="16"/>
      <c r="AUJ65" s="16"/>
      <c r="AUK65" s="16"/>
      <c r="AUL65" s="16"/>
      <c r="AUM65" s="16"/>
      <c r="AUN65" s="16"/>
      <c r="AUO65" s="16"/>
      <c r="AUP65" s="16"/>
      <c r="AUQ65" s="16"/>
      <c r="AUR65" s="16"/>
      <c r="AUS65" s="16"/>
      <c r="AUT65" s="16"/>
      <c r="AUU65" s="16"/>
      <c r="AUV65" s="16"/>
      <c r="AUW65" s="16"/>
      <c r="AUX65" s="16"/>
      <c r="AUY65" s="16"/>
      <c r="AUZ65" s="16"/>
      <c r="AVA65" s="16"/>
      <c r="AVB65" s="16"/>
      <c r="AVC65" s="16"/>
      <c r="AVD65" s="16"/>
      <c r="AVE65" s="16"/>
      <c r="AVF65" s="16"/>
      <c r="AVG65" s="16"/>
      <c r="AVH65" s="16"/>
      <c r="AVI65" s="16"/>
      <c r="AVJ65" s="16"/>
      <c r="AVK65" s="16"/>
      <c r="AVL65" s="16"/>
      <c r="AVM65" s="16"/>
      <c r="AVN65" s="16"/>
      <c r="AVO65" s="16"/>
      <c r="AVP65" s="16"/>
      <c r="AVQ65" s="16"/>
      <c r="AVR65" s="16"/>
      <c r="AVS65" s="16"/>
      <c r="AVT65" s="16"/>
      <c r="AVU65" s="16"/>
      <c r="AVV65" s="16"/>
      <c r="AVW65" s="16"/>
      <c r="AVX65" s="16"/>
      <c r="AVY65" s="16"/>
      <c r="AVZ65" s="16"/>
      <c r="AWA65" s="16"/>
      <c r="AWB65" s="16"/>
      <c r="AWC65" s="16"/>
      <c r="AWD65" s="16"/>
      <c r="AWE65" s="16"/>
      <c r="AWF65" s="16"/>
      <c r="AWG65" s="16"/>
      <c r="AWH65" s="16"/>
      <c r="AWI65" s="16"/>
      <c r="AWJ65" s="16"/>
      <c r="AWK65" s="16"/>
      <c r="AWL65" s="16"/>
      <c r="AWM65" s="16"/>
      <c r="AWN65" s="16"/>
      <c r="AWO65" s="16"/>
      <c r="AWP65" s="16"/>
      <c r="AWQ65" s="16"/>
      <c r="AWR65" s="16"/>
      <c r="AWS65" s="16"/>
      <c r="AWT65" s="16"/>
      <c r="AWU65" s="16"/>
      <c r="AWV65" s="16"/>
      <c r="AWW65" s="16"/>
      <c r="AWX65" s="16"/>
      <c r="AWY65" s="16"/>
      <c r="AWZ65" s="16"/>
      <c r="AXA65" s="16"/>
      <c r="AXB65" s="16"/>
      <c r="AXC65" s="16"/>
      <c r="AXD65" s="16"/>
      <c r="AXE65" s="16"/>
      <c r="AXF65" s="16"/>
      <c r="AXG65" s="16"/>
      <c r="AXH65" s="16"/>
      <c r="AXI65" s="16"/>
      <c r="AXJ65" s="16"/>
      <c r="AXK65" s="16"/>
      <c r="AXL65" s="16"/>
      <c r="AXM65" s="16"/>
      <c r="AXN65" s="16"/>
      <c r="AXO65" s="16"/>
      <c r="AXP65" s="16"/>
      <c r="AXQ65" s="16"/>
      <c r="AXR65" s="16"/>
      <c r="AXS65" s="16"/>
      <c r="AXT65" s="16"/>
      <c r="AXU65" s="16"/>
      <c r="AXV65" s="16"/>
      <c r="AXW65" s="16"/>
      <c r="AXX65" s="16"/>
      <c r="AXY65" s="16"/>
      <c r="AXZ65" s="16"/>
      <c r="AYA65" s="16"/>
      <c r="AYB65" s="16"/>
      <c r="AYC65" s="16"/>
      <c r="AYD65" s="16"/>
      <c r="AYE65" s="16"/>
      <c r="AYF65" s="16"/>
      <c r="AYG65" s="16"/>
      <c r="AYH65" s="16"/>
      <c r="AYI65" s="16"/>
      <c r="AYJ65" s="16"/>
      <c r="AYK65" s="16"/>
      <c r="AYL65" s="16"/>
      <c r="AYM65" s="16"/>
      <c r="AYN65" s="16"/>
      <c r="AYO65" s="16"/>
      <c r="AYP65" s="16"/>
      <c r="AYQ65" s="16"/>
      <c r="AYR65" s="16"/>
      <c r="AYS65" s="16"/>
      <c r="AYT65" s="16"/>
      <c r="AYU65" s="16"/>
      <c r="AYV65" s="16"/>
      <c r="AYW65" s="16"/>
      <c r="AYX65" s="16"/>
      <c r="AYY65" s="16"/>
      <c r="AYZ65" s="16"/>
      <c r="AZA65" s="16"/>
      <c r="AZB65" s="16"/>
      <c r="AZC65" s="16"/>
      <c r="AZD65" s="16"/>
      <c r="AZE65" s="16"/>
      <c r="AZF65" s="16"/>
      <c r="AZG65" s="16"/>
      <c r="AZH65" s="16"/>
      <c r="AZI65" s="16"/>
      <c r="AZJ65" s="16"/>
      <c r="AZK65" s="16"/>
      <c r="AZL65" s="16"/>
      <c r="AZM65" s="16"/>
      <c r="AZN65" s="16"/>
      <c r="AZO65" s="16"/>
      <c r="AZP65" s="16"/>
      <c r="AZQ65" s="16"/>
      <c r="AZR65" s="16"/>
      <c r="AZS65" s="16"/>
      <c r="AZT65" s="16"/>
      <c r="AZU65" s="16"/>
      <c r="AZV65" s="16"/>
      <c r="AZW65" s="16"/>
      <c r="AZX65" s="16"/>
      <c r="AZY65" s="16"/>
      <c r="AZZ65" s="16"/>
      <c r="BAA65" s="16"/>
      <c r="BAB65" s="16"/>
      <c r="BAC65" s="16"/>
      <c r="BAD65" s="16"/>
      <c r="BAE65" s="16"/>
      <c r="BAF65" s="16"/>
      <c r="BAG65" s="16"/>
      <c r="BAH65" s="16"/>
      <c r="BAI65" s="16"/>
      <c r="BAJ65" s="16"/>
      <c r="BAK65" s="16"/>
      <c r="BAL65" s="16"/>
      <c r="BAM65" s="16"/>
      <c r="BAN65" s="16"/>
      <c r="BAO65" s="16"/>
      <c r="BAP65" s="16"/>
      <c r="BAQ65" s="16"/>
      <c r="BAR65" s="16"/>
      <c r="BAS65" s="16"/>
      <c r="BAT65" s="16"/>
      <c r="BAU65" s="16"/>
      <c r="BAV65" s="16"/>
      <c r="BAW65" s="16"/>
      <c r="BAX65" s="16"/>
      <c r="BAY65" s="16"/>
      <c r="BAZ65" s="16"/>
      <c r="BBA65" s="16"/>
      <c r="BBB65" s="16"/>
      <c r="BBC65" s="16"/>
      <c r="BBD65" s="16"/>
      <c r="BBE65" s="16"/>
      <c r="BBF65" s="16"/>
      <c r="BBG65" s="16"/>
      <c r="BBH65" s="16"/>
      <c r="BBI65" s="16"/>
      <c r="BBJ65" s="16"/>
      <c r="BBK65" s="16"/>
      <c r="BBL65" s="16"/>
      <c r="BBM65" s="16"/>
      <c r="BBN65" s="16"/>
      <c r="BBO65" s="16"/>
      <c r="BBP65" s="16"/>
      <c r="BBQ65" s="16"/>
      <c r="BBR65" s="16"/>
      <c r="BBS65" s="16"/>
      <c r="BBT65" s="16"/>
      <c r="BBU65" s="16"/>
      <c r="BBV65" s="16"/>
      <c r="BBW65" s="16"/>
      <c r="BBX65" s="16"/>
      <c r="BBY65" s="16"/>
      <c r="BBZ65" s="16"/>
      <c r="BCA65" s="16"/>
      <c r="BCB65" s="16"/>
      <c r="BCC65" s="16"/>
      <c r="BCD65" s="16"/>
      <c r="BCE65" s="16"/>
      <c r="BCF65" s="16"/>
      <c r="BCG65" s="16"/>
      <c r="BCH65" s="16"/>
      <c r="BCI65" s="16"/>
      <c r="BCJ65" s="16"/>
      <c r="BCK65" s="16"/>
      <c r="BCL65" s="16"/>
      <c r="BCM65" s="16"/>
      <c r="BCN65" s="16"/>
      <c r="BCO65" s="16"/>
      <c r="BCP65" s="16"/>
      <c r="BCQ65" s="16"/>
      <c r="BCR65" s="16"/>
      <c r="BCS65" s="16"/>
      <c r="BCT65" s="16"/>
      <c r="BCU65" s="16"/>
      <c r="BCV65" s="16"/>
      <c r="BCW65" s="16"/>
      <c r="BCX65" s="16"/>
      <c r="BCY65" s="16"/>
      <c r="BCZ65" s="16"/>
      <c r="BDA65" s="16"/>
      <c r="BDB65" s="16"/>
      <c r="BDC65" s="16"/>
      <c r="BDD65" s="16"/>
      <c r="BDE65" s="16"/>
      <c r="BDF65" s="16"/>
      <c r="BDG65" s="16"/>
      <c r="BDH65" s="16"/>
      <c r="BDI65" s="16"/>
      <c r="BDJ65" s="16"/>
      <c r="BDK65" s="16"/>
      <c r="BDL65" s="16"/>
      <c r="BDM65" s="16"/>
      <c r="BDN65" s="16"/>
      <c r="BDO65" s="16"/>
      <c r="BDP65" s="16"/>
      <c r="BDQ65" s="16"/>
      <c r="BDR65" s="16"/>
      <c r="BDS65" s="16"/>
      <c r="BDT65" s="16"/>
      <c r="BDU65" s="16"/>
      <c r="BDV65" s="16"/>
      <c r="BDW65" s="16"/>
      <c r="BDX65" s="16"/>
      <c r="BDY65" s="16"/>
      <c r="BDZ65" s="16"/>
      <c r="BEA65" s="16"/>
      <c r="BEB65" s="16"/>
      <c r="BEC65" s="16"/>
      <c r="BED65" s="16"/>
      <c r="BEE65" s="16"/>
      <c r="BEF65" s="16"/>
      <c r="BEG65" s="16"/>
      <c r="BEH65" s="16"/>
      <c r="BEI65" s="16"/>
      <c r="BEJ65" s="16"/>
      <c r="BEK65" s="16"/>
      <c r="BEL65" s="16"/>
      <c r="BEM65" s="16"/>
      <c r="BEN65" s="16"/>
      <c r="BEO65" s="16"/>
      <c r="BEP65" s="16"/>
      <c r="BEQ65" s="16"/>
      <c r="BER65" s="16"/>
      <c r="BES65" s="16"/>
      <c r="BET65" s="16"/>
      <c r="BEU65" s="16"/>
      <c r="BEV65" s="16"/>
      <c r="BEW65" s="16"/>
      <c r="BEX65" s="16"/>
      <c r="BEY65" s="16"/>
      <c r="BEZ65" s="16"/>
      <c r="BFA65" s="16"/>
      <c r="BFB65" s="16"/>
      <c r="BFC65" s="16"/>
      <c r="BFD65" s="16"/>
      <c r="BFE65" s="16"/>
      <c r="BFF65" s="16"/>
      <c r="BFG65" s="16"/>
      <c r="BFH65" s="16"/>
      <c r="BFI65" s="16"/>
      <c r="BFJ65" s="16"/>
      <c r="BFK65" s="16"/>
      <c r="BFL65" s="16"/>
      <c r="BFM65" s="16"/>
      <c r="BFN65" s="16"/>
      <c r="BFO65" s="16"/>
      <c r="BFP65" s="16"/>
      <c r="BFQ65" s="16"/>
      <c r="BFR65" s="16"/>
      <c r="BFS65" s="16"/>
      <c r="BFT65" s="16"/>
      <c r="BFU65" s="16"/>
      <c r="BFV65" s="16"/>
      <c r="BFW65" s="16"/>
      <c r="BFX65" s="16"/>
      <c r="BFY65" s="16"/>
      <c r="BFZ65" s="16"/>
      <c r="BGA65" s="16"/>
      <c r="BGB65" s="16"/>
      <c r="BGC65" s="16"/>
      <c r="BGD65" s="16"/>
      <c r="BGE65" s="16"/>
      <c r="BGF65" s="16"/>
      <c r="BGG65" s="16"/>
      <c r="BGH65" s="16"/>
      <c r="BGI65" s="16"/>
      <c r="BGJ65" s="16"/>
      <c r="BGK65" s="16"/>
      <c r="BGL65" s="16"/>
      <c r="BGM65" s="16"/>
      <c r="BGN65" s="16"/>
      <c r="BGO65" s="16"/>
      <c r="BGP65" s="16"/>
      <c r="BGQ65" s="16"/>
      <c r="BGR65" s="16"/>
      <c r="BGS65" s="16"/>
      <c r="BGT65" s="16"/>
      <c r="BGU65" s="16"/>
      <c r="BGV65" s="16"/>
      <c r="BGW65" s="16"/>
      <c r="BGX65" s="16"/>
      <c r="BGY65" s="16"/>
      <c r="BGZ65" s="16"/>
      <c r="BHA65" s="16"/>
      <c r="BHB65" s="16"/>
      <c r="BHC65" s="16"/>
      <c r="BHD65" s="16"/>
      <c r="BHE65" s="16"/>
      <c r="BHF65" s="16"/>
      <c r="BHG65" s="16"/>
      <c r="BHH65" s="16"/>
      <c r="BHI65" s="16"/>
      <c r="BHJ65" s="16"/>
      <c r="BHK65" s="16"/>
      <c r="BHL65" s="16"/>
      <c r="BHM65" s="16"/>
      <c r="BHN65" s="16"/>
      <c r="BHO65" s="16"/>
      <c r="BHP65" s="16"/>
      <c r="BHQ65" s="16"/>
      <c r="BHR65" s="16"/>
      <c r="BHS65" s="16"/>
      <c r="BHT65" s="16"/>
      <c r="BHU65" s="16"/>
      <c r="BHV65" s="16"/>
      <c r="BHW65" s="16"/>
      <c r="BHX65" s="16"/>
      <c r="BHY65" s="16"/>
      <c r="BHZ65" s="16"/>
      <c r="BIA65" s="16"/>
      <c r="BIB65" s="16"/>
      <c r="BIC65" s="16"/>
      <c r="BID65" s="16"/>
      <c r="BIE65" s="16"/>
      <c r="BIF65" s="16"/>
      <c r="BIG65" s="16"/>
      <c r="BIH65" s="16"/>
      <c r="BII65" s="16"/>
      <c r="BIJ65" s="16"/>
      <c r="BIK65" s="16"/>
      <c r="BIL65" s="16"/>
      <c r="BIM65" s="16"/>
      <c r="BIN65" s="16"/>
      <c r="BIO65" s="16"/>
      <c r="BIP65" s="16"/>
      <c r="BIQ65" s="16"/>
      <c r="BIR65" s="16"/>
      <c r="BIS65" s="16"/>
      <c r="BIT65" s="16"/>
      <c r="BIU65" s="16"/>
      <c r="BIV65" s="16"/>
      <c r="BIW65" s="16"/>
      <c r="BIX65" s="16"/>
      <c r="BIY65" s="16"/>
      <c r="BIZ65" s="16"/>
      <c r="BJA65" s="16"/>
      <c r="BJB65" s="16"/>
      <c r="BJC65" s="16"/>
      <c r="BJD65" s="16"/>
      <c r="BJE65" s="16"/>
      <c r="BJF65" s="16"/>
      <c r="BJG65" s="16"/>
      <c r="BJH65" s="16"/>
      <c r="BJI65" s="16"/>
      <c r="BJJ65" s="16"/>
      <c r="BJK65" s="16"/>
      <c r="BJL65" s="16"/>
      <c r="BJM65" s="16"/>
      <c r="BJN65" s="16"/>
      <c r="BJO65" s="16"/>
      <c r="BJP65" s="16"/>
      <c r="BJQ65" s="16"/>
      <c r="BJR65" s="16"/>
      <c r="BJS65" s="16"/>
      <c r="BJT65" s="16"/>
      <c r="BJU65" s="16"/>
      <c r="BJV65" s="16"/>
      <c r="BJW65" s="16"/>
      <c r="BJX65" s="16"/>
      <c r="BJY65" s="16"/>
      <c r="BJZ65" s="16"/>
      <c r="BKA65" s="16"/>
      <c r="BKB65" s="16"/>
      <c r="BKC65" s="16"/>
      <c r="BKD65" s="16"/>
      <c r="BKE65" s="16"/>
      <c r="BKF65" s="16"/>
      <c r="BKG65" s="16"/>
      <c r="BKH65" s="16"/>
      <c r="BKI65" s="16"/>
      <c r="BKJ65" s="16"/>
      <c r="BKK65" s="16"/>
      <c r="BKL65" s="16"/>
      <c r="BKM65" s="16"/>
      <c r="BKN65" s="16"/>
      <c r="BKO65" s="16"/>
      <c r="BKP65" s="16"/>
      <c r="BKQ65" s="16"/>
      <c r="BKR65" s="16"/>
      <c r="BKS65" s="16"/>
      <c r="BKT65" s="16"/>
      <c r="BKU65" s="16"/>
      <c r="BKV65" s="16"/>
      <c r="BKW65" s="16"/>
      <c r="BKX65" s="16"/>
      <c r="BKY65" s="16"/>
      <c r="BKZ65" s="16"/>
      <c r="BLA65" s="16"/>
      <c r="BLB65" s="16"/>
      <c r="BLC65" s="16"/>
      <c r="BLD65" s="16"/>
      <c r="BLE65" s="16"/>
      <c r="BLF65" s="16"/>
      <c r="BLG65" s="16"/>
      <c r="BLH65" s="16"/>
      <c r="BLI65" s="16"/>
      <c r="BLJ65" s="16"/>
      <c r="BLK65" s="16"/>
      <c r="BLL65" s="16"/>
      <c r="BLM65" s="16"/>
      <c r="BLN65" s="16"/>
      <c r="BLO65" s="16"/>
      <c r="BLP65" s="16"/>
      <c r="BLQ65" s="16"/>
      <c r="BLR65" s="16"/>
      <c r="BLS65" s="16"/>
      <c r="BLT65" s="16"/>
      <c r="BLU65" s="16"/>
      <c r="BLV65" s="16"/>
      <c r="BLW65" s="16"/>
      <c r="BLX65" s="16"/>
      <c r="BLY65" s="16"/>
      <c r="BLZ65" s="16"/>
      <c r="BMA65" s="16"/>
      <c r="BMB65" s="16"/>
      <c r="BMC65" s="16"/>
      <c r="BMD65" s="16"/>
      <c r="BME65" s="16"/>
      <c r="BMF65" s="16"/>
      <c r="BMG65" s="16"/>
      <c r="BMH65" s="16"/>
      <c r="BMI65" s="16"/>
      <c r="BMJ65" s="16"/>
      <c r="BMK65" s="16"/>
      <c r="BML65" s="16"/>
      <c r="BMM65" s="16"/>
      <c r="BMN65" s="16"/>
      <c r="BMO65" s="16"/>
      <c r="BMP65" s="16"/>
      <c r="BMQ65" s="16"/>
      <c r="BMR65" s="16"/>
      <c r="BMS65" s="16"/>
      <c r="BMT65" s="16"/>
      <c r="BMU65" s="16"/>
      <c r="BMV65" s="16"/>
      <c r="BMW65" s="16"/>
      <c r="BMX65" s="16"/>
      <c r="BMY65" s="16"/>
      <c r="BMZ65" s="16"/>
      <c r="BNA65" s="16"/>
      <c r="BNB65" s="16"/>
      <c r="BNC65" s="16"/>
      <c r="BND65" s="16"/>
      <c r="BNE65" s="16"/>
      <c r="BNF65" s="16"/>
      <c r="BNG65" s="16"/>
      <c r="BNH65" s="16"/>
      <c r="BNI65" s="16"/>
      <c r="BNJ65" s="16"/>
      <c r="BNK65" s="16"/>
      <c r="BNL65" s="16"/>
      <c r="BNM65" s="16"/>
      <c r="BNN65" s="16"/>
      <c r="BNO65" s="16"/>
      <c r="BNP65" s="16"/>
      <c r="BNQ65" s="16"/>
      <c r="BNR65" s="16"/>
      <c r="BNS65" s="16"/>
      <c r="BNT65" s="16"/>
      <c r="BNU65" s="16"/>
      <c r="BNV65" s="16"/>
      <c r="BNW65" s="16"/>
      <c r="BNX65" s="16"/>
      <c r="BNY65" s="16"/>
      <c r="BNZ65" s="16"/>
      <c r="BOA65" s="16"/>
      <c r="BOB65" s="16"/>
      <c r="BOC65" s="16"/>
      <c r="BOD65" s="16"/>
      <c r="BOE65" s="16"/>
      <c r="BOF65" s="16"/>
      <c r="BOG65" s="16"/>
      <c r="BOH65" s="16"/>
      <c r="BOI65" s="16"/>
      <c r="BOJ65" s="16"/>
      <c r="BOK65" s="16"/>
      <c r="BOL65" s="16"/>
      <c r="BOM65" s="16"/>
      <c r="BON65" s="16"/>
      <c r="BOO65" s="16"/>
      <c r="BOP65" s="16"/>
      <c r="BOQ65" s="16"/>
      <c r="BOR65" s="16"/>
      <c r="BOS65" s="16"/>
      <c r="BOT65" s="16"/>
      <c r="BOU65" s="16"/>
      <c r="BOV65" s="16"/>
      <c r="BOW65" s="16"/>
      <c r="BOX65" s="16"/>
      <c r="BOY65" s="16"/>
      <c r="BOZ65" s="16"/>
      <c r="BPA65" s="16"/>
      <c r="BPB65" s="16"/>
      <c r="BPC65" s="16"/>
      <c r="BPD65" s="16"/>
      <c r="BPE65" s="16"/>
      <c r="BPF65" s="16"/>
      <c r="BPG65" s="16"/>
      <c r="BPH65" s="16"/>
      <c r="BPI65" s="16"/>
      <c r="BPJ65" s="16"/>
      <c r="BPK65" s="16"/>
      <c r="BPL65" s="16"/>
      <c r="BPM65" s="16"/>
      <c r="BPN65" s="16"/>
      <c r="BPO65" s="16"/>
      <c r="BPP65" s="16"/>
      <c r="BPQ65" s="16"/>
      <c r="BPR65" s="16"/>
      <c r="BPS65" s="16"/>
      <c r="BPT65" s="16"/>
      <c r="BPU65" s="16"/>
      <c r="BPV65" s="16"/>
      <c r="BPW65" s="16"/>
      <c r="BPX65" s="16"/>
      <c r="BPY65" s="16"/>
      <c r="BPZ65" s="16"/>
      <c r="BQA65" s="16"/>
      <c r="BQB65" s="16"/>
      <c r="BQC65" s="16"/>
      <c r="BQD65" s="16"/>
      <c r="BQE65" s="16"/>
      <c r="BQF65" s="16"/>
      <c r="BQG65" s="16"/>
      <c r="BQH65" s="16"/>
      <c r="BQI65" s="16"/>
      <c r="BQJ65" s="16"/>
      <c r="BQK65" s="16"/>
      <c r="BQL65" s="16"/>
      <c r="BQM65" s="16"/>
      <c r="BQN65" s="16"/>
      <c r="BQO65" s="16"/>
      <c r="BQP65" s="16"/>
      <c r="BQQ65" s="16"/>
      <c r="BQR65" s="16"/>
      <c r="BQS65" s="16"/>
      <c r="BQT65" s="16"/>
      <c r="BQU65" s="16"/>
      <c r="BQV65" s="16"/>
      <c r="BQW65" s="16"/>
      <c r="BQX65" s="16"/>
      <c r="BQY65" s="16"/>
      <c r="BQZ65" s="16"/>
      <c r="BRA65" s="16"/>
      <c r="BRB65" s="16"/>
      <c r="BRC65" s="16"/>
      <c r="BRD65" s="16"/>
      <c r="BRE65" s="16"/>
      <c r="BRF65" s="16"/>
      <c r="BRG65" s="16"/>
      <c r="BRH65" s="16"/>
      <c r="BRI65" s="16"/>
      <c r="BRJ65" s="16"/>
      <c r="BRK65" s="16"/>
      <c r="BRL65" s="16"/>
      <c r="BRM65" s="16"/>
      <c r="BRN65" s="16"/>
      <c r="BRO65" s="16"/>
      <c r="BRP65" s="16"/>
      <c r="BRQ65" s="16"/>
      <c r="BRR65" s="16"/>
      <c r="BRS65" s="16"/>
      <c r="BRT65" s="16"/>
      <c r="BRU65" s="16"/>
      <c r="BRV65" s="16"/>
      <c r="BRW65" s="16"/>
      <c r="BRX65" s="16"/>
      <c r="BRY65" s="16"/>
      <c r="BRZ65" s="16"/>
      <c r="BSA65" s="16"/>
      <c r="BSB65" s="16"/>
      <c r="BSC65" s="16"/>
      <c r="BSD65" s="16"/>
      <c r="BSE65" s="16"/>
      <c r="BSF65" s="16"/>
      <c r="BSG65" s="16"/>
      <c r="BSH65" s="16"/>
      <c r="BSI65" s="16"/>
      <c r="BSJ65" s="16"/>
      <c r="BSK65" s="16"/>
      <c r="BSL65" s="16"/>
      <c r="BSM65" s="16"/>
      <c r="BSN65" s="16"/>
      <c r="BSO65" s="16"/>
      <c r="BSP65" s="16"/>
      <c r="BSQ65" s="16"/>
      <c r="BSR65" s="16"/>
      <c r="BSS65" s="16"/>
      <c r="BST65" s="16"/>
      <c r="BSU65" s="16"/>
      <c r="BSV65" s="16"/>
      <c r="BSW65" s="16"/>
      <c r="BSX65" s="16"/>
      <c r="BSY65" s="16"/>
      <c r="BSZ65" s="16"/>
      <c r="BTA65" s="16"/>
      <c r="BTB65" s="16"/>
      <c r="BTC65" s="16"/>
      <c r="BTD65" s="16"/>
      <c r="BTE65" s="16"/>
      <c r="BTF65" s="16"/>
      <c r="BTG65" s="16"/>
      <c r="BTH65" s="16"/>
      <c r="BTI65" s="16"/>
      <c r="BTJ65" s="16"/>
      <c r="BTK65" s="16"/>
      <c r="BTL65" s="16"/>
      <c r="BTM65" s="16"/>
      <c r="BTN65" s="16"/>
      <c r="BTO65" s="16"/>
      <c r="BTP65" s="16"/>
      <c r="BTQ65" s="16"/>
      <c r="BTR65" s="16"/>
      <c r="BTS65" s="16"/>
      <c r="BTT65" s="16"/>
      <c r="BTU65" s="16"/>
      <c r="BTV65" s="16"/>
      <c r="BTW65" s="16"/>
      <c r="BTX65" s="16"/>
      <c r="BTY65" s="16"/>
      <c r="BTZ65" s="16"/>
      <c r="BUA65" s="16"/>
      <c r="BUB65" s="16"/>
      <c r="BUC65" s="16"/>
      <c r="BUD65" s="16"/>
      <c r="BUE65" s="16"/>
      <c r="BUF65" s="16"/>
      <c r="BUG65" s="16"/>
      <c r="BUH65" s="16"/>
      <c r="BUI65" s="16"/>
      <c r="BUJ65" s="16"/>
      <c r="BUK65" s="16"/>
      <c r="BUL65" s="16"/>
      <c r="BUM65" s="16"/>
      <c r="BUN65" s="16"/>
      <c r="BUO65" s="16"/>
      <c r="BUP65" s="16"/>
      <c r="BUQ65" s="16"/>
      <c r="BUR65" s="16"/>
      <c r="BUS65" s="16"/>
      <c r="BUT65" s="16"/>
      <c r="BUU65" s="16"/>
      <c r="BUV65" s="16"/>
      <c r="BUW65" s="16"/>
      <c r="BUX65" s="16"/>
      <c r="BUY65" s="16"/>
      <c r="BUZ65" s="16"/>
      <c r="BVA65" s="16"/>
      <c r="BVB65" s="16"/>
      <c r="BVC65" s="16"/>
      <c r="BVD65" s="16"/>
      <c r="BVE65" s="16"/>
      <c r="BVF65" s="16"/>
      <c r="BVG65" s="16"/>
      <c r="BVH65" s="16"/>
      <c r="BVI65" s="16"/>
      <c r="BVJ65" s="16"/>
      <c r="BVK65" s="16"/>
      <c r="BVL65" s="16"/>
      <c r="BVM65" s="16"/>
      <c r="BVN65" s="16"/>
      <c r="BVO65" s="16"/>
      <c r="BVP65" s="16"/>
      <c r="BVQ65" s="16"/>
      <c r="BVR65" s="16"/>
      <c r="BVS65" s="16"/>
      <c r="BVT65" s="16"/>
      <c r="BVU65" s="16"/>
      <c r="BVV65" s="16"/>
      <c r="BVW65" s="16"/>
      <c r="BVX65" s="16"/>
      <c r="BVY65" s="16"/>
      <c r="BVZ65" s="16"/>
      <c r="BWA65" s="16"/>
      <c r="BWB65" s="16"/>
      <c r="BWC65" s="16"/>
      <c r="BWD65" s="16"/>
      <c r="BWE65" s="16"/>
      <c r="BWF65" s="16"/>
      <c r="BWG65" s="16"/>
      <c r="BWH65" s="16"/>
      <c r="BWI65" s="16"/>
      <c r="BWJ65" s="16"/>
      <c r="BWK65" s="16"/>
      <c r="BWL65" s="16"/>
      <c r="BWM65" s="16"/>
      <c r="BWN65" s="16"/>
      <c r="BWO65" s="16"/>
      <c r="BWP65" s="16"/>
      <c r="BWQ65" s="16"/>
      <c r="BWR65" s="16"/>
      <c r="BWS65" s="16"/>
      <c r="BWT65" s="16"/>
      <c r="BWU65" s="16"/>
      <c r="BWV65" s="16"/>
      <c r="BWW65" s="16"/>
      <c r="BWX65" s="16"/>
      <c r="BWY65" s="16"/>
      <c r="BWZ65" s="16"/>
      <c r="BXA65" s="16"/>
      <c r="BXB65" s="16"/>
      <c r="BXC65" s="16"/>
      <c r="BXD65" s="16"/>
      <c r="BXE65" s="16"/>
      <c r="BXF65" s="16"/>
      <c r="BXG65" s="16"/>
      <c r="BXH65" s="16"/>
      <c r="BXI65" s="16"/>
      <c r="BXJ65" s="16"/>
      <c r="BXK65" s="16"/>
      <c r="BXL65" s="16"/>
      <c r="BXM65" s="16"/>
      <c r="BXN65" s="16"/>
      <c r="BXO65" s="16"/>
      <c r="BXP65" s="16"/>
      <c r="BXQ65" s="16"/>
      <c r="BXR65" s="16"/>
      <c r="BXS65" s="16"/>
      <c r="BXT65" s="16"/>
      <c r="BXU65" s="16"/>
      <c r="BXV65" s="16"/>
      <c r="BXW65" s="16"/>
      <c r="BXX65" s="16"/>
      <c r="BXY65" s="16"/>
      <c r="BXZ65" s="16"/>
      <c r="BYA65" s="16"/>
      <c r="BYB65" s="16"/>
      <c r="BYC65" s="16"/>
      <c r="BYD65" s="16"/>
      <c r="BYE65" s="16"/>
      <c r="BYF65" s="16"/>
      <c r="BYG65" s="16"/>
      <c r="BYH65" s="16"/>
      <c r="BYI65" s="16"/>
      <c r="BYJ65" s="16"/>
      <c r="BYK65" s="16"/>
      <c r="BYL65" s="16"/>
      <c r="BYM65" s="16"/>
      <c r="BYN65" s="16"/>
      <c r="BYO65" s="16"/>
      <c r="BYP65" s="16"/>
      <c r="BYQ65" s="16"/>
      <c r="BYR65" s="16"/>
      <c r="BYS65" s="16"/>
      <c r="BYT65" s="16"/>
      <c r="BYU65" s="16"/>
      <c r="BYV65" s="16"/>
      <c r="BYW65" s="16"/>
      <c r="BYX65" s="16"/>
      <c r="BYY65" s="16"/>
      <c r="BYZ65" s="16"/>
      <c r="BZA65" s="16"/>
      <c r="BZB65" s="16"/>
      <c r="BZC65" s="16"/>
      <c r="BZD65" s="16"/>
      <c r="BZE65" s="16"/>
      <c r="BZF65" s="16"/>
      <c r="BZG65" s="16"/>
      <c r="BZH65" s="16"/>
      <c r="BZI65" s="16"/>
      <c r="BZJ65" s="16"/>
      <c r="BZK65" s="16"/>
      <c r="BZL65" s="16"/>
      <c r="BZM65" s="16"/>
      <c r="BZN65" s="16"/>
      <c r="BZO65" s="16"/>
      <c r="BZP65" s="16"/>
      <c r="BZQ65" s="16"/>
      <c r="BZR65" s="16"/>
      <c r="BZS65" s="16"/>
      <c r="BZT65" s="16"/>
      <c r="BZU65" s="16"/>
      <c r="BZV65" s="16"/>
      <c r="BZW65" s="16"/>
      <c r="BZX65" s="16"/>
      <c r="BZY65" s="16"/>
      <c r="BZZ65" s="16"/>
      <c r="CAA65" s="16"/>
      <c r="CAB65" s="16"/>
      <c r="CAC65" s="16"/>
      <c r="CAD65" s="16"/>
      <c r="CAE65" s="16"/>
      <c r="CAF65" s="16"/>
      <c r="CAG65" s="16"/>
      <c r="CAH65" s="16"/>
      <c r="CAI65" s="16"/>
      <c r="CAJ65" s="16"/>
      <c r="CAK65" s="16"/>
      <c r="CAL65" s="16"/>
      <c r="CAM65" s="16"/>
      <c r="CAN65" s="16"/>
      <c r="CAO65" s="16"/>
      <c r="CAP65" s="16"/>
      <c r="CAQ65" s="16"/>
      <c r="CAR65" s="16"/>
      <c r="CAS65" s="16"/>
      <c r="CAT65" s="16"/>
      <c r="CAU65" s="16"/>
      <c r="CAV65" s="16"/>
      <c r="CAW65" s="16"/>
      <c r="CAX65" s="16"/>
      <c r="CAY65" s="16"/>
      <c r="CAZ65" s="16"/>
      <c r="CBA65" s="16"/>
      <c r="CBB65" s="16"/>
      <c r="CBC65" s="16"/>
      <c r="CBD65" s="16"/>
      <c r="CBE65" s="16"/>
      <c r="CBF65" s="16"/>
      <c r="CBG65" s="16"/>
      <c r="CBH65" s="16"/>
      <c r="CBI65" s="16"/>
      <c r="CBJ65" s="16"/>
      <c r="CBK65" s="16"/>
      <c r="CBL65" s="16"/>
      <c r="CBM65" s="16"/>
      <c r="CBN65" s="16"/>
      <c r="CBO65" s="16"/>
      <c r="CBP65" s="16"/>
      <c r="CBQ65" s="16"/>
      <c r="CBR65" s="16"/>
      <c r="CBS65" s="16"/>
      <c r="CBT65" s="16"/>
      <c r="CBU65" s="16"/>
      <c r="CBV65" s="16"/>
      <c r="CBW65" s="16"/>
      <c r="CBX65" s="16"/>
      <c r="CBY65" s="16"/>
      <c r="CBZ65" s="16"/>
      <c r="CCA65" s="16"/>
      <c r="CCB65" s="16"/>
      <c r="CCC65" s="16"/>
      <c r="CCD65" s="16"/>
      <c r="CCE65" s="16"/>
      <c r="CCF65" s="16"/>
      <c r="CCG65" s="16"/>
      <c r="CCH65" s="16"/>
      <c r="CCI65" s="16"/>
      <c r="CCJ65" s="16"/>
      <c r="CCK65" s="16"/>
      <c r="CCL65" s="16"/>
      <c r="CCM65" s="16"/>
      <c r="CCN65" s="16"/>
      <c r="CCO65" s="16"/>
      <c r="CCP65" s="16"/>
      <c r="CCQ65" s="16"/>
      <c r="CCR65" s="16"/>
      <c r="CCS65" s="16"/>
      <c r="CCT65" s="16"/>
      <c r="CCU65" s="16"/>
      <c r="CCV65" s="16"/>
      <c r="CCW65" s="16"/>
      <c r="CCX65" s="16"/>
      <c r="CCY65" s="16"/>
      <c r="CCZ65" s="16"/>
      <c r="CDA65" s="16"/>
      <c r="CDB65" s="16"/>
      <c r="CDC65" s="16"/>
      <c r="CDD65" s="16"/>
      <c r="CDE65" s="16"/>
      <c r="CDF65" s="16"/>
      <c r="CDG65" s="16"/>
      <c r="CDH65" s="16"/>
      <c r="CDI65" s="16"/>
      <c r="CDJ65" s="16"/>
      <c r="CDK65" s="16"/>
      <c r="CDL65" s="16"/>
      <c r="CDM65" s="16"/>
      <c r="CDN65" s="16"/>
      <c r="CDO65" s="16"/>
      <c r="CDP65" s="16"/>
      <c r="CDQ65" s="16"/>
      <c r="CDR65" s="16"/>
      <c r="CDS65" s="16"/>
      <c r="CDT65" s="16"/>
      <c r="CDU65" s="16"/>
      <c r="CDV65" s="16"/>
      <c r="CDW65" s="16"/>
      <c r="CDX65" s="16"/>
      <c r="CDY65" s="16"/>
      <c r="CDZ65" s="16"/>
      <c r="CEA65" s="16"/>
      <c r="CEB65" s="16"/>
      <c r="CEC65" s="16"/>
      <c r="CED65" s="16"/>
      <c r="CEE65" s="16"/>
      <c r="CEF65" s="16"/>
      <c r="CEG65" s="16"/>
      <c r="CEH65" s="16"/>
      <c r="CEI65" s="16"/>
      <c r="CEJ65" s="16"/>
      <c r="CEK65" s="16"/>
      <c r="CEL65" s="16"/>
      <c r="CEM65" s="16"/>
      <c r="CEN65" s="16"/>
      <c r="CEO65" s="16"/>
      <c r="CEP65" s="16"/>
      <c r="CEQ65" s="16"/>
      <c r="CER65" s="16"/>
      <c r="CES65" s="16"/>
      <c r="CET65" s="16"/>
      <c r="CEU65" s="16"/>
      <c r="CEV65" s="16"/>
      <c r="CEW65" s="16"/>
      <c r="CEX65" s="16"/>
      <c r="CEY65" s="16"/>
      <c r="CEZ65" s="16"/>
      <c r="CFA65" s="16"/>
      <c r="CFB65" s="16"/>
      <c r="CFC65" s="16"/>
      <c r="CFD65" s="16"/>
      <c r="CFE65" s="16"/>
      <c r="CFF65" s="16"/>
      <c r="CFG65" s="16"/>
      <c r="CFH65" s="16"/>
      <c r="CFI65" s="16"/>
      <c r="CFJ65" s="16"/>
      <c r="CFK65" s="16"/>
      <c r="CFL65" s="16"/>
      <c r="CFM65" s="16"/>
      <c r="CFN65" s="16"/>
      <c r="CFO65" s="16"/>
      <c r="CFP65" s="16"/>
      <c r="CFQ65" s="16"/>
      <c r="CFR65" s="16"/>
      <c r="CFS65" s="16"/>
      <c r="CFT65" s="16"/>
      <c r="CFU65" s="16"/>
      <c r="CFV65" s="16"/>
      <c r="CFW65" s="16"/>
      <c r="CFX65" s="16"/>
      <c r="CFY65" s="16"/>
      <c r="CFZ65" s="16"/>
      <c r="CGA65" s="16"/>
      <c r="CGB65" s="16"/>
      <c r="CGC65" s="16"/>
      <c r="CGD65" s="16"/>
      <c r="CGE65" s="16"/>
      <c r="CGF65" s="16"/>
      <c r="CGG65" s="16"/>
      <c r="CGH65" s="16"/>
      <c r="CGI65" s="16"/>
      <c r="CGJ65" s="16"/>
      <c r="CGK65" s="16"/>
      <c r="CGL65" s="16"/>
      <c r="CGM65" s="16"/>
      <c r="CGN65" s="16"/>
      <c r="CGO65" s="16"/>
      <c r="CGP65" s="16"/>
      <c r="CGQ65" s="16"/>
      <c r="CGR65" s="16"/>
      <c r="CGS65" s="16"/>
      <c r="CGT65" s="16"/>
      <c r="CGU65" s="16"/>
      <c r="CGV65" s="16"/>
      <c r="CGW65" s="16"/>
      <c r="CGX65" s="16"/>
      <c r="CGY65" s="16"/>
      <c r="CGZ65" s="16"/>
      <c r="CHA65" s="16"/>
      <c r="CHB65" s="16"/>
      <c r="CHC65" s="16"/>
      <c r="CHD65" s="16"/>
      <c r="CHE65" s="16"/>
      <c r="CHF65" s="16"/>
      <c r="CHG65" s="16"/>
      <c r="CHH65" s="16"/>
      <c r="CHI65" s="16"/>
      <c r="CHJ65" s="16"/>
      <c r="CHK65" s="16"/>
      <c r="CHL65" s="16"/>
      <c r="CHM65" s="16"/>
      <c r="CHN65" s="16"/>
      <c r="CHO65" s="16"/>
      <c r="CHP65" s="16"/>
      <c r="CHQ65" s="16"/>
      <c r="CHR65" s="16"/>
      <c r="CHS65" s="16"/>
      <c r="CHT65" s="16"/>
      <c r="CHU65" s="16"/>
      <c r="CHV65" s="16"/>
      <c r="CHW65" s="16"/>
      <c r="CHX65" s="16"/>
      <c r="CHY65" s="16"/>
      <c r="CHZ65" s="16"/>
      <c r="CIA65" s="16"/>
      <c r="CIB65" s="16"/>
      <c r="CIC65" s="16"/>
      <c r="CID65" s="16"/>
      <c r="CIE65" s="16"/>
      <c r="CIF65" s="16"/>
      <c r="CIG65" s="16"/>
      <c r="CIH65" s="16"/>
      <c r="CII65" s="16"/>
      <c r="CIJ65" s="16"/>
      <c r="CIK65" s="16"/>
      <c r="CIL65" s="16"/>
      <c r="CIM65" s="16"/>
      <c r="CIN65" s="16"/>
      <c r="CIO65" s="16"/>
      <c r="CIP65" s="16"/>
      <c r="CIQ65" s="16"/>
      <c r="CIR65" s="16"/>
      <c r="CIS65" s="16"/>
      <c r="CIT65" s="16"/>
      <c r="CIU65" s="16"/>
      <c r="CIV65" s="16"/>
      <c r="CIW65" s="16"/>
      <c r="CIX65" s="16"/>
      <c r="CIY65" s="16"/>
      <c r="CIZ65" s="16"/>
      <c r="CJA65" s="16"/>
      <c r="CJB65" s="16"/>
      <c r="CJC65" s="16"/>
      <c r="CJD65" s="16"/>
      <c r="CJE65" s="16"/>
      <c r="CJF65" s="16"/>
      <c r="CJG65" s="16"/>
      <c r="CJH65" s="16"/>
      <c r="CJI65" s="16"/>
      <c r="CJJ65" s="16"/>
      <c r="CJK65" s="16"/>
      <c r="CJL65" s="16"/>
      <c r="CJM65" s="16"/>
      <c r="CJN65" s="16"/>
      <c r="CJO65" s="16"/>
      <c r="CJP65" s="16"/>
      <c r="CJQ65" s="16"/>
      <c r="CJR65" s="16"/>
      <c r="CJS65" s="16"/>
      <c r="CJT65" s="16"/>
      <c r="CJU65" s="16"/>
      <c r="CJV65" s="16"/>
      <c r="CJW65" s="16"/>
      <c r="CJX65" s="16"/>
      <c r="CJY65" s="16"/>
      <c r="CJZ65" s="16"/>
      <c r="CKA65" s="16"/>
      <c r="CKB65" s="16"/>
      <c r="CKC65" s="16"/>
      <c r="CKD65" s="16"/>
      <c r="CKE65" s="16"/>
      <c r="CKF65" s="16"/>
      <c r="CKG65" s="16"/>
      <c r="CKH65" s="16"/>
      <c r="CKI65" s="16"/>
      <c r="CKJ65" s="16"/>
      <c r="CKK65" s="16"/>
      <c r="CKL65" s="16"/>
      <c r="CKM65" s="16"/>
      <c r="CKN65" s="16"/>
      <c r="CKO65" s="16"/>
      <c r="CKP65" s="16"/>
      <c r="CKQ65" s="16"/>
      <c r="CKR65" s="16"/>
      <c r="CKS65" s="16"/>
      <c r="CKT65" s="16"/>
      <c r="CKU65" s="16"/>
      <c r="CKV65" s="16"/>
      <c r="CKW65" s="16"/>
      <c r="CKX65" s="16"/>
      <c r="CKY65" s="16"/>
      <c r="CKZ65" s="16"/>
      <c r="CLA65" s="16"/>
      <c r="CLB65" s="16"/>
      <c r="CLC65" s="16"/>
      <c r="CLD65" s="16"/>
      <c r="CLE65" s="16"/>
      <c r="CLF65" s="16"/>
      <c r="CLG65" s="16"/>
      <c r="CLH65" s="16"/>
      <c r="CLI65" s="16"/>
      <c r="CLJ65" s="16"/>
      <c r="CLK65" s="16"/>
      <c r="CLL65" s="16"/>
      <c r="CLM65" s="16"/>
      <c r="CLN65" s="16"/>
      <c r="CLO65" s="16"/>
      <c r="CLP65" s="16"/>
      <c r="CLQ65" s="16"/>
      <c r="CLR65" s="16"/>
      <c r="CLS65" s="16"/>
      <c r="CLT65" s="16"/>
      <c r="CLU65" s="16"/>
      <c r="CLV65" s="16"/>
      <c r="CLW65" s="16"/>
      <c r="CLX65" s="16"/>
      <c r="CLY65" s="16"/>
      <c r="CLZ65" s="16"/>
      <c r="CMA65" s="16"/>
      <c r="CMB65" s="16"/>
      <c r="CMC65" s="16"/>
      <c r="CMD65" s="16"/>
      <c r="CME65" s="16"/>
      <c r="CMF65" s="16"/>
      <c r="CMG65" s="16"/>
      <c r="CMH65" s="16"/>
      <c r="CMI65" s="16"/>
      <c r="CMJ65" s="16"/>
      <c r="CMK65" s="16"/>
      <c r="CML65" s="16"/>
      <c r="CMM65" s="16"/>
      <c r="CMN65" s="16"/>
      <c r="CMO65" s="16"/>
      <c r="CMP65" s="16"/>
      <c r="CMQ65" s="16"/>
      <c r="CMR65" s="16"/>
      <c r="CMS65" s="16"/>
      <c r="CMT65" s="16"/>
      <c r="CMU65" s="16"/>
      <c r="CMV65" s="16"/>
      <c r="CMW65" s="16"/>
      <c r="CMX65" s="16"/>
      <c r="CMY65" s="16"/>
      <c r="CMZ65" s="16"/>
      <c r="CNA65" s="16"/>
      <c r="CNB65" s="16"/>
      <c r="CNC65" s="16"/>
      <c r="CND65" s="16"/>
      <c r="CNE65" s="16"/>
      <c r="CNF65" s="16"/>
      <c r="CNG65" s="16"/>
      <c r="CNH65" s="16"/>
      <c r="CNI65" s="16"/>
      <c r="CNJ65" s="16"/>
      <c r="CNK65" s="16"/>
      <c r="CNL65" s="16"/>
      <c r="CNM65" s="16"/>
      <c r="CNN65" s="16"/>
      <c r="CNO65" s="16"/>
      <c r="CNP65" s="16"/>
      <c r="CNQ65" s="16"/>
      <c r="CNR65" s="16"/>
      <c r="CNS65" s="16"/>
      <c r="CNT65" s="16"/>
      <c r="CNU65" s="16"/>
      <c r="CNV65" s="16"/>
      <c r="CNW65" s="16"/>
      <c r="CNX65" s="16"/>
      <c r="CNY65" s="16"/>
      <c r="CNZ65" s="16"/>
      <c r="COA65" s="16"/>
      <c r="COB65" s="16"/>
      <c r="COC65" s="16"/>
      <c r="COD65" s="16"/>
      <c r="COE65" s="16"/>
      <c r="COF65" s="16"/>
      <c r="COG65" s="16"/>
      <c r="COH65" s="16"/>
      <c r="COI65" s="16"/>
      <c r="COJ65" s="16"/>
      <c r="COK65" s="16"/>
      <c r="COL65" s="16"/>
      <c r="COM65" s="16"/>
      <c r="CON65" s="16"/>
      <c r="COO65" s="16"/>
      <c r="COP65" s="16"/>
      <c r="COQ65" s="16"/>
      <c r="COR65" s="16"/>
      <c r="COS65" s="16"/>
      <c r="COT65" s="16"/>
      <c r="COU65" s="16"/>
      <c r="COV65" s="16"/>
      <c r="COW65" s="16"/>
      <c r="COX65" s="16"/>
      <c r="COY65" s="16"/>
      <c r="COZ65" s="16"/>
      <c r="CPA65" s="16"/>
      <c r="CPB65" s="16"/>
      <c r="CPC65" s="16"/>
      <c r="CPD65" s="16"/>
      <c r="CPE65" s="16"/>
      <c r="CPF65" s="16"/>
      <c r="CPG65" s="16"/>
      <c r="CPH65" s="16"/>
      <c r="CPI65" s="16"/>
      <c r="CPJ65" s="16"/>
      <c r="CPK65" s="16"/>
      <c r="CPL65" s="16"/>
      <c r="CPM65" s="16"/>
      <c r="CPN65" s="16"/>
      <c r="CPO65" s="16"/>
      <c r="CPP65" s="16"/>
      <c r="CPQ65" s="16"/>
      <c r="CPR65" s="16"/>
      <c r="CPS65" s="16"/>
      <c r="CPT65" s="16"/>
      <c r="CPU65" s="16"/>
      <c r="CPV65" s="16"/>
      <c r="CPW65" s="16"/>
      <c r="CPX65" s="16"/>
      <c r="CPY65" s="16"/>
      <c r="CPZ65" s="16"/>
      <c r="CQA65" s="16"/>
      <c r="CQB65" s="16"/>
      <c r="CQC65" s="16"/>
      <c r="CQD65" s="16"/>
      <c r="CQE65" s="16"/>
      <c r="CQF65" s="16"/>
      <c r="CQG65" s="16"/>
      <c r="CQH65" s="16"/>
      <c r="CQI65" s="16"/>
      <c r="CQJ65" s="16"/>
      <c r="CQK65" s="16"/>
      <c r="CQL65" s="16"/>
      <c r="CQM65" s="16"/>
      <c r="CQN65" s="16"/>
      <c r="CQO65" s="16"/>
      <c r="CQP65" s="16"/>
      <c r="CQQ65" s="16"/>
      <c r="CQR65" s="16"/>
      <c r="CQS65" s="16"/>
      <c r="CQT65" s="16"/>
      <c r="CQU65" s="16"/>
      <c r="CQV65" s="16"/>
      <c r="CQW65" s="16"/>
      <c r="CQX65" s="16"/>
      <c r="CQY65" s="16"/>
      <c r="CQZ65" s="16"/>
      <c r="CRA65" s="16"/>
      <c r="CRB65" s="16"/>
      <c r="CRC65" s="16"/>
      <c r="CRD65" s="16"/>
      <c r="CRE65" s="16"/>
      <c r="CRF65" s="16"/>
      <c r="CRG65" s="16"/>
      <c r="CRH65" s="16"/>
      <c r="CRI65" s="16"/>
      <c r="CRJ65" s="16"/>
      <c r="CRK65" s="16"/>
      <c r="CRL65" s="16"/>
      <c r="CRM65" s="16"/>
      <c r="CRN65" s="16"/>
      <c r="CRO65" s="16"/>
      <c r="CRP65" s="16"/>
      <c r="CRQ65" s="16"/>
      <c r="CRR65" s="16"/>
      <c r="CRS65" s="16"/>
      <c r="CRT65" s="16"/>
      <c r="CRU65" s="16"/>
      <c r="CRV65" s="16"/>
      <c r="CRW65" s="16"/>
      <c r="CRX65" s="16"/>
      <c r="CRY65" s="16"/>
      <c r="CRZ65" s="16"/>
      <c r="CSA65" s="16"/>
      <c r="CSB65" s="16"/>
      <c r="CSC65" s="16"/>
      <c r="CSD65" s="16"/>
      <c r="CSE65" s="16"/>
      <c r="CSF65" s="16"/>
      <c r="CSG65" s="16"/>
      <c r="CSH65" s="16"/>
      <c r="CSI65" s="16"/>
      <c r="CSJ65" s="16"/>
      <c r="CSK65" s="24"/>
      <c r="CSL65" s="16"/>
      <c r="CSM65" s="16"/>
      <c r="CSN65" s="16"/>
      <c r="CSO65" s="16"/>
      <c r="CSP65" s="16"/>
      <c r="CUG65" s="16"/>
      <c r="CUH65" s="16"/>
      <c r="CUI65" s="16"/>
      <c r="CUJ65" s="16"/>
      <c r="CUK65" s="16"/>
      <c r="CUL65" s="16"/>
      <c r="CUM65" s="16"/>
      <c r="CUN65" s="16"/>
      <c r="CUO65" s="16"/>
      <c r="CUP65" s="16"/>
      <c r="CUQ65" s="16"/>
      <c r="CUR65" s="16"/>
      <c r="CUS65" s="16"/>
      <c r="CUT65" s="16"/>
      <c r="CUU65" s="16"/>
      <c r="CUV65" s="16"/>
      <c r="CUW65" s="16"/>
      <c r="CUX65" s="16"/>
      <c r="CUY65" s="16"/>
      <c r="CUZ65" s="16"/>
      <c r="CVA65" s="16"/>
      <c r="CVB65" s="16"/>
      <c r="CVC65" s="16"/>
      <c r="CVD65" s="16"/>
      <c r="CVE65" s="16"/>
      <c r="CVF65" s="16"/>
      <c r="CVG65" s="16"/>
      <c r="CVH65" s="16"/>
      <c r="CVI65" s="16"/>
      <c r="CVJ65" s="16"/>
      <c r="CVK65" s="16"/>
      <c r="CVL65" s="16"/>
      <c r="CVM65" s="16"/>
      <c r="CVN65" s="16"/>
      <c r="CVO65" s="16"/>
      <c r="CVP65" s="16"/>
    </row>
    <row r="66" spans="3:2616" ht="13.8" x14ac:dyDescent="0.25">
      <c r="C66" s="57"/>
      <c r="E66" s="16"/>
      <c r="K66" s="59"/>
      <c r="L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6"/>
      <c r="LU66" s="16"/>
      <c r="LV66" s="16"/>
      <c r="LW66" s="16"/>
      <c r="LX66" s="16"/>
      <c r="LY66" s="16"/>
      <c r="LZ66" s="16"/>
      <c r="MA66" s="16"/>
      <c r="MB66" s="16"/>
      <c r="MC66" s="16"/>
      <c r="MD66" s="16"/>
      <c r="ME66" s="16"/>
      <c r="MF66" s="16"/>
      <c r="MG66" s="16"/>
      <c r="MH66" s="16"/>
      <c r="MI66" s="16"/>
      <c r="MJ66" s="16"/>
      <c r="MK66" s="16"/>
      <c r="ML66" s="16"/>
      <c r="MM66" s="16"/>
      <c r="MN66" s="16"/>
      <c r="MO66" s="16"/>
      <c r="MP66" s="16"/>
      <c r="MQ66" s="16"/>
      <c r="MR66" s="16"/>
      <c r="MS66" s="16"/>
      <c r="MT66" s="16"/>
      <c r="MU66" s="16"/>
      <c r="MV66" s="16"/>
      <c r="MW66" s="16"/>
      <c r="MX66" s="16"/>
      <c r="MY66" s="16"/>
      <c r="MZ66" s="16"/>
      <c r="NA66" s="16"/>
      <c r="NB66" s="16"/>
      <c r="NC66" s="16"/>
      <c r="ND66" s="16"/>
      <c r="NE66" s="16"/>
      <c r="NF66" s="16"/>
      <c r="NG66" s="16"/>
      <c r="NH66" s="16"/>
      <c r="NI66" s="16"/>
      <c r="NJ66" s="16"/>
      <c r="NK66" s="16"/>
      <c r="NL66" s="16"/>
      <c r="NM66" s="16"/>
      <c r="NN66" s="16"/>
      <c r="NO66" s="16"/>
      <c r="NP66" s="16"/>
      <c r="NQ66" s="16"/>
      <c r="NR66" s="16"/>
      <c r="NS66" s="16"/>
      <c r="NT66" s="16"/>
      <c r="NU66" s="16"/>
      <c r="NV66" s="16"/>
      <c r="NW66" s="16"/>
      <c r="NX66" s="16"/>
      <c r="NY66" s="16"/>
      <c r="NZ66" s="16"/>
      <c r="OA66" s="16"/>
      <c r="OB66" s="16"/>
      <c r="OC66" s="16"/>
      <c r="OD66" s="16"/>
      <c r="OE66" s="16"/>
      <c r="OF66" s="16"/>
      <c r="OG66" s="16"/>
      <c r="OH66" s="16"/>
      <c r="OI66" s="16"/>
      <c r="OJ66" s="16"/>
      <c r="OK66" s="16"/>
      <c r="OL66" s="16"/>
      <c r="OM66" s="16"/>
      <c r="ON66" s="16"/>
      <c r="OO66" s="16"/>
      <c r="OP66" s="16"/>
      <c r="OQ66" s="16"/>
      <c r="OR66" s="16"/>
      <c r="OS66" s="16"/>
      <c r="OT66" s="16"/>
      <c r="OU66" s="16"/>
      <c r="OV66" s="16"/>
      <c r="OW66" s="16"/>
      <c r="OX66" s="16"/>
      <c r="OY66" s="16"/>
      <c r="OZ66" s="16"/>
      <c r="PA66" s="16"/>
      <c r="PB66" s="16"/>
      <c r="PC66" s="16"/>
      <c r="PD66" s="16"/>
      <c r="PE66" s="16"/>
      <c r="PF66" s="16"/>
      <c r="PG66" s="16"/>
      <c r="PH66" s="16"/>
      <c r="PI66" s="16"/>
      <c r="PJ66" s="16"/>
      <c r="PK66" s="16"/>
      <c r="PL66" s="16"/>
      <c r="PM66" s="16"/>
      <c r="PN66" s="16"/>
      <c r="PO66" s="16"/>
      <c r="PP66" s="16"/>
      <c r="PQ66" s="16"/>
      <c r="PR66" s="16"/>
      <c r="PS66" s="16"/>
      <c r="PT66" s="16"/>
      <c r="PU66" s="16"/>
      <c r="PV66" s="16"/>
      <c r="PW66" s="16"/>
      <c r="PX66" s="16"/>
      <c r="PY66" s="16"/>
      <c r="PZ66" s="16"/>
      <c r="QA66" s="16"/>
      <c r="QB66" s="16"/>
      <c r="QC66" s="16"/>
      <c r="QD66" s="16"/>
      <c r="QE66" s="16"/>
      <c r="QF66" s="16"/>
      <c r="QG66" s="16"/>
      <c r="QH66" s="16"/>
      <c r="QI66" s="16"/>
      <c r="QJ66" s="16"/>
      <c r="QK66" s="16"/>
      <c r="QL66" s="16"/>
      <c r="QM66" s="16"/>
      <c r="QN66" s="16"/>
      <c r="QO66" s="16"/>
      <c r="QP66" s="16"/>
      <c r="QQ66" s="16"/>
      <c r="QR66" s="16"/>
      <c r="QS66" s="16"/>
      <c r="QT66" s="16"/>
      <c r="QU66" s="16"/>
      <c r="QV66" s="16"/>
      <c r="QW66" s="16"/>
      <c r="QX66" s="16"/>
      <c r="QY66" s="16"/>
      <c r="QZ66" s="16"/>
      <c r="RA66" s="16"/>
      <c r="RB66" s="16"/>
      <c r="RC66" s="16"/>
      <c r="RD66" s="16"/>
      <c r="RE66" s="16"/>
      <c r="RF66" s="16"/>
      <c r="RG66" s="16"/>
      <c r="RH66" s="16"/>
      <c r="RI66" s="16"/>
      <c r="RJ66" s="16"/>
      <c r="RK66" s="16"/>
      <c r="RL66" s="16"/>
      <c r="RM66" s="16"/>
      <c r="RN66" s="16"/>
      <c r="RO66" s="16"/>
      <c r="RP66" s="16"/>
      <c r="RQ66" s="16"/>
      <c r="RR66" s="16"/>
      <c r="RS66" s="16"/>
      <c r="RT66" s="16"/>
      <c r="RU66" s="16"/>
      <c r="RV66" s="16"/>
      <c r="RW66" s="16"/>
      <c r="RX66" s="16"/>
      <c r="RY66" s="16"/>
      <c r="RZ66" s="16"/>
      <c r="SA66" s="16"/>
      <c r="SB66" s="16"/>
      <c r="SC66" s="16"/>
      <c r="SD66" s="16"/>
      <c r="SE66" s="16"/>
      <c r="SF66" s="16"/>
      <c r="SG66" s="16"/>
      <c r="SH66" s="16"/>
      <c r="SI66" s="16"/>
      <c r="SJ66" s="16"/>
      <c r="SK66" s="16"/>
      <c r="SL66" s="16"/>
      <c r="SM66" s="16"/>
      <c r="SN66" s="16"/>
      <c r="SO66" s="16"/>
      <c r="SP66" s="16"/>
      <c r="SQ66" s="16"/>
      <c r="SR66" s="16"/>
      <c r="SS66" s="16"/>
      <c r="ST66" s="16"/>
      <c r="SU66" s="16"/>
      <c r="SV66" s="16"/>
      <c r="SW66" s="16"/>
      <c r="SX66" s="16"/>
      <c r="SY66" s="16"/>
      <c r="SZ66" s="16"/>
      <c r="TA66" s="16"/>
      <c r="TB66" s="16"/>
      <c r="TC66" s="16"/>
      <c r="TD66" s="16"/>
      <c r="TE66" s="16"/>
      <c r="TF66" s="16"/>
      <c r="TG66" s="16"/>
      <c r="TH66" s="16"/>
      <c r="TI66" s="16"/>
      <c r="TJ66" s="16"/>
      <c r="TK66" s="16"/>
      <c r="TL66" s="16"/>
      <c r="TM66" s="16"/>
      <c r="TN66" s="16"/>
      <c r="TO66" s="16"/>
      <c r="TP66" s="16"/>
      <c r="TQ66" s="16"/>
      <c r="TR66" s="16"/>
      <c r="TS66" s="16"/>
      <c r="TT66" s="16"/>
      <c r="TU66" s="16"/>
      <c r="TV66" s="16"/>
      <c r="TW66" s="16"/>
      <c r="TX66" s="16"/>
      <c r="TY66" s="16"/>
      <c r="TZ66" s="16"/>
      <c r="UA66" s="16"/>
      <c r="UB66" s="16"/>
      <c r="UC66" s="16"/>
      <c r="UD66" s="16"/>
      <c r="UE66" s="16"/>
      <c r="UF66" s="16"/>
      <c r="UG66" s="16"/>
      <c r="UH66" s="16"/>
      <c r="UI66" s="16"/>
      <c r="UJ66" s="16"/>
      <c r="UK66" s="16"/>
      <c r="UL66" s="16"/>
      <c r="UM66" s="16"/>
      <c r="UN66" s="16"/>
      <c r="UO66" s="16"/>
      <c r="UP66" s="16"/>
      <c r="UQ66" s="16"/>
      <c r="UR66" s="16"/>
      <c r="US66" s="16"/>
      <c r="UT66" s="16"/>
      <c r="UU66" s="16"/>
      <c r="UV66" s="16"/>
      <c r="UW66" s="16"/>
      <c r="UX66" s="16"/>
      <c r="UY66" s="16"/>
      <c r="UZ66" s="16"/>
      <c r="VA66" s="16"/>
      <c r="VB66" s="16"/>
      <c r="VC66" s="16"/>
      <c r="VD66" s="16"/>
      <c r="VE66" s="16"/>
      <c r="VF66" s="16"/>
      <c r="VG66" s="16"/>
      <c r="VH66" s="16"/>
      <c r="VI66" s="16"/>
      <c r="VJ66" s="16"/>
      <c r="VK66" s="16"/>
      <c r="VL66" s="16"/>
      <c r="VM66" s="16"/>
      <c r="VN66" s="16"/>
      <c r="VO66" s="16"/>
      <c r="VP66" s="16"/>
      <c r="VQ66" s="16"/>
      <c r="VR66" s="16"/>
      <c r="VS66" s="16"/>
      <c r="VT66" s="16"/>
      <c r="VU66" s="16"/>
      <c r="VV66" s="16"/>
      <c r="VW66" s="16"/>
      <c r="VX66" s="16"/>
      <c r="VY66" s="16"/>
      <c r="VZ66" s="16"/>
      <c r="WA66" s="16"/>
      <c r="WB66" s="16"/>
      <c r="WC66" s="16"/>
      <c r="WD66" s="16"/>
      <c r="WE66" s="16"/>
      <c r="WF66" s="16"/>
      <c r="WG66" s="16"/>
      <c r="WH66" s="16"/>
      <c r="WI66" s="16"/>
      <c r="WJ66" s="16"/>
      <c r="WK66" s="16"/>
      <c r="WL66" s="16"/>
      <c r="WM66" s="16"/>
      <c r="WN66" s="16"/>
      <c r="WO66" s="16"/>
      <c r="WP66" s="16"/>
      <c r="WQ66" s="16"/>
      <c r="WR66" s="16"/>
      <c r="WS66" s="16"/>
      <c r="WT66" s="16"/>
      <c r="WU66" s="16"/>
      <c r="WV66" s="16"/>
      <c r="WW66" s="16"/>
      <c r="WX66" s="16"/>
      <c r="WY66" s="16"/>
      <c r="WZ66" s="16"/>
      <c r="XA66" s="16"/>
      <c r="XB66" s="16"/>
      <c r="XC66" s="16"/>
      <c r="XD66" s="16"/>
      <c r="XE66" s="16"/>
      <c r="XF66" s="16"/>
      <c r="XG66" s="16"/>
      <c r="XH66" s="16"/>
      <c r="XI66" s="16"/>
      <c r="XJ66" s="16"/>
      <c r="XK66" s="16"/>
      <c r="XL66" s="16"/>
      <c r="XM66" s="16"/>
      <c r="XN66" s="16"/>
      <c r="XO66" s="16"/>
      <c r="XP66" s="16"/>
      <c r="XQ66" s="16"/>
      <c r="XR66" s="16"/>
      <c r="XS66" s="16"/>
      <c r="XT66" s="16"/>
      <c r="XU66" s="16"/>
      <c r="XV66" s="16"/>
      <c r="XW66" s="16"/>
      <c r="XX66" s="16"/>
      <c r="XY66" s="16"/>
      <c r="XZ66" s="16"/>
      <c r="YA66" s="16"/>
      <c r="YB66" s="16"/>
      <c r="YC66" s="16"/>
      <c r="YD66" s="16"/>
      <c r="YE66" s="16"/>
      <c r="YF66" s="16"/>
      <c r="YG66" s="16"/>
      <c r="YH66" s="16"/>
      <c r="YI66" s="16"/>
      <c r="YJ66" s="16"/>
      <c r="YK66" s="16"/>
      <c r="YL66" s="16"/>
      <c r="YM66" s="16"/>
      <c r="YN66" s="16"/>
      <c r="YO66" s="16"/>
      <c r="YP66" s="16"/>
      <c r="YQ66" s="16"/>
      <c r="YR66" s="16"/>
      <c r="YS66" s="16"/>
      <c r="YT66" s="16"/>
      <c r="YU66" s="16"/>
      <c r="YV66" s="16"/>
      <c r="YW66" s="16"/>
      <c r="YX66" s="16"/>
      <c r="YY66" s="16"/>
      <c r="YZ66" s="16"/>
      <c r="ZA66" s="16"/>
      <c r="ZB66" s="16"/>
      <c r="ZC66" s="16"/>
      <c r="ZD66" s="16"/>
      <c r="ZE66" s="16"/>
      <c r="ZF66" s="16"/>
      <c r="ZG66" s="16"/>
      <c r="ZH66" s="16"/>
      <c r="ZI66" s="16"/>
      <c r="ZJ66" s="16"/>
      <c r="ZK66" s="16"/>
      <c r="ZL66" s="16"/>
      <c r="ZM66" s="16"/>
      <c r="ZN66" s="16"/>
      <c r="ZO66" s="16"/>
      <c r="ZP66" s="16"/>
      <c r="ZQ66" s="16"/>
      <c r="ZR66" s="16"/>
      <c r="ZS66" s="16"/>
      <c r="ZT66" s="16"/>
      <c r="ZU66" s="16"/>
      <c r="ZV66" s="16"/>
      <c r="ZW66" s="16"/>
      <c r="ZX66" s="16"/>
      <c r="ZY66" s="16"/>
      <c r="ZZ66" s="16"/>
      <c r="AAA66" s="16"/>
      <c r="AAB66" s="16"/>
      <c r="AAC66" s="16"/>
      <c r="AAD66" s="16"/>
      <c r="AAE66" s="16"/>
      <c r="AAF66" s="16"/>
      <c r="AAG66" s="16"/>
      <c r="AAH66" s="16"/>
      <c r="AAI66" s="16"/>
      <c r="AAJ66" s="16"/>
      <c r="AAK66" s="16"/>
      <c r="AAL66" s="16"/>
      <c r="AAM66" s="16"/>
      <c r="AAN66" s="16"/>
      <c r="AAO66" s="16"/>
      <c r="AAP66" s="16"/>
      <c r="AAQ66" s="16"/>
      <c r="AAR66" s="16"/>
      <c r="AAS66" s="16"/>
      <c r="AAT66" s="16"/>
      <c r="AAU66" s="16"/>
      <c r="AAV66" s="16"/>
      <c r="AAW66" s="16"/>
      <c r="AAX66" s="16"/>
      <c r="AAY66" s="16"/>
      <c r="AAZ66" s="16"/>
      <c r="ABA66" s="16"/>
      <c r="ABB66" s="16"/>
      <c r="ABC66" s="16"/>
      <c r="ABD66" s="16"/>
      <c r="ABE66" s="16"/>
      <c r="ABF66" s="16"/>
      <c r="ABG66" s="16"/>
      <c r="ABH66" s="16"/>
      <c r="ABI66" s="16"/>
      <c r="ABJ66" s="16"/>
      <c r="ABK66" s="16"/>
      <c r="ABL66" s="16"/>
      <c r="ABM66" s="16"/>
      <c r="ABN66" s="16"/>
      <c r="ABO66" s="16"/>
      <c r="ABP66" s="16"/>
      <c r="ABQ66" s="16"/>
      <c r="ABR66" s="16"/>
      <c r="ABS66" s="16"/>
      <c r="ABT66" s="16"/>
      <c r="ABU66" s="16"/>
      <c r="ABV66" s="16"/>
      <c r="ABW66" s="16"/>
      <c r="ABX66" s="16"/>
      <c r="ABY66" s="16"/>
      <c r="ABZ66" s="16"/>
      <c r="ACA66" s="16"/>
      <c r="ACB66" s="16"/>
      <c r="ACC66" s="16"/>
      <c r="ACD66" s="16"/>
      <c r="ACE66" s="16"/>
      <c r="ACF66" s="16"/>
      <c r="ACG66" s="16"/>
      <c r="ACH66" s="16"/>
      <c r="ACI66" s="16"/>
      <c r="ACJ66" s="16"/>
      <c r="ACK66" s="16"/>
      <c r="ACL66" s="16"/>
      <c r="ACM66" s="16"/>
      <c r="ACN66" s="16"/>
      <c r="ACO66" s="16"/>
      <c r="ACP66" s="16"/>
      <c r="ACQ66" s="16"/>
      <c r="ACR66" s="16"/>
      <c r="ACS66" s="16"/>
      <c r="ACT66" s="16"/>
      <c r="ACU66" s="16"/>
      <c r="ACV66" s="16"/>
      <c r="ACW66" s="16"/>
      <c r="ACX66" s="16"/>
      <c r="ACY66" s="16"/>
      <c r="ACZ66" s="16"/>
      <c r="ADA66" s="16"/>
      <c r="ADB66" s="16"/>
      <c r="ADC66" s="16"/>
      <c r="ADD66" s="16"/>
      <c r="ADE66" s="16"/>
      <c r="ADF66" s="16"/>
      <c r="ADG66" s="16"/>
      <c r="ADH66" s="16"/>
      <c r="ADI66" s="16"/>
      <c r="ADJ66" s="16"/>
      <c r="ADK66" s="16"/>
      <c r="ADL66" s="16"/>
      <c r="ADM66" s="16"/>
      <c r="ADN66" s="16"/>
      <c r="ADO66" s="16"/>
      <c r="ADP66" s="16"/>
      <c r="ADQ66" s="16"/>
      <c r="ADR66" s="16"/>
      <c r="ADS66" s="16"/>
      <c r="ADT66" s="16"/>
      <c r="ADU66" s="16"/>
      <c r="ADV66" s="16"/>
      <c r="ADW66" s="16"/>
      <c r="ADX66" s="16"/>
      <c r="ADY66" s="16"/>
      <c r="ADZ66" s="16"/>
      <c r="AEA66" s="16"/>
      <c r="AEB66" s="16"/>
      <c r="AEC66" s="16"/>
      <c r="AED66" s="16"/>
      <c r="AEE66" s="16"/>
      <c r="AEF66" s="16"/>
      <c r="AEG66" s="16"/>
      <c r="AEH66" s="16"/>
      <c r="AEI66" s="16"/>
      <c r="AEJ66" s="16"/>
      <c r="AEK66" s="16"/>
      <c r="AEL66" s="16"/>
      <c r="AEM66" s="16"/>
      <c r="AEN66" s="16"/>
      <c r="AEO66" s="16"/>
      <c r="AEP66" s="16"/>
      <c r="AEQ66" s="16"/>
      <c r="AER66" s="16"/>
      <c r="AES66" s="16"/>
      <c r="AET66" s="16"/>
      <c r="AEU66" s="16"/>
      <c r="AEV66" s="16"/>
      <c r="AEW66" s="16"/>
      <c r="AEX66" s="16"/>
      <c r="AEY66" s="16"/>
      <c r="AEZ66" s="16"/>
      <c r="AFA66" s="16"/>
      <c r="AFB66" s="16"/>
      <c r="AFC66" s="16"/>
      <c r="AFD66" s="16"/>
      <c r="AFE66" s="16"/>
      <c r="AFF66" s="16"/>
      <c r="AFG66" s="16"/>
      <c r="AFH66" s="16"/>
      <c r="AFI66" s="16"/>
      <c r="AFJ66" s="16"/>
      <c r="AFK66" s="16"/>
      <c r="AFL66" s="16"/>
      <c r="AFM66" s="16"/>
      <c r="AFN66" s="16"/>
      <c r="AFO66" s="16"/>
      <c r="AFP66" s="16"/>
      <c r="AFQ66" s="16"/>
      <c r="AFR66" s="16"/>
      <c r="AFS66" s="16"/>
      <c r="AFT66" s="16"/>
      <c r="AFU66" s="16"/>
      <c r="AFV66" s="16"/>
      <c r="AFW66" s="16"/>
      <c r="AFX66" s="16"/>
      <c r="AFY66" s="16"/>
      <c r="AFZ66" s="16"/>
      <c r="AGA66" s="16"/>
      <c r="AGB66" s="16"/>
      <c r="AGC66" s="16"/>
      <c r="AGD66" s="16"/>
      <c r="AGE66" s="16"/>
      <c r="AGF66" s="16"/>
      <c r="AGG66" s="16"/>
      <c r="AGH66" s="16"/>
      <c r="AGI66" s="16"/>
      <c r="AGJ66" s="16"/>
      <c r="AGK66" s="16"/>
      <c r="AGL66" s="16"/>
      <c r="AGM66" s="16"/>
      <c r="AGN66" s="16"/>
      <c r="AGO66" s="16"/>
      <c r="AGP66" s="16"/>
      <c r="AGQ66" s="16"/>
      <c r="AGR66" s="16"/>
      <c r="AGS66" s="16"/>
      <c r="AGT66" s="16"/>
      <c r="AGU66" s="16"/>
      <c r="AGV66" s="16"/>
      <c r="AGW66" s="16"/>
      <c r="AGX66" s="16"/>
      <c r="AGY66" s="16"/>
      <c r="AGZ66" s="16"/>
      <c r="AHA66" s="16"/>
      <c r="AHB66" s="16"/>
      <c r="AHC66" s="16"/>
      <c r="AHD66" s="16"/>
      <c r="AHE66" s="16"/>
      <c r="AHF66" s="16"/>
      <c r="AHG66" s="16"/>
      <c r="AHH66" s="16"/>
      <c r="AHI66" s="16"/>
      <c r="AHJ66" s="16"/>
      <c r="AHK66" s="16"/>
      <c r="AHL66" s="16"/>
      <c r="AHM66" s="16"/>
      <c r="AHN66" s="16"/>
      <c r="AHO66" s="16"/>
      <c r="AHP66" s="16"/>
      <c r="AHQ66" s="16"/>
      <c r="AHR66" s="16"/>
      <c r="AHS66" s="16"/>
      <c r="AHT66" s="16"/>
      <c r="AHU66" s="16"/>
      <c r="AHV66" s="16"/>
      <c r="AHW66" s="16"/>
      <c r="AHX66" s="16"/>
      <c r="AHY66" s="16"/>
      <c r="AHZ66" s="16"/>
      <c r="AIA66" s="16"/>
      <c r="AIB66" s="16"/>
      <c r="AIC66" s="16"/>
      <c r="AID66" s="16"/>
      <c r="AIE66" s="16"/>
      <c r="AIF66" s="16"/>
      <c r="AIG66" s="16"/>
      <c r="AIH66" s="16"/>
      <c r="AII66" s="16"/>
      <c r="AIJ66" s="16"/>
      <c r="AIK66" s="16"/>
      <c r="AIL66" s="16"/>
      <c r="AIM66" s="16"/>
      <c r="AIN66" s="16"/>
      <c r="AIO66" s="16"/>
      <c r="AIP66" s="16"/>
      <c r="AIQ66" s="16"/>
      <c r="AIR66" s="16"/>
      <c r="AIS66" s="16"/>
      <c r="AIT66" s="16"/>
      <c r="AIU66" s="16"/>
      <c r="AIV66" s="16"/>
      <c r="AIW66" s="16"/>
      <c r="AIX66" s="16"/>
      <c r="AIY66" s="16"/>
      <c r="AIZ66" s="16"/>
      <c r="AJA66" s="16"/>
      <c r="AJB66" s="16"/>
      <c r="AJC66" s="16"/>
      <c r="AJD66" s="16"/>
      <c r="AJE66" s="16"/>
      <c r="AJF66" s="16"/>
      <c r="AJG66" s="16"/>
      <c r="AJH66" s="16"/>
      <c r="AJI66" s="16"/>
      <c r="AJJ66" s="16"/>
      <c r="AJK66" s="16"/>
      <c r="AJL66" s="16"/>
      <c r="AJM66" s="16"/>
      <c r="AJN66" s="16"/>
      <c r="AJO66" s="16"/>
      <c r="AJP66" s="16"/>
      <c r="AJQ66" s="16"/>
      <c r="AJR66" s="16"/>
      <c r="AJS66" s="16"/>
      <c r="AJT66" s="16"/>
      <c r="AJU66" s="16"/>
      <c r="AJV66" s="16"/>
      <c r="AJW66" s="16"/>
      <c r="AJX66" s="16"/>
      <c r="AJY66" s="16"/>
      <c r="AJZ66" s="16"/>
      <c r="AKA66" s="16"/>
      <c r="AKB66" s="16"/>
      <c r="AKC66" s="16"/>
      <c r="AKD66" s="16"/>
      <c r="AKE66" s="16"/>
      <c r="AKF66" s="16"/>
      <c r="AKG66" s="16"/>
      <c r="AKH66" s="16"/>
      <c r="AKI66" s="16"/>
      <c r="AKJ66" s="16"/>
      <c r="AKK66" s="16"/>
      <c r="AKL66" s="16"/>
      <c r="AKM66" s="16"/>
      <c r="AKN66" s="16"/>
      <c r="AKO66" s="16"/>
      <c r="AKP66" s="16"/>
      <c r="AKQ66" s="16"/>
      <c r="AKR66" s="16"/>
      <c r="AKS66" s="16"/>
      <c r="AKT66" s="16"/>
      <c r="AKU66" s="16"/>
      <c r="AKV66" s="16"/>
      <c r="AKW66" s="16"/>
      <c r="AKX66" s="16"/>
      <c r="AKY66" s="16"/>
      <c r="AKZ66" s="16"/>
      <c r="ALA66" s="16"/>
      <c r="ALB66" s="16"/>
      <c r="ALC66" s="16"/>
      <c r="ALD66" s="16"/>
      <c r="ALE66" s="16"/>
      <c r="ALF66" s="16"/>
      <c r="ALG66" s="16"/>
      <c r="ALH66" s="16"/>
      <c r="ALI66" s="16"/>
      <c r="ALJ66" s="16"/>
      <c r="ALK66" s="16"/>
      <c r="ALL66" s="16"/>
      <c r="ALM66" s="16"/>
      <c r="ALN66" s="16"/>
      <c r="ALO66" s="16"/>
      <c r="ALP66" s="16"/>
      <c r="ALQ66" s="16"/>
      <c r="ALR66" s="16"/>
      <c r="ALS66" s="16"/>
      <c r="ALT66" s="16"/>
      <c r="ALU66" s="16"/>
      <c r="ALV66" s="16"/>
      <c r="ALW66" s="16"/>
      <c r="ALX66" s="16"/>
      <c r="ALY66" s="16"/>
      <c r="ALZ66" s="16"/>
      <c r="AMA66" s="16"/>
      <c r="AMB66" s="16"/>
      <c r="AMC66" s="16"/>
      <c r="AMD66" s="16"/>
      <c r="AME66" s="16"/>
      <c r="AMF66" s="16"/>
      <c r="AMG66" s="16"/>
      <c r="AMH66" s="16"/>
      <c r="AMI66" s="16"/>
      <c r="AMJ66" s="16"/>
      <c r="AMK66" s="16"/>
      <c r="AML66" s="16"/>
      <c r="AMM66" s="16"/>
      <c r="AMN66" s="16"/>
      <c r="AMO66" s="16"/>
      <c r="AMP66" s="16"/>
      <c r="AMQ66" s="16"/>
      <c r="AMR66" s="16"/>
      <c r="AMS66" s="16"/>
      <c r="AMT66" s="16"/>
      <c r="AMU66" s="16"/>
      <c r="AMV66" s="16"/>
      <c r="AMW66" s="16"/>
      <c r="AMX66" s="16"/>
      <c r="AMY66" s="16"/>
      <c r="AMZ66" s="16"/>
      <c r="ANA66" s="16"/>
      <c r="ANB66" s="16"/>
      <c r="ANC66" s="16"/>
      <c r="AND66" s="16"/>
      <c r="ANE66" s="16"/>
      <c r="ANF66" s="16"/>
      <c r="ANG66" s="16"/>
      <c r="ANH66" s="16"/>
      <c r="ANI66" s="16"/>
      <c r="ANJ66" s="16"/>
      <c r="ANK66" s="16"/>
      <c r="ANL66" s="16"/>
      <c r="ANM66" s="16"/>
      <c r="ANN66" s="16"/>
      <c r="ANO66" s="16"/>
      <c r="ANP66" s="16"/>
      <c r="ANQ66" s="16"/>
      <c r="ANR66" s="16"/>
      <c r="ANS66" s="16"/>
      <c r="ANT66" s="16"/>
      <c r="ANU66" s="16"/>
      <c r="ANV66" s="16"/>
      <c r="ANW66" s="16"/>
      <c r="ANX66" s="16"/>
      <c r="ANY66" s="16"/>
      <c r="ANZ66" s="16"/>
      <c r="AOA66" s="16"/>
      <c r="AOB66" s="16"/>
      <c r="AOC66" s="16"/>
      <c r="AOD66" s="16"/>
      <c r="AOE66" s="16"/>
      <c r="AOF66" s="16"/>
      <c r="AOG66" s="16"/>
      <c r="AOH66" s="16"/>
      <c r="AOI66" s="16"/>
      <c r="AOJ66" s="16"/>
      <c r="AOK66" s="16"/>
      <c r="AOL66" s="16"/>
      <c r="AOM66" s="16"/>
      <c r="AON66" s="16"/>
      <c r="AOO66" s="16"/>
      <c r="AOP66" s="16"/>
      <c r="AOQ66" s="16"/>
      <c r="AOR66" s="16"/>
      <c r="AOS66" s="16"/>
      <c r="AOT66" s="16"/>
      <c r="AOU66" s="16"/>
      <c r="AOV66" s="16"/>
      <c r="AOW66" s="16"/>
      <c r="AOX66" s="16"/>
      <c r="AOY66" s="16"/>
      <c r="AOZ66" s="16"/>
      <c r="APA66" s="16"/>
      <c r="APB66" s="16"/>
      <c r="APC66" s="16"/>
      <c r="APD66" s="16"/>
      <c r="APE66" s="16"/>
      <c r="APF66" s="16"/>
      <c r="APG66" s="16"/>
      <c r="APH66" s="16"/>
      <c r="API66" s="16"/>
      <c r="APJ66" s="16"/>
      <c r="APK66" s="16"/>
      <c r="APL66" s="16"/>
      <c r="APM66" s="16"/>
      <c r="APN66" s="16"/>
      <c r="APO66" s="16"/>
      <c r="APP66" s="16"/>
      <c r="APQ66" s="16"/>
      <c r="APR66" s="16"/>
      <c r="APS66" s="16"/>
      <c r="APT66" s="16"/>
      <c r="APU66" s="16"/>
      <c r="APV66" s="16"/>
      <c r="APW66" s="16"/>
      <c r="APX66" s="16"/>
      <c r="APY66" s="16"/>
      <c r="APZ66" s="16"/>
      <c r="AQA66" s="16"/>
      <c r="AQB66" s="16"/>
      <c r="AQC66" s="16"/>
      <c r="AQD66" s="16"/>
      <c r="AQE66" s="16"/>
      <c r="AQF66" s="16"/>
      <c r="AQG66" s="16"/>
      <c r="AQH66" s="16"/>
      <c r="AQI66" s="16"/>
      <c r="AQJ66" s="16"/>
      <c r="AQK66" s="16"/>
      <c r="AQL66" s="16"/>
      <c r="AQM66" s="16"/>
      <c r="AQN66" s="16"/>
      <c r="AQO66" s="16"/>
      <c r="AQP66" s="16"/>
      <c r="AQQ66" s="16"/>
      <c r="AQR66" s="16"/>
      <c r="AQS66" s="16"/>
      <c r="AQT66" s="16"/>
      <c r="AQU66" s="16"/>
      <c r="AQV66" s="16"/>
      <c r="AQW66" s="16"/>
      <c r="AQX66" s="16"/>
      <c r="AQY66" s="16"/>
      <c r="AQZ66" s="16"/>
      <c r="ARA66" s="16"/>
      <c r="ARB66" s="16"/>
      <c r="ARC66" s="16"/>
      <c r="ARD66" s="16"/>
      <c r="ARE66" s="16"/>
      <c r="ARF66" s="16"/>
      <c r="ARG66" s="16"/>
      <c r="ARH66" s="16"/>
      <c r="ARI66" s="16"/>
      <c r="ARJ66" s="16"/>
      <c r="ARK66" s="16"/>
      <c r="ARL66" s="16"/>
      <c r="ARM66" s="16"/>
      <c r="ARN66" s="16"/>
      <c r="ARO66" s="16"/>
      <c r="ARP66" s="16"/>
      <c r="ARQ66" s="16"/>
      <c r="ARR66" s="16"/>
      <c r="ARS66" s="16"/>
      <c r="ART66" s="16"/>
      <c r="ARU66" s="16"/>
      <c r="ARV66" s="16"/>
      <c r="ARW66" s="16"/>
      <c r="ARX66" s="16"/>
      <c r="ARY66" s="16"/>
      <c r="ARZ66" s="16"/>
      <c r="ASA66" s="16"/>
      <c r="ASB66" s="16"/>
      <c r="ASC66" s="16"/>
      <c r="ASD66" s="16"/>
      <c r="ASE66" s="16"/>
      <c r="ASF66" s="16"/>
      <c r="ASG66" s="16"/>
      <c r="ASH66" s="16"/>
      <c r="ASI66" s="16"/>
      <c r="ASJ66" s="16"/>
      <c r="ASK66" s="16"/>
      <c r="ASL66" s="16"/>
      <c r="ASM66" s="16"/>
      <c r="ASN66" s="16"/>
      <c r="ASO66" s="16"/>
      <c r="ASP66" s="16"/>
      <c r="ASQ66" s="16"/>
      <c r="ASR66" s="16"/>
      <c r="ASS66" s="16"/>
      <c r="AST66" s="16"/>
      <c r="ASU66" s="16"/>
      <c r="ASV66" s="16"/>
      <c r="ASW66" s="16"/>
      <c r="ASX66" s="16"/>
      <c r="ASY66" s="16"/>
      <c r="ASZ66" s="16"/>
      <c r="ATA66" s="16"/>
      <c r="ATB66" s="16"/>
      <c r="ATC66" s="16"/>
      <c r="ATD66" s="16"/>
      <c r="ATE66" s="16"/>
      <c r="ATF66" s="16"/>
      <c r="ATG66" s="16"/>
      <c r="ATH66" s="16"/>
      <c r="ATI66" s="16"/>
      <c r="ATJ66" s="16"/>
      <c r="ATK66" s="16"/>
      <c r="ATL66" s="16"/>
      <c r="ATM66" s="16"/>
      <c r="ATN66" s="16"/>
      <c r="ATO66" s="16"/>
      <c r="ATP66" s="16"/>
      <c r="ATQ66" s="16"/>
      <c r="ATR66" s="16"/>
      <c r="ATS66" s="16"/>
      <c r="ATT66" s="16"/>
      <c r="ATU66" s="16"/>
      <c r="ATV66" s="16"/>
      <c r="ATW66" s="16"/>
      <c r="ATX66" s="16"/>
      <c r="ATY66" s="16"/>
      <c r="ATZ66" s="16"/>
      <c r="AUA66" s="16"/>
      <c r="AUB66" s="16"/>
      <c r="AUC66" s="16"/>
      <c r="AUD66" s="16"/>
      <c r="AUE66" s="16"/>
      <c r="AUF66" s="16"/>
      <c r="AUG66" s="16"/>
      <c r="AUH66" s="16"/>
      <c r="AUI66" s="16"/>
      <c r="AUJ66" s="16"/>
      <c r="AUK66" s="16"/>
      <c r="AUL66" s="16"/>
      <c r="AUM66" s="16"/>
      <c r="AUN66" s="16"/>
      <c r="AUO66" s="16"/>
      <c r="AUP66" s="16"/>
      <c r="AUQ66" s="16"/>
      <c r="AUR66" s="16"/>
      <c r="AUS66" s="16"/>
      <c r="AUT66" s="16"/>
      <c r="AUU66" s="16"/>
      <c r="AUV66" s="16"/>
      <c r="AUW66" s="16"/>
      <c r="AUX66" s="16"/>
      <c r="AUY66" s="16"/>
      <c r="AUZ66" s="16"/>
      <c r="AVA66" s="16"/>
      <c r="AVB66" s="16"/>
      <c r="AVC66" s="16"/>
      <c r="AVD66" s="16"/>
      <c r="AVE66" s="16"/>
      <c r="AVF66" s="16"/>
      <c r="AVG66" s="16"/>
      <c r="AVH66" s="16"/>
      <c r="AVI66" s="16"/>
      <c r="AVJ66" s="16"/>
      <c r="AVK66" s="16"/>
      <c r="AVL66" s="16"/>
      <c r="AVM66" s="16"/>
      <c r="AVN66" s="16"/>
      <c r="AVO66" s="16"/>
      <c r="AVP66" s="16"/>
      <c r="AVQ66" s="16"/>
      <c r="AVR66" s="16"/>
      <c r="AVS66" s="16"/>
      <c r="AVT66" s="16"/>
      <c r="AVU66" s="16"/>
      <c r="AVV66" s="16"/>
      <c r="AVW66" s="16"/>
      <c r="AVX66" s="16"/>
      <c r="AVY66" s="16"/>
      <c r="AVZ66" s="16"/>
      <c r="AWA66" s="16"/>
      <c r="AWB66" s="16"/>
      <c r="AWC66" s="16"/>
      <c r="AWD66" s="16"/>
      <c r="AWE66" s="16"/>
      <c r="AWF66" s="16"/>
      <c r="AWG66" s="16"/>
      <c r="AWH66" s="16"/>
      <c r="AWI66" s="16"/>
      <c r="AWJ66" s="16"/>
      <c r="AWK66" s="16"/>
      <c r="AWL66" s="16"/>
      <c r="AWM66" s="16"/>
      <c r="AWN66" s="16"/>
      <c r="AWO66" s="16"/>
      <c r="AWP66" s="16"/>
      <c r="AWQ66" s="16"/>
      <c r="AWR66" s="16"/>
      <c r="AWS66" s="16"/>
      <c r="AWT66" s="16"/>
      <c r="AWU66" s="16"/>
      <c r="AWV66" s="16"/>
      <c r="AWW66" s="16"/>
      <c r="AWX66" s="16"/>
      <c r="AWY66" s="16"/>
      <c r="AWZ66" s="16"/>
      <c r="AXA66" s="16"/>
      <c r="AXB66" s="16"/>
      <c r="AXC66" s="16"/>
      <c r="AXD66" s="16"/>
      <c r="AXE66" s="16"/>
      <c r="AXF66" s="16"/>
      <c r="AXG66" s="16"/>
      <c r="AXH66" s="16"/>
      <c r="AXI66" s="16"/>
      <c r="AXJ66" s="16"/>
      <c r="AXK66" s="16"/>
      <c r="AXL66" s="16"/>
      <c r="AXM66" s="16"/>
      <c r="AXN66" s="16"/>
      <c r="AXO66" s="16"/>
      <c r="AXP66" s="16"/>
      <c r="AXQ66" s="16"/>
      <c r="AXR66" s="16"/>
      <c r="AXS66" s="16"/>
      <c r="AXT66" s="16"/>
      <c r="AXU66" s="16"/>
      <c r="AXV66" s="16"/>
      <c r="AXW66" s="16"/>
      <c r="AXX66" s="16"/>
      <c r="AXY66" s="16"/>
      <c r="AXZ66" s="16"/>
      <c r="AYA66" s="16"/>
      <c r="AYB66" s="16"/>
      <c r="AYC66" s="16"/>
      <c r="AYD66" s="16"/>
      <c r="AYE66" s="16"/>
      <c r="AYF66" s="16"/>
      <c r="AYG66" s="16"/>
      <c r="AYH66" s="16"/>
      <c r="AYI66" s="16"/>
      <c r="AYJ66" s="16"/>
      <c r="AYK66" s="16"/>
      <c r="AYL66" s="16"/>
      <c r="AYM66" s="16"/>
      <c r="AYN66" s="16"/>
      <c r="AYO66" s="16"/>
      <c r="AYP66" s="16"/>
      <c r="AYQ66" s="16"/>
      <c r="AYR66" s="16"/>
      <c r="AYS66" s="16"/>
      <c r="AYT66" s="16"/>
      <c r="AYU66" s="16"/>
      <c r="AYV66" s="16"/>
      <c r="AYW66" s="16"/>
      <c r="AYX66" s="16"/>
      <c r="AYY66" s="16"/>
      <c r="AYZ66" s="16"/>
      <c r="AZA66" s="16"/>
      <c r="AZB66" s="16"/>
      <c r="AZC66" s="16"/>
      <c r="AZD66" s="16"/>
      <c r="AZE66" s="16"/>
      <c r="AZF66" s="16"/>
      <c r="AZG66" s="16"/>
      <c r="AZH66" s="16"/>
      <c r="AZI66" s="16"/>
      <c r="AZJ66" s="16"/>
      <c r="AZK66" s="16"/>
      <c r="AZL66" s="16"/>
      <c r="AZM66" s="16"/>
      <c r="AZN66" s="16"/>
      <c r="AZO66" s="16"/>
      <c r="AZP66" s="16"/>
      <c r="AZQ66" s="16"/>
      <c r="AZR66" s="16"/>
      <c r="AZS66" s="16"/>
      <c r="AZT66" s="16"/>
      <c r="AZU66" s="16"/>
      <c r="AZV66" s="16"/>
      <c r="AZW66" s="16"/>
      <c r="AZX66" s="16"/>
      <c r="AZY66" s="16"/>
      <c r="AZZ66" s="16"/>
      <c r="BAA66" s="16"/>
      <c r="BAB66" s="16"/>
      <c r="BAC66" s="16"/>
      <c r="BAD66" s="16"/>
      <c r="BAE66" s="16"/>
      <c r="BAF66" s="16"/>
      <c r="BAG66" s="16"/>
      <c r="BAH66" s="16"/>
      <c r="BAI66" s="16"/>
      <c r="BAJ66" s="16"/>
      <c r="BAK66" s="16"/>
      <c r="BAL66" s="16"/>
      <c r="BAM66" s="16"/>
      <c r="BAN66" s="16"/>
      <c r="BAO66" s="16"/>
      <c r="BAP66" s="16"/>
      <c r="BAQ66" s="16"/>
      <c r="BAR66" s="16"/>
      <c r="BAS66" s="16"/>
      <c r="BAT66" s="16"/>
      <c r="BAU66" s="16"/>
      <c r="BAV66" s="16"/>
      <c r="BAW66" s="16"/>
      <c r="BAX66" s="16"/>
      <c r="BAY66" s="16"/>
      <c r="BAZ66" s="16"/>
      <c r="BBA66" s="16"/>
      <c r="BBB66" s="16"/>
      <c r="BBC66" s="16"/>
      <c r="BBD66" s="16"/>
      <c r="BBE66" s="16"/>
      <c r="BBF66" s="16"/>
      <c r="BBG66" s="16"/>
      <c r="BBH66" s="16"/>
      <c r="BBI66" s="16"/>
      <c r="BBJ66" s="16"/>
      <c r="BBK66" s="16"/>
      <c r="BBL66" s="16"/>
      <c r="BBM66" s="16"/>
      <c r="BBN66" s="16"/>
      <c r="BBO66" s="16"/>
      <c r="BBP66" s="16"/>
      <c r="BBQ66" s="16"/>
      <c r="BBR66" s="16"/>
      <c r="BBS66" s="16"/>
      <c r="BBT66" s="16"/>
      <c r="BBU66" s="16"/>
      <c r="BBV66" s="16"/>
      <c r="BBW66" s="16"/>
      <c r="BBX66" s="16"/>
      <c r="BBY66" s="16"/>
      <c r="BBZ66" s="16"/>
      <c r="BCA66" s="16"/>
      <c r="BCB66" s="16"/>
      <c r="BCC66" s="16"/>
      <c r="BCD66" s="16"/>
      <c r="BCE66" s="16"/>
      <c r="BCF66" s="16"/>
      <c r="BCG66" s="16"/>
      <c r="BCH66" s="16"/>
      <c r="BCI66" s="16"/>
      <c r="BCJ66" s="16"/>
      <c r="BCK66" s="16"/>
      <c r="BCL66" s="16"/>
      <c r="BCM66" s="16"/>
      <c r="BCN66" s="16"/>
      <c r="BCO66" s="16"/>
      <c r="BCP66" s="16"/>
      <c r="BCQ66" s="16"/>
      <c r="BCR66" s="16"/>
      <c r="BCS66" s="16"/>
      <c r="BCT66" s="16"/>
      <c r="BCU66" s="16"/>
      <c r="BCV66" s="16"/>
      <c r="BCW66" s="16"/>
      <c r="BCX66" s="16"/>
      <c r="BCY66" s="16"/>
      <c r="BCZ66" s="16"/>
      <c r="BDA66" s="16"/>
      <c r="BDB66" s="16"/>
      <c r="BDC66" s="16"/>
      <c r="BDD66" s="16"/>
      <c r="BDE66" s="16"/>
      <c r="BDF66" s="16"/>
      <c r="BDG66" s="16"/>
      <c r="BDH66" s="16"/>
      <c r="BDI66" s="16"/>
      <c r="BDJ66" s="16"/>
      <c r="BDK66" s="16"/>
      <c r="BDL66" s="16"/>
      <c r="BDM66" s="16"/>
      <c r="BDN66" s="16"/>
      <c r="BDO66" s="16"/>
      <c r="BDP66" s="16"/>
      <c r="BDQ66" s="16"/>
      <c r="BDR66" s="16"/>
      <c r="BDS66" s="16"/>
      <c r="BDT66" s="16"/>
      <c r="BDU66" s="16"/>
      <c r="BDV66" s="16"/>
      <c r="BDW66" s="16"/>
      <c r="BDX66" s="16"/>
      <c r="BDY66" s="16"/>
      <c r="BDZ66" s="16"/>
      <c r="BEA66" s="16"/>
      <c r="BEB66" s="16"/>
      <c r="BEC66" s="16"/>
      <c r="BED66" s="16"/>
      <c r="BEE66" s="16"/>
      <c r="BEF66" s="16"/>
      <c r="BEG66" s="16"/>
      <c r="BEH66" s="16"/>
      <c r="BEI66" s="16"/>
      <c r="BEJ66" s="16"/>
      <c r="BEK66" s="16"/>
      <c r="BEL66" s="16"/>
      <c r="BEM66" s="16"/>
      <c r="BEN66" s="16"/>
      <c r="BEO66" s="16"/>
      <c r="BEP66" s="16"/>
      <c r="BEQ66" s="16"/>
      <c r="BER66" s="16"/>
      <c r="BES66" s="16"/>
      <c r="BET66" s="16"/>
      <c r="BEU66" s="16"/>
      <c r="BEV66" s="16"/>
      <c r="BEW66" s="16"/>
      <c r="BEX66" s="16"/>
      <c r="BEY66" s="16"/>
      <c r="BEZ66" s="16"/>
      <c r="BFA66" s="16"/>
      <c r="BFB66" s="16"/>
      <c r="BFC66" s="16"/>
      <c r="BFD66" s="16"/>
      <c r="BFE66" s="16"/>
      <c r="BFF66" s="16"/>
      <c r="BFG66" s="16"/>
      <c r="BFH66" s="16"/>
      <c r="BFI66" s="16"/>
      <c r="BFJ66" s="16"/>
      <c r="BFK66" s="16"/>
      <c r="BFL66" s="16"/>
      <c r="BFM66" s="16"/>
      <c r="BFN66" s="16"/>
      <c r="BFO66" s="16"/>
      <c r="BFP66" s="16"/>
      <c r="BFQ66" s="16"/>
      <c r="BFR66" s="16"/>
      <c r="BFS66" s="16"/>
      <c r="BFT66" s="16"/>
      <c r="BFU66" s="16"/>
      <c r="BFV66" s="16"/>
      <c r="BFW66" s="16"/>
      <c r="BFX66" s="16"/>
      <c r="BFY66" s="16"/>
      <c r="BFZ66" s="16"/>
      <c r="BGA66" s="16"/>
      <c r="BGB66" s="16"/>
      <c r="BGC66" s="16"/>
      <c r="BGD66" s="16"/>
      <c r="BGE66" s="16"/>
      <c r="BGF66" s="16"/>
      <c r="BGG66" s="16"/>
      <c r="BGH66" s="16"/>
      <c r="BGI66" s="16"/>
      <c r="BGJ66" s="16"/>
      <c r="BGK66" s="16"/>
      <c r="BGL66" s="16"/>
      <c r="BGM66" s="16"/>
      <c r="BGN66" s="16"/>
      <c r="BGO66" s="16"/>
      <c r="BGP66" s="16"/>
      <c r="BGQ66" s="16"/>
      <c r="BGR66" s="16"/>
      <c r="BGS66" s="16"/>
      <c r="BGT66" s="16"/>
      <c r="BGU66" s="16"/>
      <c r="BGV66" s="16"/>
      <c r="BGW66" s="16"/>
      <c r="BGX66" s="16"/>
      <c r="BGY66" s="16"/>
      <c r="BGZ66" s="16"/>
      <c r="BHA66" s="16"/>
      <c r="BHB66" s="16"/>
      <c r="BHC66" s="16"/>
      <c r="BHD66" s="16"/>
      <c r="BHE66" s="16"/>
      <c r="BHF66" s="16"/>
      <c r="BHG66" s="16"/>
      <c r="BHH66" s="16"/>
      <c r="BHI66" s="16"/>
      <c r="BHJ66" s="16"/>
      <c r="BHK66" s="16"/>
      <c r="BHL66" s="16"/>
      <c r="BHM66" s="16"/>
      <c r="BHN66" s="16"/>
      <c r="BHO66" s="16"/>
      <c r="BHP66" s="16"/>
      <c r="BHQ66" s="16"/>
      <c r="BHR66" s="16"/>
      <c r="BHS66" s="16"/>
      <c r="BHT66" s="16"/>
      <c r="BHU66" s="16"/>
      <c r="BHV66" s="16"/>
      <c r="BHW66" s="16"/>
      <c r="BHX66" s="16"/>
      <c r="BHY66" s="16"/>
      <c r="BHZ66" s="16"/>
      <c r="BIA66" s="16"/>
      <c r="BIB66" s="16"/>
      <c r="BIC66" s="16"/>
      <c r="BID66" s="16"/>
      <c r="BIE66" s="16"/>
      <c r="BIF66" s="16"/>
      <c r="BIG66" s="16"/>
      <c r="BIH66" s="16"/>
      <c r="BII66" s="16"/>
      <c r="BIJ66" s="16"/>
      <c r="BIK66" s="16"/>
      <c r="BIL66" s="16"/>
      <c r="BIM66" s="16"/>
      <c r="BIN66" s="16"/>
      <c r="BIO66" s="16"/>
      <c r="BIP66" s="16"/>
      <c r="BIQ66" s="16"/>
      <c r="BIR66" s="16"/>
      <c r="BIS66" s="16"/>
      <c r="BIT66" s="16"/>
      <c r="BIU66" s="16"/>
      <c r="BIV66" s="16"/>
      <c r="BIW66" s="16"/>
      <c r="BIX66" s="16"/>
      <c r="BIY66" s="16"/>
      <c r="BIZ66" s="16"/>
      <c r="BJA66" s="16"/>
      <c r="BJB66" s="16"/>
      <c r="BJC66" s="16"/>
      <c r="BJD66" s="16"/>
      <c r="BJE66" s="16"/>
      <c r="BJF66" s="16"/>
      <c r="BJG66" s="16"/>
      <c r="BJH66" s="16"/>
      <c r="BJI66" s="16"/>
      <c r="BJJ66" s="16"/>
      <c r="BJK66" s="16"/>
      <c r="BJL66" s="16"/>
      <c r="BJM66" s="16"/>
      <c r="BJN66" s="16"/>
      <c r="BJO66" s="16"/>
      <c r="BJP66" s="16"/>
      <c r="BJQ66" s="16"/>
      <c r="BJR66" s="16"/>
      <c r="BJS66" s="16"/>
      <c r="BJT66" s="16"/>
      <c r="BJU66" s="16"/>
      <c r="BJV66" s="16"/>
      <c r="BJW66" s="16"/>
      <c r="BJX66" s="16"/>
      <c r="BJY66" s="16"/>
      <c r="BJZ66" s="16"/>
      <c r="BKA66" s="16"/>
      <c r="BKB66" s="16"/>
      <c r="BKC66" s="16"/>
      <c r="BKD66" s="16"/>
      <c r="BKE66" s="16"/>
      <c r="BKF66" s="16"/>
      <c r="BKG66" s="16"/>
      <c r="BKH66" s="16"/>
      <c r="BKI66" s="16"/>
      <c r="BKJ66" s="16"/>
      <c r="BKK66" s="16"/>
      <c r="BKL66" s="16"/>
      <c r="BKM66" s="16"/>
      <c r="BKN66" s="16"/>
      <c r="BKO66" s="16"/>
      <c r="BKP66" s="16"/>
      <c r="BKQ66" s="16"/>
      <c r="BKR66" s="16"/>
      <c r="BKS66" s="16"/>
      <c r="BKT66" s="16"/>
      <c r="BKU66" s="16"/>
      <c r="BKV66" s="16"/>
      <c r="BKW66" s="16"/>
      <c r="BKX66" s="16"/>
      <c r="BKY66" s="16"/>
      <c r="BKZ66" s="16"/>
      <c r="BLA66" s="16"/>
      <c r="BLB66" s="16"/>
      <c r="BLC66" s="16"/>
      <c r="BLD66" s="16"/>
      <c r="BLE66" s="16"/>
      <c r="BLF66" s="16"/>
      <c r="BLG66" s="16"/>
      <c r="BLH66" s="16"/>
      <c r="BLI66" s="16"/>
      <c r="BLJ66" s="16"/>
      <c r="BLK66" s="16"/>
      <c r="BLL66" s="16"/>
      <c r="BLM66" s="16"/>
      <c r="BLN66" s="16"/>
      <c r="BLO66" s="16"/>
      <c r="BLP66" s="16"/>
      <c r="BLQ66" s="16"/>
      <c r="BLR66" s="16"/>
      <c r="BLS66" s="16"/>
      <c r="BLT66" s="16"/>
      <c r="BLU66" s="16"/>
      <c r="BLV66" s="16"/>
      <c r="BLW66" s="16"/>
      <c r="BLX66" s="16"/>
      <c r="BLY66" s="16"/>
      <c r="BLZ66" s="16"/>
      <c r="BMA66" s="16"/>
      <c r="BMB66" s="16"/>
      <c r="BMC66" s="16"/>
      <c r="BMD66" s="16"/>
      <c r="BME66" s="16"/>
      <c r="BMF66" s="16"/>
      <c r="BMG66" s="16"/>
      <c r="BMH66" s="16"/>
      <c r="BMI66" s="16"/>
      <c r="BMJ66" s="16"/>
      <c r="BMK66" s="16"/>
      <c r="BML66" s="16"/>
      <c r="BMM66" s="16"/>
      <c r="BMN66" s="16"/>
      <c r="BMO66" s="16"/>
      <c r="BMP66" s="16"/>
      <c r="BMQ66" s="16"/>
      <c r="BMR66" s="16"/>
      <c r="BMS66" s="16"/>
      <c r="BMT66" s="16"/>
      <c r="BMU66" s="16"/>
      <c r="BMV66" s="16"/>
      <c r="BMW66" s="16"/>
      <c r="BMX66" s="16"/>
      <c r="BMY66" s="16"/>
      <c r="BMZ66" s="16"/>
      <c r="BNA66" s="16"/>
      <c r="BNB66" s="16"/>
      <c r="BNC66" s="16"/>
      <c r="BND66" s="16"/>
      <c r="BNE66" s="16"/>
      <c r="BNF66" s="16"/>
      <c r="BNG66" s="16"/>
      <c r="BNH66" s="16"/>
      <c r="BNI66" s="16"/>
      <c r="BNJ66" s="16"/>
      <c r="BNK66" s="16"/>
      <c r="BNL66" s="16"/>
      <c r="BNM66" s="16"/>
      <c r="BNN66" s="16"/>
      <c r="BNO66" s="16"/>
      <c r="BNP66" s="16"/>
      <c r="BNQ66" s="16"/>
      <c r="BNR66" s="16"/>
      <c r="BNS66" s="16"/>
      <c r="BNT66" s="16"/>
      <c r="BNU66" s="16"/>
      <c r="BNV66" s="16"/>
      <c r="BNW66" s="16"/>
      <c r="BNX66" s="16"/>
      <c r="BNY66" s="16"/>
      <c r="BNZ66" s="16"/>
      <c r="BOA66" s="16"/>
      <c r="BOB66" s="16"/>
      <c r="BOC66" s="16"/>
      <c r="BOD66" s="16"/>
      <c r="BOE66" s="16"/>
      <c r="BOF66" s="16"/>
      <c r="BOG66" s="16"/>
      <c r="BOH66" s="16"/>
      <c r="BOI66" s="16"/>
      <c r="BOJ66" s="16"/>
      <c r="BOK66" s="16"/>
      <c r="BOL66" s="16"/>
      <c r="BOM66" s="16"/>
      <c r="BON66" s="16"/>
      <c r="BOO66" s="16"/>
      <c r="BOP66" s="16"/>
      <c r="BOQ66" s="16"/>
      <c r="BOR66" s="16"/>
      <c r="BOS66" s="16"/>
      <c r="BOT66" s="16"/>
      <c r="BOU66" s="16"/>
      <c r="BOV66" s="16"/>
      <c r="BOW66" s="16"/>
      <c r="BOX66" s="16"/>
      <c r="BOY66" s="16"/>
      <c r="BOZ66" s="16"/>
      <c r="BPA66" s="16"/>
      <c r="BPB66" s="16"/>
      <c r="BPC66" s="16"/>
      <c r="BPD66" s="16"/>
      <c r="BPE66" s="16"/>
      <c r="BPF66" s="16"/>
      <c r="BPG66" s="16"/>
      <c r="BPH66" s="16"/>
      <c r="BPI66" s="16"/>
      <c r="BPJ66" s="16"/>
      <c r="BPK66" s="16"/>
      <c r="BPL66" s="16"/>
      <c r="BPM66" s="16"/>
      <c r="BPN66" s="16"/>
      <c r="BPO66" s="16"/>
      <c r="BPP66" s="16"/>
      <c r="BPQ66" s="16"/>
      <c r="BPR66" s="16"/>
      <c r="BPS66" s="16"/>
      <c r="BPT66" s="16"/>
      <c r="BPU66" s="16"/>
      <c r="BPV66" s="16"/>
      <c r="BPW66" s="16"/>
      <c r="BPX66" s="16"/>
      <c r="BPY66" s="16"/>
      <c r="BPZ66" s="16"/>
      <c r="BQA66" s="16"/>
      <c r="BQB66" s="16"/>
      <c r="BQC66" s="16"/>
      <c r="BQD66" s="16"/>
      <c r="BQE66" s="16"/>
      <c r="BQF66" s="16"/>
      <c r="BQG66" s="16"/>
      <c r="BQH66" s="16"/>
      <c r="BQI66" s="16"/>
      <c r="BQJ66" s="16"/>
      <c r="BQK66" s="16"/>
      <c r="BQL66" s="16"/>
      <c r="BQM66" s="16"/>
      <c r="BQN66" s="16"/>
      <c r="BQO66" s="16"/>
      <c r="BQP66" s="16"/>
      <c r="BQQ66" s="16"/>
      <c r="BQR66" s="16"/>
      <c r="BQS66" s="16"/>
      <c r="BQT66" s="16"/>
      <c r="BQU66" s="16"/>
      <c r="BQV66" s="16"/>
      <c r="BQW66" s="16"/>
      <c r="BQX66" s="16"/>
      <c r="BQY66" s="16"/>
      <c r="BQZ66" s="16"/>
      <c r="BRA66" s="16"/>
      <c r="BRB66" s="16"/>
      <c r="BRC66" s="16"/>
      <c r="BRD66" s="16"/>
      <c r="BRE66" s="16"/>
      <c r="BRF66" s="16"/>
      <c r="BRG66" s="16"/>
      <c r="BRH66" s="16"/>
      <c r="BRI66" s="16"/>
      <c r="BRJ66" s="16"/>
      <c r="BRK66" s="16"/>
      <c r="BRL66" s="16"/>
      <c r="BRM66" s="16"/>
      <c r="BRN66" s="16"/>
      <c r="BRO66" s="16"/>
      <c r="BRP66" s="16"/>
      <c r="BRQ66" s="16"/>
      <c r="BRR66" s="16"/>
      <c r="BRS66" s="16"/>
      <c r="BRT66" s="16"/>
      <c r="BRU66" s="16"/>
      <c r="BRV66" s="16"/>
      <c r="BRW66" s="16"/>
      <c r="BRX66" s="16"/>
      <c r="BRY66" s="16"/>
      <c r="BRZ66" s="16"/>
      <c r="BSA66" s="16"/>
      <c r="BSB66" s="16"/>
      <c r="BSC66" s="16"/>
      <c r="BSD66" s="16"/>
      <c r="BSE66" s="16"/>
      <c r="BSF66" s="16"/>
      <c r="BSG66" s="16"/>
      <c r="BSH66" s="16"/>
      <c r="BSI66" s="16"/>
      <c r="BSJ66" s="16"/>
      <c r="BSK66" s="16"/>
      <c r="BSL66" s="16"/>
      <c r="BSM66" s="16"/>
      <c r="BSN66" s="16"/>
      <c r="BSO66" s="16"/>
      <c r="BSP66" s="16"/>
      <c r="BSQ66" s="16"/>
      <c r="BSR66" s="16"/>
      <c r="BSS66" s="16"/>
      <c r="BST66" s="16"/>
      <c r="BSU66" s="16"/>
      <c r="BSV66" s="16"/>
      <c r="BSW66" s="16"/>
      <c r="BSX66" s="16"/>
      <c r="BSY66" s="16"/>
      <c r="BSZ66" s="16"/>
      <c r="BTA66" s="16"/>
      <c r="BTB66" s="16"/>
      <c r="BTC66" s="16"/>
      <c r="BTD66" s="16"/>
      <c r="BTE66" s="16"/>
      <c r="BTF66" s="16"/>
      <c r="BTG66" s="16"/>
      <c r="BTH66" s="16"/>
      <c r="BTI66" s="16"/>
      <c r="BTJ66" s="16"/>
      <c r="BTK66" s="16"/>
      <c r="BTL66" s="16"/>
      <c r="BTM66" s="16"/>
      <c r="BTN66" s="16"/>
      <c r="BTO66" s="16"/>
      <c r="BTP66" s="16"/>
      <c r="BTQ66" s="16"/>
      <c r="BTR66" s="16"/>
      <c r="BTS66" s="16"/>
      <c r="BTT66" s="16"/>
      <c r="BTU66" s="16"/>
      <c r="BTV66" s="16"/>
      <c r="BTW66" s="16"/>
      <c r="BTX66" s="16"/>
      <c r="BTY66" s="16"/>
      <c r="BTZ66" s="16"/>
      <c r="BUA66" s="16"/>
      <c r="BUB66" s="16"/>
      <c r="BUC66" s="16"/>
      <c r="BUD66" s="16"/>
      <c r="BUE66" s="16"/>
      <c r="BUF66" s="16"/>
      <c r="BUG66" s="16"/>
      <c r="BUH66" s="16"/>
      <c r="BUI66" s="16"/>
      <c r="BUJ66" s="16"/>
      <c r="BUK66" s="16"/>
      <c r="BUL66" s="16"/>
      <c r="BUM66" s="16"/>
      <c r="BUN66" s="16"/>
      <c r="BUO66" s="16"/>
      <c r="BUP66" s="16"/>
      <c r="BUQ66" s="16"/>
      <c r="BUR66" s="16"/>
      <c r="BUS66" s="16"/>
      <c r="BUT66" s="16"/>
      <c r="BUU66" s="16"/>
      <c r="BUV66" s="16"/>
      <c r="BUW66" s="16"/>
      <c r="BUX66" s="16"/>
      <c r="BUY66" s="16"/>
      <c r="BUZ66" s="16"/>
      <c r="BVA66" s="16"/>
      <c r="BVB66" s="16"/>
      <c r="BVC66" s="16"/>
      <c r="BVD66" s="16"/>
      <c r="BVE66" s="16"/>
      <c r="BVF66" s="16"/>
      <c r="BVG66" s="16"/>
      <c r="BVH66" s="16"/>
      <c r="BVI66" s="16"/>
      <c r="BVJ66" s="16"/>
      <c r="BVK66" s="16"/>
      <c r="BVL66" s="16"/>
      <c r="BVM66" s="16"/>
      <c r="BVN66" s="16"/>
      <c r="BVO66" s="16"/>
      <c r="BVP66" s="16"/>
      <c r="BVQ66" s="16"/>
      <c r="BVR66" s="16"/>
      <c r="BVS66" s="16"/>
      <c r="BVT66" s="16"/>
      <c r="BVU66" s="16"/>
      <c r="BVV66" s="16"/>
      <c r="BVW66" s="16"/>
      <c r="BVX66" s="16"/>
      <c r="BVY66" s="16"/>
      <c r="BVZ66" s="16"/>
      <c r="BWA66" s="16"/>
      <c r="BWB66" s="16"/>
      <c r="BWC66" s="16"/>
      <c r="BWD66" s="16"/>
      <c r="BWE66" s="16"/>
      <c r="BWF66" s="16"/>
      <c r="BWG66" s="16"/>
      <c r="BWH66" s="16"/>
      <c r="BWI66" s="16"/>
      <c r="BWJ66" s="16"/>
      <c r="BWK66" s="16"/>
      <c r="BWL66" s="16"/>
      <c r="BWM66" s="16"/>
      <c r="BWN66" s="16"/>
      <c r="BWO66" s="16"/>
      <c r="BWP66" s="16"/>
      <c r="BWQ66" s="16"/>
      <c r="BWR66" s="16"/>
      <c r="BWS66" s="16"/>
      <c r="BWT66" s="16"/>
      <c r="BWU66" s="16"/>
      <c r="BWV66" s="16"/>
      <c r="BWW66" s="16"/>
      <c r="BWX66" s="16"/>
      <c r="BWY66" s="16"/>
      <c r="BWZ66" s="16"/>
      <c r="BXA66" s="16"/>
      <c r="BXB66" s="16"/>
      <c r="BXC66" s="16"/>
      <c r="BXD66" s="16"/>
      <c r="BXE66" s="16"/>
      <c r="BXF66" s="16"/>
      <c r="BXG66" s="16"/>
      <c r="BXH66" s="16"/>
      <c r="BXI66" s="16"/>
      <c r="BXJ66" s="16"/>
      <c r="BXK66" s="16"/>
      <c r="BXL66" s="16"/>
      <c r="BXM66" s="16"/>
      <c r="BXN66" s="16"/>
      <c r="BXO66" s="16"/>
      <c r="BXP66" s="16"/>
      <c r="BXQ66" s="16"/>
      <c r="BXR66" s="16"/>
      <c r="BXS66" s="16"/>
      <c r="BXT66" s="16"/>
      <c r="BXU66" s="16"/>
      <c r="BXV66" s="16"/>
      <c r="BXW66" s="16"/>
      <c r="BXX66" s="16"/>
      <c r="BXY66" s="16"/>
      <c r="BXZ66" s="16"/>
      <c r="BYA66" s="16"/>
      <c r="BYB66" s="16"/>
      <c r="BYC66" s="16"/>
      <c r="BYD66" s="16"/>
      <c r="BYE66" s="16"/>
      <c r="BYF66" s="16"/>
      <c r="BYG66" s="16"/>
      <c r="BYH66" s="16"/>
      <c r="BYI66" s="16"/>
      <c r="BYJ66" s="16"/>
      <c r="BYK66" s="16"/>
      <c r="BYL66" s="16"/>
      <c r="BYM66" s="16"/>
      <c r="BYN66" s="16"/>
      <c r="BYO66" s="16"/>
      <c r="BYP66" s="16"/>
      <c r="BYQ66" s="16"/>
      <c r="BYR66" s="16"/>
      <c r="BYS66" s="16"/>
      <c r="BYT66" s="16"/>
      <c r="BYU66" s="16"/>
      <c r="BYV66" s="16"/>
      <c r="BYW66" s="16"/>
      <c r="BYX66" s="16"/>
      <c r="BYY66" s="16"/>
      <c r="BYZ66" s="16"/>
      <c r="BZA66" s="16"/>
      <c r="BZB66" s="16"/>
      <c r="BZC66" s="16"/>
      <c r="BZD66" s="16"/>
      <c r="BZE66" s="16"/>
      <c r="BZF66" s="16"/>
      <c r="BZG66" s="16"/>
      <c r="BZH66" s="16"/>
      <c r="BZI66" s="16"/>
      <c r="BZJ66" s="16"/>
      <c r="BZK66" s="16"/>
      <c r="BZL66" s="16"/>
      <c r="BZM66" s="16"/>
      <c r="BZN66" s="16"/>
      <c r="BZO66" s="16"/>
      <c r="BZP66" s="16"/>
      <c r="BZQ66" s="16"/>
      <c r="BZR66" s="16"/>
      <c r="BZS66" s="16"/>
      <c r="BZT66" s="16"/>
      <c r="BZU66" s="16"/>
      <c r="BZV66" s="16"/>
      <c r="BZW66" s="16"/>
      <c r="BZX66" s="16"/>
      <c r="BZY66" s="16"/>
      <c r="BZZ66" s="16"/>
      <c r="CAA66" s="16"/>
      <c r="CAB66" s="16"/>
      <c r="CAC66" s="16"/>
      <c r="CAD66" s="16"/>
      <c r="CAE66" s="16"/>
      <c r="CAF66" s="16"/>
      <c r="CAG66" s="16"/>
      <c r="CAH66" s="16"/>
      <c r="CAI66" s="16"/>
      <c r="CAJ66" s="16"/>
      <c r="CAK66" s="16"/>
      <c r="CAL66" s="16"/>
      <c r="CAM66" s="16"/>
      <c r="CAN66" s="16"/>
      <c r="CAO66" s="16"/>
      <c r="CAP66" s="16"/>
      <c r="CAQ66" s="16"/>
      <c r="CAR66" s="16"/>
      <c r="CAS66" s="16"/>
      <c r="CAT66" s="16"/>
      <c r="CAU66" s="16"/>
      <c r="CAV66" s="16"/>
      <c r="CAW66" s="16"/>
      <c r="CAX66" s="16"/>
      <c r="CAY66" s="16"/>
      <c r="CAZ66" s="16"/>
      <c r="CBA66" s="16"/>
      <c r="CBB66" s="16"/>
      <c r="CBC66" s="16"/>
      <c r="CBD66" s="16"/>
      <c r="CBE66" s="16"/>
      <c r="CBF66" s="16"/>
      <c r="CBG66" s="16"/>
      <c r="CBH66" s="16"/>
      <c r="CBI66" s="16"/>
      <c r="CBJ66" s="16"/>
      <c r="CBK66" s="16"/>
      <c r="CBL66" s="16"/>
      <c r="CBM66" s="16"/>
      <c r="CBN66" s="16"/>
      <c r="CBO66" s="16"/>
      <c r="CBP66" s="16"/>
      <c r="CBQ66" s="16"/>
      <c r="CBR66" s="16"/>
      <c r="CBS66" s="16"/>
      <c r="CBT66" s="16"/>
      <c r="CBU66" s="16"/>
      <c r="CBV66" s="16"/>
      <c r="CBW66" s="16"/>
      <c r="CBX66" s="16"/>
      <c r="CBY66" s="16"/>
      <c r="CBZ66" s="16"/>
      <c r="CCA66" s="16"/>
      <c r="CCB66" s="16"/>
      <c r="CCC66" s="16"/>
      <c r="CCD66" s="16"/>
      <c r="CCE66" s="16"/>
      <c r="CCF66" s="16"/>
      <c r="CCG66" s="16"/>
      <c r="CCH66" s="16"/>
      <c r="CCI66" s="16"/>
      <c r="CCJ66" s="16"/>
      <c r="CCK66" s="16"/>
      <c r="CCL66" s="16"/>
      <c r="CCM66" s="16"/>
      <c r="CCN66" s="16"/>
      <c r="CCO66" s="16"/>
      <c r="CCP66" s="16"/>
      <c r="CCQ66" s="16"/>
      <c r="CCR66" s="16"/>
      <c r="CCS66" s="16"/>
      <c r="CCT66" s="16"/>
      <c r="CCU66" s="16"/>
      <c r="CCV66" s="16"/>
      <c r="CCW66" s="16"/>
      <c r="CCX66" s="16"/>
      <c r="CCY66" s="16"/>
      <c r="CCZ66" s="16"/>
      <c r="CDA66" s="16"/>
      <c r="CDB66" s="16"/>
      <c r="CDC66" s="16"/>
      <c r="CDD66" s="16"/>
      <c r="CDE66" s="16"/>
      <c r="CDF66" s="16"/>
      <c r="CDG66" s="16"/>
      <c r="CDH66" s="16"/>
      <c r="CDI66" s="16"/>
      <c r="CDJ66" s="16"/>
      <c r="CDK66" s="16"/>
      <c r="CDL66" s="16"/>
      <c r="CDM66" s="16"/>
      <c r="CDN66" s="16"/>
      <c r="CDO66" s="16"/>
      <c r="CDP66" s="16"/>
      <c r="CDQ66" s="16"/>
      <c r="CDR66" s="16"/>
      <c r="CDS66" s="16"/>
      <c r="CDT66" s="16"/>
      <c r="CDU66" s="16"/>
      <c r="CDV66" s="16"/>
      <c r="CDW66" s="16"/>
      <c r="CDX66" s="16"/>
      <c r="CDY66" s="16"/>
      <c r="CDZ66" s="16"/>
      <c r="CEA66" s="16"/>
      <c r="CEB66" s="16"/>
      <c r="CEC66" s="16"/>
      <c r="CED66" s="16"/>
      <c r="CEE66" s="16"/>
      <c r="CEF66" s="16"/>
      <c r="CEG66" s="16"/>
      <c r="CEH66" s="16"/>
      <c r="CEI66" s="16"/>
      <c r="CEJ66" s="16"/>
      <c r="CEK66" s="16"/>
      <c r="CEL66" s="16"/>
      <c r="CEM66" s="16"/>
      <c r="CEN66" s="16"/>
      <c r="CEO66" s="16"/>
      <c r="CEP66" s="16"/>
      <c r="CEQ66" s="16"/>
      <c r="CER66" s="16"/>
      <c r="CES66" s="16"/>
      <c r="CET66" s="16"/>
      <c r="CEU66" s="16"/>
      <c r="CEV66" s="16"/>
      <c r="CEW66" s="16"/>
      <c r="CEX66" s="16"/>
      <c r="CEY66" s="16"/>
      <c r="CEZ66" s="16"/>
      <c r="CFA66" s="16"/>
      <c r="CFB66" s="16"/>
      <c r="CFC66" s="16"/>
      <c r="CFD66" s="16"/>
      <c r="CFE66" s="16"/>
      <c r="CFF66" s="16"/>
      <c r="CFG66" s="16"/>
      <c r="CFH66" s="16"/>
      <c r="CFI66" s="16"/>
      <c r="CFJ66" s="16"/>
      <c r="CFK66" s="16"/>
      <c r="CFL66" s="16"/>
      <c r="CFM66" s="16"/>
      <c r="CFN66" s="16"/>
      <c r="CFO66" s="16"/>
      <c r="CFP66" s="16"/>
      <c r="CFQ66" s="16"/>
      <c r="CFR66" s="16"/>
      <c r="CFS66" s="16"/>
      <c r="CFT66" s="16"/>
      <c r="CFU66" s="16"/>
      <c r="CFV66" s="16"/>
      <c r="CFW66" s="16"/>
      <c r="CFX66" s="16"/>
      <c r="CFY66" s="16"/>
      <c r="CFZ66" s="16"/>
      <c r="CGA66" s="16"/>
      <c r="CGB66" s="16"/>
      <c r="CGC66" s="16"/>
      <c r="CGD66" s="16"/>
      <c r="CGE66" s="16"/>
      <c r="CGF66" s="16"/>
      <c r="CGG66" s="16"/>
      <c r="CGH66" s="16"/>
      <c r="CGI66" s="16"/>
      <c r="CGJ66" s="16"/>
      <c r="CGK66" s="16"/>
      <c r="CGL66" s="16"/>
      <c r="CGM66" s="16"/>
      <c r="CGN66" s="16"/>
      <c r="CGO66" s="16"/>
      <c r="CGP66" s="16"/>
      <c r="CGQ66" s="16"/>
      <c r="CGR66" s="16"/>
      <c r="CGS66" s="16"/>
      <c r="CGT66" s="16"/>
      <c r="CGU66" s="16"/>
      <c r="CGV66" s="16"/>
      <c r="CGW66" s="16"/>
      <c r="CGX66" s="16"/>
      <c r="CGY66" s="16"/>
      <c r="CGZ66" s="16"/>
      <c r="CHA66" s="16"/>
      <c r="CHB66" s="16"/>
      <c r="CHC66" s="16"/>
      <c r="CHD66" s="16"/>
      <c r="CHE66" s="16"/>
      <c r="CHF66" s="16"/>
      <c r="CHG66" s="16"/>
      <c r="CHH66" s="16"/>
      <c r="CHI66" s="16"/>
      <c r="CHJ66" s="16"/>
      <c r="CHK66" s="16"/>
      <c r="CHL66" s="16"/>
      <c r="CHM66" s="16"/>
      <c r="CHN66" s="16"/>
      <c r="CHO66" s="16"/>
      <c r="CHP66" s="16"/>
      <c r="CHQ66" s="16"/>
      <c r="CHR66" s="16"/>
      <c r="CHS66" s="16"/>
      <c r="CHT66" s="16"/>
      <c r="CHU66" s="16"/>
      <c r="CHV66" s="16"/>
      <c r="CHW66" s="16"/>
      <c r="CHX66" s="16"/>
      <c r="CHY66" s="16"/>
      <c r="CHZ66" s="16"/>
      <c r="CIA66" s="16"/>
      <c r="CIB66" s="16"/>
      <c r="CIC66" s="16"/>
      <c r="CID66" s="16"/>
      <c r="CIE66" s="16"/>
      <c r="CIF66" s="16"/>
      <c r="CIG66" s="16"/>
      <c r="CIH66" s="16"/>
      <c r="CII66" s="16"/>
      <c r="CIJ66" s="16"/>
      <c r="CIK66" s="16"/>
      <c r="CIL66" s="16"/>
      <c r="CIM66" s="16"/>
      <c r="CIN66" s="16"/>
      <c r="CIO66" s="16"/>
      <c r="CIP66" s="16"/>
      <c r="CIQ66" s="16"/>
      <c r="CIR66" s="16"/>
      <c r="CIS66" s="16"/>
      <c r="CIT66" s="16"/>
      <c r="CIU66" s="16"/>
      <c r="CIV66" s="16"/>
      <c r="CIW66" s="16"/>
      <c r="CIX66" s="16"/>
      <c r="CIY66" s="16"/>
      <c r="CIZ66" s="16"/>
      <c r="CJA66" s="16"/>
      <c r="CJB66" s="16"/>
      <c r="CJC66" s="16"/>
      <c r="CJD66" s="16"/>
      <c r="CJE66" s="16"/>
      <c r="CJF66" s="16"/>
      <c r="CJG66" s="16"/>
      <c r="CJH66" s="16"/>
      <c r="CJI66" s="16"/>
      <c r="CJJ66" s="16"/>
      <c r="CJK66" s="16"/>
      <c r="CJL66" s="16"/>
      <c r="CJM66" s="16"/>
      <c r="CJN66" s="16"/>
      <c r="CJO66" s="16"/>
      <c r="CJP66" s="16"/>
      <c r="CJQ66" s="16"/>
      <c r="CJR66" s="16"/>
      <c r="CJS66" s="16"/>
      <c r="CJT66" s="16"/>
      <c r="CJU66" s="16"/>
      <c r="CJV66" s="16"/>
      <c r="CJW66" s="16"/>
      <c r="CJX66" s="16"/>
      <c r="CJY66" s="16"/>
      <c r="CJZ66" s="16"/>
      <c r="CKA66" s="16"/>
      <c r="CKB66" s="16"/>
      <c r="CKC66" s="16"/>
      <c r="CKD66" s="16"/>
      <c r="CKE66" s="16"/>
      <c r="CKF66" s="16"/>
      <c r="CKG66" s="16"/>
      <c r="CKH66" s="16"/>
      <c r="CKI66" s="16"/>
      <c r="CKJ66" s="16"/>
      <c r="CKK66" s="16"/>
      <c r="CKL66" s="16"/>
      <c r="CKM66" s="16"/>
      <c r="CKN66" s="16"/>
      <c r="CKO66" s="16"/>
      <c r="CKP66" s="16"/>
      <c r="CKQ66" s="16"/>
      <c r="CKR66" s="16"/>
      <c r="CKS66" s="16"/>
      <c r="CKT66" s="16"/>
      <c r="CKU66" s="16"/>
      <c r="CKV66" s="16"/>
      <c r="CKW66" s="16"/>
      <c r="CKX66" s="16"/>
      <c r="CKY66" s="16"/>
      <c r="CKZ66" s="16"/>
      <c r="CLA66" s="16"/>
      <c r="CLB66" s="16"/>
      <c r="CLC66" s="16"/>
      <c r="CLD66" s="16"/>
      <c r="CLE66" s="16"/>
      <c r="CLF66" s="16"/>
      <c r="CLG66" s="16"/>
      <c r="CLH66" s="16"/>
      <c r="CLI66" s="16"/>
      <c r="CLJ66" s="16"/>
      <c r="CLK66" s="16"/>
      <c r="CLL66" s="16"/>
      <c r="CLM66" s="16"/>
      <c r="CLN66" s="16"/>
      <c r="CLO66" s="16"/>
      <c r="CLP66" s="16"/>
      <c r="CLQ66" s="16"/>
      <c r="CLR66" s="16"/>
      <c r="CLS66" s="16"/>
      <c r="CLT66" s="16"/>
      <c r="CLU66" s="16"/>
      <c r="CLV66" s="16"/>
      <c r="CLW66" s="16"/>
      <c r="CLX66" s="16"/>
      <c r="CLY66" s="16"/>
      <c r="CLZ66" s="16"/>
      <c r="CMA66" s="16"/>
      <c r="CMB66" s="16"/>
      <c r="CMC66" s="16"/>
      <c r="CMD66" s="16"/>
      <c r="CME66" s="16"/>
      <c r="CMF66" s="16"/>
      <c r="CMG66" s="16"/>
      <c r="CMH66" s="16"/>
      <c r="CMI66" s="16"/>
      <c r="CMJ66" s="16"/>
      <c r="CMK66" s="16"/>
      <c r="CML66" s="16"/>
      <c r="CMM66" s="16"/>
      <c r="CMN66" s="16"/>
      <c r="CMO66" s="16"/>
      <c r="CMP66" s="16"/>
      <c r="CMQ66" s="16"/>
      <c r="CMR66" s="16"/>
      <c r="CMS66" s="16"/>
      <c r="CMT66" s="16"/>
      <c r="CMU66" s="16"/>
      <c r="CMV66" s="16"/>
      <c r="CMW66" s="16"/>
      <c r="CMX66" s="16"/>
      <c r="CMY66" s="16"/>
      <c r="CMZ66" s="16"/>
      <c r="CNA66" s="16"/>
      <c r="CNB66" s="16"/>
      <c r="CNC66" s="16"/>
      <c r="CND66" s="16"/>
      <c r="CNE66" s="16"/>
      <c r="CNF66" s="16"/>
      <c r="CNG66" s="16"/>
      <c r="CNH66" s="16"/>
      <c r="CNI66" s="16"/>
      <c r="CNJ66" s="16"/>
      <c r="CNK66" s="16"/>
      <c r="CNL66" s="16"/>
      <c r="CNM66" s="16"/>
      <c r="CNN66" s="16"/>
      <c r="CNO66" s="16"/>
      <c r="CNP66" s="16"/>
      <c r="CNQ66" s="16"/>
      <c r="CNR66" s="16"/>
      <c r="CNS66" s="16"/>
      <c r="CNT66" s="16"/>
      <c r="CNU66" s="16"/>
      <c r="CNV66" s="16"/>
      <c r="CNW66" s="16"/>
      <c r="CNX66" s="16"/>
      <c r="CNY66" s="16"/>
      <c r="CNZ66" s="16"/>
      <c r="COA66" s="16"/>
      <c r="COB66" s="16"/>
      <c r="COC66" s="16"/>
      <c r="COD66" s="16"/>
      <c r="COE66" s="16"/>
      <c r="COF66" s="16"/>
      <c r="COG66" s="16"/>
      <c r="COH66" s="16"/>
      <c r="COI66" s="16"/>
      <c r="COJ66" s="16"/>
      <c r="COK66" s="16"/>
      <c r="COL66" s="16"/>
      <c r="COM66" s="16"/>
      <c r="CON66" s="16"/>
      <c r="COO66" s="16"/>
      <c r="COP66" s="16"/>
      <c r="COQ66" s="16"/>
      <c r="COR66" s="16"/>
      <c r="COS66" s="16"/>
      <c r="COT66" s="16"/>
      <c r="COU66" s="16"/>
      <c r="COV66" s="16"/>
      <c r="COW66" s="16"/>
      <c r="COX66" s="16"/>
      <c r="COY66" s="16"/>
      <c r="COZ66" s="16"/>
      <c r="CPA66" s="16"/>
      <c r="CPB66" s="16"/>
      <c r="CPC66" s="16"/>
      <c r="CPD66" s="16"/>
      <c r="CPE66" s="16"/>
      <c r="CPF66" s="16"/>
      <c r="CPG66" s="16"/>
      <c r="CPH66" s="16"/>
      <c r="CPI66" s="16"/>
      <c r="CPJ66" s="16"/>
      <c r="CPK66" s="16"/>
      <c r="CPL66" s="16"/>
      <c r="CPM66" s="16"/>
      <c r="CPN66" s="16"/>
      <c r="CPO66" s="16"/>
      <c r="CPP66" s="16"/>
      <c r="CPQ66" s="16"/>
      <c r="CPR66" s="16"/>
      <c r="CPS66" s="16"/>
      <c r="CPT66" s="16"/>
      <c r="CPU66" s="16"/>
      <c r="CPV66" s="16"/>
      <c r="CPW66" s="16"/>
      <c r="CPX66" s="16"/>
      <c r="CPY66" s="16"/>
      <c r="CPZ66" s="16"/>
      <c r="CQA66" s="16"/>
      <c r="CQB66" s="16"/>
      <c r="CQC66" s="16"/>
      <c r="CQD66" s="16"/>
      <c r="CQE66" s="16"/>
      <c r="CQF66" s="16"/>
      <c r="CQG66" s="16"/>
      <c r="CQH66" s="16"/>
      <c r="CQI66" s="16"/>
      <c r="CQJ66" s="16"/>
      <c r="CQK66" s="16"/>
      <c r="CQL66" s="16"/>
      <c r="CQM66" s="16"/>
      <c r="CQN66" s="16"/>
      <c r="CQO66" s="16"/>
      <c r="CQP66" s="16"/>
      <c r="CQQ66" s="16"/>
      <c r="CQR66" s="16"/>
      <c r="CQS66" s="16"/>
      <c r="CQT66" s="16"/>
      <c r="CQU66" s="16"/>
      <c r="CQV66" s="16"/>
      <c r="CQW66" s="16"/>
      <c r="CQX66" s="16"/>
      <c r="CQY66" s="16"/>
      <c r="CQZ66" s="16"/>
      <c r="CRA66" s="16"/>
      <c r="CRB66" s="16"/>
      <c r="CRC66" s="16"/>
      <c r="CRD66" s="16"/>
      <c r="CRE66" s="16"/>
      <c r="CRF66" s="16"/>
      <c r="CRG66" s="16"/>
      <c r="CRH66" s="16"/>
      <c r="CRI66" s="16"/>
      <c r="CRJ66" s="16"/>
      <c r="CRK66" s="16"/>
      <c r="CRL66" s="16"/>
      <c r="CRM66" s="16"/>
      <c r="CRN66" s="16"/>
      <c r="CRO66" s="16"/>
      <c r="CRP66" s="16"/>
      <c r="CRQ66" s="16"/>
      <c r="CRR66" s="16"/>
      <c r="CRS66" s="16"/>
      <c r="CRT66" s="16"/>
      <c r="CRU66" s="16"/>
      <c r="CRV66" s="16"/>
      <c r="CRW66" s="16"/>
      <c r="CRX66" s="16"/>
      <c r="CRY66" s="16"/>
      <c r="CRZ66" s="16"/>
      <c r="CSA66" s="16"/>
      <c r="CSB66" s="16"/>
      <c r="CSC66" s="16"/>
      <c r="CSD66" s="16"/>
      <c r="CSE66" s="16"/>
      <c r="CSF66" s="16"/>
      <c r="CSG66" s="16"/>
      <c r="CSH66" s="16"/>
      <c r="CSI66" s="16"/>
      <c r="CSJ66" s="16"/>
      <c r="CSK66" s="24"/>
      <c r="CSL66" s="16"/>
      <c r="CSM66" s="16"/>
      <c r="CSN66" s="16"/>
      <c r="CSO66" s="16"/>
      <c r="CSP66" s="16"/>
      <c r="CUG66" s="16"/>
      <c r="CUH66" s="16"/>
      <c r="CUI66" s="16"/>
      <c r="CUJ66" s="16"/>
      <c r="CUK66" s="16"/>
      <c r="CUL66" s="16"/>
      <c r="CUM66" s="16"/>
      <c r="CUN66" s="16"/>
      <c r="CUO66" s="16"/>
      <c r="CUP66" s="16"/>
      <c r="CUQ66" s="16"/>
      <c r="CUR66" s="16"/>
      <c r="CUS66" s="16"/>
      <c r="CUT66" s="16"/>
      <c r="CUU66" s="16"/>
      <c r="CUV66" s="16"/>
      <c r="CUW66" s="16"/>
      <c r="CUX66" s="16"/>
      <c r="CUY66" s="16"/>
      <c r="CUZ66" s="16"/>
      <c r="CVA66" s="16"/>
      <c r="CVB66" s="16"/>
      <c r="CVC66" s="16"/>
      <c r="CVD66" s="16"/>
      <c r="CVE66" s="16"/>
      <c r="CVF66" s="16"/>
      <c r="CVG66" s="16"/>
      <c r="CVH66" s="16"/>
      <c r="CVI66" s="16"/>
      <c r="CVJ66" s="16"/>
      <c r="CVK66" s="16"/>
      <c r="CVL66" s="16"/>
      <c r="CVM66" s="16"/>
      <c r="CVN66" s="16"/>
      <c r="CVO66" s="16"/>
      <c r="CVP66" s="16"/>
    </row>
    <row r="67" spans="3:2616" ht="13.8" x14ac:dyDescent="0.25">
      <c r="C67" s="57"/>
      <c r="E67" s="16"/>
      <c r="K67" s="59"/>
      <c r="L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/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/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/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/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/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/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/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/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/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/>
      <c r="LT67" s="16"/>
      <c r="LU67" s="16"/>
      <c r="LV67" s="16"/>
      <c r="LW67" s="16"/>
      <c r="LX67" s="16"/>
      <c r="LY67" s="16"/>
      <c r="LZ67" s="16"/>
      <c r="MA67" s="16"/>
      <c r="MB67" s="16"/>
      <c r="MC67" s="16"/>
      <c r="MD67" s="16"/>
      <c r="ME67" s="16"/>
      <c r="MF67" s="16"/>
      <c r="MG67" s="16"/>
      <c r="MH67" s="16"/>
      <c r="MI67" s="16"/>
      <c r="MJ67" s="16"/>
      <c r="MK67" s="16"/>
      <c r="ML67" s="16"/>
      <c r="MM67" s="16"/>
      <c r="MN67" s="16"/>
      <c r="MO67" s="16"/>
      <c r="MP67" s="16"/>
      <c r="MQ67" s="16"/>
      <c r="MR67" s="16"/>
      <c r="MS67" s="16"/>
      <c r="MT67" s="16"/>
      <c r="MU67" s="16"/>
      <c r="MV67" s="16"/>
      <c r="MW67" s="16"/>
      <c r="MX67" s="16"/>
      <c r="MY67" s="16"/>
      <c r="MZ67" s="16"/>
      <c r="NA67" s="16"/>
      <c r="NB67" s="16"/>
      <c r="NC67" s="16"/>
      <c r="ND67" s="16"/>
      <c r="NE67" s="16"/>
      <c r="NF67" s="16"/>
      <c r="NG67" s="16"/>
      <c r="NH67" s="16"/>
      <c r="NI67" s="16"/>
      <c r="NJ67" s="16"/>
      <c r="NK67" s="16"/>
      <c r="NL67" s="16"/>
      <c r="NM67" s="16"/>
      <c r="NN67" s="16"/>
      <c r="NO67" s="16"/>
      <c r="NP67" s="16"/>
      <c r="NQ67" s="16"/>
      <c r="NR67" s="16"/>
      <c r="NS67" s="16"/>
      <c r="NT67" s="16"/>
      <c r="NU67" s="16"/>
      <c r="NV67" s="16"/>
      <c r="NW67" s="16"/>
      <c r="NX67" s="16"/>
      <c r="NY67" s="16"/>
      <c r="NZ67" s="16"/>
      <c r="OA67" s="16"/>
      <c r="OB67" s="16"/>
      <c r="OC67" s="16"/>
      <c r="OD67" s="16"/>
      <c r="OE67" s="16"/>
      <c r="OF67" s="16"/>
      <c r="OG67" s="16"/>
      <c r="OH67" s="16"/>
      <c r="OI67" s="16"/>
      <c r="OJ67" s="16"/>
      <c r="OK67" s="16"/>
      <c r="OL67" s="16"/>
      <c r="OM67" s="16"/>
      <c r="ON67" s="16"/>
      <c r="OO67" s="16"/>
      <c r="OP67" s="16"/>
      <c r="OQ67" s="16"/>
      <c r="OR67" s="16"/>
      <c r="OS67" s="16"/>
      <c r="OT67" s="16"/>
      <c r="OU67" s="16"/>
      <c r="OV67" s="16"/>
      <c r="OW67" s="16"/>
      <c r="OX67" s="16"/>
      <c r="OY67" s="16"/>
      <c r="OZ67" s="16"/>
      <c r="PA67" s="16"/>
      <c r="PB67" s="16"/>
      <c r="PC67" s="16"/>
      <c r="PD67" s="16"/>
      <c r="PE67" s="16"/>
      <c r="PF67" s="16"/>
      <c r="PG67" s="16"/>
      <c r="PH67" s="16"/>
      <c r="PI67" s="16"/>
      <c r="PJ67" s="16"/>
      <c r="PK67" s="16"/>
      <c r="PL67" s="16"/>
      <c r="PM67" s="16"/>
      <c r="PN67" s="16"/>
      <c r="PO67" s="16"/>
      <c r="PP67" s="16"/>
      <c r="PQ67" s="16"/>
      <c r="PR67" s="16"/>
      <c r="PS67" s="16"/>
      <c r="PT67" s="16"/>
      <c r="PU67" s="16"/>
      <c r="PV67" s="16"/>
      <c r="PW67" s="16"/>
      <c r="PX67" s="16"/>
      <c r="PY67" s="16"/>
      <c r="PZ67" s="16"/>
      <c r="QA67" s="16"/>
      <c r="QB67" s="16"/>
      <c r="QC67" s="16"/>
      <c r="QD67" s="16"/>
      <c r="QE67" s="16"/>
      <c r="QF67" s="16"/>
      <c r="QG67" s="16"/>
      <c r="QH67" s="16"/>
      <c r="QI67" s="16"/>
      <c r="QJ67" s="16"/>
      <c r="QK67" s="16"/>
      <c r="QL67" s="16"/>
      <c r="QM67" s="16"/>
      <c r="QN67" s="16"/>
      <c r="QO67" s="16"/>
      <c r="QP67" s="16"/>
      <c r="QQ67" s="16"/>
      <c r="QR67" s="16"/>
      <c r="QS67" s="16"/>
      <c r="QT67" s="16"/>
      <c r="QU67" s="16"/>
      <c r="QV67" s="16"/>
      <c r="QW67" s="16"/>
      <c r="QX67" s="16"/>
      <c r="QY67" s="16"/>
      <c r="QZ67" s="16"/>
      <c r="RA67" s="16"/>
      <c r="RB67" s="16"/>
      <c r="RC67" s="16"/>
      <c r="RD67" s="16"/>
      <c r="RE67" s="16"/>
      <c r="RF67" s="16"/>
      <c r="RG67" s="16"/>
      <c r="RH67" s="16"/>
      <c r="RI67" s="16"/>
      <c r="RJ67" s="16"/>
      <c r="RK67" s="16"/>
      <c r="RL67" s="16"/>
      <c r="RM67" s="16"/>
      <c r="RN67" s="16"/>
      <c r="RO67" s="16"/>
      <c r="RP67" s="16"/>
      <c r="RQ67" s="16"/>
      <c r="RR67" s="16"/>
      <c r="RS67" s="16"/>
      <c r="RT67" s="16"/>
      <c r="RU67" s="16"/>
      <c r="RV67" s="16"/>
      <c r="RW67" s="16"/>
      <c r="RX67" s="16"/>
      <c r="RY67" s="16"/>
      <c r="RZ67" s="16"/>
      <c r="SA67" s="16"/>
      <c r="SB67" s="16"/>
      <c r="SC67" s="16"/>
      <c r="SD67" s="16"/>
      <c r="SE67" s="16"/>
      <c r="SF67" s="16"/>
      <c r="SG67" s="16"/>
      <c r="SH67" s="16"/>
      <c r="SI67" s="16"/>
      <c r="SJ67" s="16"/>
      <c r="SK67" s="16"/>
      <c r="SL67" s="16"/>
      <c r="SM67" s="16"/>
      <c r="SN67" s="16"/>
      <c r="SO67" s="16"/>
      <c r="SP67" s="16"/>
      <c r="SQ67" s="16"/>
      <c r="SR67" s="16"/>
      <c r="SS67" s="16"/>
      <c r="ST67" s="16"/>
      <c r="SU67" s="16"/>
      <c r="SV67" s="16"/>
      <c r="SW67" s="16"/>
      <c r="SX67" s="16"/>
      <c r="SY67" s="16"/>
      <c r="SZ67" s="16"/>
      <c r="TA67" s="16"/>
      <c r="TB67" s="16"/>
      <c r="TC67" s="16"/>
      <c r="TD67" s="16"/>
      <c r="TE67" s="16"/>
      <c r="TF67" s="16"/>
      <c r="TG67" s="16"/>
      <c r="TH67" s="16"/>
      <c r="TI67" s="16"/>
      <c r="TJ67" s="16"/>
      <c r="TK67" s="16"/>
      <c r="TL67" s="16"/>
      <c r="TM67" s="16"/>
      <c r="TN67" s="16"/>
      <c r="TO67" s="16"/>
      <c r="TP67" s="16"/>
      <c r="TQ67" s="16"/>
      <c r="TR67" s="16"/>
      <c r="TS67" s="16"/>
      <c r="TT67" s="16"/>
      <c r="TU67" s="16"/>
      <c r="TV67" s="16"/>
      <c r="TW67" s="16"/>
      <c r="TX67" s="16"/>
      <c r="TY67" s="16"/>
      <c r="TZ67" s="16"/>
      <c r="UA67" s="16"/>
      <c r="UB67" s="16"/>
      <c r="UC67" s="16"/>
      <c r="UD67" s="16"/>
      <c r="UE67" s="16"/>
      <c r="UF67" s="16"/>
      <c r="UG67" s="16"/>
      <c r="UH67" s="16"/>
      <c r="UI67" s="16"/>
      <c r="UJ67" s="16"/>
      <c r="UK67" s="16"/>
      <c r="UL67" s="16"/>
      <c r="UM67" s="16"/>
      <c r="UN67" s="16"/>
      <c r="UO67" s="16"/>
      <c r="UP67" s="16"/>
      <c r="UQ67" s="16"/>
      <c r="UR67" s="16"/>
      <c r="US67" s="16"/>
      <c r="UT67" s="16"/>
      <c r="UU67" s="16"/>
      <c r="UV67" s="16"/>
      <c r="UW67" s="16"/>
      <c r="UX67" s="16"/>
      <c r="UY67" s="16"/>
      <c r="UZ67" s="16"/>
      <c r="VA67" s="16"/>
      <c r="VB67" s="16"/>
      <c r="VC67" s="16"/>
      <c r="VD67" s="16"/>
      <c r="VE67" s="16"/>
      <c r="VF67" s="16"/>
      <c r="VG67" s="16"/>
      <c r="VH67" s="16"/>
      <c r="VI67" s="16"/>
      <c r="VJ67" s="16"/>
      <c r="VK67" s="16"/>
      <c r="VL67" s="16"/>
      <c r="VM67" s="16"/>
      <c r="VN67" s="16"/>
      <c r="VO67" s="16"/>
      <c r="VP67" s="16"/>
      <c r="VQ67" s="16"/>
      <c r="VR67" s="16"/>
      <c r="VS67" s="16"/>
      <c r="VT67" s="16"/>
      <c r="VU67" s="16"/>
      <c r="VV67" s="16"/>
      <c r="VW67" s="16"/>
      <c r="VX67" s="16"/>
      <c r="VY67" s="16"/>
      <c r="VZ67" s="16"/>
      <c r="WA67" s="16"/>
      <c r="WB67" s="16"/>
      <c r="WC67" s="16"/>
      <c r="WD67" s="16"/>
      <c r="WE67" s="16"/>
      <c r="WF67" s="16"/>
      <c r="WG67" s="16"/>
      <c r="WH67" s="16"/>
      <c r="WI67" s="16"/>
      <c r="WJ67" s="16"/>
      <c r="WK67" s="16"/>
      <c r="WL67" s="16"/>
      <c r="WM67" s="16"/>
      <c r="WN67" s="16"/>
      <c r="WO67" s="16"/>
      <c r="WP67" s="16"/>
      <c r="WQ67" s="16"/>
      <c r="WR67" s="16"/>
      <c r="WS67" s="16"/>
      <c r="WT67" s="16"/>
      <c r="WU67" s="16"/>
      <c r="WV67" s="16"/>
      <c r="WW67" s="16"/>
      <c r="WX67" s="16"/>
      <c r="WY67" s="16"/>
      <c r="WZ67" s="16"/>
      <c r="XA67" s="16"/>
      <c r="XB67" s="16"/>
      <c r="XC67" s="16"/>
      <c r="XD67" s="16"/>
      <c r="XE67" s="16"/>
      <c r="XF67" s="16"/>
      <c r="XG67" s="16"/>
      <c r="XH67" s="16"/>
      <c r="XI67" s="16"/>
      <c r="XJ67" s="16"/>
      <c r="XK67" s="16"/>
      <c r="XL67" s="16"/>
      <c r="XM67" s="16"/>
      <c r="XN67" s="16"/>
      <c r="XO67" s="16"/>
      <c r="XP67" s="16"/>
      <c r="XQ67" s="16"/>
      <c r="XR67" s="16"/>
      <c r="XS67" s="16"/>
      <c r="XT67" s="16"/>
      <c r="XU67" s="16"/>
      <c r="XV67" s="16"/>
      <c r="XW67" s="16"/>
      <c r="XX67" s="16"/>
      <c r="XY67" s="16"/>
      <c r="XZ67" s="16"/>
      <c r="YA67" s="16"/>
      <c r="YB67" s="16"/>
      <c r="YC67" s="16"/>
      <c r="YD67" s="16"/>
      <c r="YE67" s="16"/>
      <c r="YF67" s="16"/>
      <c r="YG67" s="16"/>
      <c r="YH67" s="16"/>
      <c r="YI67" s="16"/>
      <c r="YJ67" s="16"/>
      <c r="YK67" s="16"/>
      <c r="YL67" s="16"/>
      <c r="YM67" s="16"/>
      <c r="YN67" s="16"/>
      <c r="YO67" s="16"/>
      <c r="YP67" s="16"/>
      <c r="YQ67" s="16"/>
      <c r="YR67" s="16"/>
      <c r="YS67" s="16"/>
      <c r="YT67" s="16"/>
      <c r="YU67" s="16"/>
      <c r="YV67" s="16"/>
      <c r="YW67" s="16"/>
      <c r="YX67" s="16"/>
      <c r="YY67" s="16"/>
      <c r="YZ67" s="16"/>
      <c r="ZA67" s="16"/>
      <c r="ZB67" s="16"/>
      <c r="ZC67" s="16"/>
      <c r="ZD67" s="16"/>
      <c r="ZE67" s="16"/>
      <c r="ZF67" s="16"/>
      <c r="ZG67" s="16"/>
      <c r="ZH67" s="16"/>
      <c r="ZI67" s="16"/>
      <c r="ZJ67" s="16"/>
      <c r="ZK67" s="16"/>
      <c r="ZL67" s="16"/>
      <c r="ZM67" s="16"/>
      <c r="ZN67" s="16"/>
      <c r="ZO67" s="16"/>
      <c r="ZP67" s="16"/>
      <c r="ZQ67" s="16"/>
      <c r="ZR67" s="16"/>
      <c r="ZS67" s="16"/>
      <c r="ZT67" s="16"/>
      <c r="ZU67" s="16"/>
      <c r="ZV67" s="16"/>
      <c r="ZW67" s="16"/>
      <c r="ZX67" s="16"/>
      <c r="ZY67" s="16"/>
      <c r="ZZ67" s="16"/>
      <c r="AAA67" s="16"/>
      <c r="AAB67" s="16"/>
      <c r="AAC67" s="16"/>
      <c r="AAD67" s="16"/>
      <c r="AAE67" s="16"/>
      <c r="AAF67" s="16"/>
      <c r="AAG67" s="16"/>
      <c r="AAH67" s="16"/>
      <c r="AAI67" s="16"/>
      <c r="AAJ67" s="16"/>
      <c r="AAK67" s="16"/>
      <c r="AAL67" s="16"/>
      <c r="AAM67" s="16"/>
      <c r="AAN67" s="16"/>
      <c r="AAO67" s="16"/>
      <c r="AAP67" s="16"/>
      <c r="AAQ67" s="16"/>
      <c r="AAR67" s="16"/>
      <c r="AAS67" s="16"/>
      <c r="AAT67" s="16"/>
      <c r="AAU67" s="16"/>
      <c r="AAV67" s="16"/>
      <c r="AAW67" s="16"/>
      <c r="AAX67" s="16"/>
      <c r="AAY67" s="16"/>
      <c r="AAZ67" s="16"/>
      <c r="ABA67" s="16"/>
      <c r="ABB67" s="16"/>
      <c r="ABC67" s="16"/>
      <c r="ABD67" s="16"/>
      <c r="ABE67" s="16"/>
      <c r="ABF67" s="16"/>
      <c r="ABG67" s="16"/>
      <c r="ABH67" s="16"/>
      <c r="ABI67" s="16"/>
      <c r="ABJ67" s="16"/>
      <c r="ABK67" s="16"/>
      <c r="ABL67" s="16"/>
      <c r="ABM67" s="16"/>
      <c r="ABN67" s="16"/>
      <c r="ABO67" s="16"/>
      <c r="ABP67" s="16"/>
      <c r="ABQ67" s="16"/>
      <c r="ABR67" s="16"/>
      <c r="ABS67" s="16"/>
      <c r="ABT67" s="16"/>
      <c r="ABU67" s="16"/>
      <c r="ABV67" s="16"/>
      <c r="ABW67" s="16"/>
      <c r="ABX67" s="16"/>
      <c r="ABY67" s="16"/>
      <c r="ABZ67" s="16"/>
      <c r="ACA67" s="16"/>
      <c r="ACB67" s="16"/>
      <c r="ACC67" s="16"/>
      <c r="ACD67" s="16"/>
      <c r="ACE67" s="16"/>
      <c r="ACF67" s="16"/>
      <c r="ACG67" s="16"/>
      <c r="ACH67" s="16"/>
      <c r="ACI67" s="16"/>
      <c r="ACJ67" s="16"/>
      <c r="ACK67" s="16"/>
      <c r="ACL67" s="16"/>
      <c r="ACM67" s="16"/>
      <c r="ACN67" s="16"/>
      <c r="ACO67" s="16"/>
      <c r="ACP67" s="16"/>
      <c r="ACQ67" s="16"/>
      <c r="ACR67" s="16"/>
      <c r="ACS67" s="16"/>
      <c r="ACT67" s="16"/>
      <c r="ACU67" s="16"/>
      <c r="ACV67" s="16"/>
      <c r="ACW67" s="16"/>
      <c r="ACX67" s="16"/>
      <c r="ACY67" s="16"/>
      <c r="ACZ67" s="16"/>
      <c r="ADA67" s="16"/>
      <c r="ADB67" s="16"/>
      <c r="ADC67" s="16"/>
      <c r="ADD67" s="16"/>
      <c r="ADE67" s="16"/>
      <c r="ADF67" s="16"/>
      <c r="ADG67" s="16"/>
      <c r="ADH67" s="16"/>
      <c r="ADI67" s="16"/>
      <c r="ADJ67" s="16"/>
      <c r="ADK67" s="16"/>
      <c r="ADL67" s="16"/>
      <c r="ADM67" s="16"/>
      <c r="ADN67" s="16"/>
      <c r="ADO67" s="16"/>
      <c r="ADP67" s="16"/>
      <c r="ADQ67" s="16"/>
      <c r="ADR67" s="16"/>
      <c r="ADS67" s="16"/>
      <c r="ADT67" s="16"/>
      <c r="ADU67" s="16"/>
      <c r="ADV67" s="16"/>
      <c r="ADW67" s="16"/>
      <c r="ADX67" s="16"/>
      <c r="ADY67" s="16"/>
      <c r="ADZ67" s="16"/>
      <c r="AEA67" s="16"/>
      <c r="AEB67" s="16"/>
      <c r="AEC67" s="16"/>
      <c r="AED67" s="16"/>
      <c r="AEE67" s="16"/>
      <c r="AEF67" s="16"/>
      <c r="AEG67" s="16"/>
      <c r="AEH67" s="16"/>
      <c r="AEI67" s="16"/>
      <c r="AEJ67" s="16"/>
      <c r="AEK67" s="16"/>
      <c r="AEL67" s="16"/>
      <c r="AEM67" s="16"/>
      <c r="AEN67" s="16"/>
      <c r="AEO67" s="16"/>
      <c r="AEP67" s="16"/>
      <c r="AEQ67" s="16"/>
      <c r="AER67" s="16"/>
      <c r="AES67" s="16"/>
      <c r="AET67" s="16"/>
      <c r="AEU67" s="16"/>
      <c r="AEV67" s="16"/>
      <c r="AEW67" s="16"/>
      <c r="AEX67" s="16"/>
      <c r="AEY67" s="16"/>
      <c r="AEZ67" s="16"/>
      <c r="AFA67" s="16"/>
      <c r="AFB67" s="16"/>
      <c r="AFC67" s="16"/>
      <c r="AFD67" s="16"/>
      <c r="AFE67" s="16"/>
      <c r="AFF67" s="16"/>
      <c r="AFG67" s="16"/>
      <c r="AFH67" s="16"/>
      <c r="AFI67" s="16"/>
      <c r="AFJ67" s="16"/>
      <c r="AFK67" s="16"/>
      <c r="AFL67" s="16"/>
      <c r="AFM67" s="16"/>
      <c r="AFN67" s="16"/>
      <c r="AFO67" s="16"/>
      <c r="AFP67" s="16"/>
      <c r="AFQ67" s="16"/>
      <c r="AFR67" s="16"/>
      <c r="AFS67" s="16"/>
      <c r="AFT67" s="16"/>
      <c r="AFU67" s="16"/>
      <c r="AFV67" s="16"/>
      <c r="AFW67" s="16"/>
      <c r="AFX67" s="16"/>
      <c r="AFY67" s="16"/>
      <c r="AFZ67" s="16"/>
      <c r="AGA67" s="16"/>
      <c r="AGB67" s="16"/>
      <c r="AGC67" s="16"/>
      <c r="AGD67" s="16"/>
      <c r="AGE67" s="16"/>
      <c r="AGF67" s="16"/>
      <c r="AGG67" s="16"/>
      <c r="AGH67" s="16"/>
      <c r="AGI67" s="16"/>
      <c r="AGJ67" s="16"/>
      <c r="AGK67" s="16"/>
      <c r="AGL67" s="16"/>
      <c r="AGM67" s="16"/>
      <c r="AGN67" s="16"/>
      <c r="AGO67" s="16"/>
      <c r="AGP67" s="16"/>
      <c r="AGQ67" s="16"/>
      <c r="AGR67" s="16"/>
      <c r="AGS67" s="16"/>
      <c r="AGT67" s="16"/>
      <c r="AGU67" s="16"/>
      <c r="AGV67" s="16"/>
      <c r="AGW67" s="16"/>
      <c r="AGX67" s="16"/>
      <c r="AGY67" s="16"/>
      <c r="AGZ67" s="16"/>
      <c r="AHA67" s="16"/>
      <c r="AHB67" s="16"/>
      <c r="AHC67" s="16"/>
      <c r="AHD67" s="16"/>
      <c r="AHE67" s="16"/>
      <c r="AHF67" s="16"/>
      <c r="AHG67" s="16"/>
      <c r="AHH67" s="16"/>
      <c r="AHI67" s="16"/>
      <c r="AHJ67" s="16"/>
      <c r="AHK67" s="16"/>
      <c r="AHL67" s="16"/>
      <c r="AHM67" s="16"/>
      <c r="AHN67" s="16"/>
      <c r="AHO67" s="16"/>
      <c r="AHP67" s="16"/>
      <c r="AHQ67" s="16"/>
      <c r="AHR67" s="16"/>
      <c r="AHS67" s="16"/>
      <c r="AHT67" s="16"/>
      <c r="AHU67" s="16"/>
      <c r="AHV67" s="16"/>
      <c r="AHW67" s="16"/>
      <c r="AHX67" s="16"/>
      <c r="AHY67" s="16"/>
      <c r="AHZ67" s="16"/>
      <c r="AIA67" s="16"/>
      <c r="AIB67" s="16"/>
      <c r="AIC67" s="16"/>
      <c r="AID67" s="16"/>
      <c r="AIE67" s="16"/>
      <c r="AIF67" s="16"/>
      <c r="AIG67" s="16"/>
      <c r="AIH67" s="16"/>
      <c r="AII67" s="16"/>
      <c r="AIJ67" s="16"/>
      <c r="AIK67" s="16"/>
      <c r="AIL67" s="16"/>
      <c r="AIM67" s="16"/>
      <c r="AIN67" s="16"/>
      <c r="AIO67" s="16"/>
      <c r="AIP67" s="16"/>
      <c r="AIQ67" s="16"/>
      <c r="AIR67" s="16"/>
      <c r="AIS67" s="16"/>
      <c r="AIT67" s="16"/>
      <c r="AIU67" s="16"/>
      <c r="AIV67" s="16"/>
      <c r="AIW67" s="16"/>
      <c r="AIX67" s="16"/>
      <c r="AIY67" s="16"/>
      <c r="AIZ67" s="16"/>
      <c r="AJA67" s="16"/>
      <c r="AJB67" s="16"/>
      <c r="AJC67" s="16"/>
      <c r="AJD67" s="16"/>
      <c r="AJE67" s="16"/>
      <c r="AJF67" s="16"/>
      <c r="AJG67" s="16"/>
      <c r="AJH67" s="16"/>
      <c r="AJI67" s="16"/>
      <c r="AJJ67" s="16"/>
      <c r="AJK67" s="16"/>
      <c r="AJL67" s="16"/>
      <c r="AJM67" s="16"/>
      <c r="AJN67" s="16"/>
      <c r="AJO67" s="16"/>
      <c r="AJP67" s="16"/>
      <c r="AJQ67" s="16"/>
      <c r="AJR67" s="16"/>
      <c r="AJS67" s="16"/>
      <c r="AJT67" s="16"/>
      <c r="AJU67" s="16"/>
      <c r="AJV67" s="16"/>
      <c r="AJW67" s="16"/>
      <c r="AJX67" s="16"/>
      <c r="AJY67" s="16"/>
      <c r="AJZ67" s="16"/>
      <c r="AKA67" s="16"/>
      <c r="AKB67" s="16"/>
      <c r="AKC67" s="16"/>
      <c r="AKD67" s="16"/>
      <c r="AKE67" s="16"/>
      <c r="AKF67" s="16"/>
      <c r="AKG67" s="16"/>
      <c r="AKH67" s="16"/>
      <c r="AKI67" s="16"/>
      <c r="AKJ67" s="16"/>
      <c r="AKK67" s="16"/>
      <c r="AKL67" s="16"/>
      <c r="AKM67" s="16"/>
      <c r="AKN67" s="16"/>
      <c r="AKO67" s="16"/>
      <c r="AKP67" s="16"/>
      <c r="AKQ67" s="16"/>
      <c r="AKR67" s="16"/>
      <c r="AKS67" s="16"/>
      <c r="AKT67" s="16"/>
      <c r="AKU67" s="16"/>
      <c r="AKV67" s="16"/>
      <c r="AKW67" s="16"/>
      <c r="AKX67" s="16"/>
      <c r="AKY67" s="16"/>
      <c r="AKZ67" s="16"/>
      <c r="ALA67" s="16"/>
      <c r="ALB67" s="16"/>
      <c r="ALC67" s="16"/>
      <c r="ALD67" s="16"/>
      <c r="ALE67" s="16"/>
      <c r="ALF67" s="16"/>
      <c r="ALG67" s="16"/>
      <c r="ALH67" s="16"/>
      <c r="ALI67" s="16"/>
      <c r="ALJ67" s="16"/>
      <c r="ALK67" s="16"/>
      <c r="ALL67" s="16"/>
      <c r="ALM67" s="16"/>
      <c r="ALN67" s="16"/>
      <c r="ALO67" s="16"/>
      <c r="ALP67" s="16"/>
      <c r="ALQ67" s="16"/>
      <c r="ALR67" s="16"/>
      <c r="ALS67" s="16"/>
      <c r="ALT67" s="16"/>
      <c r="ALU67" s="16"/>
      <c r="ALV67" s="16"/>
      <c r="ALW67" s="16"/>
      <c r="ALX67" s="16"/>
      <c r="ALY67" s="16"/>
      <c r="ALZ67" s="16"/>
      <c r="AMA67" s="16"/>
      <c r="AMB67" s="16"/>
      <c r="AMC67" s="16"/>
      <c r="AMD67" s="16"/>
      <c r="AME67" s="16"/>
      <c r="AMF67" s="16"/>
      <c r="AMG67" s="16"/>
      <c r="AMH67" s="16"/>
      <c r="AMI67" s="16"/>
      <c r="AMJ67" s="16"/>
      <c r="AMK67" s="16"/>
      <c r="AML67" s="16"/>
      <c r="AMM67" s="16"/>
      <c r="AMN67" s="16"/>
      <c r="AMO67" s="16"/>
      <c r="AMP67" s="16"/>
      <c r="AMQ67" s="16"/>
      <c r="AMR67" s="16"/>
      <c r="AMS67" s="16"/>
      <c r="AMT67" s="16"/>
      <c r="AMU67" s="16"/>
      <c r="AMV67" s="16"/>
      <c r="AMW67" s="16"/>
      <c r="AMX67" s="16"/>
      <c r="AMY67" s="16"/>
      <c r="AMZ67" s="16"/>
      <c r="ANA67" s="16"/>
      <c r="ANB67" s="16"/>
      <c r="ANC67" s="16"/>
      <c r="AND67" s="16"/>
      <c r="ANE67" s="16"/>
      <c r="ANF67" s="16"/>
      <c r="ANG67" s="16"/>
      <c r="ANH67" s="16"/>
      <c r="ANI67" s="16"/>
      <c r="ANJ67" s="16"/>
      <c r="ANK67" s="16"/>
      <c r="ANL67" s="16"/>
      <c r="ANM67" s="16"/>
      <c r="ANN67" s="16"/>
      <c r="ANO67" s="16"/>
      <c r="ANP67" s="16"/>
      <c r="ANQ67" s="16"/>
      <c r="ANR67" s="16"/>
      <c r="ANS67" s="16"/>
      <c r="ANT67" s="16"/>
      <c r="ANU67" s="16"/>
      <c r="ANV67" s="16"/>
      <c r="ANW67" s="16"/>
      <c r="ANX67" s="16"/>
      <c r="ANY67" s="16"/>
      <c r="ANZ67" s="16"/>
      <c r="AOA67" s="16"/>
      <c r="AOB67" s="16"/>
      <c r="AOC67" s="16"/>
      <c r="AOD67" s="16"/>
      <c r="AOE67" s="16"/>
      <c r="AOF67" s="16"/>
      <c r="AOG67" s="16"/>
      <c r="AOH67" s="16"/>
      <c r="AOI67" s="16"/>
      <c r="AOJ67" s="16"/>
      <c r="AOK67" s="16"/>
      <c r="AOL67" s="16"/>
      <c r="AOM67" s="16"/>
      <c r="AON67" s="16"/>
      <c r="AOO67" s="16"/>
      <c r="AOP67" s="16"/>
      <c r="AOQ67" s="16"/>
      <c r="AOR67" s="16"/>
      <c r="AOS67" s="16"/>
      <c r="AOT67" s="16"/>
      <c r="AOU67" s="16"/>
      <c r="AOV67" s="16"/>
      <c r="AOW67" s="16"/>
      <c r="AOX67" s="16"/>
      <c r="AOY67" s="16"/>
      <c r="AOZ67" s="16"/>
      <c r="APA67" s="16"/>
      <c r="APB67" s="16"/>
      <c r="APC67" s="16"/>
      <c r="APD67" s="16"/>
      <c r="APE67" s="16"/>
      <c r="APF67" s="16"/>
      <c r="APG67" s="16"/>
      <c r="APH67" s="16"/>
      <c r="API67" s="16"/>
      <c r="APJ67" s="16"/>
      <c r="APK67" s="16"/>
      <c r="APL67" s="16"/>
      <c r="APM67" s="16"/>
      <c r="APN67" s="16"/>
      <c r="APO67" s="16"/>
      <c r="APP67" s="16"/>
      <c r="APQ67" s="16"/>
      <c r="APR67" s="16"/>
      <c r="APS67" s="16"/>
      <c r="APT67" s="16"/>
      <c r="APU67" s="16"/>
      <c r="APV67" s="16"/>
      <c r="APW67" s="16"/>
      <c r="APX67" s="16"/>
      <c r="APY67" s="16"/>
      <c r="APZ67" s="16"/>
      <c r="AQA67" s="16"/>
      <c r="AQB67" s="16"/>
      <c r="AQC67" s="16"/>
      <c r="AQD67" s="16"/>
      <c r="AQE67" s="16"/>
      <c r="AQF67" s="16"/>
      <c r="AQG67" s="16"/>
      <c r="AQH67" s="16"/>
      <c r="AQI67" s="16"/>
      <c r="AQJ67" s="16"/>
      <c r="AQK67" s="16"/>
      <c r="AQL67" s="16"/>
      <c r="AQM67" s="16"/>
      <c r="AQN67" s="16"/>
      <c r="AQO67" s="16"/>
      <c r="AQP67" s="16"/>
      <c r="AQQ67" s="16"/>
      <c r="AQR67" s="16"/>
      <c r="AQS67" s="16"/>
      <c r="AQT67" s="16"/>
      <c r="AQU67" s="16"/>
      <c r="AQV67" s="16"/>
      <c r="AQW67" s="16"/>
      <c r="AQX67" s="16"/>
      <c r="AQY67" s="16"/>
      <c r="AQZ67" s="16"/>
      <c r="ARA67" s="16"/>
      <c r="ARB67" s="16"/>
      <c r="ARC67" s="16"/>
      <c r="ARD67" s="16"/>
      <c r="ARE67" s="16"/>
      <c r="ARF67" s="16"/>
      <c r="ARG67" s="16"/>
      <c r="ARH67" s="16"/>
      <c r="ARI67" s="16"/>
      <c r="ARJ67" s="16"/>
      <c r="ARK67" s="16"/>
      <c r="ARL67" s="16"/>
      <c r="ARM67" s="16"/>
      <c r="ARN67" s="16"/>
      <c r="ARO67" s="16"/>
      <c r="ARP67" s="16"/>
      <c r="ARQ67" s="16"/>
      <c r="ARR67" s="16"/>
      <c r="ARS67" s="16"/>
      <c r="ART67" s="16"/>
      <c r="ARU67" s="16"/>
      <c r="ARV67" s="16"/>
      <c r="ARW67" s="16"/>
      <c r="ARX67" s="16"/>
      <c r="ARY67" s="16"/>
      <c r="ARZ67" s="16"/>
      <c r="ASA67" s="16"/>
      <c r="ASB67" s="16"/>
      <c r="ASC67" s="16"/>
      <c r="ASD67" s="16"/>
      <c r="ASE67" s="16"/>
      <c r="ASF67" s="16"/>
      <c r="ASG67" s="16"/>
      <c r="ASH67" s="16"/>
      <c r="ASI67" s="16"/>
      <c r="ASJ67" s="16"/>
      <c r="ASK67" s="16"/>
      <c r="ASL67" s="16"/>
      <c r="ASM67" s="16"/>
      <c r="ASN67" s="16"/>
      <c r="ASO67" s="16"/>
      <c r="ASP67" s="16"/>
      <c r="ASQ67" s="16"/>
      <c r="ASR67" s="16"/>
      <c r="ASS67" s="16"/>
      <c r="AST67" s="16"/>
      <c r="ASU67" s="16"/>
      <c r="ASV67" s="16"/>
      <c r="ASW67" s="16"/>
      <c r="ASX67" s="16"/>
      <c r="ASY67" s="16"/>
      <c r="ASZ67" s="16"/>
      <c r="ATA67" s="16"/>
      <c r="ATB67" s="16"/>
      <c r="ATC67" s="16"/>
      <c r="ATD67" s="16"/>
      <c r="ATE67" s="16"/>
      <c r="ATF67" s="16"/>
      <c r="ATG67" s="16"/>
      <c r="ATH67" s="16"/>
      <c r="ATI67" s="16"/>
      <c r="ATJ67" s="16"/>
      <c r="ATK67" s="16"/>
      <c r="ATL67" s="16"/>
      <c r="ATM67" s="16"/>
      <c r="ATN67" s="16"/>
      <c r="ATO67" s="16"/>
      <c r="ATP67" s="16"/>
      <c r="ATQ67" s="16"/>
      <c r="ATR67" s="16"/>
      <c r="ATS67" s="16"/>
      <c r="ATT67" s="16"/>
      <c r="ATU67" s="16"/>
      <c r="ATV67" s="16"/>
      <c r="ATW67" s="16"/>
      <c r="ATX67" s="16"/>
      <c r="ATY67" s="16"/>
      <c r="ATZ67" s="16"/>
      <c r="AUA67" s="16"/>
      <c r="AUB67" s="16"/>
      <c r="AUC67" s="16"/>
      <c r="AUD67" s="16"/>
      <c r="AUE67" s="16"/>
      <c r="AUF67" s="16"/>
      <c r="AUG67" s="16"/>
      <c r="AUH67" s="16"/>
      <c r="AUI67" s="16"/>
      <c r="AUJ67" s="16"/>
      <c r="AUK67" s="16"/>
      <c r="AUL67" s="16"/>
      <c r="AUM67" s="16"/>
      <c r="AUN67" s="16"/>
      <c r="AUO67" s="16"/>
      <c r="AUP67" s="16"/>
      <c r="AUQ67" s="16"/>
      <c r="AUR67" s="16"/>
      <c r="AUS67" s="16"/>
      <c r="AUT67" s="16"/>
      <c r="AUU67" s="16"/>
      <c r="AUV67" s="16"/>
      <c r="AUW67" s="16"/>
      <c r="AUX67" s="16"/>
      <c r="AUY67" s="16"/>
      <c r="AUZ67" s="16"/>
      <c r="AVA67" s="16"/>
      <c r="AVB67" s="16"/>
      <c r="AVC67" s="16"/>
      <c r="AVD67" s="16"/>
      <c r="AVE67" s="16"/>
      <c r="AVF67" s="16"/>
      <c r="AVG67" s="16"/>
      <c r="AVH67" s="16"/>
      <c r="AVI67" s="16"/>
      <c r="AVJ67" s="16"/>
      <c r="AVK67" s="16"/>
      <c r="AVL67" s="16"/>
      <c r="AVM67" s="16"/>
      <c r="AVN67" s="16"/>
      <c r="AVO67" s="16"/>
      <c r="AVP67" s="16"/>
      <c r="AVQ67" s="16"/>
      <c r="AVR67" s="16"/>
      <c r="AVS67" s="16"/>
      <c r="AVT67" s="16"/>
      <c r="AVU67" s="16"/>
      <c r="AVV67" s="16"/>
      <c r="AVW67" s="16"/>
      <c r="AVX67" s="16"/>
      <c r="AVY67" s="16"/>
      <c r="AVZ67" s="16"/>
      <c r="AWA67" s="16"/>
      <c r="AWB67" s="16"/>
      <c r="AWC67" s="16"/>
      <c r="AWD67" s="16"/>
      <c r="AWE67" s="16"/>
      <c r="AWF67" s="16"/>
      <c r="AWG67" s="16"/>
      <c r="AWH67" s="16"/>
      <c r="AWI67" s="16"/>
      <c r="AWJ67" s="16"/>
      <c r="AWK67" s="16"/>
      <c r="AWL67" s="16"/>
      <c r="AWM67" s="16"/>
      <c r="AWN67" s="16"/>
      <c r="AWO67" s="16"/>
      <c r="AWP67" s="16"/>
      <c r="AWQ67" s="16"/>
      <c r="AWR67" s="16"/>
      <c r="AWS67" s="16"/>
      <c r="AWT67" s="16"/>
      <c r="AWU67" s="16"/>
      <c r="AWV67" s="16"/>
      <c r="AWW67" s="16"/>
      <c r="AWX67" s="16"/>
      <c r="AWY67" s="16"/>
      <c r="AWZ67" s="16"/>
      <c r="AXA67" s="16"/>
      <c r="AXB67" s="16"/>
      <c r="AXC67" s="16"/>
      <c r="AXD67" s="16"/>
      <c r="AXE67" s="16"/>
      <c r="AXF67" s="16"/>
      <c r="AXG67" s="16"/>
      <c r="AXH67" s="16"/>
      <c r="AXI67" s="16"/>
      <c r="AXJ67" s="16"/>
      <c r="AXK67" s="16"/>
      <c r="AXL67" s="16"/>
      <c r="AXM67" s="16"/>
      <c r="AXN67" s="16"/>
      <c r="AXO67" s="16"/>
      <c r="AXP67" s="16"/>
      <c r="AXQ67" s="16"/>
      <c r="AXR67" s="16"/>
      <c r="AXS67" s="16"/>
      <c r="AXT67" s="16"/>
      <c r="AXU67" s="16"/>
      <c r="AXV67" s="16"/>
      <c r="AXW67" s="16"/>
      <c r="AXX67" s="16"/>
      <c r="AXY67" s="16"/>
      <c r="AXZ67" s="16"/>
      <c r="AYA67" s="16"/>
      <c r="AYB67" s="16"/>
      <c r="AYC67" s="16"/>
      <c r="AYD67" s="16"/>
      <c r="AYE67" s="16"/>
      <c r="AYF67" s="16"/>
      <c r="AYG67" s="16"/>
      <c r="AYH67" s="16"/>
      <c r="AYI67" s="16"/>
      <c r="AYJ67" s="16"/>
      <c r="AYK67" s="16"/>
      <c r="AYL67" s="16"/>
      <c r="AYM67" s="16"/>
      <c r="AYN67" s="16"/>
      <c r="AYO67" s="16"/>
      <c r="AYP67" s="16"/>
      <c r="AYQ67" s="16"/>
      <c r="AYR67" s="16"/>
      <c r="AYS67" s="16"/>
      <c r="AYT67" s="16"/>
      <c r="AYU67" s="16"/>
      <c r="AYV67" s="16"/>
      <c r="AYW67" s="16"/>
      <c r="AYX67" s="16"/>
      <c r="AYY67" s="16"/>
      <c r="AYZ67" s="16"/>
      <c r="AZA67" s="16"/>
      <c r="AZB67" s="16"/>
      <c r="AZC67" s="16"/>
      <c r="AZD67" s="16"/>
      <c r="AZE67" s="16"/>
      <c r="AZF67" s="16"/>
      <c r="AZG67" s="16"/>
      <c r="AZH67" s="16"/>
      <c r="AZI67" s="16"/>
      <c r="AZJ67" s="16"/>
      <c r="AZK67" s="16"/>
      <c r="AZL67" s="16"/>
      <c r="AZM67" s="16"/>
      <c r="AZN67" s="16"/>
      <c r="AZO67" s="16"/>
      <c r="AZP67" s="16"/>
      <c r="AZQ67" s="16"/>
      <c r="AZR67" s="16"/>
      <c r="AZS67" s="16"/>
      <c r="AZT67" s="16"/>
      <c r="AZU67" s="16"/>
      <c r="AZV67" s="16"/>
      <c r="AZW67" s="16"/>
      <c r="AZX67" s="16"/>
      <c r="AZY67" s="16"/>
      <c r="AZZ67" s="16"/>
      <c r="BAA67" s="16"/>
      <c r="BAB67" s="16"/>
      <c r="BAC67" s="16"/>
      <c r="BAD67" s="16"/>
      <c r="BAE67" s="16"/>
      <c r="BAF67" s="16"/>
      <c r="BAG67" s="16"/>
      <c r="BAH67" s="16"/>
      <c r="BAI67" s="16"/>
      <c r="BAJ67" s="16"/>
      <c r="BAK67" s="16"/>
      <c r="BAL67" s="16"/>
      <c r="BAM67" s="16"/>
      <c r="BAN67" s="16"/>
      <c r="BAO67" s="16"/>
      <c r="BAP67" s="16"/>
      <c r="BAQ67" s="16"/>
      <c r="BAR67" s="16"/>
      <c r="BAS67" s="16"/>
      <c r="BAT67" s="16"/>
      <c r="BAU67" s="16"/>
      <c r="BAV67" s="16"/>
      <c r="BAW67" s="16"/>
      <c r="BAX67" s="16"/>
      <c r="BAY67" s="16"/>
      <c r="BAZ67" s="16"/>
      <c r="BBA67" s="16"/>
      <c r="BBB67" s="16"/>
      <c r="BBC67" s="16"/>
      <c r="BBD67" s="16"/>
      <c r="BBE67" s="16"/>
      <c r="BBF67" s="16"/>
      <c r="BBG67" s="16"/>
      <c r="BBH67" s="16"/>
      <c r="BBI67" s="16"/>
      <c r="BBJ67" s="16"/>
      <c r="BBK67" s="16"/>
      <c r="BBL67" s="16"/>
      <c r="BBM67" s="16"/>
      <c r="BBN67" s="16"/>
      <c r="BBO67" s="16"/>
      <c r="BBP67" s="16"/>
      <c r="BBQ67" s="16"/>
      <c r="BBR67" s="16"/>
      <c r="BBS67" s="16"/>
      <c r="BBT67" s="16"/>
      <c r="BBU67" s="16"/>
      <c r="BBV67" s="16"/>
      <c r="BBW67" s="16"/>
      <c r="BBX67" s="16"/>
      <c r="BBY67" s="16"/>
      <c r="BBZ67" s="16"/>
      <c r="BCA67" s="16"/>
      <c r="BCB67" s="16"/>
      <c r="BCC67" s="16"/>
      <c r="BCD67" s="16"/>
      <c r="BCE67" s="16"/>
      <c r="BCF67" s="16"/>
      <c r="BCG67" s="16"/>
      <c r="BCH67" s="16"/>
      <c r="BCI67" s="16"/>
      <c r="BCJ67" s="16"/>
      <c r="BCK67" s="16"/>
      <c r="BCL67" s="16"/>
      <c r="BCM67" s="16"/>
      <c r="BCN67" s="16"/>
      <c r="BCO67" s="16"/>
      <c r="BCP67" s="16"/>
      <c r="BCQ67" s="16"/>
      <c r="BCR67" s="16"/>
      <c r="BCS67" s="16"/>
      <c r="BCT67" s="16"/>
      <c r="BCU67" s="16"/>
      <c r="BCV67" s="16"/>
      <c r="BCW67" s="16"/>
      <c r="BCX67" s="16"/>
      <c r="BCY67" s="16"/>
      <c r="BCZ67" s="16"/>
      <c r="BDA67" s="16"/>
      <c r="BDB67" s="16"/>
      <c r="BDC67" s="16"/>
      <c r="BDD67" s="16"/>
      <c r="BDE67" s="16"/>
      <c r="BDF67" s="16"/>
      <c r="BDG67" s="16"/>
      <c r="BDH67" s="16"/>
      <c r="BDI67" s="16"/>
      <c r="BDJ67" s="16"/>
      <c r="BDK67" s="16"/>
      <c r="BDL67" s="16"/>
      <c r="BDM67" s="16"/>
      <c r="BDN67" s="16"/>
      <c r="BDO67" s="16"/>
      <c r="BDP67" s="16"/>
      <c r="BDQ67" s="16"/>
      <c r="BDR67" s="16"/>
      <c r="BDS67" s="16"/>
      <c r="BDT67" s="16"/>
      <c r="BDU67" s="16"/>
      <c r="BDV67" s="16"/>
      <c r="BDW67" s="16"/>
      <c r="BDX67" s="16"/>
      <c r="BDY67" s="16"/>
      <c r="BDZ67" s="16"/>
      <c r="BEA67" s="16"/>
      <c r="BEB67" s="16"/>
      <c r="BEC67" s="16"/>
      <c r="BED67" s="16"/>
      <c r="BEE67" s="16"/>
      <c r="BEF67" s="16"/>
      <c r="BEG67" s="16"/>
      <c r="BEH67" s="16"/>
      <c r="BEI67" s="16"/>
      <c r="BEJ67" s="16"/>
      <c r="BEK67" s="16"/>
      <c r="BEL67" s="16"/>
      <c r="BEM67" s="16"/>
      <c r="BEN67" s="16"/>
      <c r="BEO67" s="16"/>
      <c r="BEP67" s="16"/>
      <c r="BEQ67" s="16"/>
      <c r="BER67" s="16"/>
      <c r="BES67" s="16"/>
      <c r="BET67" s="16"/>
      <c r="BEU67" s="16"/>
      <c r="BEV67" s="16"/>
      <c r="BEW67" s="16"/>
      <c r="BEX67" s="16"/>
      <c r="BEY67" s="16"/>
      <c r="BEZ67" s="16"/>
      <c r="BFA67" s="16"/>
      <c r="BFB67" s="16"/>
      <c r="BFC67" s="16"/>
      <c r="BFD67" s="16"/>
      <c r="BFE67" s="16"/>
      <c r="BFF67" s="16"/>
      <c r="BFG67" s="16"/>
      <c r="BFH67" s="16"/>
      <c r="BFI67" s="16"/>
      <c r="BFJ67" s="16"/>
      <c r="BFK67" s="16"/>
      <c r="BFL67" s="16"/>
      <c r="BFM67" s="16"/>
      <c r="BFN67" s="16"/>
      <c r="BFO67" s="16"/>
      <c r="BFP67" s="16"/>
      <c r="BFQ67" s="16"/>
      <c r="BFR67" s="16"/>
      <c r="BFS67" s="16"/>
      <c r="BFT67" s="16"/>
      <c r="BFU67" s="16"/>
      <c r="BFV67" s="16"/>
      <c r="BFW67" s="16"/>
      <c r="BFX67" s="16"/>
      <c r="BFY67" s="16"/>
      <c r="BFZ67" s="16"/>
      <c r="BGA67" s="16"/>
      <c r="BGB67" s="16"/>
      <c r="BGC67" s="16"/>
      <c r="BGD67" s="16"/>
      <c r="BGE67" s="16"/>
      <c r="BGF67" s="16"/>
      <c r="BGG67" s="16"/>
      <c r="BGH67" s="16"/>
      <c r="BGI67" s="16"/>
      <c r="BGJ67" s="16"/>
      <c r="BGK67" s="16"/>
      <c r="BGL67" s="16"/>
      <c r="BGM67" s="16"/>
      <c r="BGN67" s="16"/>
      <c r="BGO67" s="16"/>
      <c r="BGP67" s="16"/>
      <c r="BGQ67" s="16"/>
      <c r="BGR67" s="16"/>
      <c r="BGS67" s="16"/>
      <c r="BGT67" s="16"/>
      <c r="BGU67" s="16"/>
      <c r="BGV67" s="16"/>
      <c r="BGW67" s="16"/>
      <c r="BGX67" s="16"/>
      <c r="BGY67" s="16"/>
      <c r="BGZ67" s="16"/>
      <c r="BHA67" s="16"/>
      <c r="BHB67" s="16"/>
      <c r="BHC67" s="16"/>
      <c r="BHD67" s="16"/>
      <c r="BHE67" s="16"/>
      <c r="BHF67" s="16"/>
      <c r="BHG67" s="16"/>
      <c r="BHH67" s="16"/>
      <c r="BHI67" s="16"/>
      <c r="BHJ67" s="16"/>
      <c r="BHK67" s="16"/>
      <c r="BHL67" s="16"/>
      <c r="BHM67" s="16"/>
      <c r="BHN67" s="16"/>
      <c r="BHO67" s="16"/>
      <c r="BHP67" s="16"/>
      <c r="BHQ67" s="16"/>
      <c r="BHR67" s="16"/>
      <c r="BHS67" s="16"/>
      <c r="BHT67" s="16"/>
      <c r="BHU67" s="16"/>
      <c r="BHV67" s="16"/>
      <c r="BHW67" s="16"/>
      <c r="BHX67" s="16"/>
      <c r="BHY67" s="16"/>
      <c r="BHZ67" s="16"/>
      <c r="BIA67" s="16"/>
      <c r="BIB67" s="16"/>
      <c r="BIC67" s="16"/>
      <c r="BID67" s="16"/>
      <c r="BIE67" s="16"/>
      <c r="BIF67" s="16"/>
      <c r="BIG67" s="16"/>
      <c r="BIH67" s="16"/>
      <c r="BII67" s="16"/>
      <c r="BIJ67" s="16"/>
      <c r="BIK67" s="16"/>
      <c r="BIL67" s="16"/>
      <c r="BIM67" s="16"/>
      <c r="BIN67" s="16"/>
      <c r="BIO67" s="16"/>
      <c r="BIP67" s="16"/>
      <c r="BIQ67" s="16"/>
      <c r="BIR67" s="16"/>
      <c r="BIS67" s="16"/>
      <c r="BIT67" s="16"/>
      <c r="BIU67" s="16"/>
      <c r="BIV67" s="16"/>
      <c r="BIW67" s="16"/>
      <c r="BIX67" s="16"/>
      <c r="BIY67" s="16"/>
      <c r="BIZ67" s="16"/>
      <c r="BJA67" s="16"/>
      <c r="BJB67" s="16"/>
      <c r="BJC67" s="16"/>
      <c r="BJD67" s="16"/>
      <c r="BJE67" s="16"/>
      <c r="BJF67" s="16"/>
      <c r="BJG67" s="16"/>
      <c r="BJH67" s="16"/>
      <c r="BJI67" s="16"/>
      <c r="BJJ67" s="16"/>
      <c r="BJK67" s="16"/>
      <c r="BJL67" s="16"/>
      <c r="BJM67" s="16"/>
      <c r="BJN67" s="16"/>
      <c r="BJO67" s="16"/>
      <c r="BJP67" s="16"/>
      <c r="BJQ67" s="16"/>
      <c r="BJR67" s="16"/>
      <c r="BJS67" s="16"/>
      <c r="BJT67" s="16"/>
      <c r="BJU67" s="16"/>
      <c r="BJV67" s="16"/>
      <c r="BJW67" s="16"/>
      <c r="BJX67" s="16"/>
      <c r="BJY67" s="16"/>
      <c r="BJZ67" s="16"/>
      <c r="BKA67" s="16"/>
      <c r="BKB67" s="16"/>
      <c r="BKC67" s="16"/>
      <c r="BKD67" s="16"/>
      <c r="BKE67" s="16"/>
      <c r="BKF67" s="16"/>
      <c r="BKG67" s="16"/>
      <c r="BKH67" s="16"/>
      <c r="BKI67" s="16"/>
      <c r="BKJ67" s="16"/>
      <c r="BKK67" s="16"/>
      <c r="BKL67" s="16"/>
      <c r="BKM67" s="16"/>
      <c r="BKN67" s="16"/>
      <c r="BKO67" s="16"/>
      <c r="BKP67" s="16"/>
      <c r="BKQ67" s="16"/>
      <c r="BKR67" s="16"/>
      <c r="BKS67" s="16"/>
      <c r="BKT67" s="16"/>
      <c r="BKU67" s="16"/>
      <c r="BKV67" s="16"/>
      <c r="BKW67" s="16"/>
      <c r="BKX67" s="16"/>
      <c r="BKY67" s="16"/>
      <c r="BKZ67" s="16"/>
      <c r="BLA67" s="16"/>
      <c r="BLB67" s="16"/>
      <c r="BLC67" s="16"/>
      <c r="BLD67" s="16"/>
      <c r="BLE67" s="16"/>
      <c r="BLF67" s="16"/>
      <c r="BLG67" s="16"/>
      <c r="BLH67" s="16"/>
      <c r="BLI67" s="16"/>
      <c r="BLJ67" s="16"/>
      <c r="BLK67" s="16"/>
      <c r="BLL67" s="16"/>
      <c r="BLM67" s="16"/>
      <c r="BLN67" s="16"/>
      <c r="BLO67" s="16"/>
      <c r="BLP67" s="16"/>
      <c r="BLQ67" s="16"/>
      <c r="BLR67" s="16"/>
      <c r="BLS67" s="16"/>
      <c r="BLT67" s="16"/>
      <c r="BLU67" s="16"/>
      <c r="BLV67" s="16"/>
      <c r="BLW67" s="16"/>
      <c r="BLX67" s="16"/>
      <c r="BLY67" s="16"/>
      <c r="BLZ67" s="16"/>
      <c r="BMA67" s="16"/>
      <c r="BMB67" s="16"/>
      <c r="BMC67" s="16"/>
      <c r="BMD67" s="16"/>
      <c r="BME67" s="16"/>
      <c r="BMF67" s="16"/>
      <c r="BMG67" s="16"/>
      <c r="BMH67" s="16"/>
      <c r="BMI67" s="16"/>
      <c r="BMJ67" s="16"/>
      <c r="BMK67" s="16"/>
      <c r="BML67" s="16"/>
      <c r="BMM67" s="16"/>
      <c r="BMN67" s="16"/>
      <c r="BMO67" s="16"/>
      <c r="BMP67" s="16"/>
      <c r="BMQ67" s="16"/>
      <c r="BMR67" s="16"/>
      <c r="BMS67" s="16"/>
      <c r="BMT67" s="16"/>
      <c r="BMU67" s="16"/>
      <c r="BMV67" s="16"/>
      <c r="BMW67" s="16"/>
      <c r="BMX67" s="16"/>
      <c r="BMY67" s="16"/>
      <c r="BMZ67" s="16"/>
      <c r="BNA67" s="16"/>
      <c r="BNB67" s="16"/>
      <c r="BNC67" s="16"/>
      <c r="BND67" s="16"/>
      <c r="BNE67" s="16"/>
      <c r="BNF67" s="16"/>
      <c r="BNG67" s="16"/>
      <c r="BNH67" s="16"/>
      <c r="BNI67" s="16"/>
      <c r="BNJ67" s="16"/>
      <c r="BNK67" s="16"/>
      <c r="BNL67" s="16"/>
      <c r="BNM67" s="16"/>
      <c r="BNN67" s="16"/>
      <c r="BNO67" s="16"/>
      <c r="BNP67" s="16"/>
      <c r="BNQ67" s="16"/>
      <c r="BNR67" s="16"/>
      <c r="BNS67" s="16"/>
      <c r="BNT67" s="16"/>
      <c r="BNU67" s="16"/>
      <c r="BNV67" s="16"/>
      <c r="BNW67" s="16"/>
      <c r="BNX67" s="16"/>
      <c r="BNY67" s="16"/>
      <c r="BNZ67" s="16"/>
      <c r="BOA67" s="16"/>
      <c r="BOB67" s="16"/>
      <c r="BOC67" s="16"/>
      <c r="BOD67" s="16"/>
      <c r="BOE67" s="16"/>
      <c r="BOF67" s="16"/>
      <c r="BOG67" s="16"/>
      <c r="BOH67" s="16"/>
      <c r="BOI67" s="16"/>
      <c r="BOJ67" s="16"/>
      <c r="BOK67" s="16"/>
      <c r="BOL67" s="16"/>
      <c r="BOM67" s="16"/>
      <c r="BON67" s="16"/>
      <c r="BOO67" s="16"/>
      <c r="BOP67" s="16"/>
      <c r="BOQ67" s="16"/>
      <c r="BOR67" s="16"/>
      <c r="BOS67" s="16"/>
      <c r="BOT67" s="16"/>
      <c r="BOU67" s="16"/>
      <c r="BOV67" s="16"/>
      <c r="BOW67" s="16"/>
      <c r="BOX67" s="16"/>
      <c r="BOY67" s="16"/>
      <c r="BOZ67" s="16"/>
      <c r="BPA67" s="16"/>
      <c r="BPB67" s="16"/>
      <c r="BPC67" s="16"/>
      <c r="BPD67" s="16"/>
      <c r="BPE67" s="16"/>
      <c r="BPF67" s="16"/>
      <c r="BPG67" s="16"/>
      <c r="BPH67" s="16"/>
      <c r="BPI67" s="16"/>
      <c r="BPJ67" s="16"/>
      <c r="BPK67" s="16"/>
      <c r="BPL67" s="16"/>
      <c r="BPM67" s="16"/>
      <c r="BPN67" s="16"/>
      <c r="BPO67" s="16"/>
      <c r="BPP67" s="16"/>
      <c r="BPQ67" s="16"/>
      <c r="BPR67" s="16"/>
      <c r="BPS67" s="16"/>
      <c r="BPT67" s="16"/>
      <c r="BPU67" s="16"/>
      <c r="BPV67" s="16"/>
      <c r="BPW67" s="16"/>
      <c r="BPX67" s="16"/>
      <c r="BPY67" s="16"/>
      <c r="BPZ67" s="16"/>
      <c r="BQA67" s="16"/>
      <c r="BQB67" s="16"/>
      <c r="BQC67" s="16"/>
      <c r="BQD67" s="16"/>
      <c r="BQE67" s="16"/>
      <c r="BQF67" s="16"/>
      <c r="BQG67" s="16"/>
      <c r="BQH67" s="16"/>
      <c r="BQI67" s="16"/>
      <c r="BQJ67" s="16"/>
      <c r="BQK67" s="16"/>
      <c r="BQL67" s="16"/>
      <c r="BQM67" s="16"/>
      <c r="BQN67" s="16"/>
      <c r="BQO67" s="16"/>
      <c r="BQP67" s="16"/>
      <c r="BQQ67" s="16"/>
      <c r="BQR67" s="16"/>
      <c r="BQS67" s="16"/>
      <c r="BQT67" s="16"/>
      <c r="BQU67" s="16"/>
      <c r="BQV67" s="16"/>
      <c r="BQW67" s="16"/>
      <c r="BQX67" s="16"/>
      <c r="BQY67" s="16"/>
      <c r="BQZ67" s="16"/>
      <c r="BRA67" s="16"/>
      <c r="BRB67" s="16"/>
      <c r="BRC67" s="16"/>
      <c r="BRD67" s="16"/>
      <c r="BRE67" s="16"/>
      <c r="BRF67" s="16"/>
      <c r="BRG67" s="16"/>
      <c r="BRH67" s="16"/>
      <c r="BRI67" s="16"/>
      <c r="BRJ67" s="16"/>
      <c r="BRK67" s="16"/>
      <c r="BRL67" s="16"/>
      <c r="BRM67" s="16"/>
      <c r="BRN67" s="16"/>
      <c r="BRO67" s="16"/>
      <c r="BRP67" s="16"/>
      <c r="BRQ67" s="16"/>
      <c r="BRR67" s="16"/>
      <c r="BRS67" s="16"/>
      <c r="BRT67" s="16"/>
      <c r="BRU67" s="16"/>
      <c r="BRV67" s="16"/>
      <c r="BRW67" s="16"/>
      <c r="BRX67" s="16"/>
      <c r="BRY67" s="16"/>
      <c r="BRZ67" s="16"/>
      <c r="BSA67" s="16"/>
      <c r="BSB67" s="16"/>
      <c r="BSC67" s="16"/>
      <c r="BSD67" s="16"/>
      <c r="BSE67" s="16"/>
      <c r="BSF67" s="16"/>
      <c r="BSG67" s="16"/>
      <c r="BSH67" s="16"/>
      <c r="BSI67" s="16"/>
      <c r="BSJ67" s="16"/>
      <c r="BSK67" s="16"/>
      <c r="BSL67" s="16"/>
      <c r="BSM67" s="16"/>
      <c r="BSN67" s="16"/>
      <c r="BSO67" s="16"/>
      <c r="BSP67" s="16"/>
      <c r="BSQ67" s="16"/>
      <c r="BSR67" s="16"/>
      <c r="BSS67" s="16"/>
      <c r="BST67" s="16"/>
      <c r="BSU67" s="16"/>
      <c r="BSV67" s="16"/>
      <c r="BSW67" s="16"/>
      <c r="BSX67" s="16"/>
      <c r="BSY67" s="16"/>
      <c r="BSZ67" s="16"/>
      <c r="BTA67" s="16"/>
      <c r="BTB67" s="16"/>
      <c r="BTC67" s="16"/>
      <c r="BTD67" s="16"/>
      <c r="BTE67" s="16"/>
      <c r="BTF67" s="16"/>
      <c r="BTG67" s="16"/>
      <c r="BTH67" s="16"/>
      <c r="BTI67" s="16"/>
      <c r="BTJ67" s="16"/>
      <c r="BTK67" s="16"/>
      <c r="BTL67" s="16"/>
      <c r="BTM67" s="16"/>
      <c r="BTN67" s="16"/>
      <c r="BTO67" s="16"/>
      <c r="BTP67" s="16"/>
      <c r="BTQ67" s="16"/>
      <c r="BTR67" s="16"/>
      <c r="BTS67" s="16"/>
      <c r="BTT67" s="16"/>
      <c r="BTU67" s="16"/>
      <c r="BTV67" s="16"/>
      <c r="BTW67" s="16"/>
      <c r="BTX67" s="16"/>
      <c r="BTY67" s="16"/>
      <c r="BTZ67" s="16"/>
      <c r="BUA67" s="16"/>
      <c r="BUB67" s="16"/>
      <c r="BUC67" s="16"/>
      <c r="BUD67" s="16"/>
      <c r="BUE67" s="16"/>
      <c r="BUF67" s="16"/>
      <c r="BUG67" s="16"/>
      <c r="BUH67" s="16"/>
      <c r="BUI67" s="16"/>
      <c r="BUJ67" s="16"/>
      <c r="BUK67" s="16"/>
      <c r="BUL67" s="16"/>
      <c r="BUM67" s="16"/>
      <c r="BUN67" s="16"/>
      <c r="BUO67" s="16"/>
      <c r="BUP67" s="16"/>
      <c r="BUQ67" s="16"/>
      <c r="BUR67" s="16"/>
      <c r="BUS67" s="16"/>
      <c r="BUT67" s="16"/>
      <c r="BUU67" s="16"/>
      <c r="BUV67" s="16"/>
      <c r="BUW67" s="16"/>
      <c r="BUX67" s="16"/>
      <c r="BUY67" s="16"/>
      <c r="BUZ67" s="16"/>
      <c r="BVA67" s="16"/>
      <c r="BVB67" s="16"/>
      <c r="BVC67" s="16"/>
      <c r="BVD67" s="16"/>
      <c r="BVE67" s="16"/>
      <c r="BVF67" s="16"/>
      <c r="BVG67" s="16"/>
      <c r="BVH67" s="16"/>
      <c r="BVI67" s="16"/>
      <c r="BVJ67" s="16"/>
      <c r="BVK67" s="16"/>
      <c r="BVL67" s="16"/>
      <c r="BVM67" s="16"/>
      <c r="BVN67" s="16"/>
      <c r="BVO67" s="16"/>
      <c r="BVP67" s="16"/>
      <c r="BVQ67" s="16"/>
      <c r="BVR67" s="16"/>
      <c r="BVS67" s="16"/>
      <c r="BVT67" s="16"/>
      <c r="BVU67" s="16"/>
      <c r="BVV67" s="16"/>
      <c r="BVW67" s="16"/>
      <c r="BVX67" s="16"/>
      <c r="BVY67" s="16"/>
      <c r="BVZ67" s="16"/>
      <c r="BWA67" s="16"/>
      <c r="BWB67" s="16"/>
      <c r="BWC67" s="16"/>
      <c r="BWD67" s="16"/>
      <c r="BWE67" s="16"/>
      <c r="BWF67" s="16"/>
      <c r="BWG67" s="16"/>
      <c r="BWH67" s="16"/>
      <c r="BWI67" s="16"/>
      <c r="BWJ67" s="16"/>
      <c r="BWK67" s="16"/>
      <c r="BWL67" s="16"/>
      <c r="BWM67" s="16"/>
      <c r="BWN67" s="16"/>
      <c r="BWO67" s="16"/>
      <c r="BWP67" s="16"/>
      <c r="BWQ67" s="16"/>
      <c r="BWR67" s="16"/>
      <c r="BWS67" s="16"/>
      <c r="BWT67" s="16"/>
      <c r="BWU67" s="16"/>
      <c r="BWV67" s="16"/>
      <c r="BWW67" s="16"/>
      <c r="BWX67" s="16"/>
      <c r="BWY67" s="16"/>
      <c r="BWZ67" s="16"/>
      <c r="BXA67" s="16"/>
      <c r="BXB67" s="16"/>
      <c r="BXC67" s="16"/>
      <c r="BXD67" s="16"/>
      <c r="BXE67" s="16"/>
      <c r="BXF67" s="16"/>
      <c r="BXG67" s="16"/>
      <c r="BXH67" s="16"/>
      <c r="BXI67" s="16"/>
      <c r="BXJ67" s="16"/>
      <c r="BXK67" s="16"/>
      <c r="BXL67" s="16"/>
      <c r="BXM67" s="16"/>
      <c r="BXN67" s="16"/>
      <c r="BXO67" s="16"/>
      <c r="BXP67" s="16"/>
      <c r="BXQ67" s="16"/>
      <c r="BXR67" s="16"/>
      <c r="BXS67" s="16"/>
      <c r="BXT67" s="16"/>
      <c r="BXU67" s="16"/>
      <c r="BXV67" s="16"/>
      <c r="BXW67" s="16"/>
      <c r="BXX67" s="16"/>
      <c r="BXY67" s="16"/>
      <c r="BXZ67" s="16"/>
      <c r="BYA67" s="16"/>
      <c r="BYB67" s="16"/>
      <c r="BYC67" s="16"/>
      <c r="BYD67" s="16"/>
      <c r="BYE67" s="16"/>
      <c r="BYF67" s="16"/>
      <c r="BYG67" s="16"/>
      <c r="BYH67" s="16"/>
      <c r="BYI67" s="16"/>
      <c r="BYJ67" s="16"/>
      <c r="BYK67" s="16"/>
      <c r="BYL67" s="16"/>
      <c r="BYM67" s="16"/>
      <c r="BYN67" s="16"/>
      <c r="BYO67" s="16"/>
      <c r="BYP67" s="16"/>
      <c r="BYQ67" s="16"/>
      <c r="BYR67" s="16"/>
      <c r="BYS67" s="16"/>
      <c r="BYT67" s="16"/>
      <c r="BYU67" s="16"/>
      <c r="BYV67" s="16"/>
      <c r="BYW67" s="16"/>
      <c r="BYX67" s="16"/>
      <c r="BYY67" s="16"/>
      <c r="BYZ67" s="16"/>
      <c r="BZA67" s="16"/>
      <c r="BZB67" s="16"/>
      <c r="BZC67" s="16"/>
      <c r="BZD67" s="16"/>
      <c r="BZE67" s="16"/>
      <c r="BZF67" s="16"/>
      <c r="BZG67" s="16"/>
      <c r="BZH67" s="16"/>
      <c r="BZI67" s="16"/>
      <c r="BZJ67" s="16"/>
      <c r="BZK67" s="16"/>
      <c r="BZL67" s="16"/>
      <c r="BZM67" s="16"/>
      <c r="BZN67" s="16"/>
      <c r="BZO67" s="16"/>
      <c r="BZP67" s="16"/>
      <c r="BZQ67" s="16"/>
      <c r="BZR67" s="16"/>
      <c r="BZS67" s="16"/>
      <c r="BZT67" s="16"/>
      <c r="BZU67" s="16"/>
      <c r="BZV67" s="16"/>
      <c r="BZW67" s="16"/>
      <c r="BZX67" s="16"/>
      <c r="BZY67" s="16"/>
      <c r="BZZ67" s="16"/>
      <c r="CAA67" s="16"/>
      <c r="CAB67" s="16"/>
      <c r="CAC67" s="16"/>
      <c r="CAD67" s="16"/>
      <c r="CAE67" s="16"/>
      <c r="CAF67" s="16"/>
      <c r="CAG67" s="16"/>
      <c r="CAH67" s="16"/>
      <c r="CAI67" s="16"/>
      <c r="CAJ67" s="16"/>
      <c r="CAK67" s="16"/>
      <c r="CAL67" s="16"/>
      <c r="CAM67" s="16"/>
      <c r="CAN67" s="16"/>
      <c r="CAO67" s="16"/>
      <c r="CAP67" s="16"/>
      <c r="CAQ67" s="16"/>
      <c r="CAR67" s="16"/>
      <c r="CAS67" s="16"/>
      <c r="CAT67" s="16"/>
      <c r="CAU67" s="16"/>
      <c r="CAV67" s="16"/>
      <c r="CAW67" s="16"/>
      <c r="CAX67" s="16"/>
      <c r="CAY67" s="16"/>
      <c r="CAZ67" s="16"/>
      <c r="CBA67" s="16"/>
      <c r="CBB67" s="16"/>
      <c r="CBC67" s="16"/>
      <c r="CBD67" s="16"/>
      <c r="CBE67" s="16"/>
      <c r="CBF67" s="16"/>
      <c r="CBG67" s="16"/>
      <c r="CBH67" s="16"/>
      <c r="CBI67" s="16"/>
      <c r="CBJ67" s="16"/>
      <c r="CBK67" s="16"/>
      <c r="CBL67" s="16"/>
      <c r="CBM67" s="16"/>
      <c r="CBN67" s="16"/>
      <c r="CBO67" s="16"/>
      <c r="CBP67" s="16"/>
      <c r="CBQ67" s="16"/>
      <c r="CBR67" s="16"/>
      <c r="CBS67" s="16"/>
      <c r="CBT67" s="16"/>
      <c r="CBU67" s="16"/>
      <c r="CBV67" s="16"/>
      <c r="CBW67" s="16"/>
      <c r="CBX67" s="16"/>
      <c r="CBY67" s="16"/>
      <c r="CBZ67" s="16"/>
      <c r="CCA67" s="16"/>
      <c r="CCB67" s="16"/>
      <c r="CCC67" s="16"/>
      <c r="CCD67" s="16"/>
      <c r="CCE67" s="16"/>
      <c r="CCF67" s="16"/>
      <c r="CCG67" s="16"/>
      <c r="CCH67" s="16"/>
      <c r="CCI67" s="16"/>
      <c r="CCJ67" s="16"/>
      <c r="CCK67" s="16"/>
      <c r="CCL67" s="16"/>
      <c r="CCM67" s="16"/>
      <c r="CCN67" s="16"/>
      <c r="CCO67" s="16"/>
      <c r="CCP67" s="16"/>
      <c r="CCQ67" s="16"/>
      <c r="CCR67" s="16"/>
      <c r="CCS67" s="16"/>
      <c r="CCT67" s="16"/>
      <c r="CCU67" s="16"/>
      <c r="CCV67" s="16"/>
      <c r="CCW67" s="16"/>
      <c r="CCX67" s="16"/>
      <c r="CCY67" s="16"/>
      <c r="CCZ67" s="16"/>
      <c r="CDA67" s="16"/>
      <c r="CDB67" s="16"/>
      <c r="CDC67" s="16"/>
      <c r="CDD67" s="16"/>
      <c r="CDE67" s="16"/>
      <c r="CDF67" s="16"/>
      <c r="CDG67" s="16"/>
      <c r="CDH67" s="16"/>
      <c r="CDI67" s="16"/>
      <c r="CDJ67" s="16"/>
      <c r="CDK67" s="16"/>
      <c r="CDL67" s="16"/>
      <c r="CDM67" s="16"/>
      <c r="CDN67" s="16"/>
      <c r="CDO67" s="16"/>
      <c r="CDP67" s="16"/>
      <c r="CDQ67" s="16"/>
      <c r="CDR67" s="16"/>
      <c r="CDS67" s="16"/>
      <c r="CDT67" s="16"/>
      <c r="CDU67" s="16"/>
      <c r="CDV67" s="16"/>
      <c r="CDW67" s="16"/>
      <c r="CDX67" s="16"/>
      <c r="CDY67" s="16"/>
      <c r="CDZ67" s="16"/>
      <c r="CEA67" s="16"/>
      <c r="CEB67" s="16"/>
      <c r="CEC67" s="16"/>
      <c r="CED67" s="16"/>
      <c r="CEE67" s="16"/>
      <c r="CEF67" s="16"/>
      <c r="CEG67" s="16"/>
      <c r="CEH67" s="16"/>
      <c r="CEI67" s="16"/>
      <c r="CEJ67" s="16"/>
      <c r="CEK67" s="16"/>
      <c r="CEL67" s="16"/>
      <c r="CEM67" s="16"/>
      <c r="CEN67" s="16"/>
      <c r="CEO67" s="16"/>
      <c r="CEP67" s="16"/>
      <c r="CEQ67" s="16"/>
      <c r="CER67" s="16"/>
      <c r="CES67" s="16"/>
      <c r="CET67" s="16"/>
      <c r="CEU67" s="16"/>
      <c r="CEV67" s="16"/>
      <c r="CEW67" s="16"/>
      <c r="CEX67" s="16"/>
      <c r="CEY67" s="16"/>
      <c r="CEZ67" s="16"/>
      <c r="CFA67" s="16"/>
      <c r="CFB67" s="16"/>
      <c r="CFC67" s="16"/>
      <c r="CFD67" s="16"/>
      <c r="CFE67" s="16"/>
      <c r="CFF67" s="16"/>
      <c r="CFG67" s="16"/>
      <c r="CFH67" s="16"/>
      <c r="CFI67" s="16"/>
      <c r="CFJ67" s="16"/>
      <c r="CFK67" s="16"/>
      <c r="CFL67" s="16"/>
      <c r="CFM67" s="16"/>
      <c r="CFN67" s="16"/>
      <c r="CFO67" s="16"/>
      <c r="CFP67" s="16"/>
      <c r="CFQ67" s="16"/>
      <c r="CFR67" s="16"/>
      <c r="CFS67" s="16"/>
      <c r="CFT67" s="16"/>
      <c r="CFU67" s="16"/>
      <c r="CFV67" s="16"/>
      <c r="CFW67" s="16"/>
      <c r="CFX67" s="16"/>
      <c r="CFY67" s="16"/>
      <c r="CFZ67" s="16"/>
      <c r="CGA67" s="16"/>
      <c r="CGB67" s="16"/>
      <c r="CGC67" s="16"/>
      <c r="CGD67" s="16"/>
      <c r="CGE67" s="16"/>
      <c r="CGF67" s="16"/>
      <c r="CGG67" s="16"/>
      <c r="CGH67" s="16"/>
      <c r="CGI67" s="16"/>
      <c r="CGJ67" s="16"/>
      <c r="CGK67" s="16"/>
      <c r="CGL67" s="16"/>
      <c r="CGM67" s="16"/>
      <c r="CGN67" s="16"/>
      <c r="CGO67" s="16"/>
      <c r="CGP67" s="16"/>
      <c r="CGQ67" s="16"/>
      <c r="CGR67" s="16"/>
      <c r="CGS67" s="16"/>
      <c r="CGT67" s="16"/>
      <c r="CGU67" s="16"/>
      <c r="CGV67" s="16"/>
      <c r="CGW67" s="16"/>
      <c r="CGX67" s="16"/>
      <c r="CGY67" s="16"/>
      <c r="CGZ67" s="16"/>
      <c r="CHA67" s="16"/>
      <c r="CHB67" s="16"/>
      <c r="CHC67" s="16"/>
      <c r="CHD67" s="16"/>
      <c r="CHE67" s="16"/>
      <c r="CHF67" s="16"/>
      <c r="CHG67" s="16"/>
      <c r="CHH67" s="16"/>
      <c r="CHI67" s="16"/>
      <c r="CHJ67" s="16"/>
      <c r="CHK67" s="16"/>
      <c r="CHL67" s="16"/>
      <c r="CHM67" s="16"/>
      <c r="CHN67" s="16"/>
      <c r="CHO67" s="16"/>
      <c r="CHP67" s="16"/>
      <c r="CHQ67" s="16"/>
      <c r="CHR67" s="16"/>
      <c r="CHS67" s="16"/>
      <c r="CHT67" s="16"/>
      <c r="CHU67" s="16"/>
      <c r="CHV67" s="16"/>
      <c r="CHW67" s="16"/>
      <c r="CHX67" s="16"/>
      <c r="CHY67" s="16"/>
      <c r="CHZ67" s="16"/>
      <c r="CIA67" s="16"/>
      <c r="CIB67" s="16"/>
      <c r="CIC67" s="16"/>
      <c r="CID67" s="16"/>
      <c r="CIE67" s="16"/>
      <c r="CIF67" s="16"/>
      <c r="CIG67" s="16"/>
      <c r="CIH67" s="16"/>
      <c r="CII67" s="16"/>
      <c r="CIJ67" s="16"/>
      <c r="CIK67" s="16"/>
      <c r="CIL67" s="16"/>
      <c r="CIM67" s="16"/>
      <c r="CIN67" s="16"/>
      <c r="CIO67" s="16"/>
      <c r="CIP67" s="16"/>
      <c r="CIQ67" s="16"/>
      <c r="CIR67" s="16"/>
      <c r="CIS67" s="16"/>
      <c r="CIT67" s="16"/>
      <c r="CIU67" s="16"/>
      <c r="CIV67" s="16"/>
      <c r="CIW67" s="16"/>
      <c r="CIX67" s="16"/>
      <c r="CIY67" s="16"/>
      <c r="CIZ67" s="16"/>
      <c r="CJA67" s="16"/>
      <c r="CJB67" s="16"/>
      <c r="CJC67" s="16"/>
      <c r="CJD67" s="16"/>
      <c r="CJE67" s="16"/>
      <c r="CJF67" s="16"/>
      <c r="CJG67" s="16"/>
      <c r="CJH67" s="16"/>
      <c r="CJI67" s="16"/>
      <c r="CJJ67" s="16"/>
      <c r="CJK67" s="16"/>
      <c r="CJL67" s="16"/>
      <c r="CJM67" s="16"/>
      <c r="CJN67" s="16"/>
      <c r="CJO67" s="16"/>
      <c r="CJP67" s="16"/>
      <c r="CJQ67" s="16"/>
      <c r="CJR67" s="16"/>
      <c r="CJS67" s="16"/>
      <c r="CJT67" s="16"/>
      <c r="CJU67" s="16"/>
      <c r="CJV67" s="16"/>
      <c r="CJW67" s="16"/>
      <c r="CJX67" s="16"/>
      <c r="CJY67" s="16"/>
      <c r="CJZ67" s="16"/>
      <c r="CKA67" s="16"/>
      <c r="CKB67" s="16"/>
      <c r="CKC67" s="16"/>
      <c r="CKD67" s="16"/>
      <c r="CKE67" s="16"/>
      <c r="CKF67" s="16"/>
      <c r="CKG67" s="16"/>
      <c r="CKH67" s="16"/>
      <c r="CKI67" s="16"/>
      <c r="CKJ67" s="16"/>
      <c r="CKK67" s="16"/>
      <c r="CKL67" s="16"/>
      <c r="CKM67" s="16"/>
      <c r="CKN67" s="16"/>
      <c r="CKO67" s="16"/>
      <c r="CKP67" s="16"/>
      <c r="CKQ67" s="16"/>
      <c r="CKR67" s="16"/>
      <c r="CKS67" s="16"/>
      <c r="CKT67" s="16"/>
      <c r="CKU67" s="16"/>
      <c r="CKV67" s="16"/>
      <c r="CKW67" s="16"/>
      <c r="CKX67" s="16"/>
      <c r="CKY67" s="16"/>
      <c r="CKZ67" s="16"/>
      <c r="CLA67" s="16"/>
      <c r="CLB67" s="16"/>
      <c r="CLC67" s="16"/>
      <c r="CLD67" s="16"/>
      <c r="CLE67" s="16"/>
      <c r="CLF67" s="16"/>
      <c r="CLG67" s="16"/>
      <c r="CLH67" s="16"/>
      <c r="CLI67" s="16"/>
      <c r="CLJ67" s="16"/>
      <c r="CLK67" s="16"/>
      <c r="CLL67" s="16"/>
      <c r="CLM67" s="16"/>
      <c r="CLN67" s="16"/>
      <c r="CLO67" s="16"/>
      <c r="CLP67" s="16"/>
      <c r="CLQ67" s="16"/>
      <c r="CLR67" s="16"/>
      <c r="CLS67" s="16"/>
      <c r="CLT67" s="16"/>
      <c r="CLU67" s="16"/>
      <c r="CLV67" s="16"/>
      <c r="CLW67" s="16"/>
      <c r="CLX67" s="16"/>
      <c r="CLY67" s="16"/>
      <c r="CLZ67" s="16"/>
      <c r="CMA67" s="16"/>
      <c r="CMB67" s="16"/>
      <c r="CMC67" s="16"/>
      <c r="CMD67" s="16"/>
      <c r="CME67" s="16"/>
      <c r="CMF67" s="16"/>
      <c r="CMG67" s="16"/>
      <c r="CMH67" s="16"/>
      <c r="CMI67" s="16"/>
      <c r="CMJ67" s="16"/>
      <c r="CMK67" s="16"/>
      <c r="CML67" s="16"/>
      <c r="CMM67" s="16"/>
      <c r="CMN67" s="16"/>
      <c r="CMO67" s="16"/>
      <c r="CMP67" s="16"/>
      <c r="CMQ67" s="16"/>
      <c r="CMR67" s="16"/>
      <c r="CMS67" s="16"/>
      <c r="CMT67" s="16"/>
      <c r="CMU67" s="16"/>
      <c r="CMV67" s="16"/>
      <c r="CMW67" s="16"/>
      <c r="CMX67" s="16"/>
      <c r="CMY67" s="16"/>
      <c r="CMZ67" s="16"/>
      <c r="CNA67" s="16"/>
      <c r="CNB67" s="16"/>
      <c r="CNC67" s="16"/>
      <c r="CND67" s="16"/>
      <c r="CNE67" s="16"/>
      <c r="CNF67" s="16"/>
      <c r="CNG67" s="16"/>
      <c r="CNH67" s="16"/>
      <c r="CNI67" s="16"/>
      <c r="CNJ67" s="16"/>
      <c r="CNK67" s="16"/>
      <c r="CNL67" s="16"/>
      <c r="CNM67" s="16"/>
      <c r="CNN67" s="16"/>
      <c r="CNO67" s="16"/>
      <c r="CNP67" s="16"/>
      <c r="CNQ67" s="16"/>
      <c r="CNR67" s="16"/>
      <c r="CNS67" s="16"/>
      <c r="CNT67" s="16"/>
      <c r="CNU67" s="16"/>
      <c r="CNV67" s="16"/>
      <c r="CNW67" s="16"/>
      <c r="CNX67" s="16"/>
      <c r="CNY67" s="16"/>
      <c r="CNZ67" s="16"/>
      <c r="COA67" s="16"/>
      <c r="COB67" s="16"/>
      <c r="COC67" s="16"/>
      <c r="COD67" s="16"/>
      <c r="COE67" s="16"/>
      <c r="COF67" s="16"/>
      <c r="COG67" s="16"/>
      <c r="COH67" s="16"/>
      <c r="COI67" s="16"/>
      <c r="COJ67" s="16"/>
      <c r="COK67" s="16"/>
      <c r="COL67" s="16"/>
      <c r="COM67" s="16"/>
      <c r="CON67" s="16"/>
      <c r="COO67" s="16"/>
      <c r="COP67" s="16"/>
      <c r="COQ67" s="16"/>
      <c r="COR67" s="16"/>
      <c r="COS67" s="16"/>
      <c r="COT67" s="16"/>
      <c r="COU67" s="16"/>
      <c r="COV67" s="16"/>
      <c r="COW67" s="16"/>
      <c r="COX67" s="16"/>
      <c r="COY67" s="16"/>
      <c r="COZ67" s="16"/>
      <c r="CPA67" s="16"/>
      <c r="CPB67" s="16"/>
      <c r="CPC67" s="16"/>
      <c r="CPD67" s="16"/>
      <c r="CPE67" s="16"/>
      <c r="CPF67" s="16"/>
      <c r="CPG67" s="16"/>
      <c r="CPH67" s="16"/>
      <c r="CPI67" s="16"/>
      <c r="CPJ67" s="16"/>
      <c r="CPK67" s="16"/>
      <c r="CPL67" s="16"/>
      <c r="CPM67" s="16"/>
      <c r="CPN67" s="16"/>
      <c r="CPO67" s="16"/>
      <c r="CPP67" s="16"/>
      <c r="CPQ67" s="16"/>
      <c r="CPR67" s="16"/>
      <c r="CPS67" s="16"/>
      <c r="CPT67" s="16"/>
      <c r="CPU67" s="16"/>
      <c r="CPV67" s="16"/>
      <c r="CPW67" s="16"/>
      <c r="CPX67" s="16"/>
      <c r="CPY67" s="16"/>
      <c r="CPZ67" s="16"/>
      <c r="CQA67" s="16"/>
      <c r="CQB67" s="16"/>
      <c r="CQC67" s="16"/>
      <c r="CQD67" s="16"/>
      <c r="CQE67" s="16"/>
      <c r="CQF67" s="16"/>
      <c r="CQG67" s="16"/>
      <c r="CQH67" s="16"/>
      <c r="CQI67" s="16"/>
      <c r="CQJ67" s="16"/>
      <c r="CQK67" s="16"/>
      <c r="CQL67" s="16"/>
      <c r="CQM67" s="16"/>
      <c r="CQN67" s="16"/>
      <c r="CQO67" s="16"/>
      <c r="CQP67" s="16"/>
      <c r="CQQ67" s="16"/>
      <c r="CQR67" s="16"/>
      <c r="CQS67" s="16"/>
      <c r="CQT67" s="16"/>
      <c r="CQU67" s="16"/>
      <c r="CQV67" s="16"/>
      <c r="CQW67" s="16"/>
      <c r="CQX67" s="16"/>
      <c r="CQY67" s="16"/>
      <c r="CQZ67" s="16"/>
      <c r="CRA67" s="16"/>
      <c r="CRB67" s="16"/>
      <c r="CRC67" s="16"/>
      <c r="CRD67" s="16"/>
      <c r="CRE67" s="16"/>
      <c r="CRF67" s="16"/>
      <c r="CRG67" s="16"/>
      <c r="CRH67" s="16"/>
      <c r="CRI67" s="16"/>
      <c r="CRJ67" s="16"/>
      <c r="CRK67" s="16"/>
      <c r="CRL67" s="16"/>
      <c r="CRM67" s="16"/>
      <c r="CRN67" s="16"/>
      <c r="CRO67" s="16"/>
      <c r="CRP67" s="16"/>
      <c r="CRQ67" s="16"/>
      <c r="CRR67" s="16"/>
      <c r="CRS67" s="16"/>
      <c r="CRT67" s="16"/>
      <c r="CRU67" s="16"/>
      <c r="CRV67" s="16"/>
      <c r="CRW67" s="16"/>
      <c r="CRX67" s="16"/>
      <c r="CRY67" s="16"/>
      <c r="CRZ67" s="16"/>
      <c r="CSA67" s="16"/>
      <c r="CSB67" s="16"/>
      <c r="CSC67" s="16"/>
      <c r="CSD67" s="16"/>
      <c r="CSE67" s="16"/>
      <c r="CSF67" s="16"/>
      <c r="CSG67" s="16"/>
      <c r="CSH67" s="16"/>
      <c r="CSI67" s="16"/>
      <c r="CSJ67" s="16"/>
      <c r="CSK67" s="24"/>
      <c r="CSL67" s="16"/>
      <c r="CSM67" s="16"/>
      <c r="CSN67" s="16"/>
      <c r="CSO67" s="16"/>
      <c r="CSP67" s="16"/>
      <c r="CUG67" s="16"/>
      <c r="CUH67" s="16"/>
      <c r="CUI67" s="16"/>
      <c r="CUJ67" s="16"/>
      <c r="CUK67" s="16"/>
      <c r="CUL67" s="16"/>
      <c r="CUM67" s="16"/>
      <c r="CUN67" s="16"/>
      <c r="CUO67" s="16"/>
      <c r="CUP67" s="16"/>
      <c r="CUQ67" s="16"/>
      <c r="CUR67" s="16"/>
      <c r="CUS67" s="16"/>
      <c r="CUT67" s="16"/>
      <c r="CUU67" s="16"/>
      <c r="CUV67" s="16"/>
      <c r="CUW67" s="16"/>
      <c r="CUX67" s="16"/>
      <c r="CUY67" s="16"/>
      <c r="CUZ67" s="16"/>
      <c r="CVA67" s="16"/>
      <c r="CVB67" s="16"/>
      <c r="CVC67" s="16"/>
      <c r="CVD67" s="16"/>
      <c r="CVE67" s="16"/>
      <c r="CVF67" s="16"/>
      <c r="CVG67" s="16"/>
      <c r="CVH67" s="16"/>
      <c r="CVI67" s="16"/>
      <c r="CVJ67" s="16"/>
      <c r="CVK67" s="16"/>
      <c r="CVL67" s="16"/>
      <c r="CVM67" s="16"/>
      <c r="CVN67" s="16"/>
      <c r="CVO67" s="16"/>
      <c r="CVP67" s="16"/>
    </row>
    <row r="68" spans="3:2616" ht="13.8" x14ac:dyDescent="0.25">
      <c r="C68" s="57"/>
      <c r="E68" s="16"/>
      <c r="K68" s="59"/>
      <c r="L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/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/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/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/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/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/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/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/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/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/>
      <c r="LR68" s="16"/>
      <c r="LS68" s="16"/>
      <c r="LT68" s="16"/>
      <c r="LU68" s="16"/>
      <c r="LV68" s="16"/>
      <c r="LW68" s="16"/>
      <c r="LX68" s="16"/>
      <c r="LY68" s="16"/>
      <c r="LZ68" s="16"/>
      <c r="MA68" s="16"/>
      <c r="MB68" s="16"/>
      <c r="MC68" s="16"/>
      <c r="MD68" s="16"/>
      <c r="ME68" s="16"/>
      <c r="MF68" s="16"/>
      <c r="MG68" s="16"/>
      <c r="MH68" s="16"/>
      <c r="MI68" s="16"/>
      <c r="MJ68" s="16"/>
      <c r="MK68" s="16"/>
      <c r="ML68" s="16"/>
      <c r="MM68" s="16"/>
      <c r="MN68" s="16"/>
      <c r="MO68" s="16"/>
      <c r="MP68" s="16"/>
      <c r="MQ68" s="16"/>
      <c r="MR68" s="16"/>
      <c r="MS68" s="16"/>
      <c r="MT68" s="16"/>
      <c r="MU68" s="16"/>
      <c r="MV68" s="16"/>
      <c r="MW68" s="16"/>
      <c r="MX68" s="16"/>
      <c r="MY68" s="16"/>
      <c r="MZ68" s="16"/>
      <c r="NA68" s="16"/>
      <c r="NB68" s="16"/>
      <c r="NC68" s="16"/>
      <c r="ND68" s="16"/>
      <c r="NE68" s="16"/>
      <c r="NF68" s="16"/>
      <c r="NG68" s="16"/>
      <c r="NH68" s="16"/>
      <c r="NI68" s="16"/>
      <c r="NJ68" s="16"/>
      <c r="NK68" s="16"/>
      <c r="NL68" s="16"/>
      <c r="NM68" s="16"/>
      <c r="NN68" s="16"/>
      <c r="NO68" s="16"/>
      <c r="NP68" s="16"/>
      <c r="NQ68" s="16"/>
      <c r="NR68" s="16"/>
      <c r="NS68" s="16"/>
      <c r="NT68" s="16"/>
      <c r="NU68" s="16"/>
      <c r="NV68" s="16"/>
      <c r="NW68" s="16"/>
      <c r="NX68" s="16"/>
      <c r="NY68" s="16"/>
      <c r="NZ68" s="16"/>
      <c r="OA68" s="16"/>
      <c r="OB68" s="16"/>
      <c r="OC68" s="16"/>
      <c r="OD68" s="16"/>
      <c r="OE68" s="16"/>
      <c r="OF68" s="16"/>
      <c r="OG68" s="16"/>
      <c r="OH68" s="16"/>
      <c r="OI68" s="16"/>
      <c r="OJ68" s="16"/>
      <c r="OK68" s="16"/>
      <c r="OL68" s="16"/>
      <c r="OM68" s="16"/>
      <c r="ON68" s="16"/>
      <c r="OO68" s="16"/>
      <c r="OP68" s="16"/>
      <c r="OQ68" s="16"/>
      <c r="OR68" s="16"/>
      <c r="OS68" s="16"/>
      <c r="OT68" s="16"/>
      <c r="OU68" s="16"/>
      <c r="OV68" s="16"/>
      <c r="OW68" s="16"/>
      <c r="OX68" s="16"/>
      <c r="OY68" s="16"/>
      <c r="OZ68" s="16"/>
      <c r="PA68" s="16"/>
      <c r="PB68" s="16"/>
      <c r="PC68" s="16"/>
      <c r="PD68" s="16"/>
      <c r="PE68" s="16"/>
      <c r="PF68" s="16"/>
      <c r="PG68" s="16"/>
      <c r="PH68" s="16"/>
      <c r="PI68" s="16"/>
      <c r="PJ68" s="16"/>
      <c r="PK68" s="16"/>
      <c r="PL68" s="16"/>
      <c r="PM68" s="16"/>
      <c r="PN68" s="16"/>
      <c r="PO68" s="16"/>
      <c r="PP68" s="16"/>
      <c r="PQ68" s="16"/>
      <c r="PR68" s="16"/>
      <c r="PS68" s="16"/>
      <c r="PT68" s="16"/>
      <c r="PU68" s="16"/>
      <c r="PV68" s="16"/>
      <c r="PW68" s="16"/>
      <c r="PX68" s="16"/>
      <c r="PY68" s="16"/>
      <c r="PZ68" s="16"/>
      <c r="QA68" s="16"/>
      <c r="QB68" s="16"/>
      <c r="QC68" s="16"/>
      <c r="QD68" s="16"/>
      <c r="QE68" s="16"/>
      <c r="QF68" s="16"/>
      <c r="QG68" s="16"/>
      <c r="QH68" s="16"/>
      <c r="QI68" s="16"/>
      <c r="QJ68" s="16"/>
      <c r="QK68" s="16"/>
      <c r="QL68" s="16"/>
      <c r="QM68" s="16"/>
      <c r="QN68" s="16"/>
      <c r="QO68" s="16"/>
      <c r="QP68" s="16"/>
      <c r="QQ68" s="16"/>
      <c r="QR68" s="16"/>
      <c r="QS68" s="16"/>
      <c r="QT68" s="16"/>
      <c r="QU68" s="16"/>
      <c r="QV68" s="16"/>
      <c r="QW68" s="16"/>
      <c r="QX68" s="16"/>
      <c r="QY68" s="16"/>
      <c r="QZ68" s="16"/>
      <c r="RA68" s="16"/>
      <c r="RB68" s="16"/>
      <c r="RC68" s="16"/>
      <c r="RD68" s="16"/>
      <c r="RE68" s="16"/>
      <c r="RF68" s="16"/>
      <c r="RG68" s="16"/>
      <c r="RH68" s="16"/>
      <c r="RI68" s="16"/>
      <c r="RJ68" s="16"/>
      <c r="RK68" s="16"/>
      <c r="RL68" s="16"/>
      <c r="RM68" s="16"/>
      <c r="RN68" s="16"/>
      <c r="RO68" s="16"/>
      <c r="RP68" s="16"/>
      <c r="RQ68" s="16"/>
      <c r="RR68" s="16"/>
      <c r="RS68" s="16"/>
      <c r="RT68" s="16"/>
      <c r="RU68" s="16"/>
      <c r="RV68" s="16"/>
      <c r="RW68" s="16"/>
      <c r="RX68" s="16"/>
      <c r="RY68" s="16"/>
      <c r="RZ68" s="16"/>
      <c r="SA68" s="16"/>
      <c r="SB68" s="16"/>
      <c r="SC68" s="16"/>
      <c r="SD68" s="16"/>
      <c r="SE68" s="16"/>
      <c r="SF68" s="16"/>
      <c r="SG68" s="16"/>
      <c r="SH68" s="16"/>
      <c r="SI68" s="16"/>
      <c r="SJ68" s="16"/>
      <c r="SK68" s="16"/>
      <c r="SL68" s="16"/>
      <c r="SM68" s="16"/>
      <c r="SN68" s="16"/>
      <c r="SO68" s="16"/>
      <c r="SP68" s="16"/>
      <c r="SQ68" s="16"/>
      <c r="SR68" s="16"/>
      <c r="SS68" s="16"/>
      <c r="ST68" s="16"/>
      <c r="SU68" s="16"/>
      <c r="SV68" s="16"/>
      <c r="SW68" s="16"/>
      <c r="SX68" s="16"/>
      <c r="SY68" s="16"/>
      <c r="SZ68" s="16"/>
      <c r="TA68" s="16"/>
      <c r="TB68" s="16"/>
      <c r="TC68" s="16"/>
      <c r="TD68" s="16"/>
      <c r="TE68" s="16"/>
      <c r="TF68" s="16"/>
      <c r="TG68" s="16"/>
      <c r="TH68" s="16"/>
      <c r="TI68" s="16"/>
      <c r="TJ68" s="16"/>
      <c r="TK68" s="16"/>
      <c r="TL68" s="16"/>
      <c r="TM68" s="16"/>
      <c r="TN68" s="16"/>
      <c r="TO68" s="16"/>
      <c r="TP68" s="16"/>
      <c r="TQ68" s="16"/>
      <c r="TR68" s="16"/>
      <c r="TS68" s="16"/>
      <c r="TT68" s="16"/>
      <c r="TU68" s="16"/>
      <c r="TV68" s="16"/>
      <c r="TW68" s="16"/>
      <c r="TX68" s="16"/>
      <c r="TY68" s="16"/>
      <c r="TZ68" s="16"/>
      <c r="UA68" s="16"/>
      <c r="UB68" s="16"/>
      <c r="UC68" s="16"/>
      <c r="UD68" s="16"/>
      <c r="UE68" s="16"/>
      <c r="UF68" s="16"/>
      <c r="UG68" s="16"/>
      <c r="UH68" s="16"/>
      <c r="UI68" s="16"/>
      <c r="UJ68" s="16"/>
      <c r="UK68" s="16"/>
      <c r="UL68" s="16"/>
      <c r="UM68" s="16"/>
      <c r="UN68" s="16"/>
      <c r="UO68" s="16"/>
      <c r="UP68" s="16"/>
      <c r="UQ68" s="16"/>
      <c r="UR68" s="16"/>
      <c r="US68" s="16"/>
      <c r="UT68" s="16"/>
      <c r="UU68" s="16"/>
      <c r="UV68" s="16"/>
      <c r="UW68" s="16"/>
      <c r="UX68" s="16"/>
      <c r="UY68" s="16"/>
      <c r="UZ68" s="16"/>
      <c r="VA68" s="16"/>
      <c r="VB68" s="16"/>
      <c r="VC68" s="16"/>
      <c r="VD68" s="16"/>
      <c r="VE68" s="16"/>
      <c r="VF68" s="16"/>
      <c r="VG68" s="16"/>
      <c r="VH68" s="16"/>
      <c r="VI68" s="16"/>
      <c r="VJ68" s="16"/>
      <c r="VK68" s="16"/>
      <c r="VL68" s="16"/>
      <c r="VM68" s="16"/>
      <c r="VN68" s="16"/>
      <c r="VO68" s="16"/>
      <c r="VP68" s="16"/>
      <c r="VQ68" s="16"/>
      <c r="VR68" s="16"/>
      <c r="VS68" s="16"/>
      <c r="VT68" s="16"/>
      <c r="VU68" s="16"/>
      <c r="VV68" s="16"/>
      <c r="VW68" s="16"/>
      <c r="VX68" s="16"/>
      <c r="VY68" s="16"/>
      <c r="VZ68" s="16"/>
      <c r="WA68" s="16"/>
      <c r="WB68" s="16"/>
      <c r="WC68" s="16"/>
      <c r="WD68" s="16"/>
      <c r="WE68" s="16"/>
      <c r="WF68" s="16"/>
      <c r="WG68" s="16"/>
      <c r="WH68" s="16"/>
      <c r="WI68" s="16"/>
      <c r="WJ68" s="16"/>
      <c r="WK68" s="16"/>
      <c r="WL68" s="16"/>
      <c r="WM68" s="16"/>
      <c r="WN68" s="16"/>
      <c r="WO68" s="16"/>
      <c r="WP68" s="16"/>
      <c r="WQ68" s="16"/>
      <c r="WR68" s="16"/>
      <c r="WS68" s="16"/>
      <c r="WT68" s="16"/>
      <c r="WU68" s="16"/>
      <c r="WV68" s="16"/>
      <c r="WW68" s="16"/>
      <c r="WX68" s="16"/>
      <c r="WY68" s="16"/>
      <c r="WZ68" s="16"/>
      <c r="XA68" s="16"/>
      <c r="XB68" s="16"/>
      <c r="XC68" s="16"/>
      <c r="XD68" s="16"/>
      <c r="XE68" s="16"/>
      <c r="XF68" s="16"/>
      <c r="XG68" s="16"/>
      <c r="XH68" s="16"/>
      <c r="XI68" s="16"/>
      <c r="XJ68" s="16"/>
      <c r="XK68" s="16"/>
      <c r="XL68" s="16"/>
      <c r="XM68" s="16"/>
      <c r="XN68" s="16"/>
      <c r="XO68" s="16"/>
      <c r="XP68" s="16"/>
      <c r="XQ68" s="16"/>
      <c r="XR68" s="16"/>
      <c r="XS68" s="16"/>
      <c r="XT68" s="16"/>
      <c r="XU68" s="16"/>
      <c r="XV68" s="16"/>
      <c r="XW68" s="16"/>
      <c r="XX68" s="16"/>
      <c r="XY68" s="16"/>
      <c r="XZ68" s="16"/>
      <c r="YA68" s="16"/>
      <c r="YB68" s="16"/>
      <c r="YC68" s="16"/>
      <c r="YD68" s="16"/>
      <c r="YE68" s="16"/>
      <c r="YF68" s="16"/>
      <c r="YG68" s="16"/>
      <c r="YH68" s="16"/>
      <c r="YI68" s="16"/>
      <c r="YJ68" s="16"/>
      <c r="YK68" s="16"/>
      <c r="YL68" s="16"/>
      <c r="YM68" s="16"/>
      <c r="YN68" s="16"/>
      <c r="YO68" s="16"/>
      <c r="YP68" s="16"/>
      <c r="YQ68" s="16"/>
      <c r="YR68" s="16"/>
      <c r="YS68" s="16"/>
      <c r="YT68" s="16"/>
      <c r="YU68" s="16"/>
      <c r="YV68" s="16"/>
      <c r="YW68" s="16"/>
      <c r="YX68" s="16"/>
      <c r="YY68" s="16"/>
      <c r="YZ68" s="16"/>
      <c r="ZA68" s="16"/>
      <c r="ZB68" s="16"/>
      <c r="ZC68" s="16"/>
      <c r="ZD68" s="16"/>
      <c r="ZE68" s="16"/>
      <c r="ZF68" s="16"/>
      <c r="ZG68" s="16"/>
      <c r="ZH68" s="16"/>
      <c r="ZI68" s="16"/>
      <c r="ZJ68" s="16"/>
      <c r="ZK68" s="16"/>
      <c r="ZL68" s="16"/>
      <c r="ZM68" s="16"/>
      <c r="ZN68" s="16"/>
      <c r="ZO68" s="16"/>
      <c r="ZP68" s="16"/>
      <c r="ZQ68" s="16"/>
      <c r="ZR68" s="16"/>
      <c r="ZS68" s="16"/>
      <c r="ZT68" s="16"/>
      <c r="ZU68" s="16"/>
      <c r="ZV68" s="16"/>
      <c r="ZW68" s="16"/>
      <c r="ZX68" s="16"/>
      <c r="ZY68" s="16"/>
      <c r="ZZ68" s="16"/>
      <c r="AAA68" s="16"/>
      <c r="AAB68" s="16"/>
      <c r="AAC68" s="16"/>
      <c r="AAD68" s="16"/>
      <c r="AAE68" s="16"/>
      <c r="AAF68" s="16"/>
      <c r="AAG68" s="16"/>
      <c r="AAH68" s="16"/>
      <c r="AAI68" s="16"/>
      <c r="AAJ68" s="16"/>
      <c r="AAK68" s="16"/>
      <c r="AAL68" s="16"/>
      <c r="AAM68" s="16"/>
      <c r="AAN68" s="16"/>
      <c r="AAO68" s="16"/>
      <c r="AAP68" s="16"/>
      <c r="AAQ68" s="16"/>
      <c r="AAR68" s="16"/>
      <c r="AAS68" s="16"/>
      <c r="AAT68" s="16"/>
      <c r="AAU68" s="16"/>
      <c r="AAV68" s="16"/>
      <c r="AAW68" s="16"/>
      <c r="AAX68" s="16"/>
      <c r="AAY68" s="16"/>
      <c r="AAZ68" s="16"/>
      <c r="ABA68" s="16"/>
      <c r="ABB68" s="16"/>
      <c r="ABC68" s="16"/>
      <c r="ABD68" s="16"/>
      <c r="ABE68" s="16"/>
      <c r="ABF68" s="16"/>
      <c r="ABG68" s="16"/>
      <c r="ABH68" s="16"/>
      <c r="ABI68" s="16"/>
      <c r="ABJ68" s="16"/>
      <c r="ABK68" s="16"/>
      <c r="ABL68" s="16"/>
      <c r="ABM68" s="16"/>
      <c r="ABN68" s="16"/>
      <c r="ABO68" s="16"/>
      <c r="ABP68" s="16"/>
      <c r="ABQ68" s="16"/>
      <c r="ABR68" s="16"/>
      <c r="ABS68" s="16"/>
      <c r="ABT68" s="16"/>
      <c r="ABU68" s="16"/>
      <c r="ABV68" s="16"/>
      <c r="ABW68" s="16"/>
      <c r="ABX68" s="16"/>
      <c r="ABY68" s="16"/>
      <c r="ABZ68" s="16"/>
      <c r="ACA68" s="16"/>
      <c r="ACB68" s="16"/>
      <c r="ACC68" s="16"/>
      <c r="ACD68" s="16"/>
      <c r="ACE68" s="16"/>
      <c r="ACF68" s="16"/>
      <c r="ACG68" s="16"/>
      <c r="ACH68" s="16"/>
      <c r="ACI68" s="16"/>
      <c r="ACJ68" s="16"/>
      <c r="ACK68" s="16"/>
      <c r="ACL68" s="16"/>
      <c r="ACM68" s="16"/>
      <c r="ACN68" s="16"/>
      <c r="ACO68" s="16"/>
      <c r="ACP68" s="16"/>
      <c r="ACQ68" s="16"/>
      <c r="ACR68" s="16"/>
      <c r="ACS68" s="16"/>
      <c r="ACT68" s="16"/>
      <c r="ACU68" s="16"/>
      <c r="ACV68" s="16"/>
      <c r="ACW68" s="16"/>
      <c r="ACX68" s="16"/>
      <c r="ACY68" s="16"/>
      <c r="ACZ68" s="16"/>
      <c r="ADA68" s="16"/>
      <c r="ADB68" s="16"/>
      <c r="ADC68" s="16"/>
      <c r="ADD68" s="16"/>
      <c r="ADE68" s="16"/>
      <c r="ADF68" s="16"/>
      <c r="ADG68" s="16"/>
      <c r="ADH68" s="16"/>
      <c r="ADI68" s="16"/>
      <c r="ADJ68" s="16"/>
      <c r="ADK68" s="16"/>
      <c r="ADL68" s="16"/>
      <c r="ADM68" s="16"/>
      <c r="ADN68" s="16"/>
      <c r="ADO68" s="16"/>
      <c r="ADP68" s="16"/>
      <c r="ADQ68" s="16"/>
      <c r="ADR68" s="16"/>
      <c r="ADS68" s="16"/>
      <c r="ADT68" s="16"/>
      <c r="ADU68" s="16"/>
      <c r="ADV68" s="16"/>
      <c r="ADW68" s="16"/>
      <c r="ADX68" s="16"/>
      <c r="ADY68" s="16"/>
      <c r="ADZ68" s="16"/>
      <c r="AEA68" s="16"/>
      <c r="AEB68" s="16"/>
      <c r="AEC68" s="16"/>
      <c r="AED68" s="16"/>
      <c r="AEE68" s="16"/>
      <c r="AEF68" s="16"/>
      <c r="AEG68" s="16"/>
      <c r="AEH68" s="16"/>
      <c r="AEI68" s="16"/>
      <c r="AEJ68" s="16"/>
      <c r="AEK68" s="16"/>
      <c r="AEL68" s="16"/>
      <c r="AEM68" s="16"/>
      <c r="AEN68" s="16"/>
      <c r="AEO68" s="16"/>
      <c r="AEP68" s="16"/>
      <c r="AEQ68" s="16"/>
      <c r="AER68" s="16"/>
      <c r="AES68" s="16"/>
      <c r="AET68" s="16"/>
      <c r="AEU68" s="16"/>
      <c r="AEV68" s="16"/>
      <c r="AEW68" s="16"/>
      <c r="AEX68" s="16"/>
      <c r="AEY68" s="16"/>
      <c r="AEZ68" s="16"/>
      <c r="AFA68" s="16"/>
      <c r="AFB68" s="16"/>
      <c r="AFC68" s="16"/>
      <c r="AFD68" s="16"/>
      <c r="AFE68" s="16"/>
      <c r="AFF68" s="16"/>
      <c r="AFG68" s="16"/>
      <c r="AFH68" s="16"/>
      <c r="AFI68" s="16"/>
      <c r="AFJ68" s="16"/>
      <c r="AFK68" s="16"/>
      <c r="AFL68" s="16"/>
      <c r="AFM68" s="16"/>
      <c r="AFN68" s="16"/>
      <c r="AFO68" s="16"/>
      <c r="AFP68" s="16"/>
      <c r="AFQ68" s="16"/>
      <c r="AFR68" s="16"/>
      <c r="AFS68" s="16"/>
      <c r="AFT68" s="16"/>
      <c r="AFU68" s="16"/>
      <c r="AFV68" s="16"/>
      <c r="AFW68" s="16"/>
      <c r="AFX68" s="16"/>
      <c r="AFY68" s="16"/>
      <c r="AFZ68" s="16"/>
      <c r="AGA68" s="16"/>
      <c r="AGB68" s="16"/>
      <c r="AGC68" s="16"/>
      <c r="AGD68" s="16"/>
      <c r="AGE68" s="16"/>
      <c r="AGF68" s="16"/>
      <c r="AGG68" s="16"/>
      <c r="AGH68" s="16"/>
      <c r="AGI68" s="16"/>
      <c r="AGJ68" s="16"/>
      <c r="AGK68" s="16"/>
      <c r="AGL68" s="16"/>
      <c r="AGM68" s="16"/>
      <c r="AGN68" s="16"/>
      <c r="AGO68" s="16"/>
      <c r="AGP68" s="16"/>
      <c r="AGQ68" s="16"/>
      <c r="AGR68" s="16"/>
      <c r="AGS68" s="16"/>
      <c r="AGT68" s="16"/>
      <c r="AGU68" s="16"/>
      <c r="AGV68" s="16"/>
      <c r="AGW68" s="16"/>
      <c r="AGX68" s="16"/>
      <c r="AGY68" s="16"/>
      <c r="AGZ68" s="16"/>
      <c r="AHA68" s="16"/>
      <c r="AHB68" s="16"/>
      <c r="AHC68" s="16"/>
      <c r="AHD68" s="16"/>
      <c r="AHE68" s="16"/>
      <c r="AHF68" s="16"/>
      <c r="AHG68" s="16"/>
      <c r="AHH68" s="16"/>
      <c r="AHI68" s="16"/>
      <c r="AHJ68" s="16"/>
      <c r="AHK68" s="16"/>
      <c r="AHL68" s="16"/>
      <c r="AHM68" s="16"/>
      <c r="AHN68" s="16"/>
      <c r="AHO68" s="16"/>
      <c r="AHP68" s="16"/>
      <c r="AHQ68" s="16"/>
      <c r="AHR68" s="16"/>
      <c r="AHS68" s="16"/>
      <c r="AHT68" s="16"/>
      <c r="AHU68" s="16"/>
      <c r="AHV68" s="16"/>
      <c r="AHW68" s="16"/>
      <c r="AHX68" s="16"/>
      <c r="AHY68" s="16"/>
      <c r="AHZ68" s="16"/>
      <c r="AIA68" s="16"/>
      <c r="AIB68" s="16"/>
      <c r="AIC68" s="16"/>
      <c r="AID68" s="16"/>
      <c r="AIE68" s="16"/>
      <c r="AIF68" s="16"/>
      <c r="AIG68" s="16"/>
      <c r="AIH68" s="16"/>
      <c r="AII68" s="16"/>
      <c r="AIJ68" s="16"/>
      <c r="AIK68" s="16"/>
      <c r="AIL68" s="16"/>
      <c r="AIM68" s="16"/>
      <c r="AIN68" s="16"/>
      <c r="AIO68" s="16"/>
      <c r="AIP68" s="16"/>
      <c r="AIQ68" s="16"/>
      <c r="AIR68" s="16"/>
      <c r="AIS68" s="16"/>
      <c r="AIT68" s="16"/>
      <c r="AIU68" s="16"/>
      <c r="AIV68" s="16"/>
      <c r="AIW68" s="16"/>
      <c r="AIX68" s="16"/>
      <c r="AIY68" s="16"/>
      <c r="AIZ68" s="16"/>
      <c r="AJA68" s="16"/>
      <c r="AJB68" s="16"/>
      <c r="AJC68" s="16"/>
      <c r="AJD68" s="16"/>
      <c r="AJE68" s="16"/>
      <c r="AJF68" s="16"/>
      <c r="AJG68" s="16"/>
      <c r="AJH68" s="16"/>
      <c r="AJI68" s="16"/>
      <c r="AJJ68" s="16"/>
      <c r="AJK68" s="16"/>
      <c r="AJL68" s="16"/>
      <c r="AJM68" s="16"/>
      <c r="AJN68" s="16"/>
      <c r="AJO68" s="16"/>
      <c r="AJP68" s="16"/>
      <c r="AJQ68" s="16"/>
      <c r="AJR68" s="16"/>
      <c r="AJS68" s="16"/>
      <c r="AJT68" s="16"/>
      <c r="AJU68" s="16"/>
      <c r="AJV68" s="16"/>
      <c r="AJW68" s="16"/>
      <c r="AJX68" s="16"/>
      <c r="AJY68" s="16"/>
      <c r="AJZ68" s="16"/>
      <c r="AKA68" s="16"/>
      <c r="AKB68" s="16"/>
      <c r="AKC68" s="16"/>
      <c r="AKD68" s="16"/>
      <c r="AKE68" s="16"/>
      <c r="AKF68" s="16"/>
      <c r="AKG68" s="16"/>
      <c r="AKH68" s="16"/>
      <c r="AKI68" s="16"/>
      <c r="AKJ68" s="16"/>
      <c r="AKK68" s="16"/>
      <c r="AKL68" s="16"/>
      <c r="AKM68" s="16"/>
      <c r="AKN68" s="16"/>
      <c r="AKO68" s="16"/>
      <c r="AKP68" s="16"/>
      <c r="AKQ68" s="16"/>
      <c r="AKR68" s="16"/>
      <c r="AKS68" s="16"/>
      <c r="AKT68" s="16"/>
      <c r="AKU68" s="16"/>
      <c r="AKV68" s="16"/>
      <c r="AKW68" s="16"/>
      <c r="AKX68" s="16"/>
      <c r="AKY68" s="16"/>
      <c r="AKZ68" s="16"/>
      <c r="ALA68" s="16"/>
      <c r="ALB68" s="16"/>
      <c r="ALC68" s="16"/>
      <c r="ALD68" s="16"/>
      <c r="ALE68" s="16"/>
      <c r="ALF68" s="16"/>
      <c r="ALG68" s="16"/>
      <c r="ALH68" s="16"/>
      <c r="ALI68" s="16"/>
      <c r="ALJ68" s="16"/>
      <c r="ALK68" s="16"/>
      <c r="ALL68" s="16"/>
      <c r="ALM68" s="16"/>
      <c r="ALN68" s="16"/>
      <c r="ALO68" s="16"/>
      <c r="ALP68" s="16"/>
      <c r="ALQ68" s="16"/>
      <c r="ALR68" s="16"/>
      <c r="ALS68" s="16"/>
      <c r="ALT68" s="16"/>
      <c r="ALU68" s="16"/>
      <c r="ALV68" s="16"/>
      <c r="ALW68" s="16"/>
      <c r="ALX68" s="16"/>
      <c r="ALY68" s="16"/>
      <c r="ALZ68" s="16"/>
      <c r="AMA68" s="16"/>
      <c r="AMB68" s="16"/>
      <c r="AMC68" s="16"/>
      <c r="AMD68" s="16"/>
      <c r="AME68" s="16"/>
      <c r="AMF68" s="16"/>
      <c r="AMG68" s="16"/>
      <c r="AMH68" s="16"/>
      <c r="AMI68" s="16"/>
      <c r="AMJ68" s="16"/>
      <c r="AMK68" s="16"/>
      <c r="AML68" s="16"/>
      <c r="AMM68" s="16"/>
      <c r="AMN68" s="16"/>
      <c r="AMO68" s="16"/>
      <c r="AMP68" s="16"/>
      <c r="AMQ68" s="16"/>
      <c r="AMR68" s="16"/>
      <c r="AMS68" s="16"/>
      <c r="AMT68" s="16"/>
      <c r="AMU68" s="16"/>
      <c r="AMV68" s="16"/>
      <c r="AMW68" s="16"/>
      <c r="AMX68" s="16"/>
      <c r="AMY68" s="16"/>
      <c r="AMZ68" s="16"/>
      <c r="ANA68" s="16"/>
      <c r="ANB68" s="16"/>
      <c r="ANC68" s="16"/>
      <c r="AND68" s="16"/>
      <c r="ANE68" s="16"/>
      <c r="ANF68" s="16"/>
      <c r="ANG68" s="16"/>
      <c r="ANH68" s="16"/>
      <c r="ANI68" s="16"/>
      <c r="ANJ68" s="16"/>
      <c r="ANK68" s="16"/>
      <c r="ANL68" s="16"/>
      <c r="ANM68" s="16"/>
      <c r="ANN68" s="16"/>
      <c r="ANO68" s="16"/>
      <c r="ANP68" s="16"/>
      <c r="ANQ68" s="16"/>
      <c r="ANR68" s="16"/>
      <c r="ANS68" s="16"/>
      <c r="ANT68" s="16"/>
      <c r="ANU68" s="16"/>
      <c r="ANV68" s="16"/>
      <c r="ANW68" s="16"/>
      <c r="ANX68" s="16"/>
      <c r="ANY68" s="16"/>
      <c r="ANZ68" s="16"/>
      <c r="AOA68" s="16"/>
      <c r="AOB68" s="16"/>
      <c r="AOC68" s="16"/>
      <c r="AOD68" s="16"/>
      <c r="AOE68" s="16"/>
      <c r="AOF68" s="16"/>
      <c r="AOG68" s="16"/>
      <c r="AOH68" s="16"/>
      <c r="AOI68" s="16"/>
      <c r="AOJ68" s="16"/>
      <c r="AOK68" s="16"/>
      <c r="AOL68" s="16"/>
      <c r="AOM68" s="16"/>
      <c r="AON68" s="16"/>
      <c r="AOO68" s="16"/>
      <c r="AOP68" s="16"/>
      <c r="AOQ68" s="16"/>
      <c r="AOR68" s="16"/>
      <c r="AOS68" s="16"/>
      <c r="AOT68" s="16"/>
      <c r="AOU68" s="16"/>
      <c r="AOV68" s="16"/>
      <c r="AOW68" s="16"/>
      <c r="AOX68" s="16"/>
      <c r="AOY68" s="16"/>
      <c r="AOZ68" s="16"/>
      <c r="APA68" s="16"/>
      <c r="APB68" s="16"/>
      <c r="APC68" s="16"/>
      <c r="APD68" s="16"/>
      <c r="APE68" s="16"/>
      <c r="APF68" s="16"/>
      <c r="APG68" s="16"/>
      <c r="APH68" s="16"/>
      <c r="API68" s="16"/>
      <c r="APJ68" s="16"/>
      <c r="APK68" s="16"/>
      <c r="APL68" s="16"/>
      <c r="APM68" s="16"/>
      <c r="APN68" s="16"/>
      <c r="APO68" s="16"/>
      <c r="APP68" s="16"/>
      <c r="APQ68" s="16"/>
      <c r="APR68" s="16"/>
      <c r="APS68" s="16"/>
      <c r="APT68" s="16"/>
      <c r="APU68" s="16"/>
      <c r="APV68" s="16"/>
      <c r="APW68" s="16"/>
      <c r="APX68" s="16"/>
      <c r="APY68" s="16"/>
      <c r="APZ68" s="16"/>
      <c r="AQA68" s="16"/>
      <c r="AQB68" s="16"/>
      <c r="AQC68" s="16"/>
      <c r="AQD68" s="16"/>
      <c r="AQE68" s="16"/>
      <c r="AQF68" s="16"/>
      <c r="AQG68" s="16"/>
      <c r="AQH68" s="16"/>
      <c r="AQI68" s="16"/>
      <c r="AQJ68" s="16"/>
      <c r="AQK68" s="16"/>
      <c r="AQL68" s="16"/>
      <c r="AQM68" s="16"/>
      <c r="AQN68" s="16"/>
      <c r="AQO68" s="16"/>
      <c r="AQP68" s="16"/>
      <c r="AQQ68" s="16"/>
      <c r="AQR68" s="16"/>
      <c r="AQS68" s="16"/>
      <c r="AQT68" s="16"/>
      <c r="AQU68" s="16"/>
      <c r="AQV68" s="16"/>
      <c r="AQW68" s="16"/>
      <c r="AQX68" s="16"/>
      <c r="AQY68" s="16"/>
      <c r="AQZ68" s="16"/>
      <c r="ARA68" s="16"/>
      <c r="ARB68" s="16"/>
      <c r="ARC68" s="16"/>
      <c r="ARD68" s="16"/>
      <c r="ARE68" s="16"/>
      <c r="ARF68" s="16"/>
      <c r="ARG68" s="16"/>
      <c r="ARH68" s="16"/>
      <c r="ARI68" s="16"/>
      <c r="ARJ68" s="16"/>
      <c r="ARK68" s="16"/>
      <c r="ARL68" s="16"/>
      <c r="ARM68" s="16"/>
      <c r="ARN68" s="16"/>
      <c r="ARO68" s="16"/>
      <c r="ARP68" s="16"/>
      <c r="ARQ68" s="16"/>
      <c r="ARR68" s="16"/>
      <c r="ARS68" s="16"/>
      <c r="ART68" s="16"/>
      <c r="ARU68" s="16"/>
      <c r="ARV68" s="16"/>
      <c r="ARW68" s="16"/>
      <c r="ARX68" s="16"/>
      <c r="ARY68" s="16"/>
      <c r="ARZ68" s="16"/>
      <c r="ASA68" s="16"/>
      <c r="ASB68" s="16"/>
      <c r="ASC68" s="16"/>
      <c r="ASD68" s="16"/>
      <c r="ASE68" s="16"/>
      <c r="ASF68" s="16"/>
      <c r="ASG68" s="16"/>
      <c r="ASH68" s="16"/>
      <c r="ASI68" s="16"/>
      <c r="ASJ68" s="16"/>
      <c r="ASK68" s="16"/>
      <c r="ASL68" s="16"/>
      <c r="ASM68" s="16"/>
      <c r="ASN68" s="16"/>
      <c r="ASO68" s="16"/>
      <c r="ASP68" s="16"/>
      <c r="ASQ68" s="16"/>
      <c r="ASR68" s="16"/>
      <c r="ASS68" s="16"/>
      <c r="AST68" s="16"/>
      <c r="ASU68" s="16"/>
      <c r="ASV68" s="16"/>
      <c r="ASW68" s="16"/>
      <c r="ASX68" s="16"/>
      <c r="ASY68" s="16"/>
      <c r="ASZ68" s="16"/>
      <c r="ATA68" s="16"/>
      <c r="ATB68" s="16"/>
      <c r="ATC68" s="16"/>
      <c r="ATD68" s="16"/>
      <c r="ATE68" s="16"/>
      <c r="ATF68" s="16"/>
      <c r="ATG68" s="16"/>
      <c r="ATH68" s="16"/>
      <c r="ATI68" s="16"/>
      <c r="ATJ68" s="16"/>
      <c r="ATK68" s="16"/>
      <c r="ATL68" s="16"/>
      <c r="ATM68" s="16"/>
      <c r="ATN68" s="16"/>
      <c r="ATO68" s="16"/>
      <c r="ATP68" s="16"/>
      <c r="ATQ68" s="16"/>
      <c r="ATR68" s="16"/>
      <c r="ATS68" s="16"/>
      <c r="ATT68" s="16"/>
      <c r="ATU68" s="16"/>
      <c r="ATV68" s="16"/>
      <c r="ATW68" s="16"/>
      <c r="ATX68" s="16"/>
      <c r="ATY68" s="16"/>
      <c r="ATZ68" s="16"/>
      <c r="AUA68" s="16"/>
      <c r="AUB68" s="16"/>
      <c r="AUC68" s="16"/>
      <c r="AUD68" s="16"/>
      <c r="AUE68" s="16"/>
      <c r="AUF68" s="16"/>
      <c r="AUG68" s="16"/>
      <c r="AUH68" s="16"/>
      <c r="AUI68" s="16"/>
      <c r="AUJ68" s="16"/>
      <c r="AUK68" s="16"/>
      <c r="AUL68" s="16"/>
      <c r="AUM68" s="16"/>
      <c r="AUN68" s="16"/>
      <c r="AUO68" s="16"/>
      <c r="AUP68" s="16"/>
      <c r="AUQ68" s="16"/>
      <c r="AUR68" s="16"/>
      <c r="AUS68" s="16"/>
      <c r="AUT68" s="16"/>
      <c r="AUU68" s="16"/>
      <c r="AUV68" s="16"/>
      <c r="AUW68" s="16"/>
      <c r="AUX68" s="16"/>
      <c r="AUY68" s="16"/>
      <c r="AUZ68" s="16"/>
      <c r="AVA68" s="16"/>
      <c r="AVB68" s="16"/>
      <c r="AVC68" s="16"/>
      <c r="AVD68" s="16"/>
      <c r="AVE68" s="16"/>
      <c r="AVF68" s="16"/>
      <c r="AVG68" s="16"/>
      <c r="AVH68" s="16"/>
      <c r="AVI68" s="16"/>
      <c r="AVJ68" s="16"/>
      <c r="AVK68" s="16"/>
      <c r="AVL68" s="16"/>
      <c r="AVM68" s="16"/>
      <c r="AVN68" s="16"/>
      <c r="AVO68" s="16"/>
      <c r="AVP68" s="16"/>
      <c r="AVQ68" s="16"/>
      <c r="AVR68" s="16"/>
      <c r="AVS68" s="16"/>
      <c r="AVT68" s="16"/>
      <c r="AVU68" s="16"/>
      <c r="AVV68" s="16"/>
      <c r="AVW68" s="16"/>
      <c r="AVX68" s="16"/>
      <c r="AVY68" s="16"/>
      <c r="AVZ68" s="16"/>
      <c r="AWA68" s="16"/>
      <c r="AWB68" s="16"/>
      <c r="AWC68" s="16"/>
      <c r="AWD68" s="16"/>
      <c r="AWE68" s="16"/>
      <c r="AWF68" s="16"/>
      <c r="AWG68" s="16"/>
      <c r="AWH68" s="16"/>
      <c r="AWI68" s="16"/>
      <c r="AWJ68" s="16"/>
      <c r="AWK68" s="16"/>
      <c r="AWL68" s="16"/>
      <c r="AWM68" s="16"/>
      <c r="AWN68" s="16"/>
      <c r="AWO68" s="16"/>
      <c r="AWP68" s="16"/>
      <c r="AWQ68" s="16"/>
      <c r="AWR68" s="16"/>
      <c r="AWS68" s="16"/>
      <c r="AWT68" s="16"/>
      <c r="AWU68" s="16"/>
      <c r="AWV68" s="16"/>
      <c r="AWW68" s="16"/>
      <c r="AWX68" s="16"/>
      <c r="AWY68" s="16"/>
      <c r="AWZ68" s="16"/>
      <c r="AXA68" s="16"/>
      <c r="AXB68" s="16"/>
      <c r="AXC68" s="16"/>
      <c r="AXD68" s="16"/>
      <c r="AXE68" s="16"/>
      <c r="AXF68" s="16"/>
      <c r="AXG68" s="16"/>
      <c r="AXH68" s="16"/>
      <c r="AXI68" s="16"/>
      <c r="AXJ68" s="16"/>
      <c r="AXK68" s="16"/>
      <c r="AXL68" s="16"/>
      <c r="AXM68" s="16"/>
      <c r="AXN68" s="16"/>
      <c r="AXO68" s="16"/>
      <c r="AXP68" s="16"/>
      <c r="AXQ68" s="16"/>
      <c r="AXR68" s="16"/>
      <c r="AXS68" s="16"/>
      <c r="AXT68" s="16"/>
      <c r="AXU68" s="16"/>
      <c r="AXV68" s="16"/>
      <c r="AXW68" s="16"/>
      <c r="AXX68" s="16"/>
      <c r="AXY68" s="16"/>
      <c r="AXZ68" s="16"/>
      <c r="AYA68" s="16"/>
      <c r="AYB68" s="16"/>
      <c r="AYC68" s="16"/>
      <c r="AYD68" s="16"/>
      <c r="AYE68" s="16"/>
      <c r="AYF68" s="16"/>
      <c r="AYG68" s="16"/>
      <c r="AYH68" s="16"/>
      <c r="AYI68" s="16"/>
      <c r="AYJ68" s="16"/>
      <c r="AYK68" s="16"/>
      <c r="AYL68" s="16"/>
      <c r="AYM68" s="16"/>
      <c r="AYN68" s="16"/>
      <c r="AYO68" s="16"/>
      <c r="AYP68" s="16"/>
      <c r="AYQ68" s="16"/>
      <c r="AYR68" s="16"/>
      <c r="AYS68" s="16"/>
      <c r="AYT68" s="16"/>
      <c r="AYU68" s="16"/>
      <c r="AYV68" s="16"/>
      <c r="AYW68" s="16"/>
      <c r="AYX68" s="16"/>
      <c r="AYY68" s="16"/>
      <c r="AYZ68" s="16"/>
      <c r="AZA68" s="16"/>
      <c r="AZB68" s="16"/>
      <c r="AZC68" s="16"/>
      <c r="AZD68" s="16"/>
      <c r="AZE68" s="16"/>
      <c r="AZF68" s="16"/>
      <c r="AZG68" s="16"/>
      <c r="AZH68" s="16"/>
      <c r="AZI68" s="16"/>
      <c r="AZJ68" s="16"/>
      <c r="AZK68" s="16"/>
      <c r="AZL68" s="16"/>
      <c r="AZM68" s="16"/>
      <c r="AZN68" s="16"/>
      <c r="AZO68" s="16"/>
      <c r="AZP68" s="16"/>
      <c r="AZQ68" s="16"/>
      <c r="AZR68" s="16"/>
      <c r="AZS68" s="16"/>
      <c r="AZT68" s="16"/>
      <c r="AZU68" s="16"/>
      <c r="AZV68" s="16"/>
      <c r="AZW68" s="16"/>
      <c r="AZX68" s="16"/>
      <c r="AZY68" s="16"/>
      <c r="AZZ68" s="16"/>
      <c r="BAA68" s="16"/>
      <c r="BAB68" s="16"/>
      <c r="BAC68" s="16"/>
      <c r="BAD68" s="16"/>
      <c r="BAE68" s="16"/>
      <c r="BAF68" s="16"/>
      <c r="BAG68" s="16"/>
      <c r="BAH68" s="16"/>
      <c r="BAI68" s="16"/>
      <c r="BAJ68" s="16"/>
      <c r="BAK68" s="16"/>
      <c r="BAL68" s="16"/>
      <c r="BAM68" s="16"/>
      <c r="BAN68" s="16"/>
      <c r="BAO68" s="16"/>
      <c r="BAP68" s="16"/>
      <c r="BAQ68" s="16"/>
      <c r="BAR68" s="16"/>
      <c r="BAS68" s="16"/>
      <c r="BAT68" s="16"/>
      <c r="BAU68" s="16"/>
      <c r="BAV68" s="16"/>
      <c r="BAW68" s="16"/>
      <c r="BAX68" s="16"/>
      <c r="BAY68" s="16"/>
      <c r="BAZ68" s="16"/>
      <c r="BBA68" s="16"/>
      <c r="BBB68" s="16"/>
      <c r="BBC68" s="16"/>
      <c r="BBD68" s="16"/>
      <c r="BBE68" s="16"/>
      <c r="BBF68" s="16"/>
      <c r="BBG68" s="16"/>
      <c r="BBH68" s="16"/>
      <c r="BBI68" s="16"/>
      <c r="BBJ68" s="16"/>
      <c r="BBK68" s="16"/>
      <c r="BBL68" s="16"/>
      <c r="BBM68" s="16"/>
      <c r="BBN68" s="16"/>
      <c r="BBO68" s="16"/>
      <c r="BBP68" s="16"/>
      <c r="BBQ68" s="16"/>
      <c r="BBR68" s="16"/>
      <c r="BBS68" s="16"/>
      <c r="BBT68" s="16"/>
      <c r="BBU68" s="16"/>
      <c r="BBV68" s="16"/>
      <c r="BBW68" s="16"/>
      <c r="BBX68" s="16"/>
      <c r="BBY68" s="16"/>
      <c r="BBZ68" s="16"/>
      <c r="BCA68" s="16"/>
      <c r="BCB68" s="16"/>
      <c r="BCC68" s="16"/>
      <c r="BCD68" s="16"/>
      <c r="BCE68" s="16"/>
      <c r="BCF68" s="16"/>
      <c r="BCG68" s="16"/>
      <c r="BCH68" s="16"/>
      <c r="BCI68" s="16"/>
      <c r="BCJ68" s="16"/>
      <c r="BCK68" s="16"/>
      <c r="BCL68" s="16"/>
      <c r="BCM68" s="16"/>
      <c r="BCN68" s="16"/>
      <c r="BCO68" s="16"/>
      <c r="BCP68" s="16"/>
      <c r="BCQ68" s="16"/>
      <c r="BCR68" s="16"/>
      <c r="BCS68" s="16"/>
      <c r="BCT68" s="16"/>
      <c r="BCU68" s="16"/>
      <c r="BCV68" s="16"/>
      <c r="BCW68" s="16"/>
      <c r="BCX68" s="16"/>
      <c r="BCY68" s="16"/>
      <c r="BCZ68" s="16"/>
      <c r="BDA68" s="16"/>
      <c r="BDB68" s="16"/>
      <c r="BDC68" s="16"/>
      <c r="BDD68" s="16"/>
      <c r="BDE68" s="16"/>
      <c r="BDF68" s="16"/>
      <c r="BDG68" s="16"/>
      <c r="BDH68" s="16"/>
      <c r="BDI68" s="16"/>
      <c r="BDJ68" s="16"/>
      <c r="BDK68" s="16"/>
      <c r="BDL68" s="16"/>
      <c r="BDM68" s="16"/>
      <c r="BDN68" s="16"/>
      <c r="BDO68" s="16"/>
      <c r="BDP68" s="16"/>
      <c r="BDQ68" s="16"/>
      <c r="BDR68" s="16"/>
      <c r="BDS68" s="16"/>
      <c r="BDT68" s="16"/>
      <c r="BDU68" s="16"/>
      <c r="BDV68" s="16"/>
      <c r="BDW68" s="16"/>
      <c r="BDX68" s="16"/>
      <c r="BDY68" s="16"/>
      <c r="BDZ68" s="16"/>
      <c r="BEA68" s="16"/>
      <c r="BEB68" s="16"/>
      <c r="BEC68" s="16"/>
      <c r="BED68" s="16"/>
      <c r="BEE68" s="16"/>
      <c r="BEF68" s="16"/>
      <c r="BEG68" s="16"/>
      <c r="BEH68" s="16"/>
      <c r="BEI68" s="16"/>
      <c r="BEJ68" s="16"/>
      <c r="BEK68" s="16"/>
      <c r="BEL68" s="16"/>
      <c r="BEM68" s="16"/>
      <c r="BEN68" s="16"/>
      <c r="BEO68" s="16"/>
      <c r="BEP68" s="16"/>
      <c r="BEQ68" s="16"/>
      <c r="BER68" s="16"/>
      <c r="BES68" s="16"/>
      <c r="BET68" s="16"/>
      <c r="BEU68" s="16"/>
      <c r="BEV68" s="16"/>
      <c r="BEW68" s="16"/>
      <c r="BEX68" s="16"/>
      <c r="BEY68" s="16"/>
      <c r="BEZ68" s="16"/>
      <c r="BFA68" s="16"/>
      <c r="BFB68" s="16"/>
      <c r="BFC68" s="16"/>
      <c r="BFD68" s="16"/>
      <c r="BFE68" s="16"/>
      <c r="BFF68" s="16"/>
      <c r="BFG68" s="16"/>
      <c r="BFH68" s="16"/>
      <c r="BFI68" s="16"/>
      <c r="BFJ68" s="16"/>
      <c r="BFK68" s="16"/>
      <c r="BFL68" s="16"/>
      <c r="BFM68" s="16"/>
      <c r="BFN68" s="16"/>
      <c r="BFO68" s="16"/>
      <c r="BFP68" s="16"/>
      <c r="BFQ68" s="16"/>
      <c r="BFR68" s="16"/>
      <c r="BFS68" s="16"/>
      <c r="BFT68" s="16"/>
      <c r="BFU68" s="16"/>
      <c r="BFV68" s="16"/>
      <c r="BFW68" s="16"/>
      <c r="BFX68" s="16"/>
      <c r="BFY68" s="16"/>
      <c r="BFZ68" s="16"/>
      <c r="BGA68" s="16"/>
      <c r="BGB68" s="16"/>
      <c r="BGC68" s="16"/>
      <c r="BGD68" s="16"/>
      <c r="BGE68" s="16"/>
      <c r="BGF68" s="16"/>
      <c r="BGG68" s="16"/>
      <c r="BGH68" s="16"/>
      <c r="BGI68" s="16"/>
      <c r="BGJ68" s="16"/>
      <c r="BGK68" s="16"/>
      <c r="BGL68" s="16"/>
      <c r="BGM68" s="16"/>
      <c r="BGN68" s="16"/>
      <c r="BGO68" s="16"/>
      <c r="BGP68" s="16"/>
      <c r="BGQ68" s="16"/>
      <c r="BGR68" s="16"/>
      <c r="BGS68" s="16"/>
      <c r="BGT68" s="16"/>
      <c r="BGU68" s="16"/>
      <c r="BGV68" s="16"/>
      <c r="BGW68" s="16"/>
      <c r="BGX68" s="16"/>
      <c r="BGY68" s="16"/>
      <c r="BGZ68" s="16"/>
      <c r="BHA68" s="16"/>
      <c r="BHB68" s="16"/>
      <c r="BHC68" s="16"/>
      <c r="BHD68" s="16"/>
      <c r="BHE68" s="16"/>
      <c r="BHF68" s="16"/>
      <c r="BHG68" s="16"/>
      <c r="BHH68" s="16"/>
      <c r="BHI68" s="16"/>
      <c r="BHJ68" s="16"/>
      <c r="BHK68" s="16"/>
      <c r="BHL68" s="16"/>
      <c r="BHM68" s="16"/>
      <c r="BHN68" s="16"/>
      <c r="BHO68" s="16"/>
      <c r="BHP68" s="16"/>
      <c r="BHQ68" s="16"/>
      <c r="BHR68" s="16"/>
      <c r="BHS68" s="16"/>
      <c r="BHT68" s="16"/>
      <c r="BHU68" s="16"/>
      <c r="BHV68" s="16"/>
      <c r="BHW68" s="16"/>
      <c r="BHX68" s="16"/>
      <c r="BHY68" s="16"/>
      <c r="BHZ68" s="16"/>
      <c r="BIA68" s="16"/>
      <c r="BIB68" s="16"/>
      <c r="BIC68" s="16"/>
      <c r="BID68" s="16"/>
      <c r="BIE68" s="16"/>
      <c r="BIF68" s="16"/>
      <c r="BIG68" s="16"/>
      <c r="BIH68" s="16"/>
      <c r="BII68" s="16"/>
      <c r="BIJ68" s="16"/>
      <c r="BIK68" s="16"/>
      <c r="BIL68" s="16"/>
      <c r="BIM68" s="16"/>
      <c r="BIN68" s="16"/>
      <c r="BIO68" s="16"/>
      <c r="BIP68" s="16"/>
      <c r="BIQ68" s="16"/>
      <c r="BIR68" s="16"/>
      <c r="BIS68" s="16"/>
      <c r="BIT68" s="16"/>
      <c r="BIU68" s="16"/>
      <c r="BIV68" s="16"/>
      <c r="BIW68" s="16"/>
      <c r="BIX68" s="16"/>
      <c r="BIY68" s="16"/>
      <c r="BIZ68" s="16"/>
      <c r="BJA68" s="16"/>
      <c r="BJB68" s="16"/>
      <c r="BJC68" s="16"/>
      <c r="BJD68" s="16"/>
      <c r="BJE68" s="16"/>
      <c r="BJF68" s="16"/>
      <c r="BJG68" s="16"/>
      <c r="BJH68" s="16"/>
      <c r="BJI68" s="16"/>
      <c r="BJJ68" s="16"/>
      <c r="BJK68" s="16"/>
      <c r="BJL68" s="16"/>
      <c r="BJM68" s="16"/>
      <c r="BJN68" s="16"/>
      <c r="BJO68" s="16"/>
      <c r="BJP68" s="16"/>
      <c r="BJQ68" s="16"/>
      <c r="BJR68" s="16"/>
      <c r="BJS68" s="16"/>
      <c r="BJT68" s="16"/>
      <c r="BJU68" s="16"/>
      <c r="BJV68" s="16"/>
      <c r="BJW68" s="16"/>
      <c r="BJX68" s="16"/>
      <c r="BJY68" s="16"/>
      <c r="BJZ68" s="16"/>
      <c r="BKA68" s="16"/>
      <c r="BKB68" s="16"/>
      <c r="BKC68" s="16"/>
      <c r="BKD68" s="16"/>
      <c r="BKE68" s="16"/>
      <c r="BKF68" s="16"/>
      <c r="BKG68" s="16"/>
      <c r="BKH68" s="16"/>
      <c r="BKI68" s="16"/>
      <c r="BKJ68" s="16"/>
      <c r="BKK68" s="16"/>
      <c r="BKL68" s="16"/>
      <c r="BKM68" s="16"/>
      <c r="BKN68" s="16"/>
      <c r="BKO68" s="16"/>
      <c r="BKP68" s="16"/>
      <c r="BKQ68" s="16"/>
      <c r="BKR68" s="16"/>
      <c r="BKS68" s="16"/>
      <c r="BKT68" s="16"/>
      <c r="BKU68" s="16"/>
      <c r="BKV68" s="16"/>
      <c r="BKW68" s="16"/>
      <c r="BKX68" s="16"/>
      <c r="BKY68" s="16"/>
      <c r="BKZ68" s="16"/>
      <c r="BLA68" s="16"/>
      <c r="BLB68" s="16"/>
      <c r="BLC68" s="16"/>
      <c r="BLD68" s="16"/>
      <c r="BLE68" s="16"/>
      <c r="BLF68" s="16"/>
      <c r="BLG68" s="16"/>
      <c r="BLH68" s="16"/>
      <c r="BLI68" s="16"/>
      <c r="BLJ68" s="16"/>
      <c r="BLK68" s="16"/>
      <c r="BLL68" s="16"/>
      <c r="BLM68" s="16"/>
      <c r="BLN68" s="16"/>
      <c r="BLO68" s="16"/>
      <c r="BLP68" s="16"/>
      <c r="BLQ68" s="16"/>
      <c r="BLR68" s="16"/>
      <c r="BLS68" s="16"/>
      <c r="BLT68" s="16"/>
      <c r="BLU68" s="16"/>
      <c r="BLV68" s="16"/>
      <c r="BLW68" s="16"/>
      <c r="BLX68" s="16"/>
      <c r="BLY68" s="16"/>
      <c r="BLZ68" s="16"/>
      <c r="BMA68" s="16"/>
      <c r="BMB68" s="16"/>
      <c r="BMC68" s="16"/>
      <c r="BMD68" s="16"/>
      <c r="BME68" s="16"/>
      <c r="BMF68" s="16"/>
      <c r="BMG68" s="16"/>
      <c r="BMH68" s="16"/>
      <c r="BMI68" s="16"/>
      <c r="BMJ68" s="16"/>
      <c r="BMK68" s="16"/>
      <c r="BML68" s="16"/>
      <c r="BMM68" s="16"/>
      <c r="BMN68" s="16"/>
      <c r="BMO68" s="16"/>
      <c r="BMP68" s="16"/>
      <c r="BMQ68" s="16"/>
      <c r="BMR68" s="16"/>
      <c r="BMS68" s="16"/>
      <c r="BMT68" s="16"/>
      <c r="BMU68" s="16"/>
      <c r="BMV68" s="16"/>
      <c r="BMW68" s="16"/>
      <c r="BMX68" s="16"/>
      <c r="BMY68" s="16"/>
      <c r="BMZ68" s="16"/>
      <c r="BNA68" s="16"/>
      <c r="BNB68" s="16"/>
      <c r="BNC68" s="16"/>
      <c r="BND68" s="16"/>
      <c r="BNE68" s="16"/>
      <c r="BNF68" s="16"/>
      <c r="BNG68" s="16"/>
      <c r="BNH68" s="16"/>
      <c r="BNI68" s="16"/>
      <c r="BNJ68" s="16"/>
      <c r="BNK68" s="16"/>
      <c r="BNL68" s="16"/>
      <c r="BNM68" s="16"/>
      <c r="BNN68" s="16"/>
      <c r="BNO68" s="16"/>
      <c r="BNP68" s="16"/>
      <c r="BNQ68" s="16"/>
      <c r="BNR68" s="16"/>
      <c r="BNS68" s="16"/>
      <c r="BNT68" s="16"/>
      <c r="BNU68" s="16"/>
      <c r="BNV68" s="16"/>
      <c r="BNW68" s="16"/>
      <c r="BNX68" s="16"/>
      <c r="BNY68" s="16"/>
      <c r="BNZ68" s="16"/>
      <c r="BOA68" s="16"/>
      <c r="BOB68" s="16"/>
      <c r="BOC68" s="16"/>
      <c r="BOD68" s="16"/>
      <c r="BOE68" s="16"/>
      <c r="BOF68" s="16"/>
      <c r="BOG68" s="16"/>
      <c r="BOH68" s="16"/>
      <c r="BOI68" s="16"/>
      <c r="BOJ68" s="16"/>
      <c r="BOK68" s="16"/>
      <c r="BOL68" s="16"/>
      <c r="BOM68" s="16"/>
      <c r="BON68" s="16"/>
      <c r="BOO68" s="16"/>
      <c r="BOP68" s="16"/>
      <c r="BOQ68" s="16"/>
      <c r="BOR68" s="16"/>
      <c r="BOS68" s="16"/>
      <c r="BOT68" s="16"/>
      <c r="BOU68" s="16"/>
      <c r="BOV68" s="16"/>
      <c r="BOW68" s="16"/>
      <c r="BOX68" s="16"/>
      <c r="BOY68" s="16"/>
      <c r="BOZ68" s="16"/>
      <c r="BPA68" s="16"/>
      <c r="BPB68" s="16"/>
      <c r="BPC68" s="16"/>
      <c r="BPD68" s="16"/>
      <c r="BPE68" s="16"/>
      <c r="BPF68" s="16"/>
      <c r="BPG68" s="16"/>
      <c r="BPH68" s="16"/>
      <c r="BPI68" s="16"/>
      <c r="BPJ68" s="16"/>
      <c r="BPK68" s="16"/>
      <c r="BPL68" s="16"/>
      <c r="BPM68" s="16"/>
      <c r="BPN68" s="16"/>
      <c r="BPO68" s="16"/>
      <c r="BPP68" s="16"/>
      <c r="BPQ68" s="16"/>
      <c r="BPR68" s="16"/>
      <c r="BPS68" s="16"/>
      <c r="BPT68" s="16"/>
      <c r="BPU68" s="16"/>
      <c r="BPV68" s="16"/>
      <c r="BPW68" s="16"/>
      <c r="BPX68" s="16"/>
      <c r="BPY68" s="16"/>
      <c r="BPZ68" s="16"/>
      <c r="BQA68" s="16"/>
      <c r="BQB68" s="16"/>
      <c r="BQC68" s="16"/>
      <c r="BQD68" s="16"/>
      <c r="BQE68" s="16"/>
      <c r="BQF68" s="16"/>
      <c r="BQG68" s="16"/>
      <c r="BQH68" s="16"/>
      <c r="BQI68" s="16"/>
      <c r="BQJ68" s="16"/>
      <c r="BQK68" s="16"/>
      <c r="BQL68" s="16"/>
      <c r="BQM68" s="16"/>
      <c r="BQN68" s="16"/>
      <c r="BQO68" s="16"/>
      <c r="BQP68" s="16"/>
      <c r="BQQ68" s="16"/>
      <c r="BQR68" s="16"/>
      <c r="BQS68" s="16"/>
      <c r="BQT68" s="16"/>
      <c r="BQU68" s="16"/>
      <c r="BQV68" s="16"/>
      <c r="BQW68" s="16"/>
      <c r="BQX68" s="16"/>
      <c r="BQY68" s="16"/>
      <c r="BQZ68" s="16"/>
      <c r="BRA68" s="16"/>
      <c r="BRB68" s="16"/>
      <c r="BRC68" s="16"/>
      <c r="BRD68" s="16"/>
      <c r="BRE68" s="16"/>
      <c r="BRF68" s="16"/>
      <c r="BRG68" s="16"/>
      <c r="BRH68" s="16"/>
      <c r="BRI68" s="16"/>
      <c r="BRJ68" s="16"/>
      <c r="BRK68" s="16"/>
      <c r="BRL68" s="16"/>
      <c r="BRM68" s="16"/>
      <c r="BRN68" s="16"/>
      <c r="BRO68" s="16"/>
      <c r="BRP68" s="16"/>
      <c r="BRQ68" s="16"/>
      <c r="BRR68" s="16"/>
      <c r="BRS68" s="16"/>
      <c r="BRT68" s="16"/>
      <c r="BRU68" s="16"/>
      <c r="BRV68" s="16"/>
      <c r="BRW68" s="16"/>
      <c r="BRX68" s="16"/>
      <c r="BRY68" s="16"/>
      <c r="BRZ68" s="16"/>
      <c r="BSA68" s="16"/>
      <c r="BSB68" s="16"/>
      <c r="BSC68" s="16"/>
      <c r="BSD68" s="16"/>
      <c r="BSE68" s="16"/>
      <c r="BSF68" s="16"/>
      <c r="BSG68" s="16"/>
      <c r="BSH68" s="16"/>
      <c r="BSI68" s="16"/>
      <c r="BSJ68" s="16"/>
      <c r="BSK68" s="16"/>
      <c r="BSL68" s="16"/>
      <c r="BSM68" s="16"/>
      <c r="BSN68" s="16"/>
      <c r="BSO68" s="16"/>
      <c r="BSP68" s="16"/>
      <c r="BSQ68" s="16"/>
      <c r="BSR68" s="16"/>
      <c r="BSS68" s="16"/>
      <c r="BST68" s="16"/>
      <c r="BSU68" s="16"/>
      <c r="BSV68" s="16"/>
      <c r="BSW68" s="16"/>
      <c r="BSX68" s="16"/>
      <c r="BSY68" s="16"/>
      <c r="BSZ68" s="16"/>
      <c r="BTA68" s="16"/>
      <c r="BTB68" s="16"/>
      <c r="BTC68" s="16"/>
      <c r="BTD68" s="16"/>
      <c r="BTE68" s="16"/>
      <c r="BTF68" s="16"/>
      <c r="BTG68" s="16"/>
      <c r="BTH68" s="16"/>
      <c r="BTI68" s="16"/>
      <c r="BTJ68" s="16"/>
      <c r="BTK68" s="16"/>
      <c r="BTL68" s="16"/>
      <c r="BTM68" s="16"/>
      <c r="BTN68" s="16"/>
      <c r="BTO68" s="16"/>
      <c r="BTP68" s="16"/>
      <c r="BTQ68" s="16"/>
      <c r="BTR68" s="16"/>
      <c r="BTS68" s="16"/>
      <c r="BTT68" s="16"/>
      <c r="BTU68" s="16"/>
      <c r="BTV68" s="16"/>
      <c r="BTW68" s="16"/>
      <c r="BTX68" s="16"/>
      <c r="BTY68" s="16"/>
      <c r="BTZ68" s="16"/>
      <c r="BUA68" s="16"/>
      <c r="BUB68" s="16"/>
      <c r="BUC68" s="16"/>
      <c r="BUD68" s="16"/>
      <c r="BUE68" s="16"/>
      <c r="BUF68" s="16"/>
      <c r="BUG68" s="16"/>
      <c r="BUH68" s="16"/>
      <c r="BUI68" s="16"/>
      <c r="BUJ68" s="16"/>
      <c r="BUK68" s="16"/>
      <c r="BUL68" s="16"/>
      <c r="BUM68" s="16"/>
      <c r="BUN68" s="16"/>
      <c r="BUO68" s="16"/>
      <c r="BUP68" s="16"/>
      <c r="BUQ68" s="16"/>
      <c r="BUR68" s="16"/>
      <c r="BUS68" s="16"/>
      <c r="BUT68" s="16"/>
      <c r="BUU68" s="16"/>
      <c r="BUV68" s="16"/>
      <c r="BUW68" s="16"/>
      <c r="BUX68" s="16"/>
      <c r="BUY68" s="16"/>
      <c r="BUZ68" s="16"/>
      <c r="BVA68" s="16"/>
      <c r="BVB68" s="16"/>
      <c r="BVC68" s="16"/>
      <c r="BVD68" s="16"/>
      <c r="BVE68" s="16"/>
      <c r="BVF68" s="16"/>
      <c r="BVG68" s="16"/>
      <c r="BVH68" s="16"/>
      <c r="BVI68" s="16"/>
      <c r="BVJ68" s="16"/>
      <c r="BVK68" s="16"/>
      <c r="BVL68" s="16"/>
      <c r="BVM68" s="16"/>
      <c r="BVN68" s="16"/>
      <c r="BVO68" s="16"/>
      <c r="BVP68" s="16"/>
      <c r="BVQ68" s="16"/>
      <c r="BVR68" s="16"/>
      <c r="BVS68" s="16"/>
      <c r="BVT68" s="16"/>
      <c r="BVU68" s="16"/>
      <c r="BVV68" s="16"/>
      <c r="BVW68" s="16"/>
      <c r="BVX68" s="16"/>
      <c r="BVY68" s="16"/>
      <c r="BVZ68" s="16"/>
      <c r="BWA68" s="16"/>
      <c r="BWB68" s="16"/>
      <c r="BWC68" s="16"/>
      <c r="BWD68" s="16"/>
      <c r="BWE68" s="16"/>
      <c r="BWF68" s="16"/>
      <c r="BWG68" s="16"/>
      <c r="BWH68" s="16"/>
      <c r="BWI68" s="16"/>
      <c r="BWJ68" s="16"/>
      <c r="BWK68" s="16"/>
      <c r="BWL68" s="16"/>
      <c r="BWM68" s="16"/>
      <c r="BWN68" s="16"/>
      <c r="BWO68" s="16"/>
      <c r="BWP68" s="16"/>
      <c r="BWQ68" s="16"/>
      <c r="BWR68" s="16"/>
      <c r="BWS68" s="16"/>
      <c r="BWT68" s="16"/>
      <c r="BWU68" s="16"/>
      <c r="BWV68" s="16"/>
      <c r="BWW68" s="16"/>
      <c r="BWX68" s="16"/>
      <c r="BWY68" s="16"/>
      <c r="BWZ68" s="16"/>
      <c r="BXA68" s="16"/>
      <c r="BXB68" s="16"/>
      <c r="BXC68" s="16"/>
      <c r="BXD68" s="16"/>
      <c r="BXE68" s="16"/>
      <c r="BXF68" s="16"/>
      <c r="BXG68" s="16"/>
      <c r="BXH68" s="16"/>
      <c r="BXI68" s="16"/>
      <c r="BXJ68" s="16"/>
      <c r="BXK68" s="16"/>
      <c r="BXL68" s="16"/>
      <c r="BXM68" s="16"/>
      <c r="BXN68" s="16"/>
      <c r="BXO68" s="16"/>
      <c r="BXP68" s="16"/>
      <c r="BXQ68" s="16"/>
      <c r="BXR68" s="16"/>
      <c r="BXS68" s="16"/>
      <c r="BXT68" s="16"/>
      <c r="BXU68" s="16"/>
      <c r="BXV68" s="16"/>
      <c r="BXW68" s="16"/>
      <c r="BXX68" s="16"/>
      <c r="BXY68" s="16"/>
      <c r="BXZ68" s="16"/>
      <c r="BYA68" s="16"/>
      <c r="BYB68" s="16"/>
      <c r="BYC68" s="16"/>
      <c r="BYD68" s="16"/>
      <c r="BYE68" s="16"/>
      <c r="BYF68" s="16"/>
      <c r="BYG68" s="16"/>
      <c r="BYH68" s="16"/>
      <c r="BYI68" s="16"/>
      <c r="BYJ68" s="16"/>
      <c r="BYK68" s="16"/>
      <c r="BYL68" s="16"/>
      <c r="BYM68" s="16"/>
      <c r="BYN68" s="16"/>
      <c r="BYO68" s="16"/>
      <c r="BYP68" s="16"/>
      <c r="BYQ68" s="16"/>
      <c r="BYR68" s="16"/>
      <c r="BYS68" s="16"/>
      <c r="BYT68" s="16"/>
      <c r="BYU68" s="16"/>
      <c r="BYV68" s="16"/>
      <c r="BYW68" s="16"/>
      <c r="BYX68" s="16"/>
      <c r="BYY68" s="16"/>
      <c r="BYZ68" s="16"/>
      <c r="BZA68" s="16"/>
      <c r="BZB68" s="16"/>
      <c r="BZC68" s="16"/>
      <c r="BZD68" s="16"/>
      <c r="BZE68" s="16"/>
      <c r="BZF68" s="16"/>
      <c r="BZG68" s="16"/>
      <c r="BZH68" s="16"/>
      <c r="BZI68" s="16"/>
      <c r="BZJ68" s="16"/>
      <c r="BZK68" s="16"/>
      <c r="BZL68" s="16"/>
      <c r="BZM68" s="16"/>
      <c r="BZN68" s="16"/>
      <c r="BZO68" s="16"/>
      <c r="BZP68" s="16"/>
      <c r="BZQ68" s="16"/>
      <c r="BZR68" s="16"/>
      <c r="BZS68" s="16"/>
      <c r="BZT68" s="16"/>
      <c r="BZU68" s="16"/>
      <c r="BZV68" s="16"/>
      <c r="BZW68" s="16"/>
      <c r="BZX68" s="16"/>
      <c r="BZY68" s="16"/>
      <c r="BZZ68" s="16"/>
      <c r="CAA68" s="16"/>
      <c r="CAB68" s="16"/>
      <c r="CAC68" s="16"/>
      <c r="CAD68" s="16"/>
      <c r="CAE68" s="16"/>
      <c r="CAF68" s="16"/>
      <c r="CAG68" s="16"/>
      <c r="CAH68" s="16"/>
      <c r="CAI68" s="16"/>
      <c r="CAJ68" s="16"/>
      <c r="CAK68" s="16"/>
      <c r="CAL68" s="16"/>
      <c r="CAM68" s="16"/>
      <c r="CAN68" s="16"/>
      <c r="CAO68" s="16"/>
      <c r="CAP68" s="16"/>
      <c r="CAQ68" s="16"/>
      <c r="CAR68" s="16"/>
      <c r="CAS68" s="16"/>
      <c r="CAT68" s="16"/>
      <c r="CAU68" s="16"/>
      <c r="CAV68" s="16"/>
      <c r="CAW68" s="16"/>
      <c r="CAX68" s="16"/>
      <c r="CAY68" s="16"/>
      <c r="CAZ68" s="16"/>
      <c r="CBA68" s="16"/>
      <c r="CBB68" s="16"/>
      <c r="CBC68" s="16"/>
      <c r="CBD68" s="16"/>
      <c r="CBE68" s="16"/>
      <c r="CBF68" s="16"/>
      <c r="CBG68" s="16"/>
      <c r="CBH68" s="16"/>
      <c r="CBI68" s="16"/>
      <c r="CBJ68" s="16"/>
      <c r="CBK68" s="16"/>
      <c r="CBL68" s="16"/>
      <c r="CBM68" s="16"/>
      <c r="CBN68" s="16"/>
      <c r="CBO68" s="16"/>
      <c r="CBP68" s="16"/>
      <c r="CBQ68" s="16"/>
      <c r="CBR68" s="16"/>
      <c r="CBS68" s="16"/>
      <c r="CBT68" s="16"/>
      <c r="CBU68" s="16"/>
      <c r="CBV68" s="16"/>
      <c r="CBW68" s="16"/>
      <c r="CBX68" s="16"/>
      <c r="CBY68" s="16"/>
      <c r="CBZ68" s="16"/>
      <c r="CCA68" s="16"/>
      <c r="CCB68" s="16"/>
      <c r="CCC68" s="16"/>
      <c r="CCD68" s="16"/>
      <c r="CCE68" s="16"/>
      <c r="CCF68" s="16"/>
      <c r="CCG68" s="16"/>
      <c r="CCH68" s="16"/>
      <c r="CCI68" s="16"/>
      <c r="CCJ68" s="16"/>
      <c r="CCK68" s="16"/>
      <c r="CCL68" s="16"/>
      <c r="CCM68" s="16"/>
      <c r="CCN68" s="16"/>
      <c r="CCO68" s="16"/>
      <c r="CCP68" s="16"/>
      <c r="CCQ68" s="16"/>
      <c r="CCR68" s="16"/>
      <c r="CCS68" s="16"/>
      <c r="CCT68" s="16"/>
      <c r="CCU68" s="16"/>
      <c r="CCV68" s="16"/>
      <c r="CCW68" s="16"/>
      <c r="CCX68" s="16"/>
      <c r="CCY68" s="16"/>
      <c r="CCZ68" s="16"/>
      <c r="CDA68" s="16"/>
      <c r="CDB68" s="16"/>
      <c r="CDC68" s="16"/>
      <c r="CDD68" s="16"/>
      <c r="CDE68" s="16"/>
      <c r="CDF68" s="16"/>
      <c r="CDG68" s="16"/>
      <c r="CDH68" s="16"/>
      <c r="CDI68" s="16"/>
      <c r="CDJ68" s="16"/>
      <c r="CDK68" s="16"/>
      <c r="CDL68" s="16"/>
      <c r="CDM68" s="16"/>
      <c r="CDN68" s="16"/>
      <c r="CDO68" s="16"/>
      <c r="CDP68" s="16"/>
      <c r="CDQ68" s="16"/>
      <c r="CDR68" s="16"/>
      <c r="CDS68" s="16"/>
      <c r="CDT68" s="16"/>
      <c r="CDU68" s="16"/>
      <c r="CDV68" s="16"/>
      <c r="CDW68" s="16"/>
      <c r="CDX68" s="16"/>
      <c r="CDY68" s="16"/>
      <c r="CDZ68" s="16"/>
      <c r="CEA68" s="16"/>
      <c r="CEB68" s="16"/>
      <c r="CEC68" s="16"/>
      <c r="CED68" s="16"/>
      <c r="CEE68" s="16"/>
      <c r="CEF68" s="16"/>
      <c r="CEG68" s="16"/>
      <c r="CEH68" s="16"/>
      <c r="CEI68" s="16"/>
      <c r="CEJ68" s="16"/>
      <c r="CEK68" s="16"/>
      <c r="CEL68" s="16"/>
      <c r="CEM68" s="16"/>
      <c r="CEN68" s="16"/>
      <c r="CEO68" s="16"/>
      <c r="CEP68" s="16"/>
      <c r="CEQ68" s="16"/>
      <c r="CER68" s="16"/>
      <c r="CES68" s="16"/>
      <c r="CET68" s="16"/>
      <c r="CEU68" s="16"/>
      <c r="CEV68" s="16"/>
      <c r="CEW68" s="16"/>
      <c r="CEX68" s="16"/>
      <c r="CEY68" s="16"/>
      <c r="CEZ68" s="16"/>
      <c r="CFA68" s="16"/>
      <c r="CFB68" s="16"/>
      <c r="CFC68" s="16"/>
      <c r="CFD68" s="16"/>
      <c r="CFE68" s="16"/>
      <c r="CFF68" s="16"/>
      <c r="CFG68" s="16"/>
      <c r="CFH68" s="16"/>
      <c r="CFI68" s="16"/>
      <c r="CFJ68" s="16"/>
      <c r="CFK68" s="16"/>
      <c r="CFL68" s="16"/>
      <c r="CFM68" s="16"/>
      <c r="CFN68" s="16"/>
      <c r="CFO68" s="16"/>
      <c r="CFP68" s="16"/>
      <c r="CFQ68" s="16"/>
      <c r="CFR68" s="16"/>
      <c r="CFS68" s="16"/>
      <c r="CFT68" s="16"/>
      <c r="CFU68" s="16"/>
      <c r="CFV68" s="16"/>
      <c r="CFW68" s="16"/>
      <c r="CFX68" s="16"/>
      <c r="CFY68" s="16"/>
      <c r="CFZ68" s="16"/>
      <c r="CGA68" s="16"/>
      <c r="CGB68" s="16"/>
      <c r="CGC68" s="16"/>
      <c r="CGD68" s="16"/>
      <c r="CGE68" s="16"/>
      <c r="CGF68" s="16"/>
      <c r="CGG68" s="16"/>
      <c r="CGH68" s="16"/>
      <c r="CGI68" s="16"/>
      <c r="CGJ68" s="16"/>
      <c r="CGK68" s="16"/>
      <c r="CGL68" s="16"/>
      <c r="CGM68" s="16"/>
      <c r="CGN68" s="16"/>
      <c r="CGO68" s="16"/>
      <c r="CGP68" s="16"/>
      <c r="CGQ68" s="16"/>
      <c r="CGR68" s="16"/>
      <c r="CGS68" s="16"/>
      <c r="CGT68" s="16"/>
      <c r="CGU68" s="16"/>
      <c r="CGV68" s="16"/>
      <c r="CGW68" s="16"/>
      <c r="CGX68" s="16"/>
      <c r="CGY68" s="16"/>
      <c r="CGZ68" s="16"/>
      <c r="CHA68" s="16"/>
      <c r="CHB68" s="16"/>
      <c r="CHC68" s="16"/>
      <c r="CHD68" s="16"/>
      <c r="CHE68" s="16"/>
      <c r="CHF68" s="16"/>
      <c r="CHG68" s="16"/>
      <c r="CHH68" s="16"/>
      <c r="CHI68" s="16"/>
      <c r="CHJ68" s="16"/>
      <c r="CHK68" s="16"/>
      <c r="CHL68" s="16"/>
      <c r="CHM68" s="16"/>
      <c r="CHN68" s="16"/>
      <c r="CHO68" s="16"/>
      <c r="CHP68" s="16"/>
      <c r="CHQ68" s="16"/>
      <c r="CHR68" s="16"/>
      <c r="CHS68" s="16"/>
      <c r="CHT68" s="16"/>
      <c r="CHU68" s="16"/>
      <c r="CHV68" s="16"/>
      <c r="CHW68" s="16"/>
      <c r="CHX68" s="16"/>
      <c r="CHY68" s="16"/>
      <c r="CHZ68" s="16"/>
      <c r="CIA68" s="16"/>
      <c r="CIB68" s="16"/>
      <c r="CIC68" s="16"/>
      <c r="CID68" s="16"/>
      <c r="CIE68" s="16"/>
      <c r="CIF68" s="16"/>
      <c r="CIG68" s="16"/>
      <c r="CIH68" s="16"/>
      <c r="CII68" s="16"/>
      <c r="CIJ68" s="16"/>
      <c r="CIK68" s="16"/>
      <c r="CIL68" s="16"/>
      <c r="CIM68" s="16"/>
      <c r="CIN68" s="16"/>
      <c r="CIO68" s="16"/>
      <c r="CIP68" s="16"/>
      <c r="CIQ68" s="16"/>
      <c r="CIR68" s="16"/>
      <c r="CIS68" s="16"/>
      <c r="CIT68" s="16"/>
      <c r="CIU68" s="16"/>
      <c r="CIV68" s="16"/>
      <c r="CIW68" s="16"/>
      <c r="CIX68" s="16"/>
      <c r="CIY68" s="16"/>
      <c r="CIZ68" s="16"/>
      <c r="CJA68" s="16"/>
      <c r="CJB68" s="16"/>
      <c r="CJC68" s="16"/>
      <c r="CJD68" s="16"/>
      <c r="CJE68" s="16"/>
      <c r="CJF68" s="16"/>
      <c r="CJG68" s="16"/>
      <c r="CJH68" s="16"/>
      <c r="CJI68" s="16"/>
      <c r="CJJ68" s="16"/>
      <c r="CJK68" s="16"/>
      <c r="CJL68" s="16"/>
      <c r="CJM68" s="16"/>
      <c r="CJN68" s="16"/>
      <c r="CJO68" s="16"/>
      <c r="CJP68" s="16"/>
      <c r="CJQ68" s="16"/>
      <c r="CJR68" s="16"/>
      <c r="CJS68" s="16"/>
      <c r="CJT68" s="16"/>
      <c r="CJU68" s="16"/>
      <c r="CJV68" s="16"/>
      <c r="CJW68" s="16"/>
      <c r="CJX68" s="16"/>
      <c r="CJY68" s="16"/>
      <c r="CJZ68" s="16"/>
      <c r="CKA68" s="16"/>
      <c r="CKB68" s="16"/>
      <c r="CKC68" s="16"/>
      <c r="CKD68" s="16"/>
      <c r="CKE68" s="16"/>
      <c r="CKF68" s="16"/>
      <c r="CKG68" s="16"/>
      <c r="CKH68" s="16"/>
      <c r="CKI68" s="16"/>
      <c r="CKJ68" s="16"/>
      <c r="CKK68" s="16"/>
      <c r="CKL68" s="16"/>
      <c r="CKM68" s="16"/>
      <c r="CKN68" s="16"/>
      <c r="CKO68" s="16"/>
      <c r="CKP68" s="16"/>
      <c r="CKQ68" s="16"/>
      <c r="CKR68" s="16"/>
      <c r="CKS68" s="16"/>
      <c r="CKT68" s="16"/>
      <c r="CKU68" s="16"/>
      <c r="CKV68" s="16"/>
      <c r="CKW68" s="16"/>
      <c r="CKX68" s="16"/>
      <c r="CKY68" s="16"/>
      <c r="CKZ68" s="16"/>
      <c r="CLA68" s="16"/>
      <c r="CLB68" s="16"/>
      <c r="CLC68" s="16"/>
      <c r="CLD68" s="16"/>
      <c r="CLE68" s="16"/>
      <c r="CLF68" s="16"/>
      <c r="CLG68" s="16"/>
      <c r="CLH68" s="16"/>
      <c r="CLI68" s="16"/>
      <c r="CLJ68" s="16"/>
      <c r="CLK68" s="16"/>
      <c r="CLL68" s="16"/>
      <c r="CLM68" s="16"/>
      <c r="CLN68" s="16"/>
      <c r="CLO68" s="16"/>
      <c r="CLP68" s="16"/>
      <c r="CLQ68" s="16"/>
      <c r="CLR68" s="16"/>
      <c r="CLS68" s="16"/>
      <c r="CLT68" s="16"/>
      <c r="CLU68" s="16"/>
      <c r="CLV68" s="16"/>
      <c r="CLW68" s="16"/>
      <c r="CLX68" s="16"/>
      <c r="CLY68" s="16"/>
      <c r="CLZ68" s="16"/>
      <c r="CMA68" s="16"/>
      <c r="CMB68" s="16"/>
      <c r="CMC68" s="16"/>
      <c r="CMD68" s="16"/>
      <c r="CME68" s="16"/>
      <c r="CMF68" s="16"/>
      <c r="CMG68" s="16"/>
      <c r="CMH68" s="16"/>
      <c r="CMI68" s="16"/>
      <c r="CMJ68" s="16"/>
      <c r="CMK68" s="16"/>
      <c r="CML68" s="16"/>
      <c r="CMM68" s="16"/>
      <c r="CMN68" s="16"/>
      <c r="CMO68" s="16"/>
      <c r="CMP68" s="16"/>
      <c r="CMQ68" s="16"/>
      <c r="CMR68" s="16"/>
      <c r="CMS68" s="16"/>
      <c r="CMT68" s="16"/>
      <c r="CMU68" s="16"/>
      <c r="CMV68" s="16"/>
      <c r="CMW68" s="16"/>
      <c r="CMX68" s="16"/>
      <c r="CMY68" s="16"/>
      <c r="CMZ68" s="16"/>
      <c r="CNA68" s="16"/>
      <c r="CNB68" s="16"/>
      <c r="CNC68" s="16"/>
      <c r="CND68" s="16"/>
      <c r="CNE68" s="16"/>
      <c r="CNF68" s="16"/>
      <c r="CNG68" s="16"/>
      <c r="CNH68" s="16"/>
      <c r="CNI68" s="16"/>
      <c r="CNJ68" s="16"/>
      <c r="CNK68" s="16"/>
      <c r="CNL68" s="16"/>
      <c r="CNM68" s="16"/>
      <c r="CNN68" s="16"/>
      <c r="CNO68" s="16"/>
      <c r="CNP68" s="16"/>
      <c r="CNQ68" s="16"/>
      <c r="CNR68" s="16"/>
      <c r="CNS68" s="16"/>
      <c r="CNT68" s="16"/>
      <c r="CNU68" s="16"/>
      <c r="CNV68" s="16"/>
      <c r="CNW68" s="16"/>
      <c r="CNX68" s="16"/>
      <c r="CNY68" s="16"/>
      <c r="CNZ68" s="16"/>
      <c r="COA68" s="16"/>
      <c r="COB68" s="16"/>
      <c r="COC68" s="16"/>
      <c r="COD68" s="16"/>
      <c r="COE68" s="16"/>
      <c r="COF68" s="16"/>
      <c r="COG68" s="16"/>
      <c r="COH68" s="16"/>
      <c r="COI68" s="16"/>
      <c r="COJ68" s="16"/>
      <c r="COK68" s="16"/>
      <c r="COL68" s="16"/>
      <c r="COM68" s="16"/>
      <c r="CON68" s="16"/>
      <c r="COO68" s="16"/>
      <c r="COP68" s="16"/>
      <c r="COQ68" s="16"/>
      <c r="COR68" s="16"/>
      <c r="COS68" s="16"/>
      <c r="COT68" s="16"/>
      <c r="COU68" s="16"/>
      <c r="COV68" s="16"/>
      <c r="COW68" s="16"/>
      <c r="COX68" s="16"/>
      <c r="COY68" s="16"/>
      <c r="COZ68" s="16"/>
      <c r="CPA68" s="16"/>
      <c r="CPB68" s="16"/>
      <c r="CPC68" s="16"/>
      <c r="CPD68" s="16"/>
      <c r="CPE68" s="16"/>
      <c r="CPF68" s="16"/>
      <c r="CPG68" s="16"/>
      <c r="CPH68" s="16"/>
      <c r="CPI68" s="16"/>
      <c r="CPJ68" s="16"/>
      <c r="CPK68" s="16"/>
      <c r="CPL68" s="16"/>
      <c r="CPM68" s="16"/>
      <c r="CPN68" s="16"/>
      <c r="CPO68" s="16"/>
      <c r="CPP68" s="16"/>
      <c r="CPQ68" s="16"/>
      <c r="CPR68" s="16"/>
      <c r="CPS68" s="16"/>
      <c r="CPT68" s="16"/>
      <c r="CPU68" s="16"/>
      <c r="CPV68" s="16"/>
      <c r="CPW68" s="16"/>
      <c r="CPX68" s="16"/>
      <c r="CPY68" s="16"/>
      <c r="CPZ68" s="16"/>
      <c r="CQA68" s="16"/>
      <c r="CQB68" s="16"/>
      <c r="CQC68" s="16"/>
      <c r="CQD68" s="16"/>
      <c r="CQE68" s="16"/>
      <c r="CQF68" s="16"/>
      <c r="CQG68" s="16"/>
      <c r="CQH68" s="16"/>
      <c r="CQI68" s="16"/>
      <c r="CQJ68" s="16"/>
      <c r="CQK68" s="16"/>
      <c r="CQL68" s="16"/>
      <c r="CQM68" s="16"/>
      <c r="CQN68" s="16"/>
      <c r="CQO68" s="16"/>
      <c r="CQP68" s="16"/>
      <c r="CQQ68" s="16"/>
      <c r="CQR68" s="16"/>
      <c r="CQS68" s="16"/>
      <c r="CQT68" s="16"/>
      <c r="CQU68" s="16"/>
      <c r="CQV68" s="16"/>
      <c r="CQW68" s="16"/>
      <c r="CQX68" s="16"/>
      <c r="CQY68" s="16"/>
      <c r="CQZ68" s="16"/>
      <c r="CRA68" s="16"/>
      <c r="CRB68" s="16"/>
      <c r="CRC68" s="16"/>
      <c r="CRD68" s="16"/>
      <c r="CRE68" s="16"/>
      <c r="CRF68" s="16"/>
      <c r="CRG68" s="16"/>
      <c r="CRH68" s="16"/>
      <c r="CRI68" s="16"/>
      <c r="CRJ68" s="16"/>
      <c r="CRK68" s="16"/>
      <c r="CRL68" s="16"/>
      <c r="CRM68" s="16"/>
      <c r="CRN68" s="16"/>
      <c r="CRO68" s="16"/>
      <c r="CRP68" s="16"/>
      <c r="CRQ68" s="16"/>
      <c r="CRR68" s="16"/>
      <c r="CRS68" s="16"/>
      <c r="CRT68" s="16"/>
      <c r="CRU68" s="16"/>
      <c r="CRV68" s="16"/>
      <c r="CRW68" s="16"/>
      <c r="CRX68" s="16"/>
      <c r="CRY68" s="16"/>
      <c r="CRZ68" s="16"/>
      <c r="CSA68" s="16"/>
      <c r="CSB68" s="16"/>
      <c r="CSC68" s="16"/>
      <c r="CSD68" s="16"/>
      <c r="CSE68" s="16"/>
      <c r="CSF68" s="16"/>
      <c r="CSG68" s="16"/>
      <c r="CSH68" s="16"/>
      <c r="CSI68" s="16"/>
      <c r="CSJ68" s="16"/>
      <c r="CSK68" s="24"/>
      <c r="CSL68" s="16"/>
      <c r="CSM68" s="16"/>
      <c r="CSN68" s="16"/>
      <c r="CSO68" s="16"/>
      <c r="CSP68" s="16"/>
      <c r="CUG68" s="16"/>
      <c r="CUH68" s="16"/>
      <c r="CUI68" s="16"/>
      <c r="CUJ68" s="16"/>
      <c r="CUK68" s="16"/>
      <c r="CUL68" s="16"/>
      <c r="CUM68" s="16"/>
      <c r="CUN68" s="16"/>
      <c r="CUO68" s="16"/>
      <c r="CUP68" s="16"/>
      <c r="CUQ68" s="16"/>
      <c r="CUR68" s="16"/>
      <c r="CUS68" s="16"/>
      <c r="CUT68" s="16"/>
      <c r="CUU68" s="16"/>
      <c r="CUV68" s="16"/>
      <c r="CUW68" s="16"/>
      <c r="CUX68" s="16"/>
      <c r="CUY68" s="16"/>
      <c r="CUZ68" s="16"/>
      <c r="CVA68" s="16"/>
      <c r="CVB68" s="16"/>
      <c r="CVC68" s="16"/>
      <c r="CVD68" s="16"/>
      <c r="CVE68" s="16"/>
      <c r="CVF68" s="16"/>
      <c r="CVG68" s="16"/>
      <c r="CVH68" s="16"/>
      <c r="CVI68" s="16"/>
      <c r="CVJ68" s="16"/>
      <c r="CVK68" s="16"/>
      <c r="CVL68" s="16"/>
      <c r="CVM68" s="16"/>
      <c r="CVN68" s="16"/>
      <c r="CVO68" s="16"/>
      <c r="CVP68" s="16"/>
    </row>
    <row r="69" spans="3:2616" ht="13.8" x14ac:dyDescent="0.25">
      <c r="C69" s="57"/>
      <c r="E69" s="16"/>
      <c r="K69" s="59"/>
      <c r="L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6"/>
      <c r="LU69" s="16"/>
      <c r="LV69" s="16"/>
      <c r="LW69" s="16"/>
      <c r="LX69" s="16"/>
      <c r="LY69" s="16"/>
      <c r="LZ69" s="16"/>
      <c r="MA69" s="16"/>
      <c r="MB69" s="16"/>
      <c r="MC69" s="16"/>
      <c r="MD69" s="16"/>
      <c r="ME69" s="16"/>
      <c r="MF69" s="16"/>
      <c r="MG69" s="16"/>
      <c r="MH69" s="16"/>
      <c r="MI69" s="16"/>
      <c r="MJ69" s="16"/>
      <c r="MK69" s="16"/>
      <c r="ML69" s="16"/>
      <c r="MM69" s="16"/>
      <c r="MN69" s="16"/>
      <c r="MO69" s="16"/>
      <c r="MP69" s="16"/>
      <c r="MQ69" s="16"/>
      <c r="MR69" s="16"/>
      <c r="MS69" s="16"/>
      <c r="MT69" s="16"/>
      <c r="MU69" s="16"/>
      <c r="MV69" s="16"/>
      <c r="MW69" s="16"/>
      <c r="MX69" s="16"/>
      <c r="MY69" s="16"/>
      <c r="MZ69" s="16"/>
      <c r="NA69" s="16"/>
      <c r="NB69" s="16"/>
      <c r="NC69" s="16"/>
      <c r="ND69" s="16"/>
      <c r="NE69" s="16"/>
      <c r="NF69" s="16"/>
      <c r="NG69" s="16"/>
      <c r="NH69" s="16"/>
      <c r="NI69" s="16"/>
      <c r="NJ69" s="16"/>
      <c r="NK69" s="16"/>
      <c r="NL69" s="16"/>
      <c r="NM69" s="16"/>
      <c r="NN69" s="16"/>
      <c r="NO69" s="16"/>
      <c r="NP69" s="16"/>
      <c r="NQ69" s="16"/>
      <c r="NR69" s="16"/>
      <c r="NS69" s="16"/>
      <c r="NT69" s="16"/>
      <c r="NU69" s="16"/>
      <c r="NV69" s="16"/>
      <c r="NW69" s="16"/>
      <c r="NX69" s="16"/>
      <c r="NY69" s="16"/>
      <c r="NZ69" s="16"/>
      <c r="OA69" s="16"/>
      <c r="OB69" s="16"/>
      <c r="OC69" s="16"/>
      <c r="OD69" s="16"/>
      <c r="OE69" s="16"/>
      <c r="OF69" s="16"/>
      <c r="OG69" s="16"/>
      <c r="OH69" s="16"/>
      <c r="OI69" s="16"/>
      <c r="OJ69" s="16"/>
      <c r="OK69" s="16"/>
      <c r="OL69" s="16"/>
      <c r="OM69" s="16"/>
      <c r="ON69" s="16"/>
      <c r="OO69" s="16"/>
      <c r="OP69" s="16"/>
      <c r="OQ69" s="16"/>
      <c r="OR69" s="16"/>
      <c r="OS69" s="16"/>
      <c r="OT69" s="16"/>
      <c r="OU69" s="16"/>
      <c r="OV69" s="16"/>
      <c r="OW69" s="16"/>
      <c r="OX69" s="16"/>
      <c r="OY69" s="16"/>
      <c r="OZ69" s="16"/>
      <c r="PA69" s="16"/>
      <c r="PB69" s="16"/>
      <c r="PC69" s="16"/>
      <c r="PD69" s="16"/>
      <c r="PE69" s="16"/>
      <c r="PF69" s="16"/>
      <c r="PG69" s="16"/>
      <c r="PH69" s="16"/>
      <c r="PI69" s="16"/>
      <c r="PJ69" s="16"/>
      <c r="PK69" s="16"/>
      <c r="PL69" s="16"/>
      <c r="PM69" s="16"/>
      <c r="PN69" s="16"/>
      <c r="PO69" s="16"/>
      <c r="PP69" s="16"/>
      <c r="PQ69" s="16"/>
      <c r="PR69" s="16"/>
      <c r="PS69" s="16"/>
      <c r="PT69" s="16"/>
      <c r="PU69" s="16"/>
      <c r="PV69" s="16"/>
      <c r="PW69" s="16"/>
      <c r="PX69" s="16"/>
      <c r="PY69" s="16"/>
      <c r="PZ69" s="16"/>
      <c r="QA69" s="16"/>
      <c r="QB69" s="16"/>
      <c r="QC69" s="16"/>
      <c r="QD69" s="16"/>
      <c r="QE69" s="16"/>
      <c r="QF69" s="16"/>
      <c r="QG69" s="16"/>
      <c r="QH69" s="16"/>
      <c r="QI69" s="16"/>
      <c r="QJ69" s="16"/>
      <c r="QK69" s="16"/>
      <c r="QL69" s="16"/>
      <c r="QM69" s="16"/>
      <c r="QN69" s="16"/>
      <c r="QO69" s="16"/>
      <c r="QP69" s="16"/>
      <c r="QQ69" s="16"/>
      <c r="QR69" s="16"/>
      <c r="QS69" s="16"/>
      <c r="QT69" s="16"/>
      <c r="QU69" s="16"/>
      <c r="QV69" s="16"/>
      <c r="QW69" s="16"/>
      <c r="QX69" s="16"/>
      <c r="QY69" s="16"/>
      <c r="QZ69" s="16"/>
      <c r="RA69" s="16"/>
      <c r="RB69" s="16"/>
      <c r="RC69" s="16"/>
      <c r="RD69" s="16"/>
      <c r="RE69" s="16"/>
      <c r="RF69" s="16"/>
      <c r="RG69" s="16"/>
      <c r="RH69" s="16"/>
      <c r="RI69" s="16"/>
      <c r="RJ69" s="16"/>
      <c r="RK69" s="16"/>
      <c r="RL69" s="16"/>
      <c r="RM69" s="16"/>
      <c r="RN69" s="16"/>
      <c r="RO69" s="16"/>
      <c r="RP69" s="16"/>
      <c r="RQ69" s="16"/>
      <c r="RR69" s="16"/>
      <c r="RS69" s="16"/>
      <c r="RT69" s="16"/>
      <c r="RU69" s="16"/>
      <c r="RV69" s="16"/>
      <c r="RW69" s="16"/>
      <c r="RX69" s="16"/>
      <c r="RY69" s="16"/>
      <c r="RZ69" s="16"/>
      <c r="SA69" s="16"/>
      <c r="SB69" s="16"/>
      <c r="SC69" s="16"/>
      <c r="SD69" s="16"/>
      <c r="SE69" s="16"/>
      <c r="SF69" s="16"/>
      <c r="SG69" s="16"/>
      <c r="SH69" s="16"/>
      <c r="SI69" s="16"/>
      <c r="SJ69" s="16"/>
      <c r="SK69" s="16"/>
      <c r="SL69" s="16"/>
      <c r="SM69" s="16"/>
      <c r="SN69" s="16"/>
      <c r="SO69" s="16"/>
      <c r="SP69" s="16"/>
      <c r="SQ69" s="16"/>
      <c r="SR69" s="16"/>
      <c r="SS69" s="16"/>
      <c r="ST69" s="16"/>
      <c r="SU69" s="16"/>
      <c r="SV69" s="16"/>
      <c r="SW69" s="16"/>
      <c r="SX69" s="16"/>
      <c r="SY69" s="16"/>
      <c r="SZ69" s="16"/>
      <c r="TA69" s="16"/>
      <c r="TB69" s="16"/>
      <c r="TC69" s="16"/>
      <c r="TD69" s="16"/>
      <c r="TE69" s="16"/>
      <c r="TF69" s="16"/>
      <c r="TG69" s="16"/>
      <c r="TH69" s="16"/>
      <c r="TI69" s="16"/>
      <c r="TJ69" s="16"/>
      <c r="TK69" s="16"/>
      <c r="TL69" s="16"/>
      <c r="TM69" s="16"/>
      <c r="TN69" s="16"/>
      <c r="TO69" s="16"/>
      <c r="TP69" s="16"/>
      <c r="TQ69" s="16"/>
      <c r="TR69" s="16"/>
      <c r="TS69" s="16"/>
      <c r="TT69" s="16"/>
      <c r="TU69" s="16"/>
      <c r="TV69" s="16"/>
      <c r="TW69" s="16"/>
      <c r="TX69" s="16"/>
      <c r="TY69" s="16"/>
      <c r="TZ69" s="16"/>
      <c r="UA69" s="16"/>
      <c r="UB69" s="16"/>
      <c r="UC69" s="16"/>
      <c r="UD69" s="16"/>
      <c r="UE69" s="16"/>
      <c r="UF69" s="16"/>
      <c r="UG69" s="16"/>
      <c r="UH69" s="16"/>
      <c r="UI69" s="16"/>
      <c r="UJ69" s="16"/>
      <c r="UK69" s="16"/>
      <c r="UL69" s="16"/>
      <c r="UM69" s="16"/>
      <c r="UN69" s="16"/>
      <c r="UO69" s="16"/>
      <c r="UP69" s="16"/>
      <c r="UQ69" s="16"/>
      <c r="UR69" s="16"/>
      <c r="US69" s="16"/>
      <c r="UT69" s="16"/>
      <c r="UU69" s="16"/>
      <c r="UV69" s="16"/>
      <c r="UW69" s="16"/>
      <c r="UX69" s="16"/>
      <c r="UY69" s="16"/>
      <c r="UZ69" s="16"/>
      <c r="VA69" s="16"/>
      <c r="VB69" s="16"/>
      <c r="VC69" s="16"/>
      <c r="VD69" s="16"/>
      <c r="VE69" s="16"/>
      <c r="VF69" s="16"/>
      <c r="VG69" s="16"/>
      <c r="VH69" s="16"/>
      <c r="VI69" s="16"/>
      <c r="VJ69" s="16"/>
      <c r="VK69" s="16"/>
      <c r="VL69" s="16"/>
      <c r="VM69" s="16"/>
      <c r="VN69" s="16"/>
      <c r="VO69" s="16"/>
      <c r="VP69" s="16"/>
      <c r="VQ69" s="16"/>
      <c r="VR69" s="16"/>
      <c r="VS69" s="16"/>
      <c r="VT69" s="16"/>
      <c r="VU69" s="16"/>
      <c r="VV69" s="16"/>
      <c r="VW69" s="16"/>
      <c r="VX69" s="16"/>
      <c r="VY69" s="16"/>
      <c r="VZ69" s="16"/>
      <c r="WA69" s="16"/>
      <c r="WB69" s="16"/>
      <c r="WC69" s="16"/>
      <c r="WD69" s="16"/>
      <c r="WE69" s="16"/>
      <c r="WF69" s="16"/>
      <c r="WG69" s="16"/>
      <c r="WH69" s="16"/>
      <c r="WI69" s="16"/>
      <c r="WJ69" s="16"/>
      <c r="WK69" s="16"/>
      <c r="WL69" s="16"/>
      <c r="WM69" s="16"/>
      <c r="WN69" s="16"/>
      <c r="WO69" s="16"/>
      <c r="WP69" s="16"/>
      <c r="WQ69" s="16"/>
      <c r="WR69" s="16"/>
      <c r="WS69" s="16"/>
      <c r="WT69" s="16"/>
      <c r="WU69" s="16"/>
      <c r="WV69" s="16"/>
      <c r="WW69" s="16"/>
      <c r="WX69" s="16"/>
      <c r="WY69" s="16"/>
      <c r="WZ69" s="16"/>
      <c r="XA69" s="16"/>
      <c r="XB69" s="16"/>
      <c r="XC69" s="16"/>
      <c r="XD69" s="16"/>
      <c r="XE69" s="16"/>
      <c r="XF69" s="16"/>
      <c r="XG69" s="16"/>
      <c r="XH69" s="16"/>
      <c r="XI69" s="16"/>
      <c r="XJ69" s="16"/>
      <c r="XK69" s="16"/>
      <c r="XL69" s="16"/>
      <c r="XM69" s="16"/>
      <c r="XN69" s="16"/>
      <c r="XO69" s="16"/>
      <c r="XP69" s="16"/>
      <c r="XQ69" s="16"/>
      <c r="XR69" s="16"/>
      <c r="XS69" s="16"/>
      <c r="XT69" s="16"/>
      <c r="XU69" s="16"/>
      <c r="XV69" s="16"/>
      <c r="XW69" s="16"/>
      <c r="XX69" s="16"/>
      <c r="XY69" s="16"/>
      <c r="XZ69" s="16"/>
      <c r="YA69" s="16"/>
      <c r="YB69" s="16"/>
      <c r="YC69" s="16"/>
      <c r="YD69" s="16"/>
      <c r="YE69" s="16"/>
      <c r="YF69" s="16"/>
      <c r="YG69" s="16"/>
      <c r="YH69" s="16"/>
      <c r="YI69" s="16"/>
      <c r="YJ69" s="16"/>
      <c r="YK69" s="16"/>
      <c r="YL69" s="16"/>
      <c r="YM69" s="16"/>
      <c r="YN69" s="16"/>
      <c r="YO69" s="16"/>
      <c r="YP69" s="16"/>
      <c r="YQ69" s="16"/>
      <c r="YR69" s="16"/>
      <c r="YS69" s="16"/>
      <c r="YT69" s="16"/>
      <c r="YU69" s="16"/>
      <c r="YV69" s="16"/>
      <c r="YW69" s="16"/>
      <c r="YX69" s="16"/>
      <c r="YY69" s="16"/>
      <c r="YZ69" s="16"/>
      <c r="ZA69" s="16"/>
      <c r="ZB69" s="16"/>
      <c r="ZC69" s="16"/>
      <c r="ZD69" s="16"/>
      <c r="ZE69" s="16"/>
      <c r="ZF69" s="16"/>
      <c r="ZG69" s="16"/>
      <c r="ZH69" s="16"/>
      <c r="ZI69" s="16"/>
      <c r="ZJ69" s="16"/>
      <c r="ZK69" s="16"/>
      <c r="ZL69" s="16"/>
      <c r="ZM69" s="16"/>
      <c r="ZN69" s="16"/>
      <c r="ZO69" s="16"/>
      <c r="ZP69" s="16"/>
      <c r="ZQ69" s="16"/>
      <c r="ZR69" s="16"/>
      <c r="ZS69" s="16"/>
      <c r="ZT69" s="16"/>
      <c r="ZU69" s="16"/>
      <c r="ZV69" s="16"/>
      <c r="ZW69" s="16"/>
      <c r="ZX69" s="16"/>
      <c r="ZY69" s="16"/>
      <c r="ZZ69" s="16"/>
      <c r="AAA69" s="16"/>
      <c r="AAB69" s="16"/>
      <c r="AAC69" s="16"/>
      <c r="AAD69" s="16"/>
      <c r="AAE69" s="16"/>
      <c r="AAF69" s="16"/>
      <c r="AAG69" s="16"/>
      <c r="AAH69" s="16"/>
      <c r="AAI69" s="16"/>
      <c r="AAJ69" s="16"/>
      <c r="AAK69" s="16"/>
      <c r="AAL69" s="16"/>
      <c r="AAM69" s="16"/>
      <c r="AAN69" s="16"/>
      <c r="AAO69" s="16"/>
      <c r="AAP69" s="16"/>
      <c r="AAQ69" s="16"/>
      <c r="AAR69" s="16"/>
      <c r="AAS69" s="16"/>
      <c r="AAT69" s="16"/>
      <c r="AAU69" s="16"/>
      <c r="AAV69" s="16"/>
      <c r="AAW69" s="16"/>
      <c r="AAX69" s="16"/>
      <c r="AAY69" s="16"/>
      <c r="AAZ69" s="16"/>
      <c r="ABA69" s="16"/>
      <c r="ABB69" s="16"/>
      <c r="ABC69" s="16"/>
      <c r="ABD69" s="16"/>
      <c r="ABE69" s="16"/>
      <c r="ABF69" s="16"/>
      <c r="ABG69" s="16"/>
      <c r="ABH69" s="16"/>
      <c r="ABI69" s="16"/>
      <c r="ABJ69" s="16"/>
      <c r="ABK69" s="16"/>
      <c r="ABL69" s="16"/>
      <c r="ABM69" s="16"/>
      <c r="ABN69" s="16"/>
      <c r="ABO69" s="16"/>
      <c r="ABP69" s="16"/>
      <c r="ABQ69" s="16"/>
      <c r="ABR69" s="16"/>
      <c r="ABS69" s="16"/>
      <c r="ABT69" s="16"/>
      <c r="ABU69" s="16"/>
      <c r="ABV69" s="16"/>
      <c r="ABW69" s="16"/>
      <c r="ABX69" s="16"/>
      <c r="ABY69" s="16"/>
      <c r="ABZ69" s="16"/>
      <c r="ACA69" s="16"/>
      <c r="ACB69" s="16"/>
      <c r="ACC69" s="16"/>
      <c r="ACD69" s="16"/>
      <c r="ACE69" s="16"/>
      <c r="ACF69" s="16"/>
      <c r="ACG69" s="16"/>
      <c r="ACH69" s="16"/>
      <c r="ACI69" s="16"/>
      <c r="ACJ69" s="16"/>
      <c r="ACK69" s="16"/>
      <c r="ACL69" s="16"/>
      <c r="ACM69" s="16"/>
      <c r="ACN69" s="16"/>
      <c r="ACO69" s="16"/>
      <c r="ACP69" s="16"/>
      <c r="ACQ69" s="16"/>
      <c r="ACR69" s="16"/>
      <c r="ACS69" s="16"/>
      <c r="ACT69" s="16"/>
      <c r="ACU69" s="16"/>
      <c r="ACV69" s="16"/>
      <c r="ACW69" s="16"/>
      <c r="ACX69" s="16"/>
      <c r="ACY69" s="16"/>
      <c r="ACZ69" s="16"/>
      <c r="ADA69" s="16"/>
      <c r="ADB69" s="16"/>
      <c r="ADC69" s="16"/>
      <c r="ADD69" s="16"/>
      <c r="ADE69" s="16"/>
      <c r="ADF69" s="16"/>
      <c r="ADG69" s="16"/>
      <c r="ADH69" s="16"/>
      <c r="ADI69" s="16"/>
      <c r="ADJ69" s="16"/>
      <c r="ADK69" s="16"/>
      <c r="ADL69" s="16"/>
      <c r="ADM69" s="16"/>
      <c r="ADN69" s="16"/>
      <c r="ADO69" s="16"/>
      <c r="ADP69" s="16"/>
      <c r="ADQ69" s="16"/>
      <c r="ADR69" s="16"/>
      <c r="ADS69" s="16"/>
      <c r="ADT69" s="16"/>
      <c r="ADU69" s="16"/>
      <c r="ADV69" s="16"/>
      <c r="ADW69" s="16"/>
      <c r="ADX69" s="16"/>
      <c r="ADY69" s="16"/>
      <c r="ADZ69" s="16"/>
      <c r="AEA69" s="16"/>
      <c r="AEB69" s="16"/>
      <c r="AEC69" s="16"/>
      <c r="AED69" s="16"/>
      <c r="AEE69" s="16"/>
      <c r="AEF69" s="16"/>
      <c r="AEG69" s="16"/>
      <c r="AEH69" s="16"/>
      <c r="AEI69" s="16"/>
      <c r="AEJ69" s="16"/>
      <c r="AEK69" s="16"/>
      <c r="AEL69" s="16"/>
      <c r="AEM69" s="16"/>
      <c r="AEN69" s="16"/>
      <c r="AEO69" s="16"/>
      <c r="AEP69" s="16"/>
      <c r="AEQ69" s="16"/>
      <c r="AER69" s="16"/>
      <c r="AES69" s="16"/>
      <c r="AET69" s="16"/>
      <c r="AEU69" s="16"/>
      <c r="AEV69" s="16"/>
      <c r="AEW69" s="16"/>
      <c r="AEX69" s="16"/>
      <c r="AEY69" s="16"/>
      <c r="AEZ69" s="16"/>
      <c r="AFA69" s="16"/>
      <c r="AFB69" s="16"/>
      <c r="AFC69" s="16"/>
      <c r="AFD69" s="16"/>
      <c r="AFE69" s="16"/>
      <c r="AFF69" s="16"/>
      <c r="AFG69" s="16"/>
      <c r="AFH69" s="16"/>
      <c r="AFI69" s="16"/>
      <c r="AFJ69" s="16"/>
      <c r="AFK69" s="16"/>
      <c r="AFL69" s="16"/>
      <c r="AFM69" s="16"/>
      <c r="AFN69" s="16"/>
      <c r="AFO69" s="16"/>
      <c r="AFP69" s="16"/>
      <c r="AFQ69" s="16"/>
      <c r="AFR69" s="16"/>
      <c r="AFS69" s="16"/>
      <c r="AFT69" s="16"/>
      <c r="AFU69" s="16"/>
      <c r="AFV69" s="16"/>
      <c r="AFW69" s="16"/>
      <c r="AFX69" s="16"/>
      <c r="AFY69" s="16"/>
      <c r="AFZ69" s="16"/>
      <c r="AGA69" s="16"/>
      <c r="AGB69" s="16"/>
      <c r="AGC69" s="16"/>
      <c r="AGD69" s="16"/>
      <c r="AGE69" s="16"/>
      <c r="AGF69" s="16"/>
      <c r="AGG69" s="16"/>
      <c r="AGH69" s="16"/>
      <c r="AGI69" s="16"/>
      <c r="AGJ69" s="16"/>
      <c r="AGK69" s="16"/>
      <c r="AGL69" s="16"/>
      <c r="AGM69" s="16"/>
      <c r="AGN69" s="16"/>
      <c r="AGO69" s="16"/>
      <c r="AGP69" s="16"/>
      <c r="AGQ69" s="16"/>
      <c r="AGR69" s="16"/>
      <c r="AGS69" s="16"/>
      <c r="AGT69" s="16"/>
      <c r="AGU69" s="16"/>
      <c r="AGV69" s="16"/>
      <c r="AGW69" s="16"/>
      <c r="AGX69" s="16"/>
      <c r="AGY69" s="16"/>
      <c r="AGZ69" s="16"/>
      <c r="AHA69" s="16"/>
      <c r="AHB69" s="16"/>
      <c r="AHC69" s="16"/>
      <c r="AHD69" s="16"/>
      <c r="AHE69" s="16"/>
      <c r="AHF69" s="16"/>
      <c r="AHG69" s="16"/>
      <c r="AHH69" s="16"/>
      <c r="AHI69" s="16"/>
      <c r="AHJ69" s="16"/>
      <c r="AHK69" s="16"/>
      <c r="AHL69" s="16"/>
      <c r="AHM69" s="16"/>
      <c r="AHN69" s="16"/>
      <c r="AHO69" s="16"/>
      <c r="AHP69" s="16"/>
      <c r="AHQ69" s="16"/>
      <c r="AHR69" s="16"/>
      <c r="AHS69" s="16"/>
      <c r="AHT69" s="16"/>
      <c r="AHU69" s="16"/>
      <c r="AHV69" s="16"/>
      <c r="AHW69" s="16"/>
      <c r="AHX69" s="16"/>
      <c r="AHY69" s="16"/>
      <c r="AHZ69" s="16"/>
      <c r="AIA69" s="16"/>
      <c r="AIB69" s="16"/>
      <c r="AIC69" s="16"/>
      <c r="AID69" s="16"/>
      <c r="AIE69" s="16"/>
      <c r="AIF69" s="16"/>
      <c r="AIG69" s="16"/>
      <c r="AIH69" s="16"/>
      <c r="AII69" s="16"/>
      <c r="AIJ69" s="16"/>
      <c r="AIK69" s="16"/>
      <c r="AIL69" s="16"/>
      <c r="AIM69" s="16"/>
      <c r="AIN69" s="16"/>
      <c r="AIO69" s="16"/>
      <c r="AIP69" s="16"/>
      <c r="AIQ69" s="16"/>
      <c r="AIR69" s="16"/>
      <c r="AIS69" s="16"/>
      <c r="AIT69" s="16"/>
      <c r="AIU69" s="16"/>
      <c r="AIV69" s="16"/>
      <c r="AIW69" s="16"/>
      <c r="AIX69" s="16"/>
      <c r="AIY69" s="16"/>
      <c r="AIZ69" s="16"/>
      <c r="AJA69" s="16"/>
      <c r="AJB69" s="16"/>
      <c r="AJC69" s="16"/>
      <c r="AJD69" s="16"/>
      <c r="AJE69" s="16"/>
      <c r="AJF69" s="16"/>
      <c r="AJG69" s="16"/>
      <c r="AJH69" s="16"/>
      <c r="AJI69" s="16"/>
      <c r="AJJ69" s="16"/>
      <c r="AJK69" s="16"/>
      <c r="AJL69" s="16"/>
      <c r="AJM69" s="16"/>
      <c r="AJN69" s="16"/>
      <c r="AJO69" s="16"/>
      <c r="AJP69" s="16"/>
      <c r="AJQ69" s="16"/>
      <c r="AJR69" s="16"/>
      <c r="AJS69" s="16"/>
      <c r="AJT69" s="16"/>
      <c r="AJU69" s="16"/>
      <c r="AJV69" s="16"/>
      <c r="AJW69" s="16"/>
      <c r="AJX69" s="16"/>
      <c r="AJY69" s="16"/>
      <c r="AJZ69" s="16"/>
      <c r="AKA69" s="16"/>
      <c r="AKB69" s="16"/>
      <c r="AKC69" s="16"/>
      <c r="AKD69" s="16"/>
      <c r="AKE69" s="16"/>
      <c r="AKF69" s="16"/>
      <c r="AKG69" s="16"/>
      <c r="AKH69" s="16"/>
      <c r="AKI69" s="16"/>
      <c r="AKJ69" s="16"/>
      <c r="AKK69" s="16"/>
      <c r="AKL69" s="16"/>
      <c r="AKM69" s="16"/>
      <c r="AKN69" s="16"/>
      <c r="AKO69" s="16"/>
      <c r="AKP69" s="16"/>
      <c r="AKQ69" s="16"/>
      <c r="AKR69" s="16"/>
      <c r="AKS69" s="16"/>
      <c r="AKT69" s="16"/>
      <c r="AKU69" s="16"/>
      <c r="AKV69" s="16"/>
      <c r="AKW69" s="16"/>
      <c r="AKX69" s="16"/>
      <c r="AKY69" s="16"/>
      <c r="AKZ69" s="16"/>
      <c r="ALA69" s="16"/>
      <c r="ALB69" s="16"/>
      <c r="ALC69" s="16"/>
      <c r="ALD69" s="16"/>
      <c r="ALE69" s="16"/>
      <c r="ALF69" s="16"/>
      <c r="ALG69" s="16"/>
      <c r="ALH69" s="16"/>
      <c r="ALI69" s="16"/>
      <c r="ALJ69" s="16"/>
      <c r="ALK69" s="16"/>
      <c r="ALL69" s="16"/>
      <c r="ALM69" s="16"/>
      <c r="ALN69" s="16"/>
      <c r="ALO69" s="16"/>
      <c r="ALP69" s="16"/>
      <c r="ALQ69" s="16"/>
      <c r="ALR69" s="16"/>
      <c r="ALS69" s="16"/>
      <c r="ALT69" s="16"/>
      <c r="ALU69" s="16"/>
      <c r="ALV69" s="16"/>
      <c r="ALW69" s="16"/>
      <c r="ALX69" s="16"/>
      <c r="ALY69" s="16"/>
      <c r="ALZ69" s="16"/>
      <c r="AMA69" s="16"/>
      <c r="AMB69" s="16"/>
      <c r="AMC69" s="16"/>
      <c r="AMD69" s="16"/>
      <c r="AME69" s="16"/>
      <c r="AMF69" s="16"/>
      <c r="AMG69" s="16"/>
      <c r="AMH69" s="16"/>
      <c r="AMI69" s="16"/>
      <c r="AMJ69" s="16"/>
      <c r="AMK69" s="16"/>
      <c r="AML69" s="16"/>
      <c r="AMM69" s="16"/>
      <c r="AMN69" s="16"/>
      <c r="AMO69" s="16"/>
      <c r="AMP69" s="16"/>
      <c r="AMQ69" s="16"/>
      <c r="AMR69" s="16"/>
      <c r="AMS69" s="16"/>
      <c r="AMT69" s="16"/>
      <c r="AMU69" s="16"/>
      <c r="AMV69" s="16"/>
      <c r="AMW69" s="16"/>
      <c r="AMX69" s="16"/>
      <c r="AMY69" s="16"/>
      <c r="AMZ69" s="16"/>
      <c r="ANA69" s="16"/>
      <c r="ANB69" s="16"/>
      <c r="ANC69" s="16"/>
      <c r="AND69" s="16"/>
      <c r="ANE69" s="16"/>
      <c r="ANF69" s="16"/>
      <c r="ANG69" s="16"/>
      <c r="ANH69" s="16"/>
      <c r="ANI69" s="16"/>
      <c r="ANJ69" s="16"/>
      <c r="ANK69" s="16"/>
      <c r="ANL69" s="16"/>
      <c r="ANM69" s="16"/>
      <c r="ANN69" s="16"/>
      <c r="ANO69" s="16"/>
      <c r="ANP69" s="16"/>
      <c r="ANQ69" s="16"/>
      <c r="ANR69" s="16"/>
      <c r="ANS69" s="16"/>
      <c r="ANT69" s="16"/>
      <c r="ANU69" s="16"/>
      <c r="ANV69" s="16"/>
      <c r="ANW69" s="16"/>
      <c r="ANX69" s="16"/>
      <c r="ANY69" s="16"/>
      <c r="ANZ69" s="16"/>
      <c r="AOA69" s="16"/>
      <c r="AOB69" s="16"/>
      <c r="AOC69" s="16"/>
      <c r="AOD69" s="16"/>
      <c r="AOE69" s="16"/>
      <c r="AOF69" s="16"/>
      <c r="AOG69" s="16"/>
      <c r="AOH69" s="16"/>
      <c r="AOI69" s="16"/>
      <c r="AOJ69" s="16"/>
      <c r="AOK69" s="16"/>
      <c r="AOL69" s="16"/>
      <c r="AOM69" s="16"/>
      <c r="AON69" s="16"/>
      <c r="AOO69" s="16"/>
      <c r="AOP69" s="16"/>
      <c r="AOQ69" s="16"/>
      <c r="AOR69" s="16"/>
      <c r="AOS69" s="16"/>
      <c r="AOT69" s="16"/>
      <c r="AOU69" s="16"/>
      <c r="AOV69" s="16"/>
      <c r="AOW69" s="16"/>
      <c r="AOX69" s="16"/>
      <c r="AOY69" s="16"/>
      <c r="AOZ69" s="16"/>
      <c r="APA69" s="16"/>
      <c r="APB69" s="16"/>
      <c r="APC69" s="16"/>
      <c r="APD69" s="16"/>
      <c r="APE69" s="16"/>
      <c r="APF69" s="16"/>
      <c r="APG69" s="16"/>
      <c r="APH69" s="16"/>
      <c r="API69" s="16"/>
      <c r="APJ69" s="16"/>
      <c r="APK69" s="16"/>
      <c r="APL69" s="16"/>
      <c r="APM69" s="16"/>
      <c r="APN69" s="16"/>
      <c r="APO69" s="16"/>
      <c r="APP69" s="16"/>
      <c r="APQ69" s="16"/>
      <c r="APR69" s="16"/>
      <c r="APS69" s="16"/>
      <c r="APT69" s="16"/>
      <c r="APU69" s="16"/>
      <c r="APV69" s="16"/>
      <c r="APW69" s="16"/>
      <c r="APX69" s="16"/>
      <c r="APY69" s="16"/>
      <c r="APZ69" s="16"/>
      <c r="AQA69" s="16"/>
      <c r="AQB69" s="16"/>
      <c r="AQC69" s="16"/>
      <c r="AQD69" s="16"/>
      <c r="AQE69" s="16"/>
      <c r="AQF69" s="16"/>
      <c r="AQG69" s="16"/>
      <c r="AQH69" s="16"/>
      <c r="AQI69" s="16"/>
      <c r="AQJ69" s="16"/>
      <c r="AQK69" s="16"/>
      <c r="AQL69" s="16"/>
      <c r="AQM69" s="16"/>
      <c r="AQN69" s="16"/>
      <c r="AQO69" s="16"/>
      <c r="AQP69" s="16"/>
      <c r="AQQ69" s="16"/>
      <c r="AQR69" s="16"/>
      <c r="AQS69" s="16"/>
      <c r="AQT69" s="16"/>
      <c r="AQU69" s="16"/>
      <c r="AQV69" s="16"/>
      <c r="AQW69" s="16"/>
      <c r="AQX69" s="16"/>
      <c r="AQY69" s="16"/>
      <c r="AQZ69" s="16"/>
      <c r="ARA69" s="16"/>
      <c r="ARB69" s="16"/>
      <c r="ARC69" s="16"/>
      <c r="ARD69" s="16"/>
      <c r="ARE69" s="16"/>
      <c r="ARF69" s="16"/>
      <c r="ARG69" s="16"/>
      <c r="ARH69" s="16"/>
      <c r="ARI69" s="16"/>
      <c r="ARJ69" s="16"/>
      <c r="ARK69" s="16"/>
      <c r="ARL69" s="16"/>
      <c r="ARM69" s="16"/>
      <c r="ARN69" s="16"/>
      <c r="ARO69" s="16"/>
      <c r="ARP69" s="16"/>
      <c r="ARQ69" s="16"/>
      <c r="ARR69" s="16"/>
      <c r="ARS69" s="16"/>
      <c r="ART69" s="16"/>
      <c r="ARU69" s="16"/>
      <c r="ARV69" s="16"/>
      <c r="ARW69" s="16"/>
      <c r="ARX69" s="16"/>
      <c r="ARY69" s="16"/>
      <c r="ARZ69" s="16"/>
      <c r="ASA69" s="16"/>
      <c r="ASB69" s="16"/>
      <c r="ASC69" s="16"/>
      <c r="ASD69" s="16"/>
      <c r="ASE69" s="16"/>
      <c r="ASF69" s="16"/>
      <c r="ASG69" s="16"/>
      <c r="ASH69" s="16"/>
      <c r="ASI69" s="16"/>
      <c r="ASJ69" s="16"/>
      <c r="ASK69" s="16"/>
      <c r="ASL69" s="16"/>
      <c r="ASM69" s="16"/>
      <c r="ASN69" s="16"/>
      <c r="ASO69" s="16"/>
      <c r="ASP69" s="16"/>
      <c r="ASQ69" s="16"/>
      <c r="ASR69" s="16"/>
      <c r="ASS69" s="16"/>
      <c r="AST69" s="16"/>
      <c r="ASU69" s="16"/>
      <c r="ASV69" s="16"/>
      <c r="ASW69" s="16"/>
      <c r="ASX69" s="16"/>
      <c r="ASY69" s="16"/>
      <c r="ASZ69" s="16"/>
      <c r="ATA69" s="16"/>
      <c r="ATB69" s="16"/>
      <c r="ATC69" s="16"/>
      <c r="ATD69" s="16"/>
      <c r="ATE69" s="16"/>
      <c r="ATF69" s="16"/>
      <c r="ATG69" s="16"/>
      <c r="ATH69" s="16"/>
      <c r="ATI69" s="16"/>
      <c r="ATJ69" s="16"/>
      <c r="ATK69" s="16"/>
      <c r="ATL69" s="16"/>
      <c r="ATM69" s="16"/>
      <c r="ATN69" s="16"/>
      <c r="ATO69" s="16"/>
      <c r="ATP69" s="16"/>
      <c r="ATQ69" s="16"/>
      <c r="ATR69" s="16"/>
      <c r="ATS69" s="16"/>
      <c r="ATT69" s="16"/>
      <c r="ATU69" s="16"/>
      <c r="ATV69" s="16"/>
      <c r="ATW69" s="16"/>
      <c r="ATX69" s="16"/>
      <c r="ATY69" s="16"/>
      <c r="ATZ69" s="16"/>
      <c r="AUA69" s="16"/>
      <c r="AUB69" s="16"/>
      <c r="AUC69" s="16"/>
      <c r="AUD69" s="16"/>
      <c r="AUE69" s="16"/>
      <c r="AUF69" s="16"/>
      <c r="AUG69" s="16"/>
      <c r="AUH69" s="16"/>
      <c r="AUI69" s="16"/>
      <c r="AUJ69" s="16"/>
      <c r="AUK69" s="16"/>
      <c r="AUL69" s="16"/>
      <c r="AUM69" s="16"/>
      <c r="AUN69" s="16"/>
      <c r="AUO69" s="16"/>
      <c r="AUP69" s="16"/>
      <c r="AUQ69" s="16"/>
      <c r="AUR69" s="16"/>
      <c r="AUS69" s="16"/>
      <c r="AUT69" s="16"/>
      <c r="AUU69" s="16"/>
      <c r="AUV69" s="16"/>
      <c r="AUW69" s="16"/>
      <c r="AUX69" s="16"/>
      <c r="AUY69" s="16"/>
      <c r="AUZ69" s="16"/>
      <c r="AVA69" s="16"/>
      <c r="AVB69" s="16"/>
      <c r="AVC69" s="16"/>
      <c r="AVD69" s="16"/>
      <c r="AVE69" s="16"/>
      <c r="AVF69" s="16"/>
      <c r="AVG69" s="16"/>
      <c r="AVH69" s="16"/>
      <c r="AVI69" s="16"/>
      <c r="AVJ69" s="16"/>
      <c r="AVK69" s="16"/>
      <c r="AVL69" s="16"/>
      <c r="AVM69" s="16"/>
      <c r="AVN69" s="16"/>
      <c r="AVO69" s="16"/>
      <c r="AVP69" s="16"/>
      <c r="AVQ69" s="16"/>
      <c r="AVR69" s="16"/>
      <c r="AVS69" s="16"/>
      <c r="AVT69" s="16"/>
      <c r="AVU69" s="16"/>
      <c r="AVV69" s="16"/>
      <c r="AVW69" s="16"/>
      <c r="AVX69" s="16"/>
      <c r="AVY69" s="16"/>
      <c r="AVZ69" s="16"/>
      <c r="AWA69" s="16"/>
      <c r="AWB69" s="16"/>
      <c r="AWC69" s="16"/>
      <c r="AWD69" s="16"/>
      <c r="AWE69" s="16"/>
      <c r="AWF69" s="16"/>
      <c r="AWG69" s="16"/>
      <c r="AWH69" s="16"/>
      <c r="AWI69" s="16"/>
      <c r="AWJ69" s="16"/>
      <c r="AWK69" s="16"/>
      <c r="AWL69" s="16"/>
      <c r="AWM69" s="16"/>
      <c r="AWN69" s="16"/>
      <c r="AWO69" s="16"/>
      <c r="AWP69" s="16"/>
      <c r="AWQ69" s="16"/>
      <c r="AWR69" s="16"/>
      <c r="AWS69" s="16"/>
      <c r="AWT69" s="16"/>
      <c r="AWU69" s="16"/>
      <c r="AWV69" s="16"/>
      <c r="AWW69" s="16"/>
      <c r="AWX69" s="16"/>
      <c r="AWY69" s="16"/>
      <c r="AWZ69" s="16"/>
      <c r="AXA69" s="16"/>
      <c r="AXB69" s="16"/>
      <c r="AXC69" s="16"/>
      <c r="AXD69" s="16"/>
      <c r="AXE69" s="16"/>
      <c r="AXF69" s="16"/>
      <c r="AXG69" s="16"/>
      <c r="AXH69" s="16"/>
      <c r="AXI69" s="16"/>
      <c r="AXJ69" s="16"/>
      <c r="AXK69" s="16"/>
      <c r="AXL69" s="16"/>
      <c r="AXM69" s="16"/>
      <c r="AXN69" s="16"/>
      <c r="AXO69" s="16"/>
      <c r="AXP69" s="16"/>
      <c r="AXQ69" s="16"/>
      <c r="AXR69" s="16"/>
      <c r="AXS69" s="16"/>
      <c r="AXT69" s="16"/>
      <c r="AXU69" s="16"/>
      <c r="AXV69" s="16"/>
      <c r="AXW69" s="16"/>
      <c r="AXX69" s="16"/>
      <c r="AXY69" s="16"/>
      <c r="AXZ69" s="16"/>
      <c r="AYA69" s="16"/>
      <c r="AYB69" s="16"/>
      <c r="AYC69" s="16"/>
      <c r="AYD69" s="16"/>
      <c r="AYE69" s="16"/>
      <c r="AYF69" s="16"/>
      <c r="AYG69" s="16"/>
      <c r="AYH69" s="16"/>
      <c r="AYI69" s="16"/>
      <c r="AYJ69" s="16"/>
      <c r="AYK69" s="16"/>
      <c r="AYL69" s="16"/>
      <c r="AYM69" s="16"/>
      <c r="AYN69" s="16"/>
      <c r="AYO69" s="16"/>
      <c r="AYP69" s="16"/>
      <c r="AYQ69" s="16"/>
      <c r="AYR69" s="16"/>
      <c r="AYS69" s="16"/>
      <c r="AYT69" s="16"/>
      <c r="AYU69" s="16"/>
      <c r="AYV69" s="16"/>
      <c r="AYW69" s="16"/>
      <c r="AYX69" s="16"/>
      <c r="AYY69" s="16"/>
      <c r="AYZ69" s="16"/>
      <c r="AZA69" s="16"/>
      <c r="AZB69" s="16"/>
      <c r="AZC69" s="16"/>
      <c r="AZD69" s="16"/>
      <c r="AZE69" s="16"/>
      <c r="AZF69" s="16"/>
      <c r="AZG69" s="16"/>
      <c r="AZH69" s="16"/>
      <c r="AZI69" s="16"/>
      <c r="AZJ69" s="16"/>
      <c r="AZK69" s="16"/>
      <c r="AZL69" s="16"/>
      <c r="AZM69" s="16"/>
      <c r="AZN69" s="16"/>
      <c r="AZO69" s="16"/>
      <c r="AZP69" s="16"/>
      <c r="AZQ69" s="16"/>
      <c r="AZR69" s="16"/>
      <c r="AZS69" s="16"/>
      <c r="AZT69" s="16"/>
      <c r="AZU69" s="16"/>
      <c r="AZV69" s="16"/>
      <c r="AZW69" s="16"/>
      <c r="AZX69" s="16"/>
      <c r="AZY69" s="16"/>
      <c r="AZZ69" s="16"/>
      <c r="BAA69" s="16"/>
      <c r="BAB69" s="16"/>
      <c r="BAC69" s="16"/>
      <c r="BAD69" s="16"/>
      <c r="BAE69" s="16"/>
      <c r="BAF69" s="16"/>
      <c r="BAG69" s="16"/>
      <c r="BAH69" s="16"/>
      <c r="BAI69" s="16"/>
      <c r="BAJ69" s="16"/>
      <c r="BAK69" s="16"/>
      <c r="BAL69" s="16"/>
      <c r="BAM69" s="16"/>
      <c r="BAN69" s="16"/>
      <c r="BAO69" s="16"/>
      <c r="BAP69" s="16"/>
      <c r="BAQ69" s="16"/>
      <c r="BAR69" s="16"/>
      <c r="BAS69" s="16"/>
      <c r="BAT69" s="16"/>
      <c r="BAU69" s="16"/>
      <c r="BAV69" s="16"/>
      <c r="BAW69" s="16"/>
      <c r="BAX69" s="16"/>
      <c r="BAY69" s="16"/>
      <c r="BAZ69" s="16"/>
      <c r="BBA69" s="16"/>
      <c r="BBB69" s="16"/>
      <c r="BBC69" s="16"/>
      <c r="BBD69" s="16"/>
      <c r="BBE69" s="16"/>
      <c r="BBF69" s="16"/>
      <c r="BBG69" s="16"/>
      <c r="BBH69" s="16"/>
      <c r="BBI69" s="16"/>
      <c r="BBJ69" s="16"/>
      <c r="BBK69" s="16"/>
      <c r="BBL69" s="16"/>
      <c r="BBM69" s="16"/>
      <c r="BBN69" s="16"/>
      <c r="BBO69" s="16"/>
      <c r="BBP69" s="16"/>
      <c r="BBQ69" s="16"/>
      <c r="BBR69" s="16"/>
      <c r="BBS69" s="16"/>
      <c r="BBT69" s="16"/>
      <c r="BBU69" s="16"/>
      <c r="BBV69" s="16"/>
      <c r="BBW69" s="16"/>
      <c r="BBX69" s="16"/>
      <c r="BBY69" s="16"/>
      <c r="BBZ69" s="16"/>
      <c r="BCA69" s="16"/>
      <c r="BCB69" s="16"/>
      <c r="BCC69" s="16"/>
      <c r="BCD69" s="16"/>
      <c r="BCE69" s="16"/>
      <c r="BCF69" s="16"/>
      <c r="BCG69" s="16"/>
      <c r="BCH69" s="16"/>
      <c r="BCI69" s="16"/>
      <c r="BCJ69" s="16"/>
      <c r="BCK69" s="16"/>
      <c r="BCL69" s="16"/>
      <c r="BCM69" s="16"/>
      <c r="BCN69" s="16"/>
      <c r="BCO69" s="16"/>
      <c r="BCP69" s="16"/>
      <c r="BCQ69" s="16"/>
      <c r="BCR69" s="16"/>
      <c r="BCS69" s="16"/>
      <c r="BCT69" s="16"/>
      <c r="BCU69" s="16"/>
      <c r="BCV69" s="16"/>
      <c r="BCW69" s="16"/>
      <c r="BCX69" s="16"/>
      <c r="BCY69" s="16"/>
      <c r="BCZ69" s="16"/>
      <c r="BDA69" s="16"/>
      <c r="BDB69" s="16"/>
      <c r="BDC69" s="16"/>
      <c r="BDD69" s="16"/>
      <c r="BDE69" s="16"/>
      <c r="BDF69" s="16"/>
      <c r="BDG69" s="16"/>
      <c r="BDH69" s="16"/>
      <c r="BDI69" s="16"/>
      <c r="BDJ69" s="16"/>
      <c r="BDK69" s="16"/>
      <c r="BDL69" s="16"/>
      <c r="BDM69" s="16"/>
      <c r="BDN69" s="16"/>
      <c r="BDO69" s="16"/>
      <c r="BDP69" s="16"/>
      <c r="BDQ69" s="16"/>
      <c r="BDR69" s="16"/>
      <c r="BDS69" s="16"/>
      <c r="BDT69" s="16"/>
      <c r="BDU69" s="16"/>
      <c r="BDV69" s="16"/>
      <c r="BDW69" s="16"/>
      <c r="BDX69" s="16"/>
      <c r="BDY69" s="16"/>
      <c r="BDZ69" s="16"/>
      <c r="BEA69" s="16"/>
      <c r="BEB69" s="16"/>
      <c r="BEC69" s="16"/>
      <c r="BED69" s="16"/>
      <c r="BEE69" s="16"/>
      <c r="BEF69" s="16"/>
      <c r="BEG69" s="16"/>
      <c r="BEH69" s="16"/>
      <c r="BEI69" s="16"/>
      <c r="BEJ69" s="16"/>
      <c r="BEK69" s="16"/>
      <c r="BEL69" s="16"/>
      <c r="BEM69" s="16"/>
      <c r="BEN69" s="16"/>
      <c r="BEO69" s="16"/>
      <c r="BEP69" s="16"/>
      <c r="BEQ69" s="16"/>
      <c r="BER69" s="16"/>
      <c r="BES69" s="16"/>
      <c r="BET69" s="16"/>
      <c r="BEU69" s="16"/>
      <c r="BEV69" s="16"/>
      <c r="BEW69" s="16"/>
      <c r="BEX69" s="16"/>
      <c r="BEY69" s="16"/>
      <c r="BEZ69" s="16"/>
      <c r="BFA69" s="16"/>
      <c r="BFB69" s="16"/>
      <c r="BFC69" s="16"/>
      <c r="BFD69" s="16"/>
      <c r="BFE69" s="16"/>
      <c r="BFF69" s="16"/>
      <c r="BFG69" s="16"/>
      <c r="BFH69" s="16"/>
      <c r="BFI69" s="16"/>
      <c r="BFJ69" s="16"/>
      <c r="BFK69" s="16"/>
      <c r="BFL69" s="16"/>
      <c r="BFM69" s="16"/>
      <c r="BFN69" s="16"/>
      <c r="BFO69" s="16"/>
      <c r="BFP69" s="16"/>
      <c r="BFQ69" s="16"/>
      <c r="BFR69" s="16"/>
      <c r="BFS69" s="16"/>
      <c r="BFT69" s="16"/>
      <c r="BFU69" s="16"/>
      <c r="BFV69" s="16"/>
      <c r="BFW69" s="16"/>
      <c r="BFX69" s="16"/>
      <c r="BFY69" s="16"/>
      <c r="BFZ69" s="16"/>
      <c r="BGA69" s="16"/>
      <c r="BGB69" s="16"/>
      <c r="BGC69" s="16"/>
      <c r="BGD69" s="16"/>
      <c r="BGE69" s="16"/>
      <c r="BGF69" s="16"/>
      <c r="BGG69" s="16"/>
      <c r="BGH69" s="16"/>
      <c r="BGI69" s="16"/>
      <c r="BGJ69" s="16"/>
      <c r="BGK69" s="16"/>
      <c r="BGL69" s="16"/>
      <c r="BGM69" s="16"/>
      <c r="BGN69" s="16"/>
      <c r="BGO69" s="16"/>
      <c r="BGP69" s="16"/>
      <c r="BGQ69" s="16"/>
      <c r="BGR69" s="16"/>
      <c r="BGS69" s="16"/>
      <c r="BGT69" s="16"/>
      <c r="BGU69" s="16"/>
      <c r="BGV69" s="16"/>
      <c r="BGW69" s="16"/>
      <c r="BGX69" s="16"/>
      <c r="BGY69" s="16"/>
      <c r="BGZ69" s="16"/>
      <c r="BHA69" s="16"/>
      <c r="BHB69" s="16"/>
      <c r="BHC69" s="16"/>
      <c r="BHD69" s="16"/>
      <c r="BHE69" s="16"/>
      <c r="BHF69" s="16"/>
      <c r="BHG69" s="16"/>
      <c r="BHH69" s="16"/>
      <c r="BHI69" s="16"/>
      <c r="BHJ69" s="16"/>
      <c r="BHK69" s="16"/>
      <c r="BHL69" s="16"/>
      <c r="BHM69" s="16"/>
      <c r="BHN69" s="16"/>
      <c r="BHO69" s="16"/>
      <c r="BHP69" s="16"/>
      <c r="BHQ69" s="16"/>
      <c r="BHR69" s="16"/>
      <c r="BHS69" s="16"/>
      <c r="BHT69" s="16"/>
      <c r="BHU69" s="16"/>
      <c r="BHV69" s="16"/>
      <c r="BHW69" s="16"/>
      <c r="BHX69" s="16"/>
      <c r="BHY69" s="16"/>
      <c r="BHZ69" s="16"/>
      <c r="BIA69" s="16"/>
      <c r="BIB69" s="16"/>
      <c r="BIC69" s="16"/>
      <c r="BID69" s="16"/>
      <c r="BIE69" s="16"/>
      <c r="BIF69" s="16"/>
      <c r="BIG69" s="16"/>
      <c r="BIH69" s="16"/>
      <c r="BII69" s="16"/>
      <c r="BIJ69" s="16"/>
      <c r="BIK69" s="16"/>
      <c r="BIL69" s="16"/>
      <c r="BIM69" s="16"/>
      <c r="BIN69" s="16"/>
      <c r="BIO69" s="16"/>
      <c r="BIP69" s="16"/>
      <c r="BIQ69" s="16"/>
      <c r="BIR69" s="16"/>
      <c r="BIS69" s="16"/>
      <c r="BIT69" s="16"/>
      <c r="BIU69" s="16"/>
      <c r="BIV69" s="16"/>
      <c r="BIW69" s="16"/>
      <c r="BIX69" s="16"/>
      <c r="BIY69" s="16"/>
      <c r="BIZ69" s="16"/>
      <c r="BJA69" s="16"/>
      <c r="BJB69" s="16"/>
      <c r="BJC69" s="16"/>
      <c r="BJD69" s="16"/>
      <c r="BJE69" s="16"/>
      <c r="BJF69" s="16"/>
      <c r="BJG69" s="16"/>
      <c r="BJH69" s="16"/>
      <c r="BJI69" s="16"/>
      <c r="BJJ69" s="16"/>
      <c r="BJK69" s="16"/>
      <c r="BJL69" s="16"/>
      <c r="BJM69" s="16"/>
      <c r="BJN69" s="16"/>
      <c r="BJO69" s="16"/>
      <c r="BJP69" s="16"/>
      <c r="BJQ69" s="16"/>
      <c r="BJR69" s="16"/>
      <c r="BJS69" s="16"/>
      <c r="BJT69" s="16"/>
      <c r="BJU69" s="16"/>
      <c r="BJV69" s="16"/>
      <c r="BJW69" s="16"/>
      <c r="BJX69" s="16"/>
      <c r="BJY69" s="16"/>
      <c r="BJZ69" s="16"/>
      <c r="BKA69" s="16"/>
      <c r="BKB69" s="16"/>
      <c r="BKC69" s="16"/>
      <c r="BKD69" s="16"/>
      <c r="BKE69" s="16"/>
      <c r="BKF69" s="16"/>
      <c r="BKG69" s="16"/>
      <c r="BKH69" s="16"/>
      <c r="BKI69" s="16"/>
      <c r="BKJ69" s="16"/>
      <c r="BKK69" s="16"/>
      <c r="BKL69" s="16"/>
      <c r="BKM69" s="16"/>
      <c r="BKN69" s="16"/>
      <c r="BKO69" s="16"/>
      <c r="BKP69" s="16"/>
      <c r="BKQ69" s="16"/>
      <c r="BKR69" s="16"/>
      <c r="BKS69" s="16"/>
      <c r="BKT69" s="16"/>
      <c r="BKU69" s="16"/>
      <c r="BKV69" s="16"/>
      <c r="BKW69" s="16"/>
      <c r="BKX69" s="16"/>
      <c r="BKY69" s="16"/>
      <c r="BKZ69" s="16"/>
      <c r="BLA69" s="16"/>
      <c r="BLB69" s="16"/>
      <c r="BLC69" s="16"/>
      <c r="BLD69" s="16"/>
      <c r="BLE69" s="16"/>
      <c r="BLF69" s="16"/>
      <c r="BLG69" s="16"/>
      <c r="BLH69" s="16"/>
      <c r="BLI69" s="16"/>
      <c r="BLJ69" s="16"/>
      <c r="BLK69" s="16"/>
      <c r="BLL69" s="16"/>
      <c r="BLM69" s="16"/>
      <c r="BLN69" s="16"/>
      <c r="BLO69" s="16"/>
      <c r="BLP69" s="16"/>
      <c r="BLQ69" s="16"/>
      <c r="BLR69" s="16"/>
      <c r="BLS69" s="16"/>
      <c r="BLT69" s="16"/>
      <c r="BLU69" s="16"/>
      <c r="BLV69" s="16"/>
      <c r="BLW69" s="16"/>
      <c r="BLX69" s="16"/>
      <c r="BLY69" s="16"/>
      <c r="BLZ69" s="16"/>
      <c r="BMA69" s="16"/>
      <c r="BMB69" s="16"/>
      <c r="BMC69" s="16"/>
      <c r="BMD69" s="16"/>
      <c r="BME69" s="16"/>
      <c r="BMF69" s="16"/>
      <c r="BMG69" s="16"/>
      <c r="BMH69" s="16"/>
      <c r="BMI69" s="16"/>
      <c r="BMJ69" s="16"/>
      <c r="BMK69" s="16"/>
      <c r="BML69" s="16"/>
      <c r="BMM69" s="16"/>
      <c r="BMN69" s="16"/>
      <c r="BMO69" s="16"/>
      <c r="BMP69" s="16"/>
      <c r="BMQ69" s="16"/>
      <c r="BMR69" s="16"/>
      <c r="BMS69" s="16"/>
      <c r="BMT69" s="16"/>
      <c r="BMU69" s="16"/>
      <c r="BMV69" s="16"/>
      <c r="BMW69" s="16"/>
      <c r="BMX69" s="16"/>
      <c r="BMY69" s="16"/>
      <c r="BMZ69" s="16"/>
      <c r="BNA69" s="16"/>
      <c r="BNB69" s="16"/>
      <c r="BNC69" s="16"/>
      <c r="BND69" s="16"/>
      <c r="BNE69" s="16"/>
      <c r="BNF69" s="16"/>
      <c r="BNG69" s="16"/>
      <c r="BNH69" s="16"/>
      <c r="BNI69" s="16"/>
      <c r="BNJ69" s="16"/>
      <c r="BNK69" s="16"/>
      <c r="BNL69" s="16"/>
      <c r="BNM69" s="16"/>
      <c r="BNN69" s="16"/>
      <c r="BNO69" s="16"/>
      <c r="BNP69" s="16"/>
      <c r="BNQ69" s="16"/>
      <c r="BNR69" s="16"/>
      <c r="BNS69" s="16"/>
      <c r="BNT69" s="16"/>
      <c r="BNU69" s="16"/>
      <c r="BNV69" s="16"/>
      <c r="BNW69" s="16"/>
      <c r="BNX69" s="16"/>
      <c r="BNY69" s="16"/>
      <c r="BNZ69" s="16"/>
      <c r="BOA69" s="16"/>
      <c r="BOB69" s="16"/>
      <c r="BOC69" s="16"/>
      <c r="BOD69" s="16"/>
      <c r="BOE69" s="16"/>
      <c r="BOF69" s="16"/>
      <c r="BOG69" s="16"/>
      <c r="BOH69" s="16"/>
      <c r="BOI69" s="16"/>
      <c r="BOJ69" s="16"/>
      <c r="BOK69" s="16"/>
      <c r="BOL69" s="16"/>
      <c r="BOM69" s="16"/>
      <c r="BON69" s="16"/>
      <c r="BOO69" s="16"/>
      <c r="BOP69" s="16"/>
      <c r="BOQ69" s="16"/>
      <c r="BOR69" s="16"/>
      <c r="BOS69" s="16"/>
      <c r="BOT69" s="16"/>
      <c r="BOU69" s="16"/>
      <c r="BOV69" s="16"/>
      <c r="BOW69" s="16"/>
      <c r="BOX69" s="16"/>
      <c r="BOY69" s="16"/>
      <c r="BOZ69" s="16"/>
      <c r="BPA69" s="16"/>
      <c r="BPB69" s="16"/>
      <c r="BPC69" s="16"/>
      <c r="BPD69" s="16"/>
      <c r="BPE69" s="16"/>
      <c r="BPF69" s="16"/>
      <c r="BPG69" s="16"/>
      <c r="BPH69" s="16"/>
      <c r="BPI69" s="16"/>
      <c r="BPJ69" s="16"/>
      <c r="BPK69" s="16"/>
      <c r="BPL69" s="16"/>
      <c r="BPM69" s="16"/>
      <c r="BPN69" s="16"/>
      <c r="BPO69" s="16"/>
      <c r="BPP69" s="16"/>
      <c r="BPQ69" s="16"/>
      <c r="BPR69" s="16"/>
      <c r="BPS69" s="16"/>
      <c r="BPT69" s="16"/>
      <c r="BPU69" s="16"/>
      <c r="BPV69" s="16"/>
      <c r="BPW69" s="16"/>
      <c r="BPX69" s="16"/>
      <c r="BPY69" s="16"/>
      <c r="BPZ69" s="16"/>
      <c r="BQA69" s="16"/>
      <c r="BQB69" s="16"/>
      <c r="BQC69" s="16"/>
      <c r="BQD69" s="16"/>
      <c r="BQE69" s="16"/>
      <c r="BQF69" s="16"/>
      <c r="BQG69" s="16"/>
      <c r="BQH69" s="16"/>
      <c r="BQI69" s="16"/>
      <c r="BQJ69" s="16"/>
      <c r="BQK69" s="16"/>
      <c r="BQL69" s="16"/>
      <c r="BQM69" s="16"/>
      <c r="BQN69" s="16"/>
      <c r="BQO69" s="16"/>
      <c r="BQP69" s="16"/>
      <c r="BQQ69" s="16"/>
      <c r="BQR69" s="16"/>
      <c r="BQS69" s="16"/>
      <c r="BQT69" s="16"/>
      <c r="BQU69" s="16"/>
      <c r="BQV69" s="16"/>
      <c r="BQW69" s="16"/>
      <c r="BQX69" s="16"/>
      <c r="BQY69" s="16"/>
      <c r="BQZ69" s="16"/>
      <c r="BRA69" s="16"/>
      <c r="BRB69" s="16"/>
      <c r="BRC69" s="16"/>
      <c r="BRD69" s="16"/>
      <c r="BRE69" s="16"/>
      <c r="BRF69" s="16"/>
      <c r="BRG69" s="16"/>
      <c r="BRH69" s="16"/>
      <c r="BRI69" s="16"/>
      <c r="BRJ69" s="16"/>
      <c r="BRK69" s="16"/>
      <c r="BRL69" s="16"/>
      <c r="BRM69" s="16"/>
      <c r="BRN69" s="16"/>
      <c r="BRO69" s="16"/>
      <c r="BRP69" s="16"/>
      <c r="BRQ69" s="16"/>
      <c r="BRR69" s="16"/>
      <c r="BRS69" s="16"/>
      <c r="BRT69" s="16"/>
      <c r="BRU69" s="16"/>
      <c r="BRV69" s="16"/>
      <c r="BRW69" s="16"/>
      <c r="BRX69" s="16"/>
      <c r="BRY69" s="16"/>
      <c r="BRZ69" s="16"/>
      <c r="BSA69" s="16"/>
      <c r="BSB69" s="16"/>
      <c r="BSC69" s="16"/>
      <c r="BSD69" s="16"/>
      <c r="BSE69" s="16"/>
      <c r="BSF69" s="16"/>
      <c r="BSG69" s="16"/>
      <c r="BSH69" s="16"/>
      <c r="BSI69" s="16"/>
      <c r="BSJ69" s="16"/>
      <c r="BSK69" s="16"/>
      <c r="BSL69" s="16"/>
      <c r="BSM69" s="16"/>
      <c r="BSN69" s="16"/>
      <c r="BSO69" s="16"/>
      <c r="BSP69" s="16"/>
      <c r="BSQ69" s="16"/>
      <c r="BSR69" s="16"/>
      <c r="BSS69" s="16"/>
      <c r="BST69" s="16"/>
      <c r="BSU69" s="16"/>
      <c r="BSV69" s="16"/>
      <c r="BSW69" s="16"/>
      <c r="BSX69" s="16"/>
      <c r="BSY69" s="16"/>
      <c r="BSZ69" s="16"/>
      <c r="BTA69" s="16"/>
      <c r="BTB69" s="16"/>
      <c r="BTC69" s="16"/>
      <c r="BTD69" s="16"/>
      <c r="BTE69" s="16"/>
      <c r="BTF69" s="16"/>
      <c r="BTG69" s="16"/>
      <c r="BTH69" s="16"/>
      <c r="BTI69" s="16"/>
      <c r="BTJ69" s="16"/>
      <c r="BTK69" s="16"/>
      <c r="BTL69" s="16"/>
      <c r="BTM69" s="16"/>
      <c r="BTN69" s="16"/>
      <c r="BTO69" s="16"/>
      <c r="BTP69" s="16"/>
      <c r="BTQ69" s="16"/>
      <c r="BTR69" s="16"/>
      <c r="BTS69" s="16"/>
      <c r="BTT69" s="16"/>
      <c r="BTU69" s="16"/>
      <c r="BTV69" s="16"/>
      <c r="BTW69" s="16"/>
      <c r="BTX69" s="16"/>
      <c r="BTY69" s="16"/>
      <c r="BTZ69" s="16"/>
      <c r="BUA69" s="16"/>
      <c r="BUB69" s="16"/>
      <c r="BUC69" s="16"/>
      <c r="BUD69" s="16"/>
      <c r="BUE69" s="16"/>
      <c r="BUF69" s="16"/>
      <c r="BUG69" s="16"/>
      <c r="BUH69" s="16"/>
      <c r="BUI69" s="16"/>
      <c r="BUJ69" s="16"/>
      <c r="BUK69" s="16"/>
      <c r="BUL69" s="16"/>
      <c r="BUM69" s="16"/>
      <c r="BUN69" s="16"/>
      <c r="BUO69" s="16"/>
      <c r="BUP69" s="16"/>
      <c r="BUQ69" s="16"/>
      <c r="BUR69" s="16"/>
      <c r="BUS69" s="16"/>
      <c r="BUT69" s="16"/>
      <c r="BUU69" s="16"/>
      <c r="BUV69" s="16"/>
      <c r="BUW69" s="16"/>
      <c r="BUX69" s="16"/>
      <c r="BUY69" s="16"/>
      <c r="BUZ69" s="16"/>
      <c r="BVA69" s="16"/>
      <c r="BVB69" s="16"/>
      <c r="BVC69" s="16"/>
      <c r="BVD69" s="16"/>
      <c r="BVE69" s="16"/>
      <c r="BVF69" s="16"/>
      <c r="BVG69" s="16"/>
      <c r="BVH69" s="16"/>
      <c r="BVI69" s="16"/>
      <c r="BVJ69" s="16"/>
      <c r="BVK69" s="16"/>
      <c r="BVL69" s="16"/>
      <c r="BVM69" s="16"/>
      <c r="BVN69" s="16"/>
      <c r="BVO69" s="16"/>
      <c r="BVP69" s="16"/>
      <c r="BVQ69" s="16"/>
      <c r="BVR69" s="16"/>
      <c r="BVS69" s="16"/>
      <c r="BVT69" s="16"/>
      <c r="BVU69" s="16"/>
      <c r="BVV69" s="16"/>
      <c r="BVW69" s="16"/>
      <c r="BVX69" s="16"/>
      <c r="BVY69" s="16"/>
      <c r="BVZ69" s="16"/>
      <c r="BWA69" s="16"/>
      <c r="BWB69" s="16"/>
      <c r="BWC69" s="16"/>
      <c r="BWD69" s="16"/>
      <c r="BWE69" s="16"/>
      <c r="BWF69" s="16"/>
      <c r="BWG69" s="16"/>
      <c r="BWH69" s="16"/>
      <c r="BWI69" s="16"/>
      <c r="BWJ69" s="16"/>
      <c r="BWK69" s="16"/>
      <c r="BWL69" s="16"/>
      <c r="BWM69" s="16"/>
      <c r="BWN69" s="16"/>
      <c r="BWO69" s="16"/>
      <c r="BWP69" s="16"/>
      <c r="BWQ69" s="16"/>
      <c r="BWR69" s="16"/>
      <c r="BWS69" s="16"/>
      <c r="BWT69" s="16"/>
      <c r="BWU69" s="16"/>
      <c r="BWV69" s="16"/>
      <c r="BWW69" s="16"/>
      <c r="BWX69" s="16"/>
      <c r="BWY69" s="16"/>
      <c r="BWZ69" s="16"/>
      <c r="BXA69" s="16"/>
      <c r="BXB69" s="16"/>
      <c r="BXC69" s="16"/>
      <c r="BXD69" s="16"/>
      <c r="BXE69" s="16"/>
      <c r="BXF69" s="16"/>
      <c r="BXG69" s="16"/>
      <c r="BXH69" s="16"/>
      <c r="BXI69" s="16"/>
      <c r="BXJ69" s="16"/>
      <c r="BXK69" s="16"/>
      <c r="BXL69" s="16"/>
      <c r="BXM69" s="16"/>
      <c r="BXN69" s="16"/>
      <c r="BXO69" s="16"/>
      <c r="BXP69" s="16"/>
      <c r="BXQ69" s="16"/>
      <c r="BXR69" s="16"/>
      <c r="BXS69" s="16"/>
      <c r="BXT69" s="16"/>
      <c r="BXU69" s="16"/>
      <c r="BXV69" s="16"/>
      <c r="BXW69" s="16"/>
      <c r="BXX69" s="16"/>
      <c r="BXY69" s="16"/>
      <c r="BXZ69" s="16"/>
      <c r="BYA69" s="16"/>
      <c r="BYB69" s="16"/>
      <c r="BYC69" s="16"/>
      <c r="BYD69" s="16"/>
      <c r="BYE69" s="16"/>
      <c r="BYF69" s="16"/>
      <c r="BYG69" s="16"/>
      <c r="BYH69" s="16"/>
      <c r="BYI69" s="16"/>
      <c r="BYJ69" s="16"/>
      <c r="BYK69" s="16"/>
      <c r="BYL69" s="16"/>
      <c r="BYM69" s="16"/>
      <c r="BYN69" s="16"/>
      <c r="BYO69" s="16"/>
      <c r="BYP69" s="16"/>
      <c r="BYQ69" s="16"/>
      <c r="BYR69" s="16"/>
      <c r="BYS69" s="16"/>
      <c r="BYT69" s="16"/>
      <c r="BYU69" s="16"/>
      <c r="BYV69" s="16"/>
      <c r="BYW69" s="16"/>
      <c r="BYX69" s="16"/>
      <c r="BYY69" s="16"/>
      <c r="BYZ69" s="16"/>
      <c r="BZA69" s="16"/>
      <c r="BZB69" s="16"/>
      <c r="BZC69" s="16"/>
      <c r="BZD69" s="16"/>
      <c r="BZE69" s="16"/>
      <c r="BZF69" s="16"/>
      <c r="BZG69" s="16"/>
      <c r="BZH69" s="16"/>
      <c r="BZI69" s="16"/>
      <c r="BZJ69" s="16"/>
      <c r="BZK69" s="16"/>
      <c r="BZL69" s="16"/>
      <c r="BZM69" s="16"/>
      <c r="BZN69" s="16"/>
      <c r="BZO69" s="16"/>
      <c r="BZP69" s="16"/>
      <c r="BZQ69" s="16"/>
      <c r="BZR69" s="16"/>
      <c r="BZS69" s="16"/>
      <c r="BZT69" s="16"/>
      <c r="BZU69" s="16"/>
      <c r="BZV69" s="16"/>
      <c r="BZW69" s="16"/>
      <c r="BZX69" s="16"/>
      <c r="BZY69" s="16"/>
      <c r="BZZ69" s="16"/>
      <c r="CAA69" s="16"/>
      <c r="CAB69" s="16"/>
      <c r="CAC69" s="16"/>
      <c r="CAD69" s="16"/>
      <c r="CAE69" s="16"/>
      <c r="CAF69" s="16"/>
      <c r="CAG69" s="16"/>
      <c r="CAH69" s="16"/>
      <c r="CAI69" s="16"/>
      <c r="CAJ69" s="16"/>
      <c r="CAK69" s="16"/>
      <c r="CAL69" s="16"/>
      <c r="CAM69" s="16"/>
      <c r="CAN69" s="16"/>
      <c r="CAO69" s="16"/>
      <c r="CAP69" s="16"/>
      <c r="CAQ69" s="16"/>
      <c r="CAR69" s="16"/>
      <c r="CAS69" s="16"/>
      <c r="CAT69" s="16"/>
      <c r="CAU69" s="16"/>
      <c r="CAV69" s="16"/>
      <c r="CAW69" s="16"/>
      <c r="CAX69" s="16"/>
      <c r="CAY69" s="16"/>
      <c r="CAZ69" s="16"/>
      <c r="CBA69" s="16"/>
      <c r="CBB69" s="16"/>
      <c r="CBC69" s="16"/>
      <c r="CBD69" s="16"/>
      <c r="CBE69" s="16"/>
      <c r="CBF69" s="16"/>
      <c r="CBG69" s="16"/>
      <c r="CBH69" s="16"/>
      <c r="CBI69" s="16"/>
      <c r="CBJ69" s="16"/>
      <c r="CBK69" s="16"/>
      <c r="CBL69" s="16"/>
      <c r="CBM69" s="16"/>
      <c r="CBN69" s="16"/>
      <c r="CBO69" s="16"/>
      <c r="CBP69" s="16"/>
      <c r="CBQ69" s="16"/>
      <c r="CBR69" s="16"/>
      <c r="CBS69" s="16"/>
      <c r="CBT69" s="16"/>
      <c r="CBU69" s="16"/>
      <c r="CBV69" s="16"/>
      <c r="CBW69" s="16"/>
      <c r="CBX69" s="16"/>
      <c r="CBY69" s="16"/>
      <c r="CBZ69" s="16"/>
      <c r="CCA69" s="16"/>
      <c r="CCB69" s="16"/>
      <c r="CCC69" s="16"/>
      <c r="CCD69" s="16"/>
      <c r="CCE69" s="16"/>
      <c r="CCF69" s="16"/>
      <c r="CCG69" s="16"/>
      <c r="CCH69" s="16"/>
      <c r="CCI69" s="16"/>
      <c r="CCJ69" s="16"/>
      <c r="CCK69" s="16"/>
      <c r="CCL69" s="16"/>
      <c r="CCM69" s="16"/>
      <c r="CCN69" s="16"/>
      <c r="CCO69" s="16"/>
      <c r="CCP69" s="16"/>
      <c r="CCQ69" s="16"/>
      <c r="CCR69" s="16"/>
      <c r="CCS69" s="16"/>
      <c r="CCT69" s="16"/>
      <c r="CCU69" s="16"/>
      <c r="CCV69" s="16"/>
      <c r="CCW69" s="16"/>
      <c r="CCX69" s="16"/>
      <c r="CCY69" s="16"/>
      <c r="CCZ69" s="16"/>
      <c r="CDA69" s="16"/>
      <c r="CDB69" s="16"/>
      <c r="CDC69" s="16"/>
      <c r="CDD69" s="16"/>
      <c r="CDE69" s="16"/>
      <c r="CDF69" s="16"/>
      <c r="CDG69" s="16"/>
      <c r="CDH69" s="16"/>
      <c r="CDI69" s="16"/>
      <c r="CDJ69" s="16"/>
      <c r="CDK69" s="16"/>
      <c r="CDL69" s="16"/>
      <c r="CDM69" s="16"/>
      <c r="CDN69" s="16"/>
      <c r="CDO69" s="16"/>
      <c r="CDP69" s="16"/>
      <c r="CDQ69" s="16"/>
      <c r="CDR69" s="16"/>
      <c r="CDS69" s="16"/>
      <c r="CDT69" s="16"/>
      <c r="CDU69" s="16"/>
      <c r="CDV69" s="16"/>
      <c r="CDW69" s="16"/>
      <c r="CDX69" s="16"/>
      <c r="CDY69" s="16"/>
      <c r="CDZ69" s="16"/>
      <c r="CEA69" s="16"/>
      <c r="CEB69" s="16"/>
      <c r="CEC69" s="16"/>
      <c r="CED69" s="16"/>
      <c r="CEE69" s="16"/>
      <c r="CEF69" s="16"/>
      <c r="CEG69" s="16"/>
      <c r="CEH69" s="16"/>
      <c r="CEI69" s="16"/>
      <c r="CEJ69" s="16"/>
      <c r="CEK69" s="16"/>
      <c r="CEL69" s="16"/>
      <c r="CEM69" s="16"/>
      <c r="CEN69" s="16"/>
      <c r="CEO69" s="16"/>
      <c r="CEP69" s="16"/>
      <c r="CEQ69" s="16"/>
      <c r="CER69" s="16"/>
      <c r="CES69" s="16"/>
      <c r="CET69" s="16"/>
      <c r="CEU69" s="16"/>
      <c r="CEV69" s="16"/>
      <c r="CEW69" s="16"/>
      <c r="CEX69" s="16"/>
      <c r="CEY69" s="16"/>
      <c r="CEZ69" s="16"/>
      <c r="CFA69" s="16"/>
      <c r="CFB69" s="16"/>
      <c r="CFC69" s="16"/>
      <c r="CFD69" s="16"/>
      <c r="CFE69" s="16"/>
      <c r="CFF69" s="16"/>
      <c r="CFG69" s="16"/>
      <c r="CFH69" s="16"/>
      <c r="CFI69" s="16"/>
      <c r="CFJ69" s="16"/>
      <c r="CFK69" s="16"/>
      <c r="CFL69" s="16"/>
      <c r="CFM69" s="16"/>
      <c r="CFN69" s="16"/>
      <c r="CFO69" s="16"/>
      <c r="CFP69" s="16"/>
      <c r="CFQ69" s="16"/>
      <c r="CFR69" s="16"/>
      <c r="CFS69" s="16"/>
      <c r="CFT69" s="16"/>
      <c r="CFU69" s="16"/>
      <c r="CFV69" s="16"/>
      <c r="CFW69" s="16"/>
      <c r="CFX69" s="16"/>
      <c r="CFY69" s="16"/>
      <c r="CFZ69" s="16"/>
      <c r="CGA69" s="16"/>
      <c r="CGB69" s="16"/>
      <c r="CGC69" s="16"/>
      <c r="CGD69" s="16"/>
      <c r="CGE69" s="16"/>
      <c r="CGF69" s="16"/>
      <c r="CGG69" s="16"/>
      <c r="CGH69" s="16"/>
      <c r="CGI69" s="16"/>
      <c r="CGJ69" s="16"/>
      <c r="CGK69" s="16"/>
      <c r="CGL69" s="16"/>
      <c r="CGM69" s="16"/>
      <c r="CGN69" s="16"/>
      <c r="CGO69" s="16"/>
      <c r="CGP69" s="16"/>
      <c r="CGQ69" s="16"/>
      <c r="CGR69" s="16"/>
      <c r="CGS69" s="16"/>
      <c r="CGT69" s="16"/>
      <c r="CGU69" s="16"/>
      <c r="CGV69" s="16"/>
      <c r="CGW69" s="16"/>
      <c r="CGX69" s="16"/>
      <c r="CGY69" s="16"/>
      <c r="CGZ69" s="16"/>
      <c r="CHA69" s="16"/>
      <c r="CHB69" s="16"/>
      <c r="CHC69" s="16"/>
      <c r="CHD69" s="16"/>
      <c r="CHE69" s="16"/>
      <c r="CHF69" s="16"/>
      <c r="CHG69" s="16"/>
      <c r="CHH69" s="16"/>
      <c r="CHI69" s="16"/>
      <c r="CHJ69" s="16"/>
      <c r="CHK69" s="16"/>
      <c r="CHL69" s="16"/>
      <c r="CHM69" s="16"/>
      <c r="CHN69" s="16"/>
      <c r="CHO69" s="16"/>
      <c r="CHP69" s="16"/>
      <c r="CHQ69" s="16"/>
      <c r="CHR69" s="16"/>
      <c r="CHS69" s="16"/>
      <c r="CHT69" s="16"/>
      <c r="CHU69" s="16"/>
      <c r="CHV69" s="16"/>
      <c r="CHW69" s="16"/>
      <c r="CHX69" s="16"/>
      <c r="CHY69" s="16"/>
      <c r="CHZ69" s="16"/>
      <c r="CIA69" s="16"/>
      <c r="CIB69" s="16"/>
      <c r="CIC69" s="16"/>
      <c r="CID69" s="16"/>
      <c r="CIE69" s="16"/>
      <c r="CIF69" s="16"/>
      <c r="CIG69" s="16"/>
      <c r="CIH69" s="16"/>
      <c r="CII69" s="16"/>
      <c r="CIJ69" s="16"/>
      <c r="CIK69" s="16"/>
      <c r="CIL69" s="16"/>
      <c r="CIM69" s="16"/>
      <c r="CIN69" s="16"/>
      <c r="CIO69" s="16"/>
      <c r="CIP69" s="16"/>
      <c r="CIQ69" s="16"/>
      <c r="CIR69" s="16"/>
      <c r="CIS69" s="16"/>
      <c r="CIT69" s="16"/>
      <c r="CIU69" s="16"/>
      <c r="CIV69" s="16"/>
      <c r="CIW69" s="16"/>
      <c r="CIX69" s="16"/>
      <c r="CIY69" s="16"/>
      <c r="CIZ69" s="16"/>
      <c r="CJA69" s="16"/>
      <c r="CJB69" s="16"/>
      <c r="CJC69" s="16"/>
      <c r="CJD69" s="16"/>
      <c r="CJE69" s="16"/>
      <c r="CJF69" s="16"/>
      <c r="CJG69" s="16"/>
      <c r="CJH69" s="16"/>
      <c r="CJI69" s="16"/>
      <c r="CJJ69" s="16"/>
      <c r="CJK69" s="16"/>
      <c r="CJL69" s="16"/>
      <c r="CJM69" s="16"/>
      <c r="CJN69" s="16"/>
      <c r="CJO69" s="16"/>
      <c r="CJP69" s="16"/>
      <c r="CJQ69" s="16"/>
      <c r="CJR69" s="16"/>
      <c r="CJS69" s="16"/>
      <c r="CJT69" s="16"/>
      <c r="CJU69" s="16"/>
      <c r="CJV69" s="16"/>
      <c r="CJW69" s="16"/>
      <c r="CJX69" s="16"/>
      <c r="CJY69" s="16"/>
      <c r="CJZ69" s="16"/>
      <c r="CKA69" s="16"/>
      <c r="CKB69" s="16"/>
      <c r="CKC69" s="16"/>
      <c r="CKD69" s="16"/>
      <c r="CKE69" s="16"/>
      <c r="CKF69" s="16"/>
      <c r="CKG69" s="16"/>
      <c r="CKH69" s="16"/>
      <c r="CKI69" s="16"/>
      <c r="CKJ69" s="16"/>
      <c r="CKK69" s="16"/>
      <c r="CKL69" s="16"/>
      <c r="CKM69" s="16"/>
      <c r="CKN69" s="16"/>
      <c r="CKO69" s="16"/>
      <c r="CKP69" s="16"/>
      <c r="CKQ69" s="16"/>
      <c r="CKR69" s="16"/>
      <c r="CKS69" s="16"/>
      <c r="CKT69" s="16"/>
      <c r="CKU69" s="16"/>
      <c r="CKV69" s="16"/>
      <c r="CKW69" s="16"/>
      <c r="CKX69" s="16"/>
      <c r="CKY69" s="16"/>
      <c r="CKZ69" s="16"/>
      <c r="CLA69" s="16"/>
      <c r="CLB69" s="16"/>
      <c r="CLC69" s="16"/>
      <c r="CLD69" s="16"/>
      <c r="CLE69" s="16"/>
      <c r="CLF69" s="16"/>
      <c r="CLG69" s="16"/>
      <c r="CLH69" s="16"/>
      <c r="CLI69" s="16"/>
      <c r="CLJ69" s="16"/>
      <c r="CLK69" s="16"/>
      <c r="CLL69" s="16"/>
      <c r="CLM69" s="16"/>
      <c r="CLN69" s="16"/>
      <c r="CLO69" s="16"/>
      <c r="CLP69" s="16"/>
      <c r="CLQ69" s="16"/>
      <c r="CLR69" s="16"/>
      <c r="CLS69" s="16"/>
      <c r="CLT69" s="16"/>
      <c r="CLU69" s="16"/>
      <c r="CLV69" s="16"/>
      <c r="CLW69" s="16"/>
      <c r="CLX69" s="16"/>
      <c r="CLY69" s="16"/>
      <c r="CLZ69" s="16"/>
      <c r="CMA69" s="16"/>
      <c r="CMB69" s="16"/>
      <c r="CMC69" s="16"/>
      <c r="CMD69" s="16"/>
      <c r="CME69" s="16"/>
      <c r="CMF69" s="16"/>
      <c r="CMG69" s="16"/>
      <c r="CMH69" s="16"/>
      <c r="CMI69" s="16"/>
      <c r="CMJ69" s="16"/>
      <c r="CMK69" s="16"/>
      <c r="CML69" s="16"/>
      <c r="CMM69" s="16"/>
      <c r="CMN69" s="16"/>
      <c r="CMO69" s="16"/>
      <c r="CMP69" s="16"/>
      <c r="CMQ69" s="16"/>
      <c r="CMR69" s="16"/>
      <c r="CMS69" s="16"/>
      <c r="CMT69" s="16"/>
      <c r="CMU69" s="16"/>
      <c r="CMV69" s="16"/>
      <c r="CMW69" s="16"/>
      <c r="CMX69" s="16"/>
      <c r="CMY69" s="16"/>
      <c r="CMZ69" s="16"/>
      <c r="CNA69" s="16"/>
      <c r="CNB69" s="16"/>
      <c r="CNC69" s="16"/>
      <c r="CND69" s="16"/>
      <c r="CNE69" s="16"/>
      <c r="CNF69" s="16"/>
      <c r="CNG69" s="16"/>
      <c r="CNH69" s="16"/>
      <c r="CNI69" s="16"/>
      <c r="CNJ69" s="16"/>
      <c r="CNK69" s="16"/>
      <c r="CNL69" s="16"/>
      <c r="CNM69" s="16"/>
      <c r="CNN69" s="16"/>
      <c r="CNO69" s="16"/>
      <c r="CNP69" s="16"/>
      <c r="CNQ69" s="16"/>
      <c r="CNR69" s="16"/>
      <c r="CNS69" s="16"/>
      <c r="CNT69" s="16"/>
      <c r="CNU69" s="16"/>
      <c r="CNV69" s="16"/>
      <c r="CNW69" s="16"/>
      <c r="CNX69" s="16"/>
      <c r="CNY69" s="16"/>
      <c r="CNZ69" s="16"/>
      <c r="COA69" s="16"/>
      <c r="COB69" s="16"/>
      <c r="COC69" s="16"/>
      <c r="COD69" s="16"/>
      <c r="COE69" s="16"/>
      <c r="COF69" s="16"/>
      <c r="COG69" s="16"/>
      <c r="COH69" s="16"/>
      <c r="COI69" s="16"/>
      <c r="COJ69" s="16"/>
      <c r="COK69" s="16"/>
      <c r="COL69" s="16"/>
      <c r="COM69" s="16"/>
      <c r="CON69" s="16"/>
      <c r="COO69" s="16"/>
      <c r="COP69" s="16"/>
      <c r="COQ69" s="16"/>
      <c r="COR69" s="16"/>
      <c r="COS69" s="16"/>
      <c r="COT69" s="16"/>
      <c r="COU69" s="16"/>
      <c r="COV69" s="16"/>
      <c r="COW69" s="16"/>
      <c r="COX69" s="16"/>
      <c r="COY69" s="16"/>
      <c r="COZ69" s="16"/>
      <c r="CPA69" s="16"/>
      <c r="CPB69" s="16"/>
      <c r="CPC69" s="16"/>
      <c r="CPD69" s="16"/>
      <c r="CPE69" s="16"/>
      <c r="CPF69" s="16"/>
      <c r="CPG69" s="16"/>
      <c r="CPH69" s="16"/>
      <c r="CPI69" s="16"/>
      <c r="CPJ69" s="16"/>
      <c r="CPK69" s="16"/>
      <c r="CPL69" s="16"/>
      <c r="CPM69" s="16"/>
      <c r="CPN69" s="16"/>
      <c r="CPO69" s="16"/>
      <c r="CPP69" s="16"/>
      <c r="CPQ69" s="16"/>
      <c r="CPR69" s="16"/>
      <c r="CPS69" s="16"/>
      <c r="CPT69" s="16"/>
      <c r="CPU69" s="16"/>
      <c r="CPV69" s="16"/>
      <c r="CPW69" s="16"/>
      <c r="CPX69" s="16"/>
      <c r="CPY69" s="16"/>
      <c r="CPZ69" s="16"/>
      <c r="CQA69" s="16"/>
      <c r="CQB69" s="16"/>
      <c r="CQC69" s="16"/>
      <c r="CQD69" s="16"/>
      <c r="CQE69" s="16"/>
      <c r="CQF69" s="16"/>
      <c r="CQG69" s="16"/>
      <c r="CQH69" s="16"/>
      <c r="CQI69" s="16"/>
      <c r="CQJ69" s="16"/>
      <c r="CQK69" s="16"/>
      <c r="CQL69" s="16"/>
      <c r="CQM69" s="16"/>
      <c r="CQN69" s="16"/>
      <c r="CQO69" s="16"/>
      <c r="CQP69" s="16"/>
      <c r="CQQ69" s="16"/>
      <c r="CQR69" s="16"/>
      <c r="CQS69" s="16"/>
      <c r="CQT69" s="16"/>
      <c r="CQU69" s="16"/>
      <c r="CQV69" s="16"/>
      <c r="CQW69" s="16"/>
      <c r="CQX69" s="16"/>
      <c r="CQY69" s="16"/>
      <c r="CQZ69" s="16"/>
      <c r="CRA69" s="16"/>
      <c r="CRB69" s="16"/>
      <c r="CRC69" s="16"/>
      <c r="CRD69" s="16"/>
      <c r="CRE69" s="16"/>
      <c r="CRF69" s="16"/>
      <c r="CRG69" s="16"/>
      <c r="CRH69" s="16"/>
      <c r="CRI69" s="16"/>
      <c r="CRJ69" s="16"/>
      <c r="CRK69" s="16"/>
      <c r="CRL69" s="16"/>
      <c r="CRM69" s="16"/>
      <c r="CRN69" s="16"/>
      <c r="CRO69" s="16"/>
      <c r="CRP69" s="16"/>
      <c r="CRQ69" s="16"/>
      <c r="CRR69" s="16"/>
      <c r="CRS69" s="16"/>
      <c r="CRT69" s="16"/>
      <c r="CRU69" s="16"/>
      <c r="CRV69" s="16"/>
      <c r="CRW69" s="16"/>
      <c r="CRX69" s="16"/>
      <c r="CRY69" s="16"/>
      <c r="CRZ69" s="16"/>
      <c r="CSA69" s="16"/>
      <c r="CSB69" s="16"/>
      <c r="CSC69" s="16"/>
      <c r="CSD69" s="16"/>
      <c r="CSE69" s="16"/>
      <c r="CSF69" s="16"/>
      <c r="CSG69" s="16"/>
      <c r="CSH69" s="16"/>
      <c r="CSI69" s="16"/>
      <c r="CSJ69" s="16"/>
      <c r="CSK69" s="24"/>
      <c r="CSL69" s="16"/>
      <c r="CSM69" s="16"/>
      <c r="CSN69" s="16"/>
      <c r="CSO69" s="16"/>
      <c r="CSP69" s="16"/>
      <c r="CUG69" s="16"/>
      <c r="CUH69" s="16"/>
      <c r="CUI69" s="16"/>
      <c r="CUJ69" s="16"/>
      <c r="CUK69" s="16"/>
      <c r="CUL69" s="16"/>
      <c r="CUM69" s="16"/>
      <c r="CUN69" s="16"/>
      <c r="CUO69" s="16"/>
      <c r="CUP69" s="16"/>
      <c r="CUQ69" s="16"/>
      <c r="CUR69" s="16"/>
      <c r="CUS69" s="16"/>
      <c r="CUT69" s="16"/>
      <c r="CUU69" s="16"/>
      <c r="CUV69" s="16"/>
      <c r="CUW69" s="16"/>
      <c r="CUX69" s="16"/>
      <c r="CUY69" s="16"/>
      <c r="CUZ69" s="16"/>
      <c r="CVA69" s="16"/>
      <c r="CVB69" s="16"/>
      <c r="CVC69" s="16"/>
      <c r="CVD69" s="16"/>
      <c r="CVE69" s="16"/>
      <c r="CVF69" s="16"/>
      <c r="CVG69" s="16"/>
      <c r="CVH69" s="16"/>
      <c r="CVI69" s="16"/>
      <c r="CVJ69" s="16"/>
      <c r="CVK69" s="16"/>
      <c r="CVL69" s="16"/>
      <c r="CVM69" s="16"/>
      <c r="CVN69" s="16"/>
      <c r="CVO69" s="16"/>
      <c r="CVP69" s="16"/>
    </row>
    <row r="70" spans="3:2616" ht="13.8" x14ac:dyDescent="0.25">
      <c r="C70" s="57"/>
      <c r="E70" s="16"/>
      <c r="K70" s="59"/>
      <c r="L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  <c r="FC70" s="16"/>
      <c r="FD70" s="16"/>
      <c r="FE70" s="16"/>
      <c r="FF70" s="16"/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16"/>
      <c r="FR70" s="16"/>
      <c r="FS70" s="16"/>
      <c r="FT70" s="16"/>
      <c r="FU70" s="16"/>
      <c r="FV70" s="16"/>
      <c r="FW70" s="16"/>
      <c r="FX70" s="16"/>
      <c r="FY70" s="16"/>
      <c r="FZ70" s="16"/>
      <c r="GA70" s="16"/>
      <c r="GB70" s="16"/>
      <c r="GC70" s="16"/>
      <c r="GD70" s="16"/>
      <c r="GE70" s="16"/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/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/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/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/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/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/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/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/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/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/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/>
      <c r="LT70" s="16"/>
      <c r="LU70" s="16"/>
      <c r="LV70" s="16"/>
      <c r="LW70" s="16"/>
      <c r="LX70" s="16"/>
      <c r="LY70" s="16"/>
      <c r="LZ70" s="16"/>
      <c r="MA70" s="16"/>
      <c r="MB70" s="16"/>
      <c r="MC70" s="16"/>
      <c r="MD70" s="16"/>
      <c r="ME70" s="16"/>
      <c r="MF70" s="16"/>
      <c r="MG70" s="16"/>
      <c r="MH70" s="16"/>
      <c r="MI70" s="16"/>
      <c r="MJ70" s="16"/>
      <c r="MK70" s="16"/>
      <c r="ML70" s="16"/>
      <c r="MM70" s="16"/>
      <c r="MN70" s="16"/>
      <c r="MO70" s="16"/>
      <c r="MP70" s="16"/>
      <c r="MQ70" s="16"/>
      <c r="MR70" s="16"/>
      <c r="MS70" s="16"/>
      <c r="MT70" s="16"/>
      <c r="MU70" s="16"/>
      <c r="MV70" s="16"/>
      <c r="MW70" s="16"/>
      <c r="MX70" s="16"/>
      <c r="MY70" s="16"/>
      <c r="MZ70" s="16"/>
      <c r="NA70" s="16"/>
      <c r="NB70" s="16"/>
      <c r="NC70" s="16"/>
      <c r="ND70" s="16"/>
      <c r="NE70" s="16"/>
      <c r="NF70" s="16"/>
      <c r="NG70" s="16"/>
      <c r="NH70" s="16"/>
      <c r="NI70" s="16"/>
      <c r="NJ70" s="16"/>
      <c r="NK70" s="16"/>
      <c r="NL70" s="16"/>
      <c r="NM70" s="16"/>
      <c r="NN70" s="16"/>
      <c r="NO70" s="16"/>
      <c r="NP70" s="16"/>
      <c r="NQ70" s="16"/>
      <c r="NR70" s="16"/>
      <c r="NS70" s="16"/>
      <c r="NT70" s="16"/>
      <c r="NU70" s="16"/>
      <c r="NV70" s="16"/>
      <c r="NW70" s="16"/>
      <c r="NX70" s="16"/>
      <c r="NY70" s="16"/>
      <c r="NZ70" s="16"/>
      <c r="OA70" s="16"/>
      <c r="OB70" s="16"/>
      <c r="OC70" s="16"/>
      <c r="OD70" s="16"/>
      <c r="OE70" s="16"/>
      <c r="OF70" s="16"/>
      <c r="OG70" s="16"/>
      <c r="OH70" s="16"/>
      <c r="OI70" s="16"/>
      <c r="OJ70" s="16"/>
      <c r="OK70" s="16"/>
      <c r="OL70" s="16"/>
      <c r="OM70" s="16"/>
      <c r="ON70" s="16"/>
      <c r="OO70" s="16"/>
      <c r="OP70" s="16"/>
      <c r="OQ70" s="16"/>
      <c r="OR70" s="16"/>
      <c r="OS70" s="16"/>
      <c r="OT70" s="16"/>
      <c r="OU70" s="16"/>
      <c r="OV70" s="16"/>
      <c r="OW70" s="16"/>
      <c r="OX70" s="16"/>
      <c r="OY70" s="16"/>
      <c r="OZ70" s="16"/>
      <c r="PA70" s="16"/>
      <c r="PB70" s="16"/>
      <c r="PC70" s="16"/>
      <c r="PD70" s="16"/>
      <c r="PE70" s="16"/>
      <c r="PF70" s="16"/>
      <c r="PG70" s="16"/>
      <c r="PH70" s="16"/>
      <c r="PI70" s="16"/>
      <c r="PJ70" s="16"/>
      <c r="PK70" s="16"/>
      <c r="PL70" s="16"/>
      <c r="PM70" s="16"/>
      <c r="PN70" s="16"/>
      <c r="PO70" s="16"/>
      <c r="PP70" s="16"/>
      <c r="PQ70" s="16"/>
      <c r="PR70" s="16"/>
      <c r="PS70" s="16"/>
      <c r="PT70" s="16"/>
      <c r="PU70" s="16"/>
      <c r="PV70" s="16"/>
      <c r="PW70" s="16"/>
      <c r="PX70" s="16"/>
      <c r="PY70" s="16"/>
      <c r="PZ70" s="16"/>
      <c r="QA70" s="16"/>
      <c r="QB70" s="16"/>
      <c r="QC70" s="16"/>
      <c r="QD70" s="16"/>
      <c r="QE70" s="16"/>
      <c r="QF70" s="16"/>
      <c r="QG70" s="16"/>
      <c r="QH70" s="16"/>
      <c r="QI70" s="16"/>
      <c r="QJ70" s="16"/>
      <c r="QK70" s="16"/>
      <c r="QL70" s="16"/>
      <c r="QM70" s="16"/>
      <c r="QN70" s="16"/>
      <c r="QO70" s="16"/>
      <c r="QP70" s="16"/>
      <c r="QQ70" s="16"/>
      <c r="QR70" s="16"/>
      <c r="QS70" s="16"/>
      <c r="QT70" s="16"/>
      <c r="QU70" s="16"/>
      <c r="QV70" s="16"/>
      <c r="QW70" s="16"/>
      <c r="QX70" s="16"/>
      <c r="QY70" s="16"/>
      <c r="QZ70" s="16"/>
      <c r="RA70" s="16"/>
      <c r="RB70" s="16"/>
      <c r="RC70" s="16"/>
      <c r="RD70" s="16"/>
      <c r="RE70" s="16"/>
      <c r="RF70" s="16"/>
      <c r="RG70" s="16"/>
      <c r="RH70" s="16"/>
      <c r="RI70" s="16"/>
      <c r="RJ70" s="16"/>
      <c r="RK70" s="16"/>
      <c r="RL70" s="16"/>
      <c r="RM70" s="16"/>
      <c r="RN70" s="16"/>
      <c r="RO70" s="16"/>
      <c r="RP70" s="16"/>
      <c r="RQ70" s="16"/>
      <c r="RR70" s="16"/>
      <c r="RS70" s="16"/>
      <c r="RT70" s="16"/>
      <c r="RU70" s="16"/>
      <c r="RV70" s="16"/>
      <c r="RW70" s="16"/>
      <c r="RX70" s="16"/>
      <c r="RY70" s="16"/>
      <c r="RZ70" s="16"/>
      <c r="SA70" s="16"/>
      <c r="SB70" s="16"/>
      <c r="SC70" s="16"/>
      <c r="SD70" s="16"/>
      <c r="SE70" s="16"/>
      <c r="SF70" s="16"/>
      <c r="SG70" s="16"/>
      <c r="SH70" s="16"/>
      <c r="SI70" s="16"/>
      <c r="SJ70" s="16"/>
      <c r="SK70" s="16"/>
      <c r="SL70" s="16"/>
      <c r="SM70" s="16"/>
      <c r="SN70" s="16"/>
      <c r="SO70" s="16"/>
      <c r="SP70" s="16"/>
      <c r="SQ70" s="16"/>
      <c r="SR70" s="16"/>
      <c r="SS70" s="16"/>
      <c r="ST70" s="16"/>
      <c r="SU70" s="16"/>
      <c r="SV70" s="16"/>
      <c r="SW70" s="16"/>
      <c r="SX70" s="16"/>
      <c r="SY70" s="16"/>
      <c r="SZ70" s="16"/>
      <c r="TA70" s="16"/>
      <c r="TB70" s="16"/>
      <c r="TC70" s="16"/>
      <c r="TD70" s="16"/>
      <c r="TE70" s="16"/>
      <c r="TF70" s="16"/>
      <c r="TG70" s="16"/>
      <c r="TH70" s="16"/>
      <c r="TI70" s="16"/>
      <c r="TJ70" s="16"/>
      <c r="TK70" s="16"/>
      <c r="TL70" s="16"/>
      <c r="TM70" s="16"/>
      <c r="TN70" s="16"/>
      <c r="TO70" s="16"/>
      <c r="TP70" s="16"/>
      <c r="TQ70" s="16"/>
      <c r="TR70" s="16"/>
      <c r="TS70" s="16"/>
      <c r="TT70" s="16"/>
      <c r="TU70" s="16"/>
      <c r="TV70" s="16"/>
      <c r="TW70" s="16"/>
      <c r="TX70" s="16"/>
      <c r="TY70" s="16"/>
      <c r="TZ70" s="16"/>
      <c r="UA70" s="16"/>
      <c r="UB70" s="16"/>
      <c r="UC70" s="16"/>
      <c r="UD70" s="16"/>
      <c r="UE70" s="16"/>
      <c r="UF70" s="16"/>
      <c r="UG70" s="16"/>
      <c r="UH70" s="16"/>
      <c r="UI70" s="16"/>
      <c r="UJ70" s="16"/>
      <c r="UK70" s="16"/>
      <c r="UL70" s="16"/>
      <c r="UM70" s="16"/>
      <c r="UN70" s="16"/>
      <c r="UO70" s="16"/>
      <c r="UP70" s="16"/>
      <c r="UQ70" s="16"/>
      <c r="UR70" s="16"/>
      <c r="US70" s="16"/>
      <c r="UT70" s="16"/>
      <c r="UU70" s="16"/>
      <c r="UV70" s="16"/>
      <c r="UW70" s="16"/>
      <c r="UX70" s="16"/>
      <c r="UY70" s="16"/>
      <c r="UZ70" s="16"/>
      <c r="VA70" s="16"/>
      <c r="VB70" s="16"/>
      <c r="VC70" s="16"/>
      <c r="VD70" s="16"/>
      <c r="VE70" s="16"/>
      <c r="VF70" s="16"/>
      <c r="VG70" s="16"/>
      <c r="VH70" s="16"/>
      <c r="VI70" s="16"/>
      <c r="VJ70" s="16"/>
      <c r="VK70" s="16"/>
      <c r="VL70" s="16"/>
      <c r="VM70" s="16"/>
      <c r="VN70" s="16"/>
      <c r="VO70" s="16"/>
      <c r="VP70" s="16"/>
      <c r="VQ70" s="16"/>
      <c r="VR70" s="16"/>
      <c r="VS70" s="16"/>
      <c r="VT70" s="16"/>
      <c r="VU70" s="16"/>
      <c r="VV70" s="16"/>
      <c r="VW70" s="16"/>
      <c r="VX70" s="16"/>
      <c r="VY70" s="16"/>
      <c r="VZ70" s="16"/>
      <c r="WA70" s="16"/>
      <c r="WB70" s="16"/>
      <c r="WC70" s="16"/>
      <c r="WD70" s="16"/>
      <c r="WE70" s="16"/>
      <c r="WF70" s="16"/>
      <c r="WG70" s="16"/>
      <c r="WH70" s="16"/>
      <c r="WI70" s="16"/>
      <c r="WJ70" s="16"/>
      <c r="WK70" s="16"/>
      <c r="WL70" s="16"/>
      <c r="WM70" s="16"/>
      <c r="WN70" s="16"/>
      <c r="WO70" s="16"/>
      <c r="WP70" s="16"/>
      <c r="WQ70" s="16"/>
      <c r="WR70" s="16"/>
      <c r="WS70" s="16"/>
      <c r="WT70" s="16"/>
      <c r="WU70" s="16"/>
      <c r="WV70" s="16"/>
      <c r="WW70" s="16"/>
      <c r="WX70" s="16"/>
      <c r="WY70" s="16"/>
      <c r="WZ70" s="16"/>
      <c r="XA70" s="16"/>
      <c r="XB70" s="16"/>
      <c r="XC70" s="16"/>
      <c r="XD70" s="16"/>
      <c r="XE70" s="16"/>
      <c r="XF70" s="16"/>
      <c r="XG70" s="16"/>
      <c r="XH70" s="16"/>
      <c r="XI70" s="16"/>
      <c r="XJ70" s="16"/>
      <c r="XK70" s="16"/>
      <c r="XL70" s="16"/>
      <c r="XM70" s="16"/>
      <c r="XN70" s="16"/>
      <c r="XO70" s="16"/>
      <c r="XP70" s="16"/>
      <c r="XQ70" s="16"/>
      <c r="XR70" s="16"/>
      <c r="XS70" s="16"/>
      <c r="XT70" s="16"/>
      <c r="XU70" s="16"/>
      <c r="XV70" s="16"/>
      <c r="XW70" s="16"/>
      <c r="XX70" s="16"/>
      <c r="XY70" s="16"/>
      <c r="XZ70" s="16"/>
      <c r="YA70" s="16"/>
      <c r="YB70" s="16"/>
      <c r="YC70" s="16"/>
      <c r="YD70" s="16"/>
      <c r="YE70" s="16"/>
      <c r="YF70" s="16"/>
      <c r="YG70" s="16"/>
      <c r="YH70" s="16"/>
      <c r="YI70" s="16"/>
      <c r="YJ70" s="16"/>
      <c r="YK70" s="16"/>
      <c r="YL70" s="16"/>
      <c r="YM70" s="16"/>
      <c r="YN70" s="16"/>
      <c r="YO70" s="16"/>
      <c r="YP70" s="16"/>
      <c r="YQ70" s="16"/>
      <c r="YR70" s="16"/>
      <c r="YS70" s="16"/>
      <c r="YT70" s="16"/>
      <c r="YU70" s="16"/>
      <c r="YV70" s="16"/>
      <c r="YW70" s="16"/>
      <c r="YX70" s="16"/>
      <c r="YY70" s="16"/>
      <c r="YZ70" s="16"/>
      <c r="ZA70" s="16"/>
      <c r="ZB70" s="16"/>
      <c r="ZC70" s="16"/>
      <c r="ZD70" s="16"/>
      <c r="ZE70" s="16"/>
      <c r="ZF70" s="16"/>
      <c r="ZG70" s="16"/>
      <c r="ZH70" s="16"/>
      <c r="ZI70" s="16"/>
      <c r="ZJ70" s="16"/>
      <c r="ZK70" s="16"/>
      <c r="ZL70" s="16"/>
      <c r="ZM70" s="16"/>
      <c r="ZN70" s="16"/>
      <c r="ZO70" s="16"/>
      <c r="ZP70" s="16"/>
      <c r="ZQ70" s="16"/>
      <c r="ZR70" s="16"/>
      <c r="ZS70" s="16"/>
      <c r="ZT70" s="16"/>
      <c r="ZU70" s="16"/>
      <c r="ZV70" s="16"/>
      <c r="ZW70" s="16"/>
      <c r="ZX70" s="16"/>
      <c r="ZY70" s="16"/>
      <c r="ZZ70" s="16"/>
      <c r="AAA70" s="16"/>
      <c r="AAB70" s="16"/>
      <c r="AAC70" s="16"/>
      <c r="AAD70" s="16"/>
      <c r="AAE70" s="16"/>
      <c r="AAF70" s="16"/>
      <c r="AAG70" s="16"/>
      <c r="AAH70" s="16"/>
      <c r="AAI70" s="16"/>
      <c r="AAJ70" s="16"/>
      <c r="AAK70" s="16"/>
      <c r="AAL70" s="16"/>
      <c r="AAM70" s="16"/>
      <c r="AAN70" s="16"/>
      <c r="AAO70" s="16"/>
      <c r="AAP70" s="16"/>
      <c r="AAQ70" s="16"/>
      <c r="AAR70" s="16"/>
      <c r="AAS70" s="16"/>
      <c r="AAT70" s="16"/>
      <c r="AAU70" s="16"/>
      <c r="AAV70" s="16"/>
      <c r="AAW70" s="16"/>
      <c r="AAX70" s="16"/>
      <c r="AAY70" s="16"/>
      <c r="AAZ70" s="16"/>
      <c r="ABA70" s="16"/>
      <c r="ABB70" s="16"/>
      <c r="ABC70" s="16"/>
      <c r="ABD70" s="16"/>
      <c r="ABE70" s="16"/>
      <c r="ABF70" s="16"/>
      <c r="ABG70" s="16"/>
      <c r="ABH70" s="16"/>
      <c r="ABI70" s="16"/>
      <c r="ABJ70" s="16"/>
      <c r="ABK70" s="16"/>
      <c r="ABL70" s="16"/>
      <c r="ABM70" s="16"/>
      <c r="ABN70" s="16"/>
      <c r="ABO70" s="16"/>
      <c r="ABP70" s="16"/>
      <c r="ABQ70" s="16"/>
      <c r="ABR70" s="16"/>
      <c r="ABS70" s="16"/>
      <c r="ABT70" s="16"/>
      <c r="ABU70" s="16"/>
      <c r="ABV70" s="16"/>
      <c r="ABW70" s="16"/>
      <c r="ABX70" s="16"/>
      <c r="ABY70" s="16"/>
      <c r="ABZ70" s="16"/>
      <c r="ACA70" s="16"/>
      <c r="ACB70" s="16"/>
      <c r="ACC70" s="16"/>
      <c r="ACD70" s="16"/>
      <c r="ACE70" s="16"/>
      <c r="ACF70" s="16"/>
      <c r="ACG70" s="16"/>
      <c r="ACH70" s="16"/>
      <c r="ACI70" s="16"/>
      <c r="ACJ70" s="16"/>
      <c r="ACK70" s="16"/>
      <c r="ACL70" s="16"/>
      <c r="ACM70" s="16"/>
      <c r="ACN70" s="16"/>
      <c r="ACO70" s="16"/>
      <c r="ACP70" s="16"/>
      <c r="ACQ70" s="16"/>
      <c r="ACR70" s="16"/>
      <c r="ACS70" s="16"/>
      <c r="ACT70" s="16"/>
      <c r="ACU70" s="16"/>
      <c r="ACV70" s="16"/>
      <c r="ACW70" s="16"/>
      <c r="ACX70" s="16"/>
      <c r="ACY70" s="16"/>
      <c r="ACZ70" s="16"/>
      <c r="ADA70" s="16"/>
      <c r="ADB70" s="16"/>
      <c r="ADC70" s="16"/>
      <c r="ADD70" s="16"/>
      <c r="ADE70" s="16"/>
      <c r="ADF70" s="16"/>
      <c r="ADG70" s="16"/>
      <c r="ADH70" s="16"/>
      <c r="ADI70" s="16"/>
      <c r="ADJ70" s="16"/>
      <c r="ADK70" s="16"/>
      <c r="ADL70" s="16"/>
      <c r="ADM70" s="16"/>
      <c r="ADN70" s="16"/>
      <c r="ADO70" s="16"/>
      <c r="ADP70" s="16"/>
      <c r="ADQ70" s="16"/>
      <c r="ADR70" s="16"/>
      <c r="ADS70" s="16"/>
      <c r="ADT70" s="16"/>
      <c r="ADU70" s="16"/>
      <c r="ADV70" s="16"/>
      <c r="ADW70" s="16"/>
      <c r="ADX70" s="16"/>
      <c r="ADY70" s="16"/>
      <c r="ADZ70" s="16"/>
      <c r="AEA70" s="16"/>
      <c r="AEB70" s="16"/>
      <c r="AEC70" s="16"/>
      <c r="AED70" s="16"/>
      <c r="AEE70" s="16"/>
      <c r="AEF70" s="16"/>
      <c r="AEG70" s="16"/>
      <c r="AEH70" s="16"/>
      <c r="AEI70" s="16"/>
      <c r="AEJ70" s="16"/>
      <c r="AEK70" s="16"/>
      <c r="AEL70" s="16"/>
      <c r="AEM70" s="16"/>
      <c r="AEN70" s="16"/>
      <c r="AEO70" s="16"/>
      <c r="AEP70" s="16"/>
      <c r="AEQ70" s="16"/>
      <c r="AER70" s="16"/>
      <c r="AES70" s="16"/>
      <c r="AET70" s="16"/>
      <c r="AEU70" s="16"/>
      <c r="AEV70" s="16"/>
      <c r="AEW70" s="16"/>
      <c r="AEX70" s="16"/>
      <c r="AEY70" s="16"/>
      <c r="AEZ70" s="16"/>
      <c r="AFA70" s="16"/>
      <c r="AFB70" s="16"/>
      <c r="AFC70" s="16"/>
      <c r="AFD70" s="16"/>
      <c r="AFE70" s="16"/>
      <c r="AFF70" s="16"/>
      <c r="AFG70" s="16"/>
      <c r="AFH70" s="16"/>
      <c r="AFI70" s="16"/>
      <c r="AFJ70" s="16"/>
      <c r="AFK70" s="16"/>
      <c r="AFL70" s="16"/>
      <c r="AFM70" s="16"/>
      <c r="AFN70" s="16"/>
      <c r="AFO70" s="16"/>
      <c r="AFP70" s="16"/>
      <c r="AFQ70" s="16"/>
      <c r="AFR70" s="16"/>
      <c r="AFS70" s="16"/>
      <c r="AFT70" s="16"/>
      <c r="AFU70" s="16"/>
      <c r="AFV70" s="16"/>
      <c r="AFW70" s="16"/>
      <c r="AFX70" s="16"/>
      <c r="AFY70" s="16"/>
      <c r="AFZ70" s="16"/>
      <c r="AGA70" s="16"/>
      <c r="AGB70" s="16"/>
      <c r="AGC70" s="16"/>
      <c r="AGD70" s="16"/>
      <c r="AGE70" s="16"/>
      <c r="AGF70" s="16"/>
      <c r="AGG70" s="16"/>
      <c r="AGH70" s="16"/>
      <c r="AGI70" s="16"/>
      <c r="AGJ70" s="16"/>
      <c r="AGK70" s="16"/>
      <c r="AGL70" s="16"/>
      <c r="AGM70" s="16"/>
      <c r="AGN70" s="16"/>
      <c r="AGO70" s="16"/>
      <c r="AGP70" s="16"/>
      <c r="AGQ70" s="16"/>
      <c r="AGR70" s="16"/>
      <c r="AGS70" s="16"/>
      <c r="AGT70" s="16"/>
      <c r="AGU70" s="16"/>
      <c r="AGV70" s="16"/>
      <c r="AGW70" s="16"/>
      <c r="AGX70" s="16"/>
      <c r="AGY70" s="16"/>
      <c r="AGZ70" s="16"/>
      <c r="AHA70" s="16"/>
      <c r="AHB70" s="16"/>
      <c r="AHC70" s="16"/>
      <c r="AHD70" s="16"/>
      <c r="AHE70" s="16"/>
      <c r="AHF70" s="16"/>
      <c r="AHG70" s="16"/>
      <c r="AHH70" s="16"/>
      <c r="AHI70" s="16"/>
      <c r="AHJ70" s="16"/>
      <c r="AHK70" s="16"/>
      <c r="AHL70" s="16"/>
      <c r="AHM70" s="16"/>
      <c r="AHN70" s="16"/>
      <c r="AHO70" s="16"/>
      <c r="AHP70" s="16"/>
      <c r="AHQ70" s="16"/>
      <c r="AHR70" s="16"/>
      <c r="AHS70" s="16"/>
      <c r="AHT70" s="16"/>
      <c r="AHU70" s="16"/>
      <c r="AHV70" s="16"/>
      <c r="AHW70" s="16"/>
      <c r="AHX70" s="16"/>
      <c r="AHY70" s="16"/>
      <c r="AHZ70" s="16"/>
      <c r="AIA70" s="16"/>
      <c r="AIB70" s="16"/>
      <c r="AIC70" s="16"/>
      <c r="AID70" s="16"/>
      <c r="AIE70" s="16"/>
      <c r="AIF70" s="16"/>
      <c r="AIG70" s="16"/>
      <c r="AIH70" s="16"/>
      <c r="AII70" s="16"/>
      <c r="AIJ70" s="16"/>
      <c r="AIK70" s="16"/>
      <c r="AIL70" s="16"/>
      <c r="AIM70" s="16"/>
      <c r="AIN70" s="16"/>
      <c r="AIO70" s="16"/>
      <c r="AIP70" s="16"/>
      <c r="AIQ70" s="16"/>
      <c r="AIR70" s="16"/>
      <c r="AIS70" s="16"/>
      <c r="AIT70" s="16"/>
      <c r="AIU70" s="16"/>
      <c r="AIV70" s="16"/>
      <c r="AIW70" s="16"/>
      <c r="AIX70" s="16"/>
      <c r="AIY70" s="16"/>
      <c r="AIZ70" s="16"/>
      <c r="AJA70" s="16"/>
      <c r="AJB70" s="16"/>
      <c r="AJC70" s="16"/>
      <c r="AJD70" s="16"/>
      <c r="AJE70" s="16"/>
      <c r="AJF70" s="16"/>
      <c r="AJG70" s="16"/>
      <c r="AJH70" s="16"/>
      <c r="AJI70" s="16"/>
      <c r="AJJ70" s="16"/>
      <c r="AJK70" s="16"/>
      <c r="AJL70" s="16"/>
      <c r="AJM70" s="16"/>
      <c r="AJN70" s="16"/>
      <c r="AJO70" s="16"/>
      <c r="AJP70" s="16"/>
      <c r="AJQ70" s="16"/>
      <c r="AJR70" s="16"/>
      <c r="AJS70" s="16"/>
      <c r="AJT70" s="16"/>
      <c r="AJU70" s="16"/>
      <c r="AJV70" s="16"/>
      <c r="AJW70" s="16"/>
      <c r="AJX70" s="16"/>
      <c r="AJY70" s="16"/>
      <c r="AJZ70" s="16"/>
      <c r="AKA70" s="16"/>
      <c r="AKB70" s="16"/>
      <c r="AKC70" s="16"/>
      <c r="AKD70" s="16"/>
      <c r="AKE70" s="16"/>
      <c r="AKF70" s="16"/>
      <c r="AKG70" s="16"/>
      <c r="AKH70" s="16"/>
      <c r="AKI70" s="16"/>
      <c r="AKJ70" s="16"/>
      <c r="AKK70" s="16"/>
      <c r="AKL70" s="16"/>
      <c r="AKM70" s="16"/>
      <c r="AKN70" s="16"/>
      <c r="AKO70" s="16"/>
      <c r="AKP70" s="16"/>
      <c r="AKQ70" s="16"/>
      <c r="AKR70" s="16"/>
      <c r="AKS70" s="16"/>
      <c r="AKT70" s="16"/>
      <c r="AKU70" s="16"/>
      <c r="AKV70" s="16"/>
      <c r="AKW70" s="16"/>
      <c r="AKX70" s="16"/>
      <c r="AKY70" s="16"/>
      <c r="AKZ70" s="16"/>
      <c r="ALA70" s="16"/>
      <c r="ALB70" s="16"/>
      <c r="ALC70" s="16"/>
      <c r="ALD70" s="16"/>
      <c r="ALE70" s="16"/>
      <c r="ALF70" s="16"/>
      <c r="ALG70" s="16"/>
      <c r="ALH70" s="16"/>
      <c r="ALI70" s="16"/>
      <c r="ALJ70" s="16"/>
      <c r="ALK70" s="16"/>
      <c r="ALL70" s="16"/>
      <c r="ALM70" s="16"/>
      <c r="ALN70" s="16"/>
      <c r="ALO70" s="16"/>
      <c r="ALP70" s="16"/>
      <c r="ALQ70" s="16"/>
      <c r="ALR70" s="16"/>
      <c r="ALS70" s="16"/>
      <c r="ALT70" s="16"/>
      <c r="ALU70" s="16"/>
      <c r="ALV70" s="16"/>
      <c r="ALW70" s="16"/>
      <c r="ALX70" s="16"/>
      <c r="ALY70" s="16"/>
      <c r="ALZ70" s="16"/>
      <c r="AMA70" s="16"/>
      <c r="AMB70" s="16"/>
      <c r="AMC70" s="16"/>
      <c r="AMD70" s="16"/>
      <c r="AME70" s="16"/>
      <c r="AMF70" s="16"/>
      <c r="AMG70" s="16"/>
      <c r="AMH70" s="16"/>
      <c r="AMI70" s="16"/>
      <c r="AMJ70" s="16"/>
      <c r="AMK70" s="16"/>
      <c r="AML70" s="16"/>
      <c r="AMM70" s="16"/>
      <c r="AMN70" s="16"/>
      <c r="AMO70" s="16"/>
      <c r="AMP70" s="16"/>
      <c r="AMQ70" s="16"/>
      <c r="AMR70" s="16"/>
      <c r="AMS70" s="16"/>
      <c r="AMT70" s="16"/>
      <c r="AMU70" s="16"/>
      <c r="AMV70" s="16"/>
      <c r="AMW70" s="16"/>
      <c r="AMX70" s="16"/>
      <c r="AMY70" s="16"/>
      <c r="AMZ70" s="16"/>
      <c r="ANA70" s="16"/>
      <c r="ANB70" s="16"/>
      <c r="ANC70" s="16"/>
      <c r="AND70" s="16"/>
      <c r="ANE70" s="16"/>
      <c r="ANF70" s="16"/>
      <c r="ANG70" s="16"/>
      <c r="ANH70" s="16"/>
      <c r="ANI70" s="16"/>
      <c r="ANJ70" s="16"/>
      <c r="ANK70" s="16"/>
      <c r="ANL70" s="16"/>
      <c r="ANM70" s="16"/>
      <c r="ANN70" s="16"/>
      <c r="ANO70" s="16"/>
      <c r="ANP70" s="16"/>
      <c r="ANQ70" s="16"/>
      <c r="ANR70" s="16"/>
      <c r="ANS70" s="16"/>
      <c r="ANT70" s="16"/>
      <c r="ANU70" s="16"/>
      <c r="ANV70" s="16"/>
      <c r="ANW70" s="16"/>
      <c r="ANX70" s="16"/>
      <c r="ANY70" s="16"/>
      <c r="ANZ70" s="16"/>
      <c r="AOA70" s="16"/>
      <c r="AOB70" s="16"/>
      <c r="AOC70" s="16"/>
      <c r="AOD70" s="16"/>
      <c r="AOE70" s="16"/>
      <c r="AOF70" s="16"/>
      <c r="AOG70" s="16"/>
      <c r="AOH70" s="16"/>
      <c r="AOI70" s="16"/>
      <c r="AOJ70" s="16"/>
      <c r="AOK70" s="16"/>
      <c r="AOL70" s="16"/>
      <c r="AOM70" s="16"/>
      <c r="AON70" s="16"/>
      <c r="AOO70" s="16"/>
      <c r="AOP70" s="16"/>
      <c r="AOQ70" s="16"/>
      <c r="AOR70" s="16"/>
      <c r="AOS70" s="16"/>
      <c r="AOT70" s="16"/>
      <c r="AOU70" s="16"/>
      <c r="AOV70" s="16"/>
      <c r="AOW70" s="16"/>
      <c r="AOX70" s="16"/>
      <c r="AOY70" s="16"/>
      <c r="AOZ70" s="16"/>
      <c r="APA70" s="16"/>
      <c r="APB70" s="16"/>
      <c r="APC70" s="16"/>
      <c r="APD70" s="16"/>
      <c r="APE70" s="16"/>
      <c r="APF70" s="16"/>
      <c r="APG70" s="16"/>
      <c r="APH70" s="16"/>
      <c r="API70" s="16"/>
      <c r="APJ70" s="16"/>
      <c r="APK70" s="16"/>
      <c r="APL70" s="16"/>
      <c r="APM70" s="16"/>
      <c r="APN70" s="16"/>
      <c r="APO70" s="16"/>
      <c r="APP70" s="16"/>
      <c r="APQ70" s="16"/>
      <c r="APR70" s="16"/>
      <c r="APS70" s="16"/>
      <c r="APT70" s="16"/>
      <c r="APU70" s="16"/>
      <c r="APV70" s="16"/>
      <c r="APW70" s="16"/>
      <c r="APX70" s="16"/>
      <c r="APY70" s="16"/>
      <c r="APZ70" s="16"/>
      <c r="AQA70" s="16"/>
      <c r="AQB70" s="16"/>
      <c r="AQC70" s="16"/>
      <c r="AQD70" s="16"/>
      <c r="AQE70" s="16"/>
      <c r="AQF70" s="16"/>
      <c r="AQG70" s="16"/>
      <c r="AQH70" s="16"/>
      <c r="AQI70" s="16"/>
      <c r="AQJ70" s="16"/>
      <c r="AQK70" s="16"/>
      <c r="AQL70" s="16"/>
      <c r="AQM70" s="16"/>
      <c r="AQN70" s="16"/>
      <c r="AQO70" s="16"/>
      <c r="AQP70" s="16"/>
      <c r="AQQ70" s="16"/>
      <c r="AQR70" s="16"/>
      <c r="AQS70" s="16"/>
      <c r="AQT70" s="16"/>
      <c r="AQU70" s="16"/>
      <c r="AQV70" s="16"/>
      <c r="AQW70" s="16"/>
      <c r="AQX70" s="16"/>
      <c r="AQY70" s="16"/>
      <c r="AQZ70" s="16"/>
      <c r="ARA70" s="16"/>
      <c r="ARB70" s="16"/>
      <c r="ARC70" s="16"/>
      <c r="ARD70" s="16"/>
      <c r="ARE70" s="16"/>
      <c r="ARF70" s="16"/>
      <c r="ARG70" s="16"/>
      <c r="ARH70" s="16"/>
      <c r="ARI70" s="16"/>
      <c r="ARJ70" s="16"/>
      <c r="ARK70" s="16"/>
      <c r="ARL70" s="16"/>
      <c r="ARM70" s="16"/>
      <c r="ARN70" s="16"/>
      <c r="ARO70" s="16"/>
      <c r="ARP70" s="16"/>
      <c r="ARQ70" s="16"/>
      <c r="ARR70" s="16"/>
      <c r="ARS70" s="16"/>
      <c r="ART70" s="16"/>
      <c r="ARU70" s="16"/>
      <c r="ARV70" s="16"/>
      <c r="ARW70" s="16"/>
      <c r="ARX70" s="16"/>
      <c r="ARY70" s="16"/>
      <c r="ARZ70" s="16"/>
      <c r="ASA70" s="16"/>
      <c r="ASB70" s="16"/>
      <c r="ASC70" s="16"/>
      <c r="ASD70" s="16"/>
      <c r="ASE70" s="16"/>
      <c r="ASF70" s="16"/>
      <c r="ASG70" s="16"/>
      <c r="ASH70" s="16"/>
      <c r="ASI70" s="16"/>
      <c r="ASJ70" s="16"/>
      <c r="ASK70" s="16"/>
      <c r="ASL70" s="16"/>
      <c r="ASM70" s="16"/>
      <c r="ASN70" s="16"/>
      <c r="ASO70" s="16"/>
      <c r="ASP70" s="16"/>
      <c r="ASQ70" s="16"/>
      <c r="ASR70" s="16"/>
      <c r="ASS70" s="16"/>
      <c r="AST70" s="16"/>
      <c r="ASU70" s="16"/>
      <c r="ASV70" s="16"/>
      <c r="ASW70" s="16"/>
      <c r="ASX70" s="16"/>
      <c r="ASY70" s="16"/>
      <c r="ASZ70" s="16"/>
      <c r="ATA70" s="16"/>
      <c r="ATB70" s="16"/>
      <c r="ATC70" s="16"/>
      <c r="ATD70" s="16"/>
      <c r="ATE70" s="16"/>
      <c r="ATF70" s="16"/>
      <c r="ATG70" s="16"/>
      <c r="ATH70" s="16"/>
      <c r="ATI70" s="16"/>
      <c r="ATJ70" s="16"/>
      <c r="ATK70" s="16"/>
      <c r="ATL70" s="16"/>
      <c r="ATM70" s="16"/>
      <c r="ATN70" s="16"/>
      <c r="ATO70" s="16"/>
      <c r="ATP70" s="16"/>
      <c r="ATQ70" s="16"/>
      <c r="ATR70" s="16"/>
      <c r="ATS70" s="16"/>
      <c r="ATT70" s="16"/>
      <c r="ATU70" s="16"/>
      <c r="ATV70" s="16"/>
      <c r="ATW70" s="16"/>
      <c r="ATX70" s="16"/>
      <c r="ATY70" s="16"/>
      <c r="ATZ70" s="16"/>
      <c r="AUA70" s="16"/>
      <c r="AUB70" s="16"/>
      <c r="AUC70" s="16"/>
      <c r="AUD70" s="16"/>
      <c r="AUE70" s="16"/>
      <c r="AUF70" s="16"/>
      <c r="AUG70" s="16"/>
      <c r="AUH70" s="16"/>
      <c r="AUI70" s="16"/>
      <c r="AUJ70" s="16"/>
      <c r="AUK70" s="16"/>
      <c r="AUL70" s="16"/>
      <c r="AUM70" s="16"/>
      <c r="AUN70" s="16"/>
      <c r="AUO70" s="16"/>
      <c r="AUP70" s="16"/>
      <c r="AUQ70" s="16"/>
      <c r="AUR70" s="16"/>
      <c r="AUS70" s="16"/>
      <c r="AUT70" s="16"/>
      <c r="AUU70" s="16"/>
      <c r="AUV70" s="16"/>
      <c r="AUW70" s="16"/>
      <c r="AUX70" s="16"/>
      <c r="AUY70" s="16"/>
      <c r="AUZ70" s="16"/>
      <c r="AVA70" s="16"/>
      <c r="AVB70" s="16"/>
      <c r="AVC70" s="16"/>
      <c r="AVD70" s="16"/>
      <c r="AVE70" s="16"/>
      <c r="AVF70" s="16"/>
      <c r="AVG70" s="16"/>
      <c r="AVH70" s="16"/>
      <c r="AVI70" s="16"/>
      <c r="AVJ70" s="16"/>
      <c r="AVK70" s="16"/>
      <c r="AVL70" s="16"/>
      <c r="AVM70" s="16"/>
      <c r="AVN70" s="16"/>
      <c r="AVO70" s="16"/>
      <c r="AVP70" s="16"/>
      <c r="AVQ70" s="16"/>
      <c r="AVR70" s="16"/>
      <c r="AVS70" s="16"/>
      <c r="AVT70" s="16"/>
      <c r="AVU70" s="16"/>
      <c r="AVV70" s="16"/>
      <c r="AVW70" s="16"/>
      <c r="AVX70" s="16"/>
      <c r="AVY70" s="16"/>
      <c r="AVZ70" s="16"/>
      <c r="AWA70" s="16"/>
      <c r="AWB70" s="16"/>
      <c r="AWC70" s="16"/>
      <c r="AWD70" s="16"/>
      <c r="AWE70" s="16"/>
      <c r="AWF70" s="16"/>
      <c r="AWG70" s="16"/>
      <c r="AWH70" s="16"/>
      <c r="AWI70" s="16"/>
      <c r="AWJ70" s="16"/>
      <c r="AWK70" s="16"/>
      <c r="AWL70" s="16"/>
      <c r="AWM70" s="16"/>
      <c r="AWN70" s="16"/>
      <c r="AWO70" s="16"/>
      <c r="AWP70" s="16"/>
      <c r="AWQ70" s="16"/>
      <c r="AWR70" s="16"/>
      <c r="AWS70" s="16"/>
      <c r="AWT70" s="16"/>
      <c r="AWU70" s="16"/>
      <c r="AWV70" s="16"/>
      <c r="AWW70" s="16"/>
      <c r="AWX70" s="16"/>
      <c r="AWY70" s="16"/>
      <c r="AWZ70" s="16"/>
      <c r="AXA70" s="16"/>
      <c r="AXB70" s="16"/>
      <c r="AXC70" s="16"/>
      <c r="AXD70" s="16"/>
      <c r="AXE70" s="16"/>
      <c r="AXF70" s="16"/>
      <c r="AXG70" s="16"/>
      <c r="AXH70" s="16"/>
      <c r="AXI70" s="16"/>
      <c r="AXJ70" s="16"/>
      <c r="AXK70" s="16"/>
      <c r="AXL70" s="16"/>
      <c r="AXM70" s="16"/>
      <c r="AXN70" s="16"/>
      <c r="AXO70" s="16"/>
      <c r="AXP70" s="16"/>
      <c r="AXQ70" s="16"/>
      <c r="AXR70" s="16"/>
      <c r="AXS70" s="16"/>
      <c r="AXT70" s="16"/>
      <c r="AXU70" s="16"/>
      <c r="AXV70" s="16"/>
      <c r="AXW70" s="16"/>
      <c r="AXX70" s="16"/>
      <c r="AXY70" s="16"/>
      <c r="AXZ70" s="16"/>
      <c r="AYA70" s="16"/>
      <c r="AYB70" s="16"/>
      <c r="AYC70" s="16"/>
      <c r="AYD70" s="16"/>
      <c r="AYE70" s="16"/>
      <c r="AYF70" s="16"/>
      <c r="AYG70" s="16"/>
      <c r="AYH70" s="16"/>
      <c r="AYI70" s="16"/>
      <c r="AYJ70" s="16"/>
      <c r="AYK70" s="16"/>
      <c r="AYL70" s="16"/>
      <c r="AYM70" s="16"/>
      <c r="AYN70" s="16"/>
      <c r="AYO70" s="16"/>
      <c r="AYP70" s="16"/>
      <c r="AYQ70" s="16"/>
      <c r="AYR70" s="16"/>
      <c r="AYS70" s="16"/>
      <c r="AYT70" s="16"/>
      <c r="AYU70" s="16"/>
      <c r="AYV70" s="16"/>
      <c r="AYW70" s="16"/>
      <c r="AYX70" s="16"/>
      <c r="AYY70" s="16"/>
      <c r="AYZ70" s="16"/>
      <c r="AZA70" s="16"/>
      <c r="AZB70" s="16"/>
      <c r="AZC70" s="16"/>
      <c r="AZD70" s="16"/>
      <c r="AZE70" s="16"/>
      <c r="AZF70" s="16"/>
      <c r="AZG70" s="16"/>
      <c r="AZH70" s="16"/>
      <c r="AZI70" s="16"/>
      <c r="AZJ70" s="16"/>
      <c r="AZK70" s="16"/>
      <c r="AZL70" s="16"/>
      <c r="AZM70" s="16"/>
      <c r="AZN70" s="16"/>
      <c r="AZO70" s="16"/>
      <c r="AZP70" s="16"/>
      <c r="AZQ70" s="16"/>
      <c r="AZR70" s="16"/>
      <c r="AZS70" s="16"/>
      <c r="AZT70" s="16"/>
      <c r="AZU70" s="16"/>
      <c r="AZV70" s="16"/>
      <c r="AZW70" s="16"/>
      <c r="AZX70" s="16"/>
      <c r="AZY70" s="16"/>
      <c r="AZZ70" s="16"/>
      <c r="BAA70" s="16"/>
      <c r="BAB70" s="16"/>
      <c r="BAC70" s="16"/>
      <c r="BAD70" s="16"/>
      <c r="BAE70" s="16"/>
      <c r="BAF70" s="16"/>
      <c r="BAG70" s="16"/>
      <c r="BAH70" s="16"/>
      <c r="BAI70" s="16"/>
      <c r="BAJ70" s="16"/>
      <c r="BAK70" s="16"/>
      <c r="BAL70" s="16"/>
      <c r="BAM70" s="16"/>
      <c r="BAN70" s="16"/>
      <c r="BAO70" s="16"/>
      <c r="BAP70" s="16"/>
      <c r="BAQ70" s="16"/>
      <c r="BAR70" s="16"/>
      <c r="BAS70" s="16"/>
      <c r="BAT70" s="16"/>
      <c r="BAU70" s="16"/>
      <c r="BAV70" s="16"/>
      <c r="BAW70" s="16"/>
      <c r="BAX70" s="16"/>
      <c r="BAY70" s="16"/>
      <c r="BAZ70" s="16"/>
      <c r="BBA70" s="16"/>
      <c r="BBB70" s="16"/>
      <c r="BBC70" s="16"/>
      <c r="BBD70" s="16"/>
      <c r="BBE70" s="16"/>
      <c r="BBF70" s="16"/>
      <c r="BBG70" s="16"/>
      <c r="BBH70" s="16"/>
      <c r="BBI70" s="16"/>
      <c r="BBJ70" s="16"/>
      <c r="BBK70" s="16"/>
      <c r="BBL70" s="16"/>
      <c r="BBM70" s="16"/>
      <c r="BBN70" s="16"/>
      <c r="BBO70" s="16"/>
      <c r="BBP70" s="16"/>
      <c r="BBQ70" s="16"/>
      <c r="BBR70" s="16"/>
      <c r="BBS70" s="16"/>
      <c r="BBT70" s="16"/>
      <c r="BBU70" s="16"/>
      <c r="BBV70" s="16"/>
      <c r="BBW70" s="16"/>
      <c r="BBX70" s="16"/>
      <c r="BBY70" s="16"/>
      <c r="BBZ70" s="16"/>
      <c r="BCA70" s="16"/>
      <c r="BCB70" s="16"/>
      <c r="BCC70" s="16"/>
      <c r="BCD70" s="16"/>
      <c r="BCE70" s="16"/>
      <c r="BCF70" s="16"/>
      <c r="BCG70" s="16"/>
      <c r="BCH70" s="16"/>
      <c r="BCI70" s="16"/>
      <c r="BCJ70" s="16"/>
      <c r="BCK70" s="16"/>
      <c r="BCL70" s="16"/>
      <c r="BCM70" s="16"/>
      <c r="BCN70" s="16"/>
      <c r="BCO70" s="16"/>
      <c r="BCP70" s="16"/>
      <c r="BCQ70" s="16"/>
      <c r="BCR70" s="16"/>
      <c r="BCS70" s="16"/>
      <c r="BCT70" s="16"/>
      <c r="BCU70" s="16"/>
      <c r="BCV70" s="16"/>
      <c r="BCW70" s="16"/>
      <c r="BCX70" s="16"/>
      <c r="BCY70" s="16"/>
      <c r="BCZ70" s="16"/>
      <c r="BDA70" s="16"/>
      <c r="BDB70" s="16"/>
      <c r="BDC70" s="16"/>
      <c r="BDD70" s="16"/>
      <c r="BDE70" s="16"/>
      <c r="BDF70" s="16"/>
      <c r="BDG70" s="16"/>
      <c r="BDH70" s="16"/>
      <c r="BDI70" s="16"/>
      <c r="BDJ70" s="16"/>
      <c r="BDK70" s="16"/>
      <c r="BDL70" s="16"/>
      <c r="BDM70" s="16"/>
      <c r="BDN70" s="16"/>
      <c r="BDO70" s="16"/>
      <c r="BDP70" s="16"/>
      <c r="BDQ70" s="16"/>
      <c r="BDR70" s="16"/>
      <c r="BDS70" s="16"/>
      <c r="BDT70" s="16"/>
      <c r="BDU70" s="16"/>
      <c r="BDV70" s="16"/>
      <c r="BDW70" s="16"/>
      <c r="BDX70" s="16"/>
      <c r="BDY70" s="16"/>
      <c r="BDZ70" s="16"/>
      <c r="BEA70" s="16"/>
      <c r="BEB70" s="16"/>
      <c r="BEC70" s="16"/>
      <c r="BED70" s="16"/>
      <c r="BEE70" s="16"/>
      <c r="BEF70" s="16"/>
      <c r="BEG70" s="16"/>
      <c r="BEH70" s="16"/>
      <c r="BEI70" s="16"/>
      <c r="BEJ70" s="16"/>
      <c r="BEK70" s="16"/>
      <c r="BEL70" s="16"/>
      <c r="BEM70" s="16"/>
      <c r="BEN70" s="16"/>
      <c r="BEO70" s="16"/>
      <c r="BEP70" s="16"/>
      <c r="BEQ70" s="16"/>
      <c r="BER70" s="16"/>
      <c r="BES70" s="16"/>
      <c r="BET70" s="16"/>
      <c r="BEU70" s="16"/>
      <c r="BEV70" s="16"/>
      <c r="BEW70" s="16"/>
      <c r="BEX70" s="16"/>
      <c r="BEY70" s="16"/>
      <c r="BEZ70" s="16"/>
      <c r="BFA70" s="16"/>
      <c r="BFB70" s="16"/>
      <c r="BFC70" s="16"/>
      <c r="BFD70" s="16"/>
      <c r="BFE70" s="16"/>
      <c r="BFF70" s="16"/>
      <c r="BFG70" s="16"/>
      <c r="BFH70" s="16"/>
      <c r="BFI70" s="16"/>
      <c r="BFJ70" s="16"/>
      <c r="BFK70" s="16"/>
      <c r="BFL70" s="16"/>
      <c r="BFM70" s="16"/>
      <c r="BFN70" s="16"/>
      <c r="BFO70" s="16"/>
      <c r="BFP70" s="16"/>
      <c r="BFQ70" s="16"/>
      <c r="BFR70" s="16"/>
      <c r="BFS70" s="16"/>
      <c r="BFT70" s="16"/>
      <c r="BFU70" s="16"/>
      <c r="BFV70" s="16"/>
      <c r="BFW70" s="16"/>
      <c r="BFX70" s="16"/>
      <c r="BFY70" s="16"/>
      <c r="BFZ70" s="16"/>
      <c r="BGA70" s="16"/>
      <c r="BGB70" s="16"/>
      <c r="BGC70" s="16"/>
      <c r="BGD70" s="16"/>
      <c r="BGE70" s="16"/>
      <c r="BGF70" s="16"/>
      <c r="BGG70" s="16"/>
      <c r="BGH70" s="16"/>
      <c r="BGI70" s="16"/>
      <c r="BGJ70" s="16"/>
      <c r="BGK70" s="16"/>
      <c r="BGL70" s="16"/>
      <c r="BGM70" s="16"/>
      <c r="BGN70" s="16"/>
      <c r="BGO70" s="16"/>
      <c r="BGP70" s="16"/>
      <c r="BGQ70" s="16"/>
      <c r="BGR70" s="16"/>
      <c r="BGS70" s="16"/>
      <c r="BGT70" s="16"/>
      <c r="BGU70" s="16"/>
      <c r="BGV70" s="16"/>
      <c r="BGW70" s="16"/>
      <c r="BGX70" s="16"/>
      <c r="BGY70" s="16"/>
      <c r="BGZ70" s="16"/>
      <c r="BHA70" s="16"/>
      <c r="BHB70" s="16"/>
      <c r="BHC70" s="16"/>
      <c r="BHD70" s="16"/>
      <c r="BHE70" s="16"/>
      <c r="BHF70" s="16"/>
      <c r="BHG70" s="16"/>
      <c r="BHH70" s="16"/>
      <c r="BHI70" s="16"/>
      <c r="BHJ70" s="16"/>
      <c r="BHK70" s="16"/>
      <c r="BHL70" s="16"/>
      <c r="BHM70" s="16"/>
      <c r="BHN70" s="16"/>
      <c r="BHO70" s="16"/>
      <c r="BHP70" s="16"/>
      <c r="BHQ70" s="16"/>
      <c r="BHR70" s="16"/>
      <c r="BHS70" s="16"/>
      <c r="BHT70" s="16"/>
      <c r="BHU70" s="16"/>
      <c r="BHV70" s="16"/>
      <c r="BHW70" s="16"/>
      <c r="BHX70" s="16"/>
      <c r="BHY70" s="16"/>
      <c r="BHZ70" s="16"/>
      <c r="BIA70" s="16"/>
      <c r="BIB70" s="16"/>
      <c r="BIC70" s="16"/>
      <c r="BID70" s="16"/>
      <c r="BIE70" s="16"/>
      <c r="BIF70" s="16"/>
      <c r="BIG70" s="16"/>
      <c r="BIH70" s="16"/>
      <c r="BII70" s="16"/>
      <c r="BIJ70" s="16"/>
      <c r="BIK70" s="16"/>
      <c r="BIL70" s="16"/>
      <c r="BIM70" s="16"/>
      <c r="BIN70" s="16"/>
      <c r="BIO70" s="16"/>
      <c r="BIP70" s="16"/>
      <c r="BIQ70" s="16"/>
      <c r="BIR70" s="16"/>
      <c r="BIS70" s="16"/>
      <c r="BIT70" s="16"/>
      <c r="BIU70" s="16"/>
      <c r="BIV70" s="16"/>
      <c r="BIW70" s="16"/>
      <c r="BIX70" s="16"/>
      <c r="BIY70" s="16"/>
      <c r="BIZ70" s="16"/>
      <c r="BJA70" s="16"/>
      <c r="BJB70" s="16"/>
      <c r="BJC70" s="16"/>
      <c r="BJD70" s="16"/>
      <c r="BJE70" s="16"/>
      <c r="BJF70" s="16"/>
      <c r="BJG70" s="16"/>
      <c r="BJH70" s="16"/>
      <c r="BJI70" s="16"/>
      <c r="BJJ70" s="16"/>
      <c r="BJK70" s="16"/>
      <c r="BJL70" s="16"/>
      <c r="BJM70" s="16"/>
      <c r="BJN70" s="16"/>
      <c r="BJO70" s="16"/>
      <c r="BJP70" s="16"/>
      <c r="BJQ70" s="16"/>
      <c r="BJR70" s="16"/>
      <c r="BJS70" s="16"/>
      <c r="BJT70" s="16"/>
      <c r="BJU70" s="16"/>
      <c r="BJV70" s="16"/>
      <c r="BJW70" s="16"/>
      <c r="BJX70" s="16"/>
      <c r="BJY70" s="16"/>
      <c r="BJZ70" s="16"/>
      <c r="BKA70" s="16"/>
      <c r="BKB70" s="16"/>
      <c r="BKC70" s="16"/>
      <c r="BKD70" s="16"/>
      <c r="BKE70" s="16"/>
      <c r="BKF70" s="16"/>
      <c r="BKG70" s="16"/>
      <c r="BKH70" s="16"/>
      <c r="BKI70" s="16"/>
      <c r="BKJ70" s="16"/>
      <c r="BKK70" s="16"/>
      <c r="BKL70" s="16"/>
      <c r="BKM70" s="16"/>
      <c r="BKN70" s="16"/>
      <c r="BKO70" s="16"/>
      <c r="BKP70" s="16"/>
      <c r="BKQ70" s="16"/>
      <c r="BKR70" s="16"/>
      <c r="BKS70" s="16"/>
      <c r="BKT70" s="16"/>
      <c r="BKU70" s="16"/>
      <c r="BKV70" s="16"/>
      <c r="BKW70" s="16"/>
      <c r="BKX70" s="16"/>
      <c r="BKY70" s="16"/>
      <c r="BKZ70" s="16"/>
      <c r="BLA70" s="16"/>
      <c r="BLB70" s="16"/>
      <c r="BLC70" s="16"/>
      <c r="BLD70" s="16"/>
      <c r="BLE70" s="16"/>
      <c r="BLF70" s="16"/>
      <c r="BLG70" s="16"/>
      <c r="BLH70" s="16"/>
      <c r="BLI70" s="16"/>
      <c r="BLJ70" s="16"/>
      <c r="BLK70" s="16"/>
      <c r="BLL70" s="16"/>
      <c r="BLM70" s="16"/>
      <c r="BLN70" s="16"/>
      <c r="BLO70" s="16"/>
      <c r="BLP70" s="16"/>
      <c r="BLQ70" s="16"/>
      <c r="BLR70" s="16"/>
      <c r="BLS70" s="16"/>
      <c r="BLT70" s="16"/>
      <c r="BLU70" s="16"/>
      <c r="BLV70" s="16"/>
      <c r="BLW70" s="16"/>
      <c r="BLX70" s="16"/>
      <c r="BLY70" s="16"/>
      <c r="BLZ70" s="16"/>
      <c r="BMA70" s="16"/>
      <c r="BMB70" s="16"/>
      <c r="BMC70" s="16"/>
      <c r="BMD70" s="16"/>
      <c r="BME70" s="16"/>
      <c r="BMF70" s="16"/>
      <c r="BMG70" s="16"/>
      <c r="BMH70" s="16"/>
      <c r="BMI70" s="16"/>
      <c r="BMJ70" s="16"/>
      <c r="BMK70" s="16"/>
      <c r="BML70" s="16"/>
      <c r="BMM70" s="16"/>
      <c r="BMN70" s="16"/>
      <c r="BMO70" s="16"/>
      <c r="BMP70" s="16"/>
      <c r="BMQ70" s="16"/>
      <c r="BMR70" s="16"/>
      <c r="BMS70" s="16"/>
      <c r="BMT70" s="16"/>
      <c r="BMU70" s="16"/>
      <c r="BMV70" s="16"/>
      <c r="BMW70" s="16"/>
      <c r="BMX70" s="16"/>
      <c r="BMY70" s="16"/>
      <c r="BMZ70" s="16"/>
      <c r="BNA70" s="16"/>
      <c r="BNB70" s="16"/>
      <c r="BNC70" s="16"/>
      <c r="BND70" s="16"/>
      <c r="BNE70" s="16"/>
      <c r="BNF70" s="16"/>
      <c r="BNG70" s="16"/>
      <c r="BNH70" s="16"/>
      <c r="BNI70" s="16"/>
      <c r="BNJ70" s="16"/>
      <c r="BNK70" s="16"/>
      <c r="BNL70" s="16"/>
      <c r="BNM70" s="16"/>
      <c r="BNN70" s="16"/>
      <c r="BNO70" s="16"/>
      <c r="BNP70" s="16"/>
      <c r="BNQ70" s="16"/>
      <c r="BNR70" s="16"/>
      <c r="BNS70" s="16"/>
      <c r="BNT70" s="16"/>
      <c r="BNU70" s="16"/>
      <c r="BNV70" s="16"/>
      <c r="BNW70" s="16"/>
      <c r="BNX70" s="16"/>
      <c r="BNY70" s="16"/>
      <c r="BNZ70" s="16"/>
      <c r="BOA70" s="16"/>
      <c r="BOB70" s="16"/>
      <c r="BOC70" s="16"/>
      <c r="BOD70" s="16"/>
      <c r="BOE70" s="16"/>
      <c r="BOF70" s="16"/>
      <c r="BOG70" s="16"/>
      <c r="BOH70" s="16"/>
      <c r="BOI70" s="16"/>
      <c r="BOJ70" s="16"/>
      <c r="BOK70" s="16"/>
      <c r="BOL70" s="16"/>
      <c r="BOM70" s="16"/>
      <c r="BON70" s="16"/>
      <c r="BOO70" s="16"/>
      <c r="BOP70" s="16"/>
      <c r="BOQ70" s="16"/>
      <c r="BOR70" s="16"/>
      <c r="BOS70" s="16"/>
      <c r="BOT70" s="16"/>
      <c r="BOU70" s="16"/>
      <c r="BOV70" s="16"/>
      <c r="BOW70" s="16"/>
      <c r="BOX70" s="16"/>
      <c r="BOY70" s="16"/>
      <c r="BOZ70" s="16"/>
      <c r="BPA70" s="16"/>
      <c r="BPB70" s="16"/>
      <c r="BPC70" s="16"/>
      <c r="BPD70" s="16"/>
      <c r="BPE70" s="16"/>
      <c r="BPF70" s="16"/>
      <c r="BPG70" s="16"/>
      <c r="BPH70" s="16"/>
      <c r="BPI70" s="16"/>
      <c r="BPJ70" s="16"/>
      <c r="BPK70" s="16"/>
      <c r="BPL70" s="16"/>
      <c r="BPM70" s="16"/>
      <c r="BPN70" s="16"/>
      <c r="BPO70" s="16"/>
      <c r="BPP70" s="16"/>
      <c r="BPQ70" s="16"/>
      <c r="BPR70" s="16"/>
      <c r="BPS70" s="16"/>
      <c r="BPT70" s="16"/>
      <c r="BPU70" s="16"/>
      <c r="BPV70" s="16"/>
      <c r="BPW70" s="16"/>
      <c r="BPX70" s="16"/>
      <c r="BPY70" s="16"/>
      <c r="BPZ70" s="16"/>
      <c r="BQA70" s="16"/>
      <c r="BQB70" s="16"/>
      <c r="BQC70" s="16"/>
      <c r="BQD70" s="16"/>
      <c r="BQE70" s="16"/>
      <c r="BQF70" s="16"/>
      <c r="BQG70" s="16"/>
      <c r="BQH70" s="16"/>
      <c r="BQI70" s="16"/>
      <c r="BQJ70" s="16"/>
      <c r="BQK70" s="16"/>
      <c r="BQL70" s="16"/>
      <c r="BQM70" s="16"/>
      <c r="BQN70" s="16"/>
      <c r="BQO70" s="16"/>
      <c r="BQP70" s="16"/>
      <c r="BQQ70" s="16"/>
      <c r="BQR70" s="16"/>
      <c r="BQS70" s="16"/>
      <c r="BQT70" s="16"/>
      <c r="BQU70" s="16"/>
      <c r="BQV70" s="16"/>
      <c r="BQW70" s="16"/>
      <c r="BQX70" s="16"/>
      <c r="BQY70" s="16"/>
      <c r="BQZ70" s="16"/>
      <c r="BRA70" s="16"/>
      <c r="BRB70" s="16"/>
      <c r="BRC70" s="16"/>
      <c r="BRD70" s="16"/>
      <c r="BRE70" s="16"/>
      <c r="BRF70" s="16"/>
      <c r="BRG70" s="16"/>
      <c r="BRH70" s="16"/>
      <c r="BRI70" s="16"/>
      <c r="BRJ70" s="16"/>
      <c r="BRK70" s="16"/>
      <c r="BRL70" s="16"/>
      <c r="BRM70" s="16"/>
      <c r="BRN70" s="16"/>
      <c r="BRO70" s="16"/>
      <c r="BRP70" s="16"/>
      <c r="BRQ70" s="16"/>
      <c r="BRR70" s="16"/>
      <c r="BRS70" s="16"/>
      <c r="BRT70" s="16"/>
      <c r="BRU70" s="16"/>
      <c r="BRV70" s="16"/>
      <c r="BRW70" s="16"/>
      <c r="BRX70" s="16"/>
      <c r="BRY70" s="16"/>
      <c r="BRZ70" s="16"/>
      <c r="BSA70" s="16"/>
      <c r="BSB70" s="16"/>
      <c r="BSC70" s="16"/>
      <c r="BSD70" s="16"/>
      <c r="BSE70" s="16"/>
      <c r="BSF70" s="16"/>
      <c r="BSG70" s="16"/>
      <c r="BSH70" s="16"/>
      <c r="BSI70" s="16"/>
      <c r="BSJ70" s="16"/>
      <c r="BSK70" s="16"/>
      <c r="BSL70" s="16"/>
      <c r="BSM70" s="16"/>
      <c r="BSN70" s="16"/>
      <c r="BSO70" s="16"/>
      <c r="BSP70" s="16"/>
      <c r="BSQ70" s="16"/>
      <c r="BSR70" s="16"/>
      <c r="BSS70" s="16"/>
      <c r="BST70" s="16"/>
      <c r="BSU70" s="16"/>
      <c r="BSV70" s="16"/>
      <c r="BSW70" s="16"/>
      <c r="BSX70" s="16"/>
      <c r="BSY70" s="16"/>
      <c r="BSZ70" s="16"/>
      <c r="BTA70" s="16"/>
      <c r="BTB70" s="16"/>
      <c r="BTC70" s="16"/>
      <c r="BTD70" s="16"/>
      <c r="BTE70" s="16"/>
      <c r="BTF70" s="16"/>
      <c r="BTG70" s="16"/>
      <c r="BTH70" s="16"/>
      <c r="BTI70" s="16"/>
      <c r="BTJ70" s="16"/>
      <c r="BTK70" s="16"/>
      <c r="BTL70" s="16"/>
      <c r="BTM70" s="16"/>
      <c r="BTN70" s="16"/>
      <c r="BTO70" s="16"/>
      <c r="BTP70" s="16"/>
      <c r="BTQ70" s="16"/>
      <c r="BTR70" s="16"/>
      <c r="BTS70" s="16"/>
      <c r="BTT70" s="16"/>
      <c r="BTU70" s="16"/>
      <c r="BTV70" s="16"/>
      <c r="BTW70" s="16"/>
      <c r="BTX70" s="16"/>
      <c r="BTY70" s="16"/>
      <c r="BTZ70" s="16"/>
      <c r="BUA70" s="16"/>
      <c r="BUB70" s="16"/>
      <c r="BUC70" s="16"/>
      <c r="BUD70" s="16"/>
      <c r="BUE70" s="16"/>
      <c r="BUF70" s="16"/>
      <c r="BUG70" s="16"/>
      <c r="BUH70" s="16"/>
      <c r="BUI70" s="16"/>
      <c r="BUJ70" s="16"/>
      <c r="BUK70" s="16"/>
      <c r="BUL70" s="16"/>
      <c r="BUM70" s="16"/>
      <c r="BUN70" s="16"/>
      <c r="BUO70" s="16"/>
      <c r="BUP70" s="16"/>
      <c r="BUQ70" s="16"/>
      <c r="BUR70" s="16"/>
      <c r="BUS70" s="16"/>
      <c r="BUT70" s="16"/>
      <c r="BUU70" s="16"/>
      <c r="BUV70" s="16"/>
      <c r="BUW70" s="16"/>
      <c r="BUX70" s="16"/>
      <c r="BUY70" s="16"/>
      <c r="BUZ70" s="16"/>
      <c r="BVA70" s="16"/>
      <c r="BVB70" s="16"/>
      <c r="BVC70" s="16"/>
      <c r="BVD70" s="16"/>
      <c r="BVE70" s="16"/>
      <c r="BVF70" s="16"/>
      <c r="BVG70" s="16"/>
      <c r="BVH70" s="16"/>
      <c r="BVI70" s="16"/>
      <c r="BVJ70" s="16"/>
      <c r="BVK70" s="16"/>
      <c r="BVL70" s="16"/>
      <c r="BVM70" s="16"/>
      <c r="BVN70" s="16"/>
      <c r="BVO70" s="16"/>
      <c r="BVP70" s="16"/>
      <c r="BVQ70" s="16"/>
      <c r="BVR70" s="16"/>
      <c r="BVS70" s="16"/>
      <c r="BVT70" s="16"/>
      <c r="BVU70" s="16"/>
      <c r="BVV70" s="16"/>
      <c r="BVW70" s="16"/>
      <c r="BVX70" s="16"/>
      <c r="BVY70" s="16"/>
      <c r="BVZ70" s="16"/>
      <c r="BWA70" s="16"/>
      <c r="BWB70" s="16"/>
      <c r="BWC70" s="16"/>
      <c r="BWD70" s="16"/>
      <c r="BWE70" s="16"/>
      <c r="BWF70" s="16"/>
      <c r="BWG70" s="16"/>
      <c r="BWH70" s="16"/>
      <c r="BWI70" s="16"/>
      <c r="BWJ70" s="16"/>
      <c r="BWK70" s="16"/>
      <c r="BWL70" s="16"/>
      <c r="BWM70" s="16"/>
      <c r="BWN70" s="16"/>
      <c r="BWO70" s="16"/>
      <c r="BWP70" s="16"/>
      <c r="BWQ70" s="16"/>
      <c r="BWR70" s="16"/>
      <c r="BWS70" s="16"/>
      <c r="BWT70" s="16"/>
      <c r="BWU70" s="16"/>
      <c r="BWV70" s="16"/>
      <c r="BWW70" s="16"/>
      <c r="BWX70" s="16"/>
      <c r="BWY70" s="16"/>
      <c r="BWZ70" s="16"/>
      <c r="BXA70" s="16"/>
      <c r="BXB70" s="16"/>
      <c r="BXC70" s="16"/>
      <c r="BXD70" s="16"/>
      <c r="BXE70" s="16"/>
      <c r="BXF70" s="16"/>
      <c r="BXG70" s="16"/>
      <c r="BXH70" s="16"/>
      <c r="BXI70" s="16"/>
      <c r="BXJ70" s="16"/>
      <c r="BXK70" s="16"/>
      <c r="BXL70" s="16"/>
      <c r="BXM70" s="16"/>
      <c r="BXN70" s="16"/>
      <c r="BXO70" s="16"/>
      <c r="BXP70" s="16"/>
      <c r="BXQ70" s="16"/>
      <c r="BXR70" s="16"/>
      <c r="BXS70" s="16"/>
      <c r="BXT70" s="16"/>
      <c r="BXU70" s="16"/>
      <c r="BXV70" s="16"/>
      <c r="BXW70" s="16"/>
      <c r="BXX70" s="16"/>
      <c r="BXY70" s="16"/>
      <c r="BXZ70" s="16"/>
      <c r="BYA70" s="16"/>
      <c r="BYB70" s="16"/>
      <c r="BYC70" s="16"/>
      <c r="BYD70" s="16"/>
      <c r="BYE70" s="16"/>
      <c r="BYF70" s="16"/>
      <c r="BYG70" s="16"/>
      <c r="BYH70" s="16"/>
      <c r="BYI70" s="16"/>
      <c r="BYJ70" s="16"/>
      <c r="BYK70" s="16"/>
      <c r="BYL70" s="16"/>
      <c r="BYM70" s="16"/>
      <c r="BYN70" s="16"/>
      <c r="BYO70" s="16"/>
      <c r="BYP70" s="16"/>
      <c r="BYQ70" s="16"/>
      <c r="BYR70" s="16"/>
      <c r="BYS70" s="16"/>
      <c r="BYT70" s="16"/>
      <c r="BYU70" s="16"/>
      <c r="BYV70" s="16"/>
      <c r="BYW70" s="16"/>
      <c r="BYX70" s="16"/>
      <c r="BYY70" s="16"/>
      <c r="BYZ70" s="16"/>
      <c r="BZA70" s="16"/>
      <c r="BZB70" s="16"/>
      <c r="BZC70" s="16"/>
      <c r="BZD70" s="16"/>
      <c r="BZE70" s="16"/>
      <c r="BZF70" s="16"/>
      <c r="BZG70" s="16"/>
      <c r="BZH70" s="16"/>
      <c r="BZI70" s="16"/>
      <c r="BZJ70" s="16"/>
      <c r="BZK70" s="16"/>
      <c r="BZL70" s="16"/>
      <c r="BZM70" s="16"/>
      <c r="BZN70" s="16"/>
      <c r="BZO70" s="16"/>
      <c r="BZP70" s="16"/>
      <c r="BZQ70" s="16"/>
      <c r="BZR70" s="16"/>
      <c r="BZS70" s="16"/>
      <c r="BZT70" s="16"/>
      <c r="BZU70" s="16"/>
      <c r="BZV70" s="16"/>
      <c r="BZW70" s="16"/>
      <c r="BZX70" s="16"/>
      <c r="BZY70" s="16"/>
      <c r="BZZ70" s="16"/>
      <c r="CAA70" s="16"/>
      <c r="CAB70" s="16"/>
      <c r="CAC70" s="16"/>
      <c r="CAD70" s="16"/>
      <c r="CAE70" s="16"/>
      <c r="CAF70" s="16"/>
      <c r="CAG70" s="16"/>
      <c r="CAH70" s="16"/>
      <c r="CAI70" s="16"/>
      <c r="CAJ70" s="16"/>
      <c r="CAK70" s="16"/>
      <c r="CAL70" s="16"/>
      <c r="CAM70" s="16"/>
      <c r="CAN70" s="16"/>
      <c r="CAO70" s="16"/>
      <c r="CAP70" s="16"/>
      <c r="CAQ70" s="16"/>
      <c r="CAR70" s="16"/>
      <c r="CAS70" s="16"/>
      <c r="CAT70" s="16"/>
      <c r="CAU70" s="16"/>
      <c r="CAV70" s="16"/>
      <c r="CAW70" s="16"/>
      <c r="CAX70" s="16"/>
      <c r="CAY70" s="16"/>
      <c r="CAZ70" s="16"/>
      <c r="CBA70" s="16"/>
      <c r="CBB70" s="16"/>
      <c r="CBC70" s="16"/>
      <c r="CBD70" s="16"/>
      <c r="CBE70" s="16"/>
      <c r="CBF70" s="16"/>
      <c r="CBG70" s="16"/>
      <c r="CBH70" s="16"/>
      <c r="CBI70" s="16"/>
      <c r="CBJ70" s="16"/>
      <c r="CBK70" s="16"/>
      <c r="CBL70" s="16"/>
      <c r="CBM70" s="16"/>
      <c r="CBN70" s="16"/>
      <c r="CBO70" s="16"/>
      <c r="CBP70" s="16"/>
      <c r="CBQ70" s="16"/>
      <c r="CBR70" s="16"/>
      <c r="CBS70" s="16"/>
      <c r="CBT70" s="16"/>
      <c r="CBU70" s="16"/>
      <c r="CBV70" s="16"/>
      <c r="CBW70" s="16"/>
      <c r="CBX70" s="16"/>
      <c r="CBY70" s="16"/>
      <c r="CBZ70" s="16"/>
      <c r="CCA70" s="16"/>
      <c r="CCB70" s="16"/>
      <c r="CCC70" s="16"/>
      <c r="CCD70" s="16"/>
      <c r="CCE70" s="16"/>
      <c r="CCF70" s="16"/>
      <c r="CCG70" s="16"/>
      <c r="CCH70" s="16"/>
      <c r="CCI70" s="16"/>
      <c r="CCJ70" s="16"/>
      <c r="CCK70" s="16"/>
      <c r="CCL70" s="16"/>
      <c r="CCM70" s="16"/>
      <c r="CCN70" s="16"/>
      <c r="CCO70" s="16"/>
      <c r="CCP70" s="16"/>
      <c r="CCQ70" s="16"/>
      <c r="CCR70" s="16"/>
      <c r="CCS70" s="16"/>
      <c r="CCT70" s="16"/>
      <c r="CCU70" s="16"/>
      <c r="CCV70" s="16"/>
      <c r="CCW70" s="16"/>
      <c r="CCX70" s="16"/>
      <c r="CCY70" s="16"/>
      <c r="CCZ70" s="16"/>
      <c r="CDA70" s="16"/>
      <c r="CDB70" s="16"/>
      <c r="CDC70" s="16"/>
      <c r="CDD70" s="16"/>
      <c r="CDE70" s="16"/>
      <c r="CDF70" s="16"/>
      <c r="CDG70" s="16"/>
      <c r="CDH70" s="16"/>
      <c r="CDI70" s="16"/>
      <c r="CDJ70" s="16"/>
      <c r="CDK70" s="16"/>
      <c r="CDL70" s="16"/>
      <c r="CDM70" s="16"/>
      <c r="CDN70" s="16"/>
      <c r="CDO70" s="16"/>
      <c r="CDP70" s="16"/>
      <c r="CDQ70" s="16"/>
      <c r="CDR70" s="16"/>
      <c r="CDS70" s="16"/>
      <c r="CDT70" s="16"/>
      <c r="CDU70" s="16"/>
      <c r="CDV70" s="16"/>
      <c r="CDW70" s="16"/>
      <c r="CDX70" s="16"/>
      <c r="CDY70" s="16"/>
      <c r="CDZ70" s="16"/>
      <c r="CEA70" s="16"/>
      <c r="CEB70" s="16"/>
      <c r="CEC70" s="16"/>
      <c r="CED70" s="16"/>
      <c r="CEE70" s="16"/>
      <c r="CEF70" s="16"/>
      <c r="CEG70" s="16"/>
      <c r="CEH70" s="16"/>
      <c r="CEI70" s="16"/>
      <c r="CEJ70" s="16"/>
      <c r="CEK70" s="16"/>
      <c r="CEL70" s="16"/>
      <c r="CEM70" s="16"/>
      <c r="CEN70" s="16"/>
      <c r="CEO70" s="16"/>
      <c r="CEP70" s="16"/>
      <c r="CEQ70" s="16"/>
      <c r="CER70" s="16"/>
      <c r="CES70" s="16"/>
      <c r="CET70" s="16"/>
      <c r="CEU70" s="16"/>
      <c r="CEV70" s="16"/>
      <c r="CEW70" s="16"/>
      <c r="CEX70" s="16"/>
      <c r="CEY70" s="16"/>
      <c r="CEZ70" s="16"/>
      <c r="CFA70" s="16"/>
      <c r="CFB70" s="16"/>
      <c r="CFC70" s="16"/>
      <c r="CFD70" s="16"/>
      <c r="CFE70" s="16"/>
      <c r="CFF70" s="16"/>
      <c r="CFG70" s="16"/>
      <c r="CFH70" s="16"/>
      <c r="CFI70" s="16"/>
      <c r="CFJ70" s="16"/>
      <c r="CFK70" s="16"/>
      <c r="CFL70" s="16"/>
      <c r="CFM70" s="16"/>
      <c r="CFN70" s="16"/>
      <c r="CFO70" s="16"/>
      <c r="CFP70" s="16"/>
      <c r="CFQ70" s="16"/>
      <c r="CFR70" s="16"/>
      <c r="CFS70" s="16"/>
      <c r="CFT70" s="16"/>
      <c r="CFU70" s="16"/>
      <c r="CFV70" s="16"/>
      <c r="CFW70" s="16"/>
      <c r="CFX70" s="16"/>
      <c r="CFY70" s="16"/>
      <c r="CFZ70" s="16"/>
      <c r="CGA70" s="16"/>
      <c r="CGB70" s="16"/>
      <c r="CGC70" s="16"/>
      <c r="CGD70" s="16"/>
      <c r="CGE70" s="16"/>
      <c r="CGF70" s="16"/>
      <c r="CGG70" s="16"/>
      <c r="CGH70" s="16"/>
      <c r="CGI70" s="16"/>
      <c r="CGJ70" s="16"/>
      <c r="CGK70" s="16"/>
      <c r="CGL70" s="16"/>
      <c r="CGM70" s="16"/>
      <c r="CGN70" s="16"/>
      <c r="CGO70" s="16"/>
      <c r="CGP70" s="16"/>
      <c r="CGQ70" s="16"/>
      <c r="CGR70" s="16"/>
      <c r="CGS70" s="16"/>
      <c r="CGT70" s="16"/>
      <c r="CGU70" s="16"/>
      <c r="CGV70" s="16"/>
      <c r="CGW70" s="16"/>
      <c r="CGX70" s="16"/>
      <c r="CGY70" s="16"/>
      <c r="CGZ70" s="16"/>
      <c r="CHA70" s="16"/>
      <c r="CHB70" s="16"/>
      <c r="CHC70" s="16"/>
      <c r="CHD70" s="16"/>
      <c r="CHE70" s="16"/>
      <c r="CHF70" s="16"/>
      <c r="CHG70" s="16"/>
      <c r="CHH70" s="16"/>
      <c r="CHI70" s="16"/>
      <c r="CHJ70" s="16"/>
      <c r="CHK70" s="16"/>
      <c r="CHL70" s="16"/>
      <c r="CHM70" s="16"/>
      <c r="CHN70" s="16"/>
      <c r="CHO70" s="16"/>
      <c r="CHP70" s="16"/>
      <c r="CHQ70" s="16"/>
      <c r="CHR70" s="16"/>
      <c r="CHS70" s="16"/>
      <c r="CHT70" s="16"/>
      <c r="CHU70" s="16"/>
      <c r="CHV70" s="16"/>
      <c r="CHW70" s="16"/>
      <c r="CHX70" s="16"/>
      <c r="CHY70" s="16"/>
      <c r="CHZ70" s="16"/>
      <c r="CIA70" s="16"/>
      <c r="CIB70" s="16"/>
      <c r="CIC70" s="16"/>
      <c r="CID70" s="16"/>
      <c r="CIE70" s="16"/>
      <c r="CIF70" s="16"/>
      <c r="CIG70" s="16"/>
      <c r="CIH70" s="16"/>
      <c r="CII70" s="16"/>
      <c r="CIJ70" s="16"/>
      <c r="CIK70" s="16"/>
      <c r="CIL70" s="16"/>
      <c r="CIM70" s="16"/>
      <c r="CIN70" s="16"/>
      <c r="CIO70" s="16"/>
      <c r="CIP70" s="16"/>
      <c r="CIQ70" s="16"/>
      <c r="CIR70" s="16"/>
      <c r="CIS70" s="16"/>
      <c r="CIT70" s="16"/>
      <c r="CIU70" s="16"/>
      <c r="CIV70" s="16"/>
      <c r="CIW70" s="16"/>
      <c r="CIX70" s="16"/>
      <c r="CIY70" s="16"/>
      <c r="CIZ70" s="16"/>
      <c r="CJA70" s="16"/>
      <c r="CJB70" s="16"/>
      <c r="CJC70" s="16"/>
      <c r="CJD70" s="16"/>
      <c r="CJE70" s="16"/>
      <c r="CJF70" s="16"/>
      <c r="CJG70" s="16"/>
      <c r="CJH70" s="16"/>
      <c r="CJI70" s="16"/>
      <c r="CJJ70" s="16"/>
      <c r="CJK70" s="16"/>
      <c r="CJL70" s="16"/>
      <c r="CJM70" s="16"/>
      <c r="CJN70" s="16"/>
      <c r="CJO70" s="16"/>
      <c r="CJP70" s="16"/>
      <c r="CJQ70" s="16"/>
      <c r="CJR70" s="16"/>
      <c r="CJS70" s="16"/>
      <c r="CJT70" s="16"/>
      <c r="CJU70" s="16"/>
      <c r="CJV70" s="16"/>
      <c r="CJW70" s="16"/>
      <c r="CJX70" s="16"/>
      <c r="CJY70" s="16"/>
      <c r="CJZ70" s="16"/>
      <c r="CKA70" s="16"/>
      <c r="CKB70" s="16"/>
      <c r="CKC70" s="16"/>
      <c r="CKD70" s="16"/>
      <c r="CKE70" s="16"/>
      <c r="CKF70" s="16"/>
      <c r="CKG70" s="16"/>
      <c r="CKH70" s="16"/>
      <c r="CKI70" s="16"/>
      <c r="CKJ70" s="16"/>
      <c r="CKK70" s="16"/>
      <c r="CKL70" s="16"/>
      <c r="CKM70" s="16"/>
      <c r="CKN70" s="16"/>
      <c r="CKO70" s="16"/>
      <c r="CKP70" s="16"/>
      <c r="CKQ70" s="16"/>
      <c r="CKR70" s="16"/>
      <c r="CKS70" s="16"/>
      <c r="CKT70" s="16"/>
      <c r="CKU70" s="16"/>
      <c r="CKV70" s="16"/>
      <c r="CKW70" s="16"/>
      <c r="CKX70" s="16"/>
      <c r="CKY70" s="16"/>
      <c r="CKZ70" s="16"/>
      <c r="CLA70" s="16"/>
      <c r="CLB70" s="16"/>
      <c r="CLC70" s="16"/>
      <c r="CLD70" s="16"/>
      <c r="CLE70" s="16"/>
      <c r="CLF70" s="16"/>
      <c r="CLG70" s="16"/>
      <c r="CLH70" s="16"/>
      <c r="CLI70" s="16"/>
      <c r="CLJ70" s="16"/>
      <c r="CLK70" s="16"/>
      <c r="CLL70" s="16"/>
      <c r="CLM70" s="16"/>
      <c r="CLN70" s="16"/>
      <c r="CLO70" s="16"/>
      <c r="CLP70" s="16"/>
      <c r="CLQ70" s="16"/>
      <c r="CLR70" s="16"/>
      <c r="CLS70" s="16"/>
      <c r="CLT70" s="16"/>
      <c r="CLU70" s="16"/>
      <c r="CLV70" s="16"/>
      <c r="CLW70" s="16"/>
      <c r="CLX70" s="16"/>
      <c r="CLY70" s="16"/>
      <c r="CLZ70" s="16"/>
      <c r="CMA70" s="16"/>
      <c r="CMB70" s="16"/>
      <c r="CMC70" s="16"/>
      <c r="CMD70" s="16"/>
      <c r="CME70" s="16"/>
      <c r="CMF70" s="16"/>
      <c r="CMG70" s="16"/>
      <c r="CMH70" s="16"/>
      <c r="CMI70" s="16"/>
      <c r="CMJ70" s="16"/>
      <c r="CMK70" s="16"/>
      <c r="CML70" s="16"/>
      <c r="CMM70" s="16"/>
      <c r="CMN70" s="16"/>
      <c r="CMO70" s="16"/>
      <c r="CMP70" s="16"/>
      <c r="CMQ70" s="16"/>
      <c r="CMR70" s="16"/>
      <c r="CMS70" s="16"/>
      <c r="CMT70" s="16"/>
      <c r="CMU70" s="16"/>
      <c r="CMV70" s="16"/>
      <c r="CMW70" s="16"/>
      <c r="CMX70" s="16"/>
      <c r="CMY70" s="16"/>
      <c r="CMZ70" s="16"/>
      <c r="CNA70" s="16"/>
      <c r="CNB70" s="16"/>
      <c r="CNC70" s="16"/>
      <c r="CND70" s="16"/>
      <c r="CNE70" s="16"/>
      <c r="CNF70" s="16"/>
      <c r="CNG70" s="16"/>
      <c r="CNH70" s="16"/>
      <c r="CNI70" s="16"/>
      <c r="CNJ70" s="16"/>
      <c r="CNK70" s="16"/>
      <c r="CNL70" s="16"/>
      <c r="CNM70" s="16"/>
      <c r="CNN70" s="16"/>
      <c r="CNO70" s="16"/>
      <c r="CNP70" s="16"/>
      <c r="CNQ70" s="16"/>
      <c r="CNR70" s="16"/>
      <c r="CNS70" s="16"/>
      <c r="CNT70" s="16"/>
      <c r="CNU70" s="16"/>
      <c r="CNV70" s="16"/>
      <c r="CNW70" s="16"/>
      <c r="CNX70" s="16"/>
      <c r="CNY70" s="16"/>
      <c r="CNZ70" s="16"/>
      <c r="COA70" s="16"/>
      <c r="COB70" s="16"/>
      <c r="COC70" s="16"/>
      <c r="COD70" s="16"/>
      <c r="COE70" s="16"/>
      <c r="COF70" s="16"/>
      <c r="COG70" s="16"/>
      <c r="COH70" s="16"/>
      <c r="COI70" s="16"/>
      <c r="COJ70" s="16"/>
      <c r="COK70" s="16"/>
      <c r="COL70" s="16"/>
      <c r="COM70" s="16"/>
      <c r="CON70" s="16"/>
      <c r="COO70" s="16"/>
      <c r="COP70" s="16"/>
      <c r="COQ70" s="16"/>
      <c r="COR70" s="16"/>
      <c r="COS70" s="16"/>
      <c r="COT70" s="16"/>
      <c r="COU70" s="16"/>
      <c r="COV70" s="16"/>
      <c r="COW70" s="16"/>
      <c r="COX70" s="16"/>
      <c r="COY70" s="16"/>
      <c r="COZ70" s="16"/>
      <c r="CPA70" s="16"/>
      <c r="CPB70" s="16"/>
      <c r="CPC70" s="16"/>
      <c r="CPD70" s="16"/>
      <c r="CPE70" s="16"/>
      <c r="CPF70" s="16"/>
      <c r="CPG70" s="16"/>
      <c r="CPH70" s="16"/>
      <c r="CPI70" s="16"/>
      <c r="CPJ70" s="16"/>
      <c r="CPK70" s="16"/>
      <c r="CPL70" s="16"/>
      <c r="CPM70" s="16"/>
      <c r="CPN70" s="16"/>
      <c r="CPO70" s="16"/>
      <c r="CPP70" s="16"/>
      <c r="CPQ70" s="16"/>
      <c r="CPR70" s="16"/>
      <c r="CPS70" s="16"/>
      <c r="CPT70" s="16"/>
      <c r="CPU70" s="16"/>
      <c r="CPV70" s="16"/>
      <c r="CPW70" s="16"/>
      <c r="CPX70" s="16"/>
      <c r="CPY70" s="16"/>
      <c r="CPZ70" s="16"/>
      <c r="CQA70" s="16"/>
      <c r="CQB70" s="16"/>
      <c r="CQC70" s="16"/>
      <c r="CQD70" s="16"/>
      <c r="CQE70" s="16"/>
      <c r="CQF70" s="16"/>
      <c r="CQG70" s="16"/>
      <c r="CQH70" s="16"/>
      <c r="CQI70" s="16"/>
      <c r="CQJ70" s="16"/>
      <c r="CQK70" s="16"/>
      <c r="CQL70" s="16"/>
      <c r="CQM70" s="16"/>
      <c r="CQN70" s="16"/>
      <c r="CQO70" s="16"/>
      <c r="CQP70" s="16"/>
      <c r="CQQ70" s="16"/>
      <c r="CQR70" s="16"/>
      <c r="CQS70" s="16"/>
      <c r="CQT70" s="16"/>
      <c r="CQU70" s="16"/>
      <c r="CQV70" s="16"/>
      <c r="CQW70" s="16"/>
      <c r="CQX70" s="16"/>
      <c r="CQY70" s="16"/>
      <c r="CQZ70" s="16"/>
      <c r="CRA70" s="16"/>
      <c r="CRB70" s="16"/>
      <c r="CRC70" s="16"/>
      <c r="CRD70" s="16"/>
      <c r="CRE70" s="16"/>
      <c r="CRF70" s="16"/>
      <c r="CRG70" s="16"/>
      <c r="CRH70" s="16"/>
      <c r="CRI70" s="16"/>
      <c r="CRJ70" s="16"/>
      <c r="CRK70" s="16"/>
      <c r="CRL70" s="16"/>
      <c r="CRM70" s="16"/>
      <c r="CRN70" s="16"/>
      <c r="CRO70" s="16"/>
      <c r="CRP70" s="16"/>
      <c r="CRQ70" s="16"/>
      <c r="CRR70" s="16"/>
      <c r="CRS70" s="16"/>
      <c r="CRT70" s="16"/>
      <c r="CRU70" s="16"/>
      <c r="CRV70" s="16"/>
      <c r="CRW70" s="16"/>
      <c r="CRX70" s="16"/>
      <c r="CRY70" s="16"/>
      <c r="CRZ70" s="16"/>
      <c r="CSA70" s="16"/>
      <c r="CSB70" s="16"/>
      <c r="CSC70" s="16"/>
      <c r="CSD70" s="16"/>
      <c r="CSE70" s="16"/>
      <c r="CSF70" s="16"/>
      <c r="CSG70" s="16"/>
      <c r="CSH70" s="16"/>
      <c r="CSI70" s="16"/>
      <c r="CSJ70" s="16"/>
      <c r="CSK70" s="24"/>
      <c r="CSL70" s="16"/>
      <c r="CSM70" s="16"/>
      <c r="CSN70" s="16"/>
      <c r="CSO70" s="16"/>
      <c r="CSP70" s="16"/>
      <c r="CUG70" s="16"/>
      <c r="CUH70" s="16"/>
      <c r="CUI70" s="16"/>
      <c r="CUJ70" s="16"/>
      <c r="CUK70" s="16"/>
      <c r="CUL70" s="16"/>
      <c r="CUM70" s="16"/>
      <c r="CUN70" s="16"/>
      <c r="CUO70" s="16"/>
      <c r="CUP70" s="16"/>
      <c r="CUQ70" s="16"/>
      <c r="CUR70" s="16"/>
      <c r="CUS70" s="16"/>
      <c r="CUT70" s="16"/>
      <c r="CUU70" s="16"/>
      <c r="CUV70" s="16"/>
      <c r="CUW70" s="16"/>
      <c r="CUX70" s="16"/>
      <c r="CUY70" s="16"/>
      <c r="CUZ70" s="16"/>
      <c r="CVA70" s="16"/>
      <c r="CVB70" s="16"/>
      <c r="CVC70" s="16"/>
      <c r="CVD70" s="16"/>
      <c r="CVE70" s="16"/>
      <c r="CVF70" s="16"/>
      <c r="CVG70" s="16"/>
      <c r="CVH70" s="16"/>
      <c r="CVI70" s="16"/>
      <c r="CVJ70" s="16"/>
      <c r="CVK70" s="16"/>
      <c r="CVL70" s="16"/>
      <c r="CVM70" s="16"/>
      <c r="CVN70" s="16"/>
      <c r="CVO70" s="16"/>
      <c r="CVP70" s="16"/>
    </row>
    <row r="71" spans="3:2616" ht="13.8" x14ac:dyDescent="0.25">
      <c r="C71" s="57"/>
      <c r="E71" s="16"/>
      <c r="K71" s="59"/>
      <c r="L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  <c r="FC71" s="16"/>
      <c r="FD71" s="16"/>
      <c r="FE71" s="16"/>
      <c r="FF71" s="16"/>
      <c r="FG71" s="16"/>
      <c r="FH71" s="16"/>
      <c r="FI71" s="16"/>
      <c r="FJ71" s="16"/>
      <c r="FK71" s="16"/>
      <c r="FL71" s="16"/>
      <c r="FM71" s="16"/>
      <c r="FN71" s="16"/>
      <c r="FO71" s="16"/>
      <c r="FP71" s="16"/>
      <c r="FQ71" s="16"/>
      <c r="FR71" s="16"/>
      <c r="FS71" s="16"/>
      <c r="FT71" s="16"/>
      <c r="FU71" s="16"/>
      <c r="FV71" s="16"/>
      <c r="FW71" s="16"/>
      <c r="FX71" s="16"/>
      <c r="FY71" s="16"/>
      <c r="FZ71" s="16"/>
      <c r="GA71" s="16"/>
      <c r="GB71" s="16"/>
      <c r="GC71" s="16"/>
      <c r="GD71" s="16"/>
      <c r="GE71" s="16"/>
      <c r="GF71" s="16"/>
      <c r="GG71" s="16"/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/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/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/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/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/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/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/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/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/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/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/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6"/>
      <c r="LU71" s="16"/>
      <c r="LV71" s="16"/>
      <c r="LW71" s="16"/>
      <c r="LX71" s="16"/>
      <c r="LY71" s="16"/>
      <c r="LZ71" s="16"/>
      <c r="MA71" s="16"/>
      <c r="MB71" s="16"/>
      <c r="MC71" s="16"/>
      <c r="MD71" s="16"/>
      <c r="ME71" s="16"/>
      <c r="MF71" s="16"/>
      <c r="MG71" s="16"/>
      <c r="MH71" s="16"/>
      <c r="MI71" s="16"/>
      <c r="MJ71" s="16"/>
      <c r="MK71" s="16"/>
      <c r="ML71" s="16"/>
      <c r="MM71" s="16"/>
      <c r="MN71" s="16"/>
      <c r="MO71" s="16"/>
      <c r="MP71" s="16"/>
      <c r="MQ71" s="16"/>
      <c r="MR71" s="16"/>
      <c r="MS71" s="16"/>
      <c r="MT71" s="16"/>
      <c r="MU71" s="16"/>
      <c r="MV71" s="16"/>
      <c r="MW71" s="16"/>
      <c r="MX71" s="16"/>
      <c r="MY71" s="16"/>
      <c r="MZ71" s="16"/>
      <c r="NA71" s="16"/>
      <c r="NB71" s="16"/>
      <c r="NC71" s="16"/>
      <c r="ND71" s="16"/>
      <c r="NE71" s="16"/>
      <c r="NF71" s="16"/>
      <c r="NG71" s="16"/>
      <c r="NH71" s="16"/>
      <c r="NI71" s="16"/>
      <c r="NJ71" s="16"/>
      <c r="NK71" s="16"/>
      <c r="NL71" s="16"/>
      <c r="NM71" s="16"/>
      <c r="NN71" s="16"/>
      <c r="NO71" s="16"/>
      <c r="NP71" s="16"/>
      <c r="NQ71" s="16"/>
      <c r="NR71" s="16"/>
      <c r="NS71" s="16"/>
      <c r="NT71" s="16"/>
      <c r="NU71" s="16"/>
      <c r="NV71" s="16"/>
      <c r="NW71" s="16"/>
      <c r="NX71" s="16"/>
      <c r="NY71" s="16"/>
      <c r="NZ71" s="16"/>
      <c r="OA71" s="16"/>
      <c r="OB71" s="16"/>
      <c r="OC71" s="16"/>
      <c r="OD71" s="16"/>
      <c r="OE71" s="16"/>
      <c r="OF71" s="16"/>
      <c r="OG71" s="16"/>
      <c r="OH71" s="16"/>
      <c r="OI71" s="16"/>
      <c r="OJ71" s="16"/>
      <c r="OK71" s="16"/>
      <c r="OL71" s="16"/>
      <c r="OM71" s="16"/>
      <c r="ON71" s="16"/>
      <c r="OO71" s="16"/>
      <c r="OP71" s="16"/>
      <c r="OQ71" s="16"/>
      <c r="OR71" s="16"/>
      <c r="OS71" s="16"/>
      <c r="OT71" s="16"/>
      <c r="OU71" s="16"/>
      <c r="OV71" s="16"/>
      <c r="OW71" s="16"/>
      <c r="OX71" s="16"/>
      <c r="OY71" s="16"/>
      <c r="OZ71" s="16"/>
      <c r="PA71" s="16"/>
      <c r="PB71" s="16"/>
      <c r="PC71" s="16"/>
      <c r="PD71" s="16"/>
      <c r="PE71" s="16"/>
      <c r="PF71" s="16"/>
      <c r="PG71" s="16"/>
      <c r="PH71" s="16"/>
      <c r="PI71" s="16"/>
      <c r="PJ71" s="16"/>
      <c r="PK71" s="16"/>
      <c r="PL71" s="16"/>
      <c r="PM71" s="16"/>
      <c r="PN71" s="16"/>
      <c r="PO71" s="16"/>
      <c r="PP71" s="16"/>
      <c r="PQ71" s="16"/>
      <c r="PR71" s="16"/>
      <c r="PS71" s="16"/>
      <c r="PT71" s="16"/>
      <c r="PU71" s="16"/>
      <c r="PV71" s="16"/>
      <c r="PW71" s="16"/>
      <c r="PX71" s="16"/>
      <c r="PY71" s="16"/>
      <c r="PZ71" s="16"/>
      <c r="QA71" s="16"/>
      <c r="QB71" s="16"/>
      <c r="QC71" s="16"/>
      <c r="QD71" s="16"/>
      <c r="QE71" s="16"/>
      <c r="QF71" s="16"/>
      <c r="QG71" s="16"/>
      <c r="QH71" s="16"/>
      <c r="QI71" s="16"/>
      <c r="QJ71" s="16"/>
      <c r="QK71" s="16"/>
      <c r="QL71" s="16"/>
      <c r="QM71" s="16"/>
      <c r="QN71" s="16"/>
      <c r="QO71" s="16"/>
      <c r="QP71" s="16"/>
      <c r="QQ71" s="16"/>
      <c r="QR71" s="16"/>
      <c r="QS71" s="16"/>
      <c r="QT71" s="16"/>
      <c r="QU71" s="16"/>
      <c r="QV71" s="16"/>
      <c r="QW71" s="16"/>
      <c r="QX71" s="16"/>
      <c r="QY71" s="16"/>
      <c r="QZ71" s="16"/>
      <c r="RA71" s="16"/>
      <c r="RB71" s="16"/>
      <c r="RC71" s="16"/>
      <c r="RD71" s="16"/>
      <c r="RE71" s="16"/>
      <c r="RF71" s="16"/>
      <c r="RG71" s="16"/>
      <c r="RH71" s="16"/>
      <c r="RI71" s="16"/>
      <c r="RJ71" s="16"/>
      <c r="RK71" s="16"/>
      <c r="RL71" s="16"/>
      <c r="RM71" s="16"/>
      <c r="RN71" s="16"/>
      <c r="RO71" s="16"/>
      <c r="RP71" s="16"/>
      <c r="RQ71" s="16"/>
      <c r="RR71" s="16"/>
      <c r="RS71" s="16"/>
      <c r="RT71" s="16"/>
      <c r="RU71" s="16"/>
      <c r="RV71" s="16"/>
      <c r="RW71" s="16"/>
      <c r="RX71" s="16"/>
      <c r="RY71" s="16"/>
      <c r="RZ71" s="16"/>
      <c r="SA71" s="16"/>
      <c r="SB71" s="16"/>
      <c r="SC71" s="16"/>
      <c r="SD71" s="16"/>
      <c r="SE71" s="16"/>
      <c r="SF71" s="16"/>
      <c r="SG71" s="16"/>
      <c r="SH71" s="16"/>
      <c r="SI71" s="16"/>
      <c r="SJ71" s="16"/>
      <c r="SK71" s="16"/>
      <c r="SL71" s="16"/>
      <c r="SM71" s="16"/>
      <c r="SN71" s="16"/>
      <c r="SO71" s="16"/>
      <c r="SP71" s="16"/>
      <c r="SQ71" s="16"/>
      <c r="SR71" s="16"/>
      <c r="SS71" s="16"/>
      <c r="ST71" s="16"/>
      <c r="SU71" s="16"/>
      <c r="SV71" s="16"/>
      <c r="SW71" s="16"/>
      <c r="SX71" s="16"/>
      <c r="SY71" s="16"/>
      <c r="SZ71" s="16"/>
      <c r="TA71" s="16"/>
      <c r="TB71" s="16"/>
      <c r="TC71" s="16"/>
      <c r="TD71" s="16"/>
      <c r="TE71" s="16"/>
      <c r="TF71" s="16"/>
      <c r="TG71" s="16"/>
      <c r="TH71" s="16"/>
      <c r="TI71" s="16"/>
      <c r="TJ71" s="16"/>
      <c r="TK71" s="16"/>
      <c r="TL71" s="16"/>
      <c r="TM71" s="16"/>
      <c r="TN71" s="16"/>
      <c r="TO71" s="16"/>
      <c r="TP71" s="16"/>
      <c r="TQ71" s="16"/>
      <c r="TR71" s="16"/>
      <c r="TS71" s="16"/>
      <c r="TT71" s="16"/>
      <c r="TU71" s="16"/>
      <c r="TV71" s="16"/>
      <c r="TW71" s="16"/>
      <c r="TX71" s="16"/>
      <c r="TY71" s="16"/>
      <c r="TZ71" s="16"/>
      <c r="UA71" s="16"/>
      <c r="UB71" s="16"/>
      <c r="UC71" s="16"/>
      <c r="UD71" s="16"/>
      <c r="UE71" s="16"/>
      <c r="UF71" s="16"/>
      <c r="UG71" s="16"/>
      <c r="UH71" s="16"/>
      <c r="UI71" s="16"/>
      <c r="UJ71" s="16"/>
      <c r="UK71" s="16"/>
      <c r="UL71" s="16"/>
      <c r="UM71" s="16"/>
      <c r="UN71" s="16"/>
      <c r="UO71" s="16"/>
      <c r="UP71" s="16"/>
      <c r="UQ71" s="16"/>
      <c r="UR71" s="16"/>
      <c r="US71" s="16"/>
      <c r="UT71" s="16"/>
      <c r="UU71" s="16"/>
      <c r="UV71" s="16"/>
      <c r="UW71" s="16"/>
      <c r="UX71" s="16"/>
      <c r="UY71" s="16"/>
      <c r="UZ71" s="16"/>
      <c r="VA71" s="16"/>
      <c r="VB71" s="16"/>
      <c r="VC71" s="16"/>
      <c r="VD71" s="16"/>
      <c r="VE71" s="16"/>
      <c r="VF71" s="16"/>
      <c r="VG71" s="16"/>
      <c r="VH71" s="16"/>
      <c r="VI71" s="16"/>
      <c r="VJ71" s="16"/>
      <c r="VK71" s="16"/>
      <c r="VL71" s="16"/>
      <c r="VM71" s="16"/>
      <c r="VN71" s="16"/>
      <c r="VO71" s="16"/>
      <c r="VP71" s="16"/>
      <c r="VQ71" s="16"/>
      <c r="VR71" s="16"/>
      <c r="VS71" s="16"/>
      <c r="VT71" s="16"/>
      <c r="VU71" s="16"/>
      <c r="VV71" s="16"/>
      <c r="VW71" s="16"/>
      <c r="VX71" s="16"/>
      <c r="VY71" s="16"/>
      <c r="VZ71" s="16"/>
      <c r="WA71" s="16"/>
      <c r="WB71" s="16"/>
      <c r="WC71" s="16"/>
      <c r="WD71" s="16"/>
      <c r="WE71" s="16"/>
      <c r="WF71" s="16"/>
      <c r="WG71" s="16"/>
      <c r="WH71" s="16"/>
      <c r="WI71" s="16"/>
      <c r="WJ71" s="16"/>
      <c r="WK71" s="16"/>
      <c r="WL71" s="16"/>
      <c r="WM71" s="16"/>
      <c r="WN71" s="16"/>
      <c r="WO71" s="16"/>
      <c r="WP71" s="16"/>
      <c r="WQ71" s="16"/>
      <c r="WR71" s="16"/>
      <c r="WS71" s="16"/>
      <c r="WT71" s="16"/>
      <c r="WU71" s="16"/>
      <c r="WV71" s="16"/>
      <c r="WW71" s="16"/>
      <c r="WX71" s="16"/>
      <c r="WY71" s="16"/>
      <c r="WZ71" s="16"/>
      <c r="XA71" s="16"/>
      <c r="XB71" s="16"/>
      <c r="XC71" s="16"/>
      <c r="XD71" s="16"/>
      <c r="XE71" s="16"/>
      <c r="XF71" s="16"/>
      <c r="XG71" s="16"/>
      <c r="XH71" s="16"/>
      <c r="XI71" s="16"/>
      <c r="XJ71" s="16"/>
      <c r="XK71" s="16"/>
      <c r="XL71" s="16"/>
      <c r="XM71" s="16"/>
      <c r="XN71" s="16"/>
      <c r="XO71" s="16"/>
      <c r="XP71" s="16"/>
      <c r="XQ71" s="16"/>
      <c r="XR71" s="16"/>
      <c r="XS71" s="16"/>
      <c r="XT71" s="16"/>
      <c r="XU71" s="16"/>
      <c r="XV71" s="16"/>
      <c r="XW71" s="16"/>
      <c r="XX71" s="16"/>
      <c r="XY71" s="16"/>
      <c r="XZ71" s="16"/>
      <c r="YA71" s="16"/>
      <c r="YB71" s="16"/>
      <c r="YC71" s="16"/>
      <c r="YD71" s="16"/>
      <c r="YE71" s="16"/>
      <c r="YF71" s="16"/>
      <c r="YG71" s="16"/>
      <c r="YH71" s="16"/>
      <c r="YI71" s="16"/>
      <c r="YJ71" s="16"/>
      <c r="YK71" s="16"/>
      <c r="YL71" s="16"/>
      <c r="YM71" s="16"/>
      <c r="YN71" s="16"/>
      <c r="YO71" s="16"/>
      <c r="YP71" s="16"/>
      <c r="YQ71" s="16"/>
      <c r="YR71" s="16"/>
      <c r="YS71" s="16"/>
      <c r="YT71" s="16"/>
      <c r="YU71" s="16"/>
      <c r="YV71" s="16"/>
      <c r="YW71" s="16"/>
      <c r="YX71" s="16"/>
      <c r="YY71" s="16"/>
      <c r="YZ71" s="16"/>
      <c r="ZA71" s="16"/>
      <c r="ZB71" s="16"/>
      <c r="ZC71" s="16"/>
      <c r="ZD71" s="16"/>
      <c r="ZE71" s="16"/>
      <c r="ZF71" s="16"/>
      <c r="ZG71" s="16"/>
      <c r="ZH71" s="16"/>
      <c r="ZI71" s="16"/>
      <c r="ZJ71" s="16"/>
      <c r="ZK71" s="16"/>
      <c r="ZL71" s="16"/>
      <c r="ZM71" s="16"/>
      <c r="ZN71" s="16"/>
      <c r="ZO71" s="16"/>
      <c r="ZP71" s="16"/>
      <c r="ZQ71" s="16"/>
      <c r="ZR71" s="16"/>
      <c r="ZS71" s="16"/>
      <c r="ZT71" s="16"/>
      <c r="ZU71" s="16"/>
      <c r="ZV71" s="16"/>
      <c r="ZW71" s="16"/>
      <c r="ZX71" s="16"/>
      <c r="ZY71" s="16"/>
      <c r="ZZ71" s="16"/>
      <c r="AAA71" s="16"/>
      <c r="AAB71" s="16"/>
      <c r="AAC71" s="16"/>
      <c r="AAD71" s="16"/>
      <c r="AAE71" s="16"/>
      <c r="AAF71" s="16"/>
      <c r="AAG71" s="16"/>
      <c r="AAH71" s="16"/>
      <c r="AAI71" s="16"/>
      <c r="AAJ71" s="16"/>
      <c r="AAK71" s="16"/>
      <c r="AAL71" s="16"/>
      <c r="AAM71" s="16"/>
      <c r="AAN71" s="16"/>
      <c r="AAO71" s="16"/>
      <c r="AAP71" s="16"/>
      <c r="AAQ71" s="16"/>
      <c r="AAR71" s="16"/>
      <c r="AAS71" s="16"/>
      <c r="AAT71" s="16"/>
      <c r="AAU71" s="16"/>
      <c r="AAV71" s="16"/>
      <c r="AAW71" s="16"/>
      <c r="AAX71" s="16"/>
      <c r="AAY71" s="16"/>
      <c r="AAZ71" s="16"/>
      <c r="ABA71" s="16"/>
      <c r="ABB71" s="16"/>
      <c r="ABC71" s="16"/>
      <c r="ABD71" s="16"/>
      <c r="ABE71" s="16"/>
      <c r="ABF71" s="16"/>
      <c r="ABG71" s="16"/>
      <c r="ABH71" s="16"/>
      <c r="ABI71" s="16"/>
      <c r="ABJ71" s="16"/>
      <c r="ABK71" s="16"/>
      <c r="ABL71" s="16"/>
      <c r="ABM71" s="16"/>
      <c r="ABN71" s="16"/>
      <c r="ABO71" s="16"/>
      <c r="ABP71" s="16"/>
      <c r="ABQ71" s="16"/>
      <c r="ABR71" s="16"/>
      <c r="ABS71" s="16"/>
      <c r="ABT71" s="16"/>
      <c r="ABU71" s="16"/>
      <c r="ABV71" s="16"/>
      <c r="ABW71" s="16"/>
      <c r="ABX71" s="16"/>
      <c r="ABY71" s="16"/>
      <c r="ABZ71" s="16"/>
      <c r="ACA71" s="16"/>
      <c r="ACB71" s="16"/>
      <c r="ACC71" s="16"/>
      <c r="ACD71" s="16"/>
      <c r="ACE71" s="16"/>
      <c r="ACF71" s="16"/>
      <c r="ACG71" s="16"/>
      <c r="ACH71" s="16"/>
      <c r="ACI71" s="16"/>
      <c r="ACJ71" s="16"/>
      <c r="ACK71" s="16"/>
      <c r="ACL71" s="16"/>
      <c r="ACM71" s="16"/>
      <c r="ACN71" s="16"/>
      <c r="ACO71" s="16"/>
      <c r="ACP71" s="16"/>
      <c r="ACQ71" s="16"/>
      <c r="ACR71" s="16"/>
      <c r="ACS71" s="16"/>
      <c r="ACT71" s="16"/>
      <c r="ACU71" s="16"/>
      <c r="ACV71" s="16"/>
      <c r="ACW71" s="16"/>
      <c r="ACX71" s="16"/>
      <c r="ACY71" s="16"/>
      <c r="ACZ71" s="16"/>
      <c r="ADA71" s="16"/>
      <c r="ADB71" s="16"/>
      <c r="ADC71" s="16"/>
      <c r="ADD71" s="16"/>
      <c r="ADE71" s="16"/>
      <c r="ADF71" s="16"/>
      <c r="ADG71" s="16"/>
      <c r="ADH71" s="16"/>
      <c r="ADI71" s="16"/>
      <c r="ADJ71" s="16"/>
      <c r="ADK71" s="16"/>
      <c r="ADL71" s="16"/>
      <c r="ADM71" s="16"/>
      <c r="ADN71" s="16"/>
      <c r="ADO71" s="16"/>
      <c r="ADP71" s="16"/>
      <c r="ADQ71" s="16"/>
      <c r="ADR71" s="16"/>
      <c r="ADS71" s="16"/>
      <c r="ADT71" s="16"/>
      <c r="ADU71" s="16"/>
      <c r="ADV71" s="16"/>
      <c r="ADW71" s="16"/>
      <c r="ADX71" s="16"/>
      <c r="ADY71" s="16"/>
      <c r="ADZ71" s="16"/>
      <c r="AEA71" s="16"/>
      <c r="AEB71" s="16"/>
      <c r="AEC71" s="16"/>
      <c r="AED71" s="16"/>
      <c r="AEE71" s="16"/>
      <c r="AEF71" s="16"/>
      <c r="AEG71" s="16"/>
      <c r="AEH71" s="16"/>
      <c r="AEI71" s="16"/>
      <c r="AEJ71" s="16"/>
      <c r="AEK71" s="16"/>
      <c r="AEL71" s="16"/>
      <c r="AEM71" s="16"/>
      <c r="AEN71" s="16"/>
      <c r="AEO71" s="16"/>
      <c r="AEP71" s="16"/>
      <c r="AEQ71" s="16"/>
      <c r="AER71" s="16"/>
      <c r="AES71" s="16"/>
      <c r="AET71" s="16"/>
      <c r="AEU71" s="16"/>
      <c r="AEV71" s="16"/>
      <c r="AEW71" s="16"/>
      <c r="AEX71" s="16"/>
      <c r="AEY71" s="16"/>
      <c r="AEZ71" s="16"/>
      <c r="AFA71" s="16"/>
      <c r="AFB71" s="16"/>
      <c r="AFC71" s="16"/>
      <c r="AFD71" s="16"/>
      <c r="AFE71" s="16"/>
      <c r="AFF71" s="16"/>
      <c r="AFG71" s="16"/>
      <c r="AFH71" s="16"/>
      <c r="AFI71" s="16"/>
      <c r="AFJ71" s="16"/>
      <c r="AFK71" s="16"/>
      <c r="AFL71" s="16"/>
      <c r="AFM71" s="16"/>
      <c r="AFN71" s="16"/>
      <c r="AFO71" s="16"/>
      <c r="AFP71" s="16"/>
      <c r="AFQ71" s="16"/>
      <c r="AFR71" s="16"/>
      <c r="AFS71" s="16"/>
      <c r="AFT71" s="16"/>
      <c r="AFU71" s="16"/>
      <c r="AFV71" s="16"/>
      <c r="AFW71" s="16"/>
      <c r="AFX71" s="16"/>
      <c r="AFY71" s="16"/>
      <c r="AFZ71" s="16"/>
      <c r="AGA71" s="16"/>
      <c r="AGB71" s="16"/>
      <c r="AGC71" s="16"/>
      <c r="AGD71" s="16"/>
      <c r="AGE71" s="16"/>
      <c r="AGF71" s="16"/>
      <c r="AGG71" s="16"/>
      <c r="AGH71" s="16"/>
      <c r="AGI71" s="16"/>
      <c r="AGJ71" s="16"/>
      <c r="AGK71" s="16"/>
      <c r="AGL71" s="16"/>
      <c r="AGM71" s="16"/>
      <c r="AGN71" s="16"/>
      <c r="AGO71" s="16"/>
      <c r="AGP71" s="16"/>
      <c r="AGQ71" s="16"/>
      <c r="AGR71" s="16"/>
      <c r="AGS71" s="16"/>
      <c r="AGT71" s="16"/>
      <c r="AGU71" s="16"/>
      <c r="AGV71" s="16"/>
      <c r="AGW71" s="16"/>
      <c r="AGX71" s="16"/>
      <c r="AGY71" s="16"/>
      <c r="AGZ71" s="16"/>
      <c r="AHA71" s="16"/>
      <c r="AHB71" s="16"/>
      <c r="AHC71" s="16"/>
      <c r="AHD71" s="16"/>
      <c r="AHE71" s="16"/>
      <c r="AHF71" s="16"/>
      <c r="AHG71" s="16"/>
      <c r="AHH71" s="16"/>
      <c r="AHI71" s="16"/>
      <c r="AHJ71" s="16"/>
      <c r="AHK71" s="16"/>
      <c r="AHL71" s="16"/>
      <c r="AHM71" s="16"/>
      <c r="AHN71" s="16"/>
      <c r="AHO71" s="16"/>
      <c r="AHP71" s="16"/>
      <c r="AHQ71" s="16"/>
      <c r="AHR71" s="16"/>
      <c r="AHS71" s="16"/>
      <c r="AHT71" s="16"/>
      <c r="AHU71" s="16"/>
      <c r="AHV71" s="16"/>
      <c r="AHW71" s="16"/>
      <c r="AHX71" s="16"/>
      <c r="AHY71" s="16"/>
      <c r="AHZ71" s="16"/>
      <c r="AIA71" s="16"/>
      <c r="AIB71" s="16"/>
      <c r="AIC71" s="16"/>
      <c r="AID71" s="16"/>
      <c r="AIE71" s="16"/>
      <c r="AIF71" s="16"/>
      <c r="AIG71" s="16"/>
      <c r="AIH71" s="16"/>
      <c r="AII71" s="16"/>
      <c r="AIJ71" s="16"/>
      <c r="AIK71" s="16"/>
      <c r="AIL71" s="16"/>
      <c r="AIM71" s="16"/>
      <c r="AIN71" s="16"/>
      <c r="AIO71" s="16"/>
      <c r="AIP71" s="16"/>
      <c r="AIQ71" s="16"/>
      <c r="AIR71" s="16"/>
      <c r="AIS71" s="16"/>
      <c r="AIT71" s="16"/>
      <c r="AIU71" s="16"/>
      <c r="AIV71" s="16"/>
      <c r="AIW71" s="16"/>
      <c r="AIX71" s="16"/>
      <c r="AIY71" s="16"/>
      <c r="AIZ71" s="16"/>
      <c r="AJA71" s="16"/>
      <c r="AJB71" s="16"/>
      <c r="AJC71" s="16"/>
      <c r="AJD71" s="16"/>
      <c r="AJE71" s="16"/>
      <c r="AJF71" s="16"/>
      <c r="AJG71" s="16"/>
      <c r="AJH71" s="16"/>
      <c r="AJI71" s="16"/>
      <c r="AJJ71" s="16"/>
      <c r="AJK71" s="16"/>
      <c r="AJL71" s="16"/>
      <c r="AJM71" s="16"/>
      <c r="AJN71" s="16"/>
      <c r="AJO71" s="16"/>
      <c r="AJP71" s="16"/>
      <c r="AJQ71" s="16"/>
      <c r="AJR71" s="16"/>
      <c r="AJS71" s="16"/>
      <c r="AJT71" s="16"/>
      <c r="AJU71" s="16"/>
      <c r="AJV71" s="16"/>
      <c r="AJW71" s="16"/>
      <c r="AJX71" s="16"/>
      <c r="AJY71" s="16"/>
      <c r="AJZ71" s="16"/>
      <c r="AKA71" s="16"/>
      <c r="AKB71" s="16"/>
      <c r="AKC71" s="16"/>
      <c r="AKD71" s="16"/>
      <c r="AKE71" s="16"/>
      <c r="AKF71" s="16"/>
      <c r="AKG71" s="16"/>
      <c r="AKH71" s="16"/>
      <c r="AKI71" s="16"/>
      <c r="AKJ71" s="16"/>
      <c r="AKK71" s="16"/>
      <c r="AKL71" s="16"/>
      <c r="AKM71" s="16"/>
      <c r="AKN71" s="16"/>
      <c r="AKO71" s="16"/>
      <c r="AKP71" s="16"/>
      <c r="AKQ71" s="16"/>
      <c r="AKR71" s="16"/>
      <c r="AKS71" s="16"/>
      <c r="AKT71" s="16"/>
      <c r="AKU71" s="16"/>
      <c r="AKV71" s="16"/>
      <c r="AKW71" s="16"/>
      <c r="AKX71" s="16"/>
      <c r="AKY71" s="16"/>
      <c r="AKZ71" s="16"/>
      <c r="ALA71" s="16"/>
      <c r="ALB71" s="16"/>
      <c r="ALC71" s="16"/>
      <c r="ALD71" s="16"/>
      <c r="ALE71" s="16"/>
      <c r="ALF71" s="16"/>
      <c r="ALG71" s="16"/>
      <c r="ALH71" s="16"/>
      <c r="ALI71" s="16"/>
      <c r="ALJ71" s="16"/>
      <c r="ALK71" s="16"/>
      <c r="ALL71" s="16"/>
      <c r="ALM71" s="16"/>
      <c r="ALN71" s="16"/>
      <c r="ALO71" s="16"/>
      <c r="ALP71" s="16"/>
      <c r="ALQ71" s="16"/>
      <c r="ALR71" s="16"/>
      <c r="ALS71" s="16"/>
      <c r="ALT71" s="16"/>
      <c r="ALU71" s="16"/>
      <c r="ALV71" s="16"/>
      <c r="ALW71" s="16"/>
      <c r="ALX71" s="16"/>
      <c r="ALY71" s="16"/>
      <c r="ALZ71" s="16"/>
      <c r="AMA71" s="16"/>
      <c r="AMB71" s="16"/>
      <c r="AMC71" s="16"/>
      <c r="AMD71" s="16"/>
      <c r="AME71" s="16"/>
      <c r="AMF71" s="16"/>
      <c r="AMG71" s="16"/>
      <c r="AMH71" s="16"/>
      <c r="AMI71" s="16"/>
      <c r="AMJ71" s="16"/>
      <c r="AMK71" s="16"/>
      <c r="AML71" s="16"/>
      <c r="AMM71" s="16"/>
      <c r="AMN71" s="16"/>
      <c r="AMO71" s="16"/>
      <c r="AMP71" s="16"/>
      <c r="AMQ71" s="16"/>
      <c r="AMR71" s="16"/>
      <c r="AMS71" s="16"/>
      <c r="AMT71" s="16"/>
      <c r="AMU71" s="16"/>
      <c r="AMV71" s="16"/>
      <c r="AMW71" s="16"/>
      <c r="AMX71" s="16"/>
      <c r="AMY71" s="16"/>
      <c r="AMZ71" s="16"/>
      <c r="ANA71" s="16"/>
      <c r="ANB71" s="16"/>
      <c r="ANC71" s="16"/>
      <c r="AND71" s="16"/>
      <c r="ANE71" s="16"/>
      <c r="ANF71" s="16"/>
      <c r="ANG71" s="16"/>
      <c r="ANH71" s="16"/>
      <c r="ANI71" s="16"/>
      <c r="ANJ71" s="16"/>
      <c r="ANK71" s="16"/>
      <c r="ANL71" s="16"/>
      <c r="ANM71" s="16"/>
      <c r="ANN71" s="16"/>
      <c r="ANO71" s="16"/>
      <c r="ANP71" s="16"/>
      <c r="ANQ71" s="16"/>
      <c r="ANR71" s="16"/>
      <c r="ANS71" s="16"/>
      <c r="ANT71" s="16"/>
      <c r="ANU71" s="16"/>
      <c r="ANV71" s="16"/>
      <c r="ANW71" s="16"/>
      <c r="ANX71" s="16"/>
      <c r="ANY71" s="16"/>
      <c r="ANZ71" s="16"/>
      <c r="AOA71" s="16"/>
      <c r="AOB71" s="16"/>
      <c r="AOC71" s="16"/>
      <c r="AOD71" s="16"/>
      <c r="AOE71" s="16"/>
      <c r="AOF71" s="16"/>
      <c r="AOG71" s="16"/>
      <c r="AOH71" s="16"/>
      <c r="AOI71" s="16"/>
      <c r="AOJ71" s="16"/>
      <c r="AOK71" s="16"/>
      <c r="AOL71" s="16"/>
      <c r="AOM71" s="16"/>
      <c r="AON71" s="16"/>
      <c r="AOO71" s="16"/>
      <c r="AOP71" s="16"/>
      <c r="AOQ71" s="16"/>
      <c r="AOR71" s="16"/>
      <c r="AOS71" s="16"/>
      <c r="AOT71" s="16"/>
      <c r="AOU71" s="16"/>
      <c r="AOV71" s="16"/>
      <c r="AOW71" s="16"/>
      <c r="AOX71" s="16"/>
      <c r="AOY71" s="16"/>
      <c r="AOZ71" s="16"/>
      <c r="APA71" s="16"/>
      <c r="APB71" s="16"/>
      <c r="APC71" s="16"/>
      <c r="APD71" s="16"/>
      <c r="APE71" s="16"/>
      <c r="APF71" s="16"/>
      <c r="APG71" s="16"/>
      <c r="APH71" s="16"/>
      <c r="API71" s="16"/>
      <c r="APJ71" s="16"/>
      <c r="APK71" s="16"/>
      <c r="APL71" s="16"/>
      <c r="APM71" s="16"/>
      <c r="APN71" s="16"/>
      <c r="APO71" s="16"/>
      <c r="APP71" s="16"/>
      <c r="APQ71" s="16"/>
      <c r="APR71" s="16"/>
      <c r="APS71" s="16"/>
      <c r="APT71" s="16"/>
      <c r="APU71" s="16"/>
      <c r="APV71" s="16"/>
      <c r="APW71" s="16"/>
      <c r="APX71" s="16"/>
      <c r="APY71" s="16"/>
      <c r="APZ71" s="16"/>
      <c r="AQA71" s="16"/>
      <c r="AQB71" s="16"/>
      <c r="AQC71" s="16"/>
      <c r="AQD71" s="16"/>
      <c r="AQE71" s="16"/>
      <c r="AQF71" s="16"/>
      <c r="AQG71" s="16"/>
      <c r="AQH71" s="16"/>
      <c r="AQI71" s="16"/>
      <c r="AQJ71" s="16"/>
      <c r="AQK71" s="16"/>
      <c r="AQL71" s="16"/>
      <c r="AQM71" s="16"/>
      <c r="AQN71" s="16"/>
      <c r="AQO71" s="16"/>
      <c r="AQP71" s="16"/>
      <c r="AQQ71" s="16"/>
      <c r="AQR71" s="16"/>
      <c r="AQS71" s="16"/>
      <c r="AQT71" s="16"/>
      <c r="AQU71" s="16"/>
      <c r="AQV71" s="16"/>
      <c r="AQW71" s="16"/>
      <c r="AQX71" s="16"/>
      <c r="AQY71" s="16"/>
      <c r="AQZ71" s="16"/>
      <c r="ARA71" s="16"/>
      <c r="ARB71" s="16"/>
      <c r="ARC71" s="16"/>
      <c r="ARD71" s="16"/>
      <c r="ARE71" s="16"/>
      <c r="ARF71" s="16"/>
      <c r="ARG71" s="16"/>
      <c r="ARH71" s="16"/>
      <c r="ARI71" s="16"/>
      <c r="ARJ71" s="16"/>
      <c r="ARK71" s="16"/>
      <c r="ARL71" s="16"/>
      <c r="ARM71" s="16"/>
      <c r="ARN71" s="16"/>
      <c r="ARO71" s="16"/>
      <c r="ARP71" s="16"/>
      <c r="ARQ71" s="16"/>
      <c r="ARR71" s="16"/>
      <c r="ARS71" s="16"/>
      <c r="ART71" s="16"/>
      <c r="ARU71" s="16"/>
      <c r="ARV71" s="16"/>
      <c r="ARW71" s="16"/>
      <c r="ARX71" s="16"/>
      <c r="ARY71" s="16"/>
      <c r="ARZ71" s="16"/>
      <c r="ASA71" s="16"/>
      <c r="ASB71" s="16"/>
      <c r="ASC71" s="16"/>
      <c r="ASD71" s="16"/>
      <c r="ASE71" s="16"/>
      <c r="ASF71" s="16"/>
      <c r="ASG71" s="16"/>
      <c r="ASH71" s="16"/>
      <c r="ASI71" s="16"/>
      <c r="ASJ71" s="16"/>
      <c r="ASK71" s="16"/>
      <c r="ASL71" s="16"/>
      <c r="ASM71" s="16"/>
      <c r="ASN71" s="16"/>
      <c r="ASO71" s="16"/>
      <c r="ASP71" s="16"/>
      <c r="ASQ71" s="16"/>
      <c r="ASR71" s="16"/>
      <c r="ASS71" s="16"/>
      <c r="AST71" s="16"/>
      <c r="ASU71" s="16"/>
      <c r="ASV71" s="16"/>
      <c r="ASW71" s="16"/>
      <c r="ASX71" s="16"/>
      <c r="ASY71" s="16"/>
      <c r="ASZ71" s="16"/>
      <c r="ATA71" s="16"/>
      <c r="ATB71" s="16"/>
      <c r="ATC71" s="16"/>
      <c r="ATD71" s="16"/>
      <c r="ATE71" s="16"/>
      <c r="ATF71" s="16"/>
      <c r="ATG71" s="16"/>
      <c r="ATH71" s="16"/>
      <c r="ATI71" s="16"/>
      <c r="ATJ71" s="16"/>
      <c r="ATK71" s="16"/>
      <c r="ATL71" s="16"/>
      <c r="ATM71" s="16"/>
      <c r="ATN71" s="16"/>
      <c r="ATO71" s="16"/>
      <c r="ATP71" s="16"/>
      <c r="ATQ71" s="16"/>
      <c r="ATR71" s="16"/>
      <c r="ATS71" s="16"/>
      <c r="ATT71" s="16"/>
      <c r="ATU71" s="16"/>
      <c r="ATV71" s="16"/>
      <c r="ATW71" s="16"/>
      <c r="ATX71" s="16"/>
      <c r="ATY71" s="16"/>
      <c r="ATZ71" s="16"/>
      <c r="AUA71" s="16"/>
      <c r="AUB71" s="16"/>
      <c r="AUC71" s="16"/>
      <c r="AUD71" s="16"/>
      <c r="AUE71" s="16"/>
      <c r="AUF71" s="16"/>
      <c r="AUG71" s="16"/>
      <c r="AUH71" s="16"/>
      <c r="AUI71" s="16"/>
      <c r="AUJ71" s="16"/>
      <c r="AUK71" s="16"/>
      <c r="AUL71" s="16"/>
      <c r="AUM71" s="16"/>
      <c r="AUN71" s="16"/>
      <c r="AUO71" s="16"/>
      <c r="AUP71" s="16"/>
      <c r="AUQ71" s="16"/>
      <c r="AUR71" s="16"/>
      <c r="AUS71" s="16"/>
      <c r="AUT71" s="16"/>
      <c r="AUU71" s="16"/>
      <c r="AUV71" s="16"/>
      <c r="AUW71" s="16"/>
      <c r="AUX71" s="16"/>
      <c r="AUY71" s="16"/>
      <c r="AUZ71" s="16"/>
      <c r="AVA71" s="16"/>
      <c r="AVB71" s="16"/>
      <c r="AVC71" s="16"/>
      <c r="AVD71" s="16"/>
      <c r="AVE71" s="16"/>
      <c r="AVF71" s="16"/>
      <c r="AVG71" s="16"/>
      <c r="AVH71" s="16"/>
      <c r="AVI71" s="16"/>
      <c r="AVJ71" s="16"/>
      <c r="AVK71" s="16"/>
      <c r="AVL71" s="16"/>
      <c r="AVM71" s="16"/>
      <c r="AVN71" s="16"/>
      <c r="AVO71" s="16"/>
      <c r="AVP71" s="16"/>
      <c r="AVQ71" s="16"/>
      <c r="AVR71" s="16"/>
      <c r="AVS71" s="16"/>
      <c r="AVT71" s="16"/>
      <c r="AVU71" s="16"/>
      <c r="AVV71" s="16"/>
      <c r="AVW71" s="16"/>
      <c r="AVX71" s="16"/>
      <c r="AVY71" s="16"/>
      <c r="AVZ71" s="16"/>
      <c r="AWA71" s="16"/>
      <c r="AWB71" s="16"/>
      <c r="AWC71" s="16"/>
      <c r="AWD71" s="16"/>
      <c r="AWE71" s="16"/>
      <c r="AWF71" s="16"/>
      <c r="AWG71" s="16"/>
      <c r="AWH71" s="16"/>
      <c r="AWI71" s="16"/>
      <c r="AWJ71" s="16"/>
      <c r="AWK71" s="16"/>
      <c r="AWL71" s="16"/>
      <c r="AWM71" s="16"/>
      <c r="AWN71" s="16"/>
      <c r="AWO71" s="16"/>
      <c r="AWP71" s="16"/>
      <c r="AWQ71" s="16"/>
      <c r="AWR71" s="16"/>
      <c r="AWS71" s="16"/>
      <c r="AWT71" s="16"/>
      <c r="AWU71" s="16"/>
      <c r="AWV71" s="16"/>
      <c r="AWW71" s="16"/>
      <c r="AWX71" s="16"/>
      <c r="AWY71" s="16"/>
      <c r="AWZ71" s="16"/>
      <c r="AXA71" s="16"/>
      <c r="AXB71" s="16"/>
      <c r="AXC71" s="16"/>
      <c r="AXD71" s="16"/>
      <c r="AXE71" s="16"/>
      <c r="AXF71" s="16"/>
      <c r="AXG71" s="16"/>
      <c r="AXH71" s="16"/>
      <c r="AXI71" s="16"/>
      <c r="AXJ71" s="16"/>
      <c r="AXK71" s="16"/>
      <c r="AXL71" s="16"/>
      <c r="AXM71" s="16"/>
      <c r="AXN71" s="16"/>
      <c r="AXO71" s="16"/>
      <c r="AXP71" s="16"/>
      <c r="AXQ71" s="16"/>
      <c r="AXR71" s="16"/>
      <c r="AXS71" s="16"/>
      <c r="AXT71" s="16"/>
      <c r="AXU71" s="16"/>
      <c r="AXV71" s="16"/>
      <c r="AXW71" s="16"/>
      <c r="AXX71" s="16"/>
      <c r="AXY71" s="16"/>
      <c r="AXZ71" s="16"/>
      <c r="AYA71" s="16"/>
      <c r="AYB71" s="16"/>
      <c r="AYC71" s="16"/>
      <c r="AYD71" s="16"/>
      <c r="AYE71" s="16"/>
      <c r="AYF71" s="16"/>
      <c r="AYG71" s="16"/>
      <c r="AYH71" s="16"/>
      <c r="AYI71" s="16"/>
      <c r="AYJ71" s="16"/>
      <c r="AYK71" s="16"/>
      <c r="AYL71" s="16"/>
      <c r="AYM71" s="16"/>
      <c r="AYN71" s="16"/>
      <c r="AYO71" s="16"/>
      <c r="AYP71" s="16"/>
      <c r="AYQ71" s="16"/>
      <c r="AYR71" s="16"/>
      <c r="AYS71" s="16"/>
      <c r="AYT71" s="16"/>
      <c r="AYU71" s="16"/>
      <c r="AYV71" s="16"/>
      <c r="AYW71" s="16"/>
      <c r="AYX71" s="16"/>
      <c r="AYY71" s="16"/>
      <c r="AYZ71" s="16"/>
      <c r="AZA71" s="16"/>
      <c r="AZB71" s="16"/>
      <c r="AZC71" s="16"/>
      <c r="AZD71" s="16"/>
      <c r="AZE71" s="16"/>
      <c r="AZF71" s="16"/>
      <c r="AZG71" s="16"/>
      <c r="AZH71" s="16"/>
      <c r="AZI71" s="16"/>
      <c r="AZJ71" s="16"/>
      <c r="AZK71" s="16"/>
      <c r="AZL71" s="16"/>
      <c r="AZM71" s="16"/>
      <c r="AZN71" s="16"/>
      <c r="AZO71" s="16"/>
      <c r="AZP71" s="16"/>
      <c r="AZQ71" s="16"/>
      <c r="AZR71" s="16"/>
      <c r="AZS71" s="16"/>
      <c r="AZT71" s="16"/>
      <c r="AZU71" s="16"/>
      <c r="AZV71" s="16"/>
      <c r="AZW71" s="16"/>
      <c r="AZX71" s="16"/>
      <c r="AZY71" s="16"/>
      <c r="AZZ71" s="16"/>
      <c r="BAA71" s="16"/>
      <c r="BAB71" s="16"/>
      <c r="BAC71" s="16"/>
      <c r="BAD71" s="16"/>
      <c r="BAE71" s="16"/>
      <c r="BAF71" s="16"/>
      <c r="BAG71" s="16"/>
      <c r="BAH71" s="16"/>
      <c r="BAI71" s="16"/>
      <c r="BAJ71" s="16"/>
      <c r="BAK71" s="16"/>
      <c r="BAL71" s="16"/>
      <c r="BAM71" s="16"/>
      <c r="BAN71" s="16"/>
      <c r="BAO71" s="16"/>
      <c r="BAP71" s="16"/>
      <c r="BAQ71" s="16"/>
      <c r="BAR71" s="16"/>
      <c r="BAS71" s="16"/>
      <c r="BAT71" s="16"/>
      <c r="BAU71" s="16"/>
      <c r="BAV71" s="16"/>
      <c r="BAW71" s="16"/>
      <c r="BAX71" s="16"/>
      <c r="BAY71" s="16"/>
      <c r="BAZ71" s="16"/>
      <c r="BBA71" s="16"/>
      <c r="BBB71" s="16"/>
      <c r="BBC71" s="16"/>
      <c r="BBD71" s="16"/>
      <c r="BBE71" s="16"/>
      <c r="BBF71" s="16"/>
      <c r="BBG71" s="16"/>
      <c r="BBH71" s="16"/>
      <c r="BBI71" s="16"/>
      <c r="BBJ71" s="16"/>
      <c r="BBK71" s="16"/>
      <c r="BBL71" s="16"/>
      <c r="BBM71" s="16"/>
      <c r="BBN71" s="16"/>
      <c r="BBO71" s="16"/>
      <c r="BBP71" s="16"/>
      <c r="BBQ71" s="16"/>
      <c r="BBR71" s="16"/>
      <c r="BBS71" s="16"/>
      <c r="BBT71" s="16"/>
      <c r="BBU71" s="16"/>
      <c r="BBV71" s="16"/>
      <c r="BBW71" s="16"/>
      <c r="BBX71" s="16"/>
      <c r="BBY71" s="16"/>
      <c r="BBZ71" s="16"/>
      <c r="BCA71" s="16"/>
      <c r="BCB71" s="16"/>
      <c r="BCC71" s="16"/>
      <c r="BCD71" s="16"/>
      <c r="BCE71" s="16"/>
      <c r="BCF71" s="16"/>
      <c r="BCG71" s="16"/>
      <c r="BCH71" s="16"/>
      <c r="BCI71" s="16"/>
      <c r="BCJ71" s="16"/>
      <c r="BCK71" s="16"/>
      <c r="BCL71" s="16"/>
      <c r="BCM71" s="16"/>
      <c r="BCN71" s="16"/>
      <c r="BCO71" s="16"/>
      <c r="BCP71" s="16"/>
      <c r="BCQ71" s="16"/>
      <c r="BCR71" s="16"/>
      <c r="BCS71" s="16"/>
      <c r="BCT71" s="16"/>
      <c r="BCU71" s="16"/>
      <c r="BCV71" s="16"/>
      <c r="BCW71" s="16"/>
      <c r="BCX71" s="16"/>
      <c r="BCY71" s="16"/>
      <c r="BCZ71" s="16"/>
      <c r="BDA71" s="16"/>
      <c r="BDB71" s="16"/>
      <c r="BDC71" s="16"/>
      <c r="BDD71" s="16"/>
      <c r="BDE71" s="16"/>
      <c r="BDF71" s="16"/>
      <c r="BDG71" s="16"/>
      <c r="BDH71" s="16"/>
      <c r="BDI71" s="16"/>
      <c r="BDJ71" s="16"/>
      <c r="BDK71" s="16"/>
      <c r="BDL71" s="16"/>
      <c r="BDM71" s="16"/>
      <c r="BDN71" s="16"/>
      <c r="BDO71" s="16"/>
      <c r="BDP71" s="16"/>
      <c r="BDQ71" s="16"/>
      <c r="BDR71" s="16"/>
      <c r="BDS71" s="16"/>
      <c r="BDT71" s="16"/>
      <c r="BDU71" s="16"/>
      <c r="BDV71" s="16"/>
      <c r="BDW71" s="16"/>
      <c r="BDX71" s="16"/>
      <c r="BDY71" s="16"/>
      <c r="BDZ71" s="16"/>
      <c r="BEA71" s="16"/>
      <c r="BEB71" s="16"/>
      <c r="BEC71" s="16"/>
      <c r="BED71" s="16"/>
      <c r="BEE71" s="16"/>
      <c r="BEF71" s="16"/>
      <c r="BEG71" s="16"/>
      <c r="BEH71" s="16"/>
      <c r="BEI71" s="16"/>
      <c r="BEJ71" s="16"/>
      <c r="BEK71" s="16"/>
      <c r="BEL71" s="16"/>
      <c r="BEM71" s="16"/>
      <c r="BEN71" s="16"/>
      <c r="BEO71" s="16"/>
      <c r="BEP71" s="16"/>
      <c r="BEQ71" s="16"/>
      <c r="BER71" s="16"/>
      <c r="BES71" s="16"/>
      <c r="BET71" s="16"/>
      <c r="BEU71" s="16"/>
      <c r="BEV71" s="16"/>
      <c r="BEW71" s="16"/>
      <c r="BEX71" s="16"/>
      <c r="BEY71" s="16"/>
      <c r="BEZ71" s="16"/>
      <c r="BFA71" s="16"/>
      <c r="BFB71" s="16"/>
      <c r="BFC71" s="16"/>
      <c r="BFD71" s="16"/>
      <c r="BFE71" s="16"/>
      <c r="BFF71" s="16"/>
      <c r="BFG71" s="16"/>
      <c r="BFH71" s="16"/>
      <c r="BFI71" s="16"/>
      <c r="BFJ71" s="16"/>
      <c r="BFK71" s="16"/>
      <c r="BFL71" s="16"/>
      <c r="BFM71" s="16"/>
      <c r="BFN71" s="16"/>
      <c r="BFO71" s="16"/>
      <c r="BFP71" s="16"/>
      <c r="BFQ71" s="16"/>
      <c r="BFR71" s="16"/>
      <c r="BFS71" s="16"/>
      <c r="BFT71" s="16"/>
      <c r="BFU71" s="16"/>
      <c r="BFV71" s="16"/>
      <c r="BFW71" s="16"/>
      <c r="BFX71" s="16"/>
      <c r="BFY71" s="16"/>
      <c r="BFZ71" s="16"/>
      <c r="BGA71" s="16"/>
      <c r="BGB71" s="16"/>
      <c r="BGC71" s="16"/>
      <c r="BGD71" s="16"/>
      <c r="BGE71" s="16"/>
      <c r="BGF71" s="16"/>
      <c r="BGG71" s="16"/>
      <c r="BGH71" s="16"/>
      <c r="BGI71" s="16"/>
      <c r="BGJ71" s="16"/>
      <c r="BGK71" s="16"/>
      <c r="BGL71" s="16"/>
      <c r="BGM71" s="16"/>
      <c r="BGN71" s="16"/>
      <c r="BGO71" s="16"/>
      <c r="BGP71" s="16"/>
      <c r="BGQ71" s="16"/>
      <c r="BGR71" s="16"/>
      <c r="BGS71" s="16"/>
      <c r="BGT71" s="16"/>
      <c r="BGU71" s="16"/>
      <c r="BGV71" s="16"/>
      <c r="BGW71" s="16"/>
      <c r="BGX71" s="16"/>
      <c r="BGY71" s="16"/>
      <c r="BGZ71" s="16"/>
      <c r="BHA71" s="16"/>
      <c r="BHB71" s="16"/>
      <c r="BHC71" s="16"/>
      <c r="BHD71" s="16"/>
      <c r="BHE71" s="16"/>
      <c r="BHF71" s="16"/>
      <c r="BHG71" s="16"/>
      <c r="BHH71" s="16"/>
      <c r="BHI71" s="16"/>
      <c r="BHJ71" s="16"/>
      <c r="BHK71" s="16"/>
      <c r="BHL71" s="16"/>
      <c r="BHM71" s="16"/>
      <c r="BHN71" s="16"/>
      <c r="BHO71" s="16"/>
      <c r="BHP71" s="16"/>
      <c r="BHQ71" s="16"/>
      <c r="BHR71" s="16"/>
      <c r="BHS71" s="16"/>
      <c r="BHT71" s="16"/>
      <c r="BHU71" s="16"/>
      <c r="BHV71" s="16"/>
      <c r="BHW71" s="16"/>
      <c r="BHX71" s="16"/>
      <c r="BHY71" s="16"/>
      <c r="BHZ71" s="16"/>
      <c r="BIA71" s="16"/>
      <c r="BIB71" s="16"/>
      <c r="BIC71" s="16"/>
      <c r="BID71" s="16"/>
      <c r="BIE71" s="16"/>
      <c r="BIF71" s="16"/>
      <c r="BIG71" s="16"/>
      <c r="BIH71" s="16"/>
      <c r="BII71" s="16"/>
      <c r="BIJ71" s="16"/>
      <c r="BIK71" s="16"/>
      <c r="BIL71" s="16"/>
      <c r="BIM71" s="16"/>
      <c r="BIN71" s="16"/>
      <c r="BIO71" s="16"/>
      <c r="BIP71" s="16"/>
      <c r="BIQ71" s="16"/>
      <c r="BIR71" s="16"/>
      <c r="BIS71" s="16"/>
      <c r="BIT71" s="16"/>
      <c r="BIU71" s="16"/>
      <c r="BIV71" s="16"/>
      <c r="BIW71" s="16"/>
      <c r="BIX71" s="16"/>
      <c r="BIY71" s="16"/>
      <c r="BIZ71" s="16"/>
      <c r="BJA71" s="16"/>
      <c r="BJB71" s="16"/>
      <c r="BJC71" s="16"/>
      <c r="BJD71" s="16"/>
      <c r="BJE71" s="16"/>
      <c r="BJF71" s="16"/>
      <c r="BJG71" s="16"/>
      <c r="BJH71" s="16"/>
      <c r="BJI71" s="16"/>
      <c r="BJJ71" s="16"/>
      <c r="BJK71" s="16"/>
      <c r="BJL71" s="16"/>
      <c r="BJM71" s="16"/>
      <c r="BJN71" s="16"/>
      <c r="BJO71" s="16"/>
      <c r="BJP71" s="16"/>
      <c r="BJQ71" s="16"/>
      <c r="BJR71" s="16"/>
      <c r="BJS71" s="16"/>
      <c r="BJT71" s="16"/>
      <c r="BJU71" s="16"/>
      <c r="BJV71" s="16"/>
      <c r="BJW71" s="16"/>
      <c r="BJX71" s="16"/>
      <c r="BJY71" s="16"/>
      <c r="BJZ71" s="16"/>
      <c r="BKA71" s="16"/>
      <c r="BKB71" s="16"/>
      <c r="BKC71" s="16"/>
      <c r="BKD71" s="16"/>
      <c r="BKE71" s="16"/>
      <c r="BKF71" s="16"/>
      <c r="BKG71" s="16"/>
      <c r="BKH71" s="16"/>
      <c r="BKI71" s="16"/>
      <c r="BKJ71" s="16"/>
      <c r="BKK71" s="16"/>
      <c r="BKL71" s="16"/>
      <c r="BKM71" s="16"/>
      <c r="BKN71" s="16"/>
      <c r="BKO71" s="16"/>
      <c r="BKP71" s="16"/>
      <c r="BKQ71" s="16"/>
      <c r="BKR71" s="16"/>
      <c r="BKS71" s="16"/>
      <c r="BKT71" s="16"/>
      <c r="BKU71" s="16"/>
      <c r="BKV71" s="16"/>
      <c r="BKW71" s="16"/>
      <c r="BKX71" s="16"/>
      <c r="BKY71" s="16"/>
      <c r="BKZ71" s="16"/>
      <c r="BLA71" s="16"/>
      <c r="BLB71" s="16"/>
      <c r="BLC71" s="16"/>
      <c r="BLD71" s="16"/>
      <c r="BLE71" s="16"/>
      <c r="BLF71" s="16"/>
      <c r="BLG71" s="16"/>
      <c r="BLH71" s="16"/>
      <c r="BLI71" s="16"/>
      <c r="BLJ71" s="16"/>
      <c r="BLK71" s="16"/>
      <c r="BLL71" s="16"/>
      <c r="BLM71" s="16"/>
      <c r="BLN71" s="16"/>
      <c r="BLO71" s="16"/>
      <c r="BLP71" s="16"/>
      <c r="BLQ71" s="16"/>
      <c r="BLR71" s="16"/>
      <c r="BLS71" s="16"/>
      <c r="BLT71" s="16"/>
      <c r="BLU71" s="16"/>
      <c r="BLV71" s="16"/>
      <c r="BLW71" s="16"/>
      <c r="BLX71" s="16"/>
      <c r="BLY71" s="16"/>
      <c r="BLZ71" s="16"/>
      <c r="BMA71" s="16"/>
      <c r="BMB71" s="16"/>
      <c r="BMC71" s="16"/>
      <c r="BMD71" s="16"/>
      <c r="BME71" s="16"/>
      <c r="BMF71" s="16"/>
      <c r="BMG71" s="16"/>
      <c r="BMH71" s="16"/>
      <c r="BMI71" s="16"/>
      <c r="BMJ71" s="16"/>
      <c r="BMK71" s="16"/>
      <c r="BML71" s="16"/>
      <c r="BMM71" s="16"/>
      <c r="BMN71" s="16"/>
      <c r="BMO71" s="16"/>
      <c r="BMP71" s="16"/>
      <c r="BMQ71" s="16"/>
      <c r="BMR71" s="16"/>
      <c r="BMS71" s="16"/>
      <c r="BMT71" s="16"/>
      <c r="BMU71" s="16"/>
      <c r="BMV71" s="16"/>
      <c r="BMW71" s="16"/>
      <c r="BMX71" s="16"/>
      <c r="BMY71" s="16"/>
      <c r="BMZ71" s="16"/>
      <c r="BNA71" s="16"/>
      <c r="BNB71" s="16"/>
      <c r="BNC71" s="16"/>
      <c r="BND71" s="16"/>
      <c r="BNE71" s="16"/>
      <c r="BNF71" s="16"/>
      <c r="BNG71" s="16"/>
      <c r="BNH71" s="16"/>
      <c r="BNI71" s="16"/>
      <c r="BNJ71" s="16"/>
      <c r="BNK71" s="16"/>
      <c r="BNL71" s="16"/>
      <c r="BNM71" s="16"/>
      <c r="BNN71" s="16"/>
      <c r="BNO71" s="16"/>
      <c r="BNP71" s="16"/>
      <c r="BNQ71" s="16"/>
      <c r="BNR71" s="16"/>
      <c r="BNS71" s="16"/>
      <c r="BNT71" s="16"/>
      <c r="BNU71" s="16"/>
      <c r="BNV71" s="16"/>
      <c r="BNW71" s="16"/>
      <c r="BNX71" s="16"/>
      <c r="BNY71" s="16"/>
      <c r="BNZ71" s="16"/>
      <c r="BOA71" s="16"/>
      <c r="BOB71" s="16"/>
      <c r="BOC71" s="16"/>
      <c r="BOD71" s="16"/>
      <c r="BOE71" s="16"/>
      <c r="BOF71" s="16"/>
      <c r="BOG71" s="16"/>
      <c r="BOH71" s="16"/>
      <c r="BOI71" s="16"/>
      <c r="BOJ71" s="16"/>
      <c r="BOK71" s="16"/>
      <c r="BOL71" s="16"/>
      <c r="BOM71" s="16"/>
      <c r="BON71" s="16"/>
      <c r="BOO71" s="16"/>
      <c r="BOP71" s="16"/>
      <c r="BOQ71" s="16"/>
      <c r="BOR71" s="16"/>
      <c r="BOS71" s="16"/>
      <c r="BOT71" s="16"/>
      <c r="BOU71" s="16"/>
      <c r="BOV71" s="16"/>
      <c r="BOW71" s="16"/>
      <c r="BOX71" s="16"/>
      <c r="BOY71" s="16"/>
      <c r="BOZ71" s="16"/>
      <c r="BPA71" s="16"/>
      <c r="BPB71" s="16"/>
      <c r="BPC71" s="16"/>
      <c r="BPD71" s="16"/>
      <c r="BPE71" s="16"/>
      <c r="BPF71" s="16"/>
      <c r="BPG71" s="16"/>
      <c r="BPH71" s="16"/>
      <c r="BPI71" s="16"/>
      <c r="BPJ71" s="16"/>
      <c r="BPK71" s="16"/>
      <c r="BPL71" s="16"/>
      <c r="BPM71" s="16"/>
      <c r="BPN71" s="16"/>
      <c r="BPO71" s="16"/>
      <c r="BPP71" s="16"/>
      <c r="BPQ71" s="16"/>
      <c r="BPR71" s="16"/>
      <c r="BPS71" s="16"/>
      <c r="BPT71" s="16"/>
      <c r="BPU71" s="16"/>
      <c r="BPV71" s="16"/>
      <c r="BPW71" s="16"/>
      <c r="BPX71" s="16"/>
      <c r="BPY71" s="16"/>
      <c r="BPZ71" s="16"/>
      <c r="BQA71" s="16"/>
      <c r="BQB71" s="16"/>
      <c r="BQC71" s="16"/>
      <c r="BQD71" s="16"/>
      <c r="BQE71" s="16"/>
      <c r="BQF71" s="16"/>
      <c r="BQG71" s="16"/>
      <c r="BQH71" s="16"/>
      <c r="BQI71" s="16"/>
      <c r="BQJ71" s="16"/>
      <c r="BQK71" s="16"/>
      <c r="BQL71" s="16"/>
      <c r="BQM71" s="16"/>
      <c r="BQN71" s="16"/>
      <c r="BQO71" s="16"/>
      <c r="BQP71" s="16"/>
      <c r="BQQ71" s="16"/>
      <c r="BQR71" s="16"/>
      <c r="BQS71" s="16"/>
      <c r="BQT71" s="16"/>
      <c r="BQU71" s="16"/>
      <c r="BQV71" s="16"/>
      <c r="BQW71" s="16"/>
      <c r="BQX71" s="16"/>
      <c r="BQY71" s="16"/>
      <c r="BQZ71" s="16"/>
      <c r="BRA71" s="16"/>
      <c r="BRB71" s="16"/>
      <c r="BRC71" s="16"/>
      <c r="BRD71" s="16"/>
      <c r="BRE71" s="16"/>
      <c r="BRF71" s="16"/>
      <c r="BRG71" s="16"/>
      <c r="BRH71" s="16"/>
      <c r="BRI71" s="16"/>
      <c r="BRJ71" s="16"/>
      <c r="BRK71" s="16"/>
      <c r="BRL71" s="16"/>
      <c r="BRM71" s="16"/>
      <c r="BRN71" s="16"/>
      <c r="BRO71" s="16"/>
      <c r="BRP71" s="16"/>
      <c r="BRQ71" s="16"/>
      <c r="BRR71" s="16"/>
      <c r="BRS71" s="16"/>
      <c r="BRT71" s="16"/>
      <c r="BRU71" s="16"/>
      <c r="BRV71" s="16"/>
      <c r="BRW71" s="16"/>
      <c r="BRX71" s="16"/>
      <c r="BRY71" s="16"/>
      <c r="BRZ71" s="16"/>
      <c r="BSA71" s="16"/>
      <c r="BSB71" s="16"/>
      <c r="BSC71" s="16"/>
      <c r="BSD71" s="16"/>
      <c r="BSE71" s="16"/>
      <c r="BSF71" s="16"/>
      <c r="BSG71" s="16"/>
      <c r="BSH71" s="16"/>
      <c r="BSI71" s="16"/>
      <c r="BSJ71" s="16"/>
      <c r="BSK71" s="16"/>
      <c r="BSL71" s="16"/>
      <c r="BSM71" s="16"/>
      <c r="BSN71" s="16"/>
      <c r="BSO71" s="16"/>
      <c r="BSP71" s="16"/>
      <c r="BSQ71" s="16"/>
      <c r="BSR71" s="16"/>
      <c r="BSS71" s="16"/>
      <c r="BST71" s="16"/>
      <c r="BSU71" s="16"/>
      <c r="BSV71" s="16"/>
      <c r="BSW71" s="16"/>
      <c r="BSX71" s="16"/>
      <c r="BSY71" s="16"/>
      <c r="BSZ71" s="16"/>
      <c r="BTA71" s="16"/>
      <c r="BTB71" s="16"/>
      <c r="BTC71" s="16"/>
      <c r="BTD71" s="16"/>
      <c r="BTE71" s="16"/>
      <c r="BTF71" s="16"/>
      <c r="BTG71" s="16"/>
      <c r="BTH71" s="16"/>
      <c r="BTI71" s="16"/>
      <c r="BTJ71" s="16"/>
      <c r="BTK71" s="16"/>
      <c r="BTL71" s="16"/>
      <c r="BTM71" s="16"/>
      <c r="BTN71" s="16"/>
      <c r="BTO71" s="16"/>
      <c r="BTP71" s="16"/>
      <c r="BTQ71" s="16"/>
      <c r="BTR71" s="16"/>
      <c r="BTS71" s="16"/>
      <c r="BTT71" s="16"/>
      <c r="BTU71" s="16"/>
      <c r="BTV71" s="16"/>
      <c r="BTW71" s="16"/>
      <c r="BTX71" s="16"/>
      <c r="BTY71" s="16"/>
      <c r="BTZ71" s="16"/>
      <c r="BUA71" s="16"/>
      <c r="BUB71" s="16"/>
      <c r="BUC71" s="16"/>
      <c r="BUD71" s="16"/>
      <c r="BUE71" s="16"/>
      <c r="BUF71" s="16"/>
      <c r="BUG71" s="16"/>
      <c r="BUH71" s="16"/>
      <c r="BUI71" s="16"/>
      <c r="BUJ71" s="16"/>
      <c r="BUK71" s="16"/>
      <c r="BUL71" s="16"/>
      <c r="BUM71" s="16"/>
      <c r="BUN71" s="16"/>
      <c r="BUO71" s="16"/>
      <c r="BUP71" s="16"/>
      <c r="BUQ71" s="16"/>
      <c r="BUR71" s="16"/>
      <c r="BUS71" s="16"/>
      <c r="BUT71" s="16"/>
      <c r="BUU71" s="16"/>
      <c r="BUV71" s="16"/>
      <c r="BUW71" s="16"/>
      <c r="BUX71" s="16"/>
      <c r="BUY71" s="16"/>
      <c r="BUZ71" s="16"/>
      <c r="BVA71" s="16"/>
      <c r="BVB71" s="16"/>
      <c r="BVC71" s="16"/>
      <c r="BVD71" s="16"/>
      <c r="BVE71" s="16"/>
      <c r="BVF71" s="16"/>
      <c r="BVG71" s="16"/>
      <c r="BVH71" s="16"/>
      <c r="BVI71" s="16"/>
      <c r="BVJ71" s="16"/>
      <c r="BVK71" s="16"/>
      <c r="BVL71" s="16"/>
      <c r="BVM71" s="16"/>
      <c r="BVN71" s="16"/>
      <c r="BVO71" s="16"/>
      <c r="BVP71" s="16"/>
      <c r="BVQ71" s="16"/>
      <c r="BVR71" s="16"/>
      <c r="BVS71" s="16"/>
      <c r="BVT71" s="16"/>
      <c r="BVU71" s="16"/>
      <c r="BVV71" s="16"/>
      <c r="BVW71" s="16"/>
      <c r="BVX71" s="16"/>
      <c r="BVY71" s="16"/>
      <c r="BVZ71" s="16"/>
      <c r="BWA71" s="16"/>
      <c r="BWB71" s="16"/>
      <c r="BWC71" s="16"/>
      <c r="BWD71" s="16"/>
      <c r="BWE71" s="16"/>
      <c r="BWF71" s="16"/>
      <c r="BWG71" s="16"/>
      <c r="BWH71" s="16"/>
      <c r="BWI71" s="16"/>
      <c r="BWJ71" s="16"/>
      <c r="BWK71" s="16"/>
      <c r="BWL71" s="16"/>
      <c r="BWM71" s="16"/>
      <c r="BWN71" s="16"/>
      <c r="BWO71" s="16"/>
      <c r="BWP71" s="16"/>
      <c r="BWQ71" s="16"/>
      <c r="BWR71" s="16"/>
      <c r="BWS71" s="16"/>
      <c r="BWT71" s="16"/>
      <c r="BWU71" s="16"/>
      <c r="BWV71" s="16"/>
      <c r="BWW71" s="16"/>
      <c r="BWX71" s="16"/>
      <c r="BWY71" s="16"/>
      <c r="BWZ71" s="16"/>
      <c r="BXA71" s="16"/>
      <c r="BXB71" s="16"/>
      <c r="BXC71" s="16"/>
      <c r="BXD71" s="16"/>
      <c r="BXE71" s="16"/>
      <c r="BXF71" s="16"/>
      <c r="BXG71" s="16"/>
      <c r="BXH71" s="16"/>
      <c r="BXI71" s="16"/>
      <c r="BXJ71" s="16"/>
      <c r="BXK71" s="16"/>
      <c r="BXL71" s="16"/>
      <c r="BXM71" s="16"/>
      <c r="BXN71" s="16"/>
      <c r="BXO71" s="16"/>
      <c r="BXP71" s="16"/>
      <c r="BXQ71" s="16"/>
      <c r="BXR71" s="16"/>
      <c r="BXS71" s="16"/>
      <c r="BXT71" s="16"/>
      <c r="BXU71" s="16"/>
      <c r="BXV71" s="16"/>
      <c r="BXW71" s="16"/>
      <c r="BXX71" s="16"/>
      <c r="BXY71" s="16"/>
      <c r="BXZ71" s="16"/>
      <c r="BYA71" s="16"/>
      <c r="BYB71" s="16"/>
      <c r="BYC71" s="16"/>
      <c r="BYD71" s="16"/>
      <c r="BYE71" s="16"/>
      <c r="BYF71" s="16"/>
      <c r="BYG71" s="16"/>
      <c r="BYH71" s="16"/>
      <c r="BYI71" s="16"/>
      <c r="BYJ71" s="16"/>
      <c r="BYK71" s="16"/>
      <c r="BYL71" s="16"/>
      <c r="BYM71" s="16"/>
      <c r="BYN71" s="16"/>
      <c r="BYO71" s="16"/>
      <c r="BYP71" s="16"/>
      <c r="BYQ71" s="16"/>
      <c r="BYR71" s="16"/>
      <c r="BYS71" s="16"/>
      <c r="BYT71" s="16"/>
      <c r="BYU71" s="16"/>
      <c r="BYV71" s="16"/>
      <c r="BYW71" s="16"/>
      <c r="BYX71" s="16"/>
      <c r="BYY71" s="16"/>
      <c r="BYZ71" s="16"/>
      <c r="BZA71" s="16"/>
      <c r="BZB71" s="16"/>
      <c r="BZC71" s="16"/>
      <c r="BZD71" s="16"/>
      <c r="BZE71" s="16"/>
      <c r="BZF71" s="16"/>
      <c r="BZG71" s="16"/>
      <c r="BZH71" s="16"/>
      <c r="BZI71" s="16"/>
      <c r="BZJ71" s="16"/>
      <c r="BZK71" s="16"/>
      <c r="BZL71" s="16"/>
      <c r="BZM71" s="16"/>
      <c r="BZN71" s="16"/>
      <c r="BZO71" s="16"/>
      <c r="BZP71" s="16"/>
      <c r="BZQ71" s="16"/>
      <c r="BZR71" s="16"/>
      <c r="BZS71" s="16"/>
      <c r="BZT71" s="16"/>
      <c r="BZU71" s="16"/>
      <c r="BZV71" s="16"/>
      <c r="BZW71" s="16"/>
      <c r="BZX71" s="16"/>
      <c r="BZY71" s="16"/>
      <c r="BZZ71" s="16"/>
      <c r="CAA71" s="16"/>
      <c r="CAB71" s="16"/>
      <c r="CAC71" s="16"/>
      <c r="CAD71" s="16"/>
      <c r="CAE71" s="16"/>
      <c r="CAF71" s="16"/>
      <c r="CAG71" s="16"/>
      <c r="CAH71" s="16"/>
      <c r="CAI71" s="16"/>
      <c r="CAJ71" s="16"/>
      <c r="CAK71" s="16"/>
      <c r="CAL71" s="16"/>
      <c r="CAM71" s="16"/>
      <c r="CAN71" s="16"/>
      <c r="CAO71" s="16"/>
      <c r="CAP71" s="16"/>
      <c r="CAQ71" s="16"/>
      <c r="CAR71" s="16"/>
      <c r="CAS71" s="16"/>
      <c r="CAT71" s="16"/>
      <c r="CAU71" s="16"/>
      <c r="CAV71" s="16"/>
      <c r="CAW71" s="16"/>
      <c r="CAX71" s="16"/>
      <c r="CAY71" s="16"/>
      <c r="CAZ71" s="16"/>
      <c r="CBA71" s="16"/>
      <c r="CBB71" s="16"/>
      <c r="CBC71" s="16"/>
      <c r="CBD71" s="16"/>
      <c r="CBE71" s="16"/>
      <c r="CBF71" s="16"/>
      <c r="CBG71" s="16"/>
      <c r="CBH71" s="16"/>
      <c r="CBI71" s="16"/>
      <c r="CBJ71" s="16"/>
      <c r="CBK71" s="16"/>
      <c r="CBL71" s="16"/>
      <c r="CBM71" s="16"/>
      <c r="CBN71" s="16"/>
      <c r="CBO71" s="16"/>
      <c r="CBP71" s="16"/>
      <c r="CBQ71" s="16"/>
      <c r="CBR71" s="16"/>
      <c r="CBS71" s="16"/>
      <c r="CBT71" s="16"/>
      <c r="CBU71" s="16"/>
      <c r="CBV71" s="16"/>
      <c r="CBW71" s="16"/>
      <c r="CBX71" s="16"/>
      <c r="CBY71" s="16"/>
      <c r="CBZ71" s="16"/>
      <c r="CCA71" s="16"/>
      <c r="CCB71" s="16"/>
      <c r="CCC71" s="16"/>
      <c r="CCD71" s="16"/>
      <c r="CCE71" s="16"/>
      <c r="CCF71" s="16"/>
      <c r="CCG71" s="16"/>
      <c r="CCH71" s="16"/>
      <c r="CCI71" s="16"/>
      <c r="CCJ71" s="16"/>
      <c r="CCK71" s="16"/>
      <c r="CCL71" s="16"/>
      <c r="CCM71" s="16"/>
      <c r="CCN71" s="16"/>
      <c r="CCO71" s="16"/>
      <c r="CCP71" s="16"/>
      <c r="CCQ71" s="16"/>
      <c r="CCR71" s="16"/>
      <c r="CCS71" s="16"/>
      <c r="CCT71" s="16"/>
      <c r="CCU71" s="16"/>
      <c r="CCV71" s="16"/>
      <c r="CCW71" s="16"/>
      <c r="CCX71" s="16"/>
      <c r="CCY71" s="16"/>
      <c r="CCZ71" s="16"/>
      <c r="CDA71" s="16"/>
      <c r="CDB71" s="16"/>
      <c r="CDC71" s="16"/>
      <c r="CDD71" s="16"/>
      <c r="CDE71" s="16"/>
      <c r="CDF71" s="16"/>
      <c r="CDG71" s="16"/>
      <c r="CDH71" s="16"/>
      <c r="CDI71" s="16"/>
      <c r="CDJ71" s="16"/>
      <c r="CDK71" s="16"/>
      <c r="CDL71" s="16"/>
      <c r="CDM71" s="16"/>
      <c r="CDN71" s="16"/>
      <c r="CDO71" s="16"/>
      <c r="CDP71" s="16"/>
      <c r="CDQ71" s="16"/>
      <c r="CDR71" s="16"/>
      <c r="CDS71" s="16"/>
      <c r="CDT71" s="16"/>
      <c r="CDU71" s="16"/>
      <c r="CDV71" s="16"/>
      <c r="CDW71" s="16"/>
      <c r="CDX71" s="16"/>
      <c r="CDY71" s="16"/>
      <c r="CDZ71" s="16"/>
      <c r="CEA71" s="16"/>
      <c r="CEB71" s="16"/>
      <c r="CEC71" s="16"/>
      <c r="CED71" s="16"/>
      <c r="CEE71" s="16"/>
      <c r="CEF71" s="16"/>
      <c r="CEG71" s="16"/>
      <c r="CEH71" s="16"/>
      <c r="CEI71" s="16"/>
      <c r="CEJ71" s="16"/>
      <c r="CEK71" s="16"/>
      <c r="CEL71" s="16"/>
      <c r="CEM71" s="16"/>
      <c r="CEN71" s="16"/>
      <c r="CEO71" s="16"/>
      <c r="CEP71" s="16"/>
      <c r="CEQ71" s="16"/>
      <c r="CER71" s="16"/>
      <c r="CES71" s="16"/>
      <c r="CET71" s="16"/>
      <c r="CEU71" s="16"/>
      <c r="CEV71" s="16"/>
      <c r="CEW71" s="16"/>
      <c r="CEX71" s="16"/>
      <c r="CEY71" s="16"/>
      <c r="CEZ71" s="16"/>
      <c r="CFA71" s="16"/>
      <c r="CFB71" s="16"/>
      <c r="CFC71" s="16"/>
      <c r="CFD71" s="16"/>
      <c r="CFE71" s="16"/>
      <c r="CFF71" s="16"/>
      <c r="CFG71" s="16"/>
      <c r="CFH71" s="16"/>
      <c r="CFI71" s="16"/>
      <c r="CFJ71" s="16"/>
      <c r="CFK71" s="16"/>
      <c r="CFL71" s="16"/>
      <c r="CFM71" s="16"/>
      <c r="CFN71" s="16"/>
      <c r="CFO71" s="16"/>
      <c r="CFP71" s="16"/>
      <c r="CFQ71" s="16"/>
      <c r="CFR71" s="16"/>
      <c r="CFS71" s="16"/>
      <c r="CFT71" s="16"/>
      <c r="CFU71" s="16"/>
      <c r="CFV71" s="16"/>
      <c r="CFW71" s="16"/>
      <c r="CFX71" s="16"/>
      <c r="CFY71" s="16"/>
      <c r="CFZ71" s="16"/>
      <c r="CGA71" s="16"/>
      <c r="CGB71" s="16"/>
      <c r="CGC71" s="16"/>
      <c r="CGD71" s="16"/>
      <c r="CGE71" s="16"/>
      <c r="CGF71" s="16"/>
      <c r="CGG71" s="16"/>
      <c r="CGH71" s="16"/>
      <c r="CGI71" s="16"/>
      <c r="CGJ71" s="16"/>
      <c r="CGK71" s="16"/>
      <c r="CGL71" s="16"/>
      <c r="CGM71" s="16"/>
      <c r="CGN71" s="16"/>
      <c r="CGO71" s="16"/>
      <c r="CGP71" s="16"/>
      <c r="CGQ71" s="16"/>
      <c r="CGR71" s="16"/>
      <c r="CGS71" s="16"/>
      <c r="CGT71" s="16"/>
      <c r="CGU71" s="16"/>
      <c r="CGV71" s="16"/>
      <c r="CGW71" s="16"/>
      <c r="CGX71" s="16"/>
      <c r="CGY71" s="16"/>
      <c r="CGZ71" s="16"/>
      <c r="CHA71" s="16"/>
      <c r="CHB71" s="16"/>
      <c r="CHC71" s="16"/>
      <c r="CHD71" s="16"/>
      <c r="CHE71" s="16"/>
      <c r="CHF71" s="16"/>
      <c r="CHG71" s="16"/>
      <c r="CHH71" s="16"/>
      <c r="CHI71" s="16"/>
      <c r="CHJ71" s="16"/>
      <c r="CHK71" s="16"/>
      <c r="CHL71" s="16"/>
      <c r="CHM71" s="16"/>
      <c r="CHN71" s="16"/>
      <c r="CHO71" s="16"/>
      <c r="CHP71" s="16"/>
      <c r="CHQ71" s="16"/>
      <c r="CHR71" s="16"/>
      <c r="CHS71" s="16"/>
      <c r="CHT71" s="16"/>
      <c r="CHU71" s="16"/>
      <c r="CHV71" s="16"/>
      <c r="CHW71" s="16"/>
      <c r="CHX71" s="16"/>
      <c r="CHY71" s="16"/>
      <c r="CHZ71" s="16"/>
      <c r="CIA71" s="16"/>
      <c r="CIB71" s="16"/>
      <c r="CIC71" s="16"/>
      <c r="CID71" s="16"/>
      <c r="CIE71" s="16"/>
      <c r="CIF71" s="16"/>
      <c r="CIG71" s="16"/>
      <c r="CIH71" s="16"/>
      <c r="CII71" s="16"/>
      <c r="CIJ71" s="16"/>
      <c r="CIK71" s="16"/>
      <c r="CIL71" s="16"/>
      <c r="CIM71" s="16"/>
      <c r="CIN71" s="16"/>
      <c r="CIO71" s="16"/>
      <c r="CIP71" s="16"/>
      <c r="CIQ71" s="16"/>
      <c r="CIR71" s="16"/>
      <c r="CIS71" s="16"/>
      <c r="CIT71" s="16"/>
      <c r="CIU71" s="16"/>
      <c r="CIV71" s="16"/>
      <c r="CIW71" s="16"/>
      <c r="CIX71" s="16"/>
      <c r="CIY71" s="16"/>
      <c r="CIZ71" s="16"/>
      <c r="CJA71" s="16"/>
      <c r="CJB71" s="16"/>
      <c r="CJC71" s="16"/>
      <c r="CJD71" s="16"/>
      <c r="CJE71" s="16"/>
      <c r="CJF71" s="16"/>
      <c r="CJG71" s="16"/>
      <c r="CJH71" s="16"/>
      <c r="CJI71" s="16"/>
      <c r="CJJ71" s="16"/>
      <c r="CJK71" s="16"/>
      <c r="CJL71" s="16"/>
      <c r="CJM71" s="16"/>
      <c r="CJN71" s="16"/>
      <c r="CJO71" s="16"/>
      <c r="CJP71" s="16"/>
      <c r="CJQ71" s="16"/>
      <c r="CJR71" s="16"/>
      <c r="CJS71" s="16"/>
      <c r="CJT71" s="16"/>
      <c r="CJU71" s="16"/>
      <c r="CJV71" s="16"/>
      <c r="CJW71" s="16"/>
      <c r="CJX71" s="16"/>
      <c r="CJY71" s="16"/>
      <c r="CJZ71" s="16"/>
      <c r="CKA71" s="16"/>
      <c r="CKB71" s="16"/>
      <c r="CKC71" s="16"/>
      <c r="CKD71" s="16"/>
      <c r="CKE71" s="16"/>
      <c r="CKF71" s="16"/>
      <c r="CKG71" s="16"/>
      <c r="CKH71" s="16"/>
      <c r="CKI71" s="16"/>
      <c r="CKJ71" s="16"/>
      <c r="CKK71" s="16"/>
      <c r="CKL71" s="16"/>
      <c r="CKM71" s="16"/>
      <c r="CKN71" s="16"/>
      <c r="CKO71" s="16"/>
      <c r="CKP71" s="16"/>
      <c r="CKQ71" s="16"/>
      <c r="CKR71" s="16"/>
      <c r="CKS71" s="16"/>
      <c r="CKT71" s="16"/>
      <c r="CKU71" s="16"/>
      <c r="CKV71" s="16"/>
      <c r="CKW71" s="16"/>
      <c r="CKX71" s="16"/>
      <c r="CKY71" s="16"/>
      <c r="CKZ71" s="16"/>
      <c r="CLA71" s="16"/>
      <c r="CLB71" s="16"/>
      <c r="CLC71" s="16"/>
      <c r="CLD71" s="16"/>
      <c r="CLE71" s="16"/>
      <c r="CLF71" s="16"/>
      <c r="CLG71" s="16"/>
      <c r="CLH71" s="16"/>
      <c r="CLI71" s="16"/>
      <c r="CLJ71" s="16"/>
      <c r="CLK71" s="16"/>
      <c r="CLL71" s="16"/>
      <c r="CLM71" s="16"/>
      <c r="CLN71" s="16"/>
      <c r="CLO71" s="16"/>
      <c r="CLP71" s="16"/>
      <c r="CLQ71" s="16"/>
      <c r="CLR71" s="16"/>
      <c r="CLS71" s="16"/>
      <c r="CLT71" s="16"/>
      <c r="CLU71" s="16"/>
      <c r="CLV71" s="16"/>
      <c r="CLW71" s="16"/>
      <c r="CLX71" s="16"/>
      <c r="CLY71" s="16"/>
      <c r="CLZ71" s="16"/>
      <c r="CMA71" s="16"/>
      <c r="CMB71" s="16"/>
      <c r="CMC71" s="16"/>
      <c r="CMD71" s="16"/>
      <c r="CME71" s="16"/>
      <c r="CMF71" s="16"/>
      <c r="CMG71" s="16"/>
      <c r="CMH71" s="16"/>
      <c r="CMI71" s="16"/>
      <c r="CMJ71" s="16"/>
      <c r="CMK71" s="16"/>
      <c r="CML71" s="16"/>
      <c r="CMM71" s="16"/>
      <c r="CMN71" s="16"/>
      <c r="CMO71" s="16"/>
      <c r="CMP71" s="16"/>
      <c r="CMQ71" s="16"/>
      <c r="CMR71" s="16"/>
      <c r="CMS71" s="16"/>
      <c r="CMT71" s="16"/>
      <c r="CMU71" s="16"/>
      <c r="CMV71" s="16"/>
      <c r="CMW71" s="16"/>
      <c r="CMX71" s="16"/>
      <c r="CMY71" s="16"/>
      <c r="CMZ71" s="16"/>
      <c r="CNA71" s="16"/>
      <c r="CNB71" s="16"/>
      <c r="CNC71" s="16"/>
      <c r="CND71" s="16"/>
      <c r="CNE71" s="16"/>
      <c r="CNF71" s="16"/>
      <c r="CNG71" s="16"/>
      <c r="CNH71" s="16"/>
      <c r="CNI71" s="16"/>
      <c r="CNJ71" s="16"/>
      <c r="CNK71" s="16"/>
      <c r="CNL71" s="16"/>
      <c r="CNM71" s="16"/>
      <c r="CNN71" s="16"/>
      <c r="CNO71" s="16"/>
      <c r="CNP71" s="16"/>
      <c r="CNQ71" s="16"/>
      <c r="CNR71" s="16"/>
      <c r="CNS71" s="16"/>
      <c r="CNT71" s="16"/>
      <c r="CNU71" s="16"/>
      <c r="CNV71" s="16"/>
      <c r="CNW71" s="16"/>
      <c r="CNX71" s="16"/>
      <c r="CNY71" s="16"/>
      <c r="CNZ71" s="16"/>
      <c r="COA71" s="16"/>
      <c r="COB71" s="16"/>
      <c r="COC71" s="16"/>
      <c r="COD71" s="16"/>
      <c r="COE71" s="16"/>
      <c r="COF71" s="16"/>
      <c r="COG71" s="16"/>
      <c r="COH71" s="16"/>
      <c r="COI71" s="16"/>
      <c r="COJ71" s="16"/>
      <c r="COK71" s="16"/>
      <c r="COL71" s="16"/>
      <c r="COM71" s="16"/>
      <c r="CON71" s="16"/>
      <c r="COO71" s="16"/>
      <c r="COP71" s="16"/>
      <c r="COQ71" s="16"/>
      <c r="COR71" s="16"/>
      <c r="COS71" s="16"/>
      <c r="COT71" s="16"/>
      <c r="COU71" s="16"/>
      <c r="COV71" s="16"/>
      <c r="COW71" s="16"/>
      <c r="COX71" s="16"/>
      <c r="COY71" s="16"/>
      <c r="COZ71" s="16"/>
      <c r="CPA71" s="16"/>
      <c r="CPB71" s="16"/>
      <c r="CPC71" s="16"/>
      <c r="CPD71" s="16"/>
      <c r="CPE71" s="16"/>
      <c r="CPF71" s="16"/>
      <c r="CPG71" s="16"/>
      <c r="CPH71" s="16"/>
      <c r="CPI71" s="16"/>
      <c r="CPJ71" s="16"/>
      <c r="CPK71" s="16"/>
      <c r="CPL71" s="16"/>
      <c r="CPM71" s="16"/>
      <c r="CPN71" s="16"/>
      <c r="CPO71" s="16"/>
      <c r="CPP71" s="16"/>
      <c r="CPQ71" s="16"/>
      <c r="CPR71" s="16"/>
      <c r="CPS71" s="16"/>
      <c r="CPT71" s="16"/>
      <c r="CPU71" s="16"/>
      <c r="CPV71" s="16"/>
      <c r="CPW71" s="16"/>
      <c r="CPX71" s="16"/>
      <c r="CPY71" s="16"/>
      <c r="CPZ71" s="16"/>
      <c r="CQA71" s="16"/>
      <c r="CQB71" s="16"/>
      <c r="CQC71" s="16"/>
      <c r="CQD71" s="16"/>
      <c r="CQE71" s="16"/>
      <c r="CQF71" s="16"/>
      <c r="CQG71" s="16"/>
      <c r="CQH71" s="16"/>
      <c r="CQI71" s="16"/>
      <c r="CQJ71" s="16"/>
      <c r="CQK71" s="16"/>
      <c r="CQL71" s="16"/>
      <c r="CQM71" s="16"/>
      <c r="CQN71" s="16"/>
      <c r="CQO71" s="16"/>
      <c r="CQP71" s="16"/>
      <c r="CQQ71" s="16"/>
      <c r="CQR71" s="16"/>
      <c r="CQS71" s="16"/>
      <c r="CQT71" s="16"/>
      <c r="CQU71" s="16"/>
      <c r="CQV71" s="16"/>
      <c r="CQW71" s="16"/>
      <c r="CQX71" s="16"/>
      <c r="CQY71" s="16"/>
      <c r="CQZ71" s="16"/>
      <c r="CRA71" s="16"/>
      <c r="CRB71" s="16"/>
      <c r="CRC71" s="16"/>
      <c r="CRD71" s="16"/>
      <c r="CRE71" s="16"/>
      <c r="CRF71" s="16"/>
      <c r="CRG71" s="16"/>
      <c r="CRH71" s="16"/>
      <c r="CRI71" s="16"/>
      <c r="CRJ71" s="16"/>
      <c r="CRK71" s="16"/>
      <c r="CRL71" s="16"/>
      <c r="CRM71" s="16"/>
      <c r="CRN71" s="16"/>
      <c r="CRO71" s="16"/>
      <c r="CRP71" s="16"/>
      <c r="CRQ71" s="16"/>
      <c r="CRR71" s="16"/>
      <c r="CRS71" s="16"/>
      <c r="CRT71" s="16"/>
      <c r="CRU71" s="16"/>
      <c r="CRV71" s="16"/>
      <c r="CRW71" s="16"/>
      <c r="CRX71" s="16"/>
      <c r="CRY71" s="16"/>
      <c r="CRZ71" s="16"/>
      <c r="CSA71" s="16"/>
      <c r="CSB71" s="16"/>
      <c r="CSC71" s="16"/>
      <c r="CSD71" s="16"/>
      <c r="CSE71" s="16"/>
      <c r="CSF71" s="16"/>
      <c r="CSG71" s="16"/>
      <c r="CSH71" s="16"/>
      <c r="CSI71" s="16"/>
      <c r="CSJ71" s="16"/>
      <c r="CSK71" s="24"/>
      <c r="CSL71" s="16"/>
      <c r="CSM71" s="16"/>
      <c r="CSN71" s="16"/>
      <c r="CSO71" s="16"/>
      <c r="CSP71" s="16"/>
      <c r="CUG71" s="16"/>
      <c r="CUH71" s="16"/>
      <c r="CUI71" s="16"/>
      <c r="CUJ71" s="16"/>
      <c r="CUK71" s="16"/>
      <c r="CUL71" s="16"/>
      <c r="CUM71" s="16"/>
      <c r="CUN71" s="16"/>
      <c r="CUO71" s="16"/>
      <c r="CUP71" s="16"/>
      <c r="CUQ71" s="16"/>
      <c r="CUR71" s="16"/>
      <c r="CUS71" s="16"/>
      <c r="CUT71" s="16"/>
      <c r="CUU71" s="16"/>
      <c r="CUV71" s="16"/>
      <c r="CUW71" s="16"/>
      <c r="CUX71" s="16"/>
      <c r="CUY71" s="16"/>
      <c r="CUZ71" s="16"/>
      <c r="CVA71" s="16"/>
      <c r="CVB71" s="16"/>
      <c r="CVC71" s="16"/>
      <c r="CVD71" s="16"/>
      <c r="CVE71" s="16"/>
      <c r="CVF71" s="16"/>
      <c r="CVG71" s="16"/>
      <c r="CVH71" s="16"/>
      <c r="CVI71" s="16"/>
      <c r="CVJ71" s="16"/>
      <c r="CVK71" s="16"/>
      <c r="CVL71" s="16"/>
      <c r="CVM71" s="16"/>
      <c r="CVN71" s="16"/>
      <c r="CVO71" s="16"/>
      <c r="CVP71" s="16"/>
    </row>
    <row r="72" spans="3:2616" ht="13.8" x14ac:dyDescent="0.25">
      <c r="C72" s="57"/>
      <c r="E72" s="16"/>
      <c r="K72" s="59"/>
      <c r="L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  <c r="HD72" s="16"/>
      <c r="HE72" s="16"/>
      <c r="HF72" s="16"/>
      <c r="HG72" s="16"/>
      <c r="HH72" s="16"/>
      <c r="HI72" s="16"/>
      <c r="HJ72" s="16"/>
      <c r="HK72" s="16"/>
      <c r="HL72" s="16"/>
      <c r="HM72" s="16"/>
      <c r="HN72" s="16"/>
      <c r="HO72" s="16"/>
      <c r="HP72" s="16"/>
      <c r="HQ72" s="16"/>
      <c r="HR72" s="16"/>
      <c r="HS72" s="16"/>
      <c r="HT72" s="16"/>
      <c r="HU72" s="16"/>
      <c r="HV72" s="16"/>
      <c r="HW72" s="16"/>
      <c r="HX72" s="16"/>
      <c r="HY72" s="16"/>
      <c r="HZ72" s="16"/>
      <c r="IA72" s="16"/>
      <c r="IB72" s="16"/>
      <c r="IC72" s="16"/>
      <c r="ID72" s="16"/>
      <c r="IE72" s="16"/>
      <c r="IF72" s="16"/>
      <c r="IG72" s="16"/>
      <c r="IH72" s="16"/>
      <c r="II72" s="16"/>
      <c r="IJ72" s="16"/>
      <c r="IK72" s="16"/>
      <c r="IL72" s="16"/>
      <c r="IM72" s="16"/>
      <c r="IN72" s="16"/>
      <c r="IO72" s="16"/>
      <c r="IP72" s="16"/>
      <c r="IQ72" s="16"/>
      <c r="IR72" s="16"/>
      <c r="IS72" s="16"/>
      <c r="IT72" s="16"/>
      <c r="IU72" s="16"/>
      <c r="IV72" s="16"/>
      <c r="IW72" s="16"/>
      <c r="IX72" s="16"/>
      <c r="IY72" s="16"/>
      <c r="IZ72" s="16"/>
      <c r="JA72" s="16"/>
      <c r="JB72" s="16"/>
      <c r="JC72" s="16"/>
      <c r="JD72" s="16"/>
      <c r="JE72" s="16"/>
      <c r="JF72" s="16"/>
      <c r="JG72" s="16"/>
      <c r="JH72" s="16"/>
      <c r="JI72" s="16"/>
      <c r="JJ72" s="16"/>
      <c r="JK72" s="16"/>
      <c r="JL72" s="16"/>
      <c r="JM72" s="16"/>
      <c r="JN72" s="16"/>
      <c r="JO72" s="16"/>
      <c r="JP72" s="16"/>
      <c r="JQ72" s="16"/>
      <c r="JR72" s="16"/>
      <c r="JS72" s="16"/>
      <c r="JT72" s="16"/>
      <c r="JU72" s="16"/>
      <c r="JV72" s="16"/>
      <c r="JW72" s="16"/>
      <c r="JX72" s="16"/>
      <c r="JY72" s="16"/>
      <c r="JZ72" s="16"/>
      <c r="KA72" s="16"/>
      <c r="KB72" s="16"/>
      <c r="KC72" s="16"/>
      <c r="KD72" s="16"/>
      <c r="KE72" s="16"/>
      <c r="KF72" s="16"/>
      <c r="KG72" s="16"/>
      <c r="KH72" s="16"/>
      <c r="KI72" s="16"/>
      <c r="KJ72" s="16"/>
      <c r="KK72" s="16"/>
      <c r="KL72" s="16"/>
      <c r="KM72" s="16"/>
      <c r="KN72" s="16"/>
      <c r="KO72" s="16"/>
      <c r="KP72" s="16"/>
      <c r="KQ72" s="16"/>
      <c r="KR72" s="16"/>
      <c r="KS72" s="16"/>
      <c r="KT72" s="16"/>
      <c r="KU72" s="16"/>
      <c r="KV72" s="16"/>
      <c r="KW72" s="16"/>
      <c r="KX72" s="16"/>
      <c r="KY72" s="16"/>
      <c r="KZ72" s="16"/>
      <c r="LA72" s="16"/>
      <c r="LB72" s="16"/>
      <c r="LC72" s="16"/>
      <c r="LD72" s="16"/>
      <c r="LE72" s="16"/>
      <c r="LF72" s="16"/>
      <c r="LG72" s="16"/>
      <c r="LH72" s="16"/>
      <c r="LI72" s="16"/>
      <c r="LJ72" s="16"/>
      <c r="LK72" s="16"/>
      <c r="LL72" s="16"/>
      <c r="LM72" s="16"/>
      <c r="LN72" s="16"/>
      <c r="LO72" s="16"/>
      <c r="LP72" s="16"/>
      <c r="LQ72" s="16"/>
      <c r="LR72" s="16"/>
      <c r="LS72" s="16"/>
      <c r="LT72" s="16"/>
      <c r="LU72" s="16"/>
      <c r="LV72" s="16"/>
      <c r="LW72" s="16"/>
      <c r="LX72" s="16"/>
      <c r="LY72" s="16"/>
      <c r="LZ72" s="16"/>
      <c r="MA72" s="16"/>
      <c r="MB72" s="16"/>
      <c r="MC72" s="16"/>
      <c r="MD72" s="16"/>
      <c r="ME72" s="16"/>
      <c r="MF72" s="16"/>
      <c r="MG72" s="16"/>
      <c r="MH72" s="16"/>
      <c r="MI72" s="16"/>
      <c r="MJ72" s="16"/>
      <c r="MK72" s="16"/>
      <c r="ML72" s="16"/>
      <c r="MM72" s="16"/>
      <c r="MN72" s="16"/>
      <c r="MO72" s="16"/>
      <c r="MP72" s="16"/>
      <c r="MQ72" s="16"/>
      <c r="MR72" s="16"/>
      <c r="MS72" s="16"/>
      <c r="MT72" s="16"/>
      <c r="MU72" s="16"/>
      <c r="MV72" s="16"/>
      <c r="MW72" s="16"/>
      <c r="MX72" s="16"/>
      <c r="MY72" s="16"/>
      <c r="MZ72" s="16"/>
      <c r="NA72" s="16"/>
      <c r="NB72" s="16"/>
      <c r="NC72" s="16"/>
      <c r="ND72" s="16"/>
      <c r="NE72" s="16"/>
      <c r="NF72" s="16"/>
      <c r="NG72" s="16"/>
      <c r="NH72" s="16"/>
      <c r="NI72" s="16"/>
      <c r="NJ72" s="16"/>
      <c r="NK72" s="16"/>
      <c r="NL72" s="16"/>
      <c r="NM72" s="16"/>
      <c r="NN72" s="16"/>
      <c r="NO72" s="16"/>
      <c r="NP72" s="16"/>
      <c r="NQ72" s="16"/>
      <c r="NR72" s="16"/>
      <c r="NS72" s="16"/>
      <c r="NT72" s="16"/>
      <c r="NU72" s="16"/>
      <c r="NV72" s="16"/>
      <c r="NW72" s="16"/>
      <c r="NX72" s="16"/>
      <c r="NY72" s="16"/>
      <c r="NZ72" s="16"/>
      <c r="OA72" s="16"/>
      <c r="OB72" s="16"/>
      <c r="OC72" s="16"/>
      <c r="OD72" s="16"/>
      <c r="OE72" s="16"/>
      <c r="OF72" s="16"/>
      <c r="OG72" s="16"/>
      <c r="OH72" s="16"/>
      <c r="OI72" s="16"/>
      <c r="OJ72" s="16"/>
      <c r="OK72" s="16"/>
      <c r="OL72" s="16"/>
      <c r="OM72" s="16"/>
      <c r="ON72" s="16"/>
      <c r="OO72" s="16"/>
      <c r="OP72" s="16"/>
      <c r="OQ72" s="16"/>
      <c r="OR72" s="16"/>
      <c r="OS72" s="16"/>
      <c r="OT72" s="16"/>
      <c r="OU72" s="16"/>
      <c r="OV72" s="16"/>
      <c r="OW72" s="16"/>
      <c r="OX72" s="16"/>
      <c r="OY72" s="16"/>
      <c r="OZ72" s="16"/>
      <c r="PA72" s="16"/>
      <c r="PB72" s="16"/>
      <c r="PC72" s="16"/>
      <c r="PD72" s="16"/>
      <c r="PE72" s="16"/>
      <c r="PF72" s="16"/>
      <c r="PG72" s="16"/>
      <c r="PH72" s="16"/>
      <c r="PI72" s="16"/>
      <c r="PJ72" s="16"/>
      <c r="PK72" s="16"/>
      <c r="PL72" s="16"/>
      <c r="PM72" s="16"/>
      <c r="PN72" s="16"/>
      <c r="PO72" s="16"/>
      <c r="PP72" s="16"/>
      <c r="PQ72" s="16"/>
      <c r="PR72" s="16"/>
      <c r="PS72" s="16"/>
      <c r="PT72" s="16"/>
      <c r="PU72" s="16"/>
      <c r="PV72" s="16"/>
      <c r="PW72" s="16"/>
      <c r="PX72" s="16"/>
      <c r="PY72" s="16"/>
      <c r="PZ72" s="16"/>
      <c r="QA72" s="16"/>
      <c r="QB72" s="16"/>
      <c r="QC72" s="16"/>
      <c r="QD72" s="16"/>
      <c r="QE72" s="16"/>
      <c r="QF72" s="16"/>
      <c r="QG72" s="16"/>
      <c r="QH72" s="16"/>
      <c r="QI72" s="16"/>
      <c r="QJ72" s="16"/>
      <c r="QK72" s="16"/>
      <c r="QL72" s="16"/>
      <c r="QM72" s="16"/>
      <c r="QN72" s="16"/>
      <c r="QO72" s="16"/>
      <c r="QP72" s="16"/>
      <c r="QQ72" s="16"/>
      <c r="QR72" s="16"/>
      <c r="QS72" s="16"/>
      <c r="QT72" s="16"/>
      <c r="QU72" s="16"/>
      <c r="QV72" s="16"/>
      <c r="QW72" s="16"/>
      <c r="QX72" s="16"/>
      <c r="QY72" s="16"/>
      <c r="QZ72" s="16"/>
      <c r="RA72" s="16"/>
      <c r="RB72" s="16"/>
      <c r="RC72" s="16"/>
      <c r="RD72" s="16"/>
      <c r="RE72" s="16"/>
      <c r="RF72" s="16"/>
      <c r="RG72" s="16"/>
      <c r="RH72" s="16"/>
      <c r="RI72" s="16"/>
      <c r="RJ72" s="16"/>
      <c r="RK72" s="16"/>
      <c r="RL72" s="16"/>
      <c r="RM72" s="16"/>
      <c r="RN72" s="16"/>
      <c r="RO72" s="16"/>
      <c r="RP72" s="16"/>
      <c r="RQ72" s="16"/>
      <c r="RR72" s="16"/>
      <c r="RS72" s="16"/>
      <c r="RT72" s="16"/>
      <c r="RU72" s="16"/>
      <c r="RV72" s="16"/>
      <c r="RW72" s="16"/>
      <c r="RX72" s="16"/>
      <c r="RY72" s="16"/>
      <c r="RZ72" s="16"/>
      <c r="SA72" s="16"/>
      <c r="SB72" s="16"/>
      <c r="SC72" s="16"/>
      <c r="SD72" s="16"/>
      <c r="SE72" s="16"/>
      <c r="SF72" s="16"/>
      <c r="SG72" s="16"/>
      <c r="SH72" s="16"/>
      <c r="SI72" s="16"/>
      <c r="SJ72" s="16"/>
      <c r="SK72" s="16"/>
      <c r="SL72" s="16"/>
      <c r="SM72" s="16"/>
      <c r="SN72" s="16"/>
      <c r="SO72" s="16"/>
      <c r="SP72" s="16"/>
      <c r="SQ72" s="16"/>
      <c r="SR72" s="16"/>
      <c r="SS72" s="16"/>
      <c r="ST72" s="16"/>
      <c r="SU72" s="16"/>
      <c r="SV72" s="16"/>
      <c r="SW72" s="16"/>
      <c r="SX72" s="16"/>
      <c r="SY72" s="16"/>
      <c r="SZ72" s="16"/>
      <c r="TA72" s="16"/>
      <c r="TB72" s="16"/>
      <c r="TC72" s="16"/>
      <c r="TD72" s="16"/>
      <c r="TE72" s="16"/>
      <c r="TF72" s="16"/>
      <c r="TG72" s="16"/>
      <c r="TH72" s="16"/>
      <c r="TI72" s="16"/>
      <c r="TJ72" s="16"/>
      <c r="TK72" s="16"/>
      <c r="TL72" s="16"/>
      <c r="TM72" s="16"/>
      <c r="TN72" s="16"/>
      <c r="TO72" s="16"/>
      <c r="TP72" s="16"/>
      <c r="TQ72" s="16"/>
      <c r="TR72" s="16"/>
      <c r="TS72" s="16"/>
      <c r="TT72" s="16"/>
      <c r="TU72" s="16"/>
      <c r="TV72" s="16"/>
      <c r="TW72" s="16"/>
      <c r="TX72" s="16"/>
      <c r="TY72" s="16"/>
      <c r="TZ72" s="16"/>
      <c r="UA72" s="16"/>
      <c r="UB72" s="16"/>
      <c r="UC72" s="16"/>
      <c r="UD72" s="16"/>
      <c r="UE72" s="16"/>
      <c r="UF72" s="16"/>
      <c r="UG72" s="16"/>
      <c r="UH72" s="16"/>
      <c r="UI72" s="16"/>
      <c r="UJ72" s="16"/>
      <c r="UK72" s="16"/>
      <c r="UL72" s="16"/>
      <c r="UM72" s="16"/>
      <c r="UN72" s="16"/>
      <c r="UO72" s="16"/>
      <c r="UP72" s="16"/>
      <c r="UQ72" s="16"/>
      <c r="UR72" s="16"/>
      <c r="US72" s="16"/>
      <c r="UT72" s="16"/>
      <c r="UU72" s="16"/>
      <c r="UV72" s="16"/>
      <c r="UW72" s="16"/>
      <c r="UX72" s="16"/>
      <c r="UY72" s="16"/>
      <c r="UZ72" s="16"/>
      <c r="VA72" s="16"/>
      <c r="VB72" s="16"/>
      <c r="VC72" s="16"/>
      <c r="VD72" s="16"/>
      <c r="VE72" s="16"/>
      <c r="VF72" s="16"/>
      <c r="VG72" s="16"/>
      <c r="VH72" s="16"/>
      <c r="VI72" s="16"/>
      <c r="VJ72" s="16"/>
      <c r="VK72" s="16"/>
      <c r="VL72" s="16"/>
      <c r="VM72" s="16"/>
      <c r="VN72" s="16"/>
      <c r="VO72" s="16"/>
      <c r="VP72" s="16"/>
      <c r="VQ72" s="16"/>
      <c r="VR72" s="16"/>
      <c r="VS72" s="16"/>
      <c r="VT72" s="16"/>
      <c r="VU72" s="16"/>
      <c r="VV72" s="16"/>
      <c r="VW72" s="16"/>
      <c r="VX72" s="16"/>
      <c r="VY72" s="16"/>
      <c r="VZ72" s="16"/>
      <c r="WA72" s="16"/>
      <c r="WB72" s="16"/>
      <c r="WC72" s="16"/>
      <c r="WD72" s="16"/>
      <c r="WE72" s="16"/>
      <c r="WF72" s="16"/>
      <c r="WG72" s="16"/>
      <c r="WH72" s="16"/>
      <c r="WI72" s="16"/>
      <c r="WJ72" s="16"/>
      <c r="WK72" s="16"/>
      <c r="WL72" s="16"/>
      <c r="WM72" s="16"/>
      <c r="WN72" s="16"/>
      <c r="WO72" s="16"/>
      <c r="WP72" s="16"/>
      <c r="WQ72" s="16"/>
      <c r="WR72" s="16"/>
      <c r="WS72" s="16"/>
      <c r="WT72" s="16"/>
      <c r="WU72" s="16"/>
      <c r="WV72" s="16"/>
      <c r="WW72" s="16"/>
      <c r="WX72" s="16"/>
      <c r="WY72" s="16"/>
      <c r="WZ72" s="16"/>
      <c r="XA72" s="16"/>
      <c r="XB72" s="16"/>
      <c r="XC72" s="16"/>
      <c r="XD72" s="16"/>
      <c r="XE72" s="16"/>
      <c r="XF72" s="16"/>
      <c r="XG72" s="16"/>
      <c r="XH72" s="16"/>
      <c r="XI72" s="16"/>
      <c r="XJ72" s="16"/>
      <c r="XK72" s="16"/>
      <c r="XL72" s="16"/>
      <c r="XM72" s="16"/>
      <c r="XN72" s="16"/>
      <c r="XO72" s="16"/>
      <c r="XP72" s="16"/>
      <c r="XQ72" s="16"/>
      <c r="XR72" s="16"/>
      <c r="XS72" s="16"/>
      <c r="XT72" s="16"/>
      <c r="XU72" s="16"/>
      <c r="XV72" s="16"/>
      <c r="XW72" s="16"/>
      <c r="XX72" s="16"/>
      <c r="XY72" s="16"/>
      <c r="XZ72" s="16"/>
      <c r="YA72" s="16"/>
      <c r="YB72" s="16"/>
      <c r="YC72" s="16"/>
      <c r="YD72" s="16"/>
      <c r="YE72" s="16"/>
      <c r="YF72" s="16"/>
      <c r="YG72" s="16"/>
      <c r="YH72" s="16"/>
      <c r="YI72" s="16"/>
      <c r="YJ72" s="16"/>
      <c r="YK72" s="16"/>
      <c r="YL72" s="16"/>
      <c r="YM72" s="16"/>
      <c r="YN72" s="16"/>
      <c r="YO72" s="16"/>
      <c r="YP72" s="16"/>
      <c r="YQ72" s="16"/>
      <c r="YR72" s="16"/>
      <c r="YS72" s="16"/>
      <c r="YT72" s="16"/>
      <c r="YU72" s="16"/>
      <c r="YV72" s="16"/>
      <c r="YW72" s="16"/>
      <c r="YX72" s="16"/>
      <c r="YY72" s="16"/>
      <c r="YZ72" s="16"/>
      <c r="ZA72" s="16"/>
      <c r="ZB72" s="16"/>
      <c r="ZC72" s="16"/>
      <c r="ZD72" s="16"/>
      <c r="ZE72" s="16"/>
      <c r="ZF72" s="16"/>
      <c r="ZG72" s="16"/>
      <c r="ZH72" s="16"/>
      <c r="ZI72" s="16"/>
      <c r="ZJ72" s="16"/>
      <c r="ZK72" s="16"/>
      <c r="ZL72" s="16"/>
      <c r="ZM72" s="16"/>
      <c r="ZN72" s="16"/>
      <c r="ZO72" s="16"/>
      <c r="ZP72" s="16"/>
      <c r="ZQ72" s="16"/>
      <c r="ZR72" s="16"/>
      <c r="ZS72" s="16"/>
      <c r="ZT72" s="16"/>
      <c r="ZU72" s="16"/>
      <c r="ZV72" s="16"/>
      <c r="ZW72" s="16"/>
      <c r="ZX72" s="16"/>
      <c r="ZY72" s="16"/>
      <c r="ZZ72" s="16"/>
      <c r="AAA72" s="16"/>
      <c r="AAB72" s="16"/>
      <c r="AAC72" s="16"/>
      <c r="AAD72" s="16"/>
      <c r="AAE72" s="16"/>
      <c r="AAF72" s="16"/>
      <c r="AAG72" s="16"/>
      <c r="AAH72" s="16"/>
      <c r="AAI72" s="16"/>
      <c r="AAJ72" s="16"/>
      <c r="AAK72" s="16"/>
      <c r="AAL72" s="16"/>
      <c r="AAM72" s="16"/>
      <c r="AAN72" s="16"/>
      <c r="AAO72" s="16"/>
      <c r="AAP72" s="16"/>
      <c r="AAQ72" s="16"/>
      <c r="AAR72" s="16"/>
      <c r="AAS72" s="16"/>
      <c r="AAT72" s="16"/>
      <c r="AAU72" s="16"/>
      <c r="AAV72" s="16"/>
      <c r="AAW72" s="16"/>
      <c r="AAX72" s="16"/>
      <c r="AAY72" s="16"/>
      <c r="AAZ72" s="16"/>
      <c r="ABA72" s="16"/>
      <c r="ABB72" s="16"/>
      <c r="ABC72" s="16"/>
      <c r="ABD72" s="16"/>
      <c r="ABE72" s="16"/>
      <c r="ABF72" s="16"/>
      <c r="ABG72" s="16"/>
      <c r="ABH72" s="16"/>
      <c r="ABI72" s="16"/>
      <c r="ABJ72" s="16"/>
      <c r="ABK72" s="16"/>
      <c r="ABL72" s="16"/>
      <c r="ABM72" s="16"/>
      <c r="ABN72" s="16"/>
      <c r="ABO72" s="16"/>
      <c r="ABP72" s="16"/>
      <c r="ABQ72" s="16"/>
      <c r="ABR72" s="16"/>
      <c r="ABS72" s="16"/>
      <c r="ABT72" s="16"/>
      <c r="ABU72" s="16"/>
      <c r="ABV72" s="16"/>
      <c r="ABW72" s="16"/>
      <c r="ABX72" s="16"/>
      <c r="ABY72" s="16"/>
      <c r="ABZ72" s="16"/>
      <c r="ACA72" s="16"/>
      <c r="ACB72" s="16"/>
      <c r="ACC72" s="16"/>
      <c r="ACD72" s="16"/>
      <c r="ACE72" s="16"/>
      <c r="ACF72" s="16"/>
      <c r="ACG72" s="16"/>
      <c r="ACH72" s="16"/>
      <c r="ACI72" s="16"/>
      <c r="ACJ72" s="16"/>
      <c r="ACK72" s="16"/>
      <c r="ACL72" s="16"/>
      <c r="ACM72" s="16"/>
      <c r="ACN72" s="16"/>
      <c r="ACO72" s="16"/>
      <c r="ACP72" s="16"/>
      <c r="ACQ72" s="16"/>
      <c r="ACR72" s="16"/>
      <c r="ACS72" s="16"/>
      <c r="ACT72" s="16"/>
      <c r="ACU72" s="16"/>
      <c r="ACV72" s="16"/>
      <c r="ACW72" s="16"/>
      <c r="ACX72" s="16"/>
      <c r="ACY72" s="16"/>
      <c r="ACZ72" s="16"/>
      <c r="ADA72" s="16"/>
      <c r="ADB72" s="16"/>
      <c r="ADC72" s="16"/>
      <c r="ADD72" s="16"/>
      <c r="ADE72" s="16"/>
      <c r="ADF72" s="16"/>
      <c r="ADG72" s="16"/>
      <c r="ADH72" s="16"/>
      <c r="ADI72" s="16"/>
      <c r="ADJ72" s="16"/>
      <c r="ADK72" s="16"/>
      <c r="ADL72" s="16"/>
      <c r="ADM72" s="16"/>
      <c r="ADN72" s="16"/>
      <c r="ADO72" s="16"/>
      <c r="ADP72" s="16"/>
      <c r="ADQ72" s="16"/>
      <c r="ADR72" s="16"/>
      <c r="ADS72" s="16"/>
      <c r="ADT72" s="16"/>
      <c r="ADU72" s="16"/>
      <c r="ADV72" s="16"/>
      <c r="ADW72" s="16"/>
      <c r="ADX72" s="16"/>
      <c r="ADY72" s="16"/>
      <c r="ADZ72" s="16"/>
      <c r="AEA72" s="16"/>
      <c r="AEB72" s="16"/>
      <c r="AEC72" s="16"/>
      <c r="AED72" s="16"/>
      <c r="AEE72" s="16"/>
      <c r="AEF72" s="16"/>
      <c r="AEG72" s="16"/>
      <c r="AEH72" s="16"/>
      <c r="AEI72" s="16"/>
      <c r="AEJ72" s="16"/>
      <c r="AEK72" s="16"/>
      <c r="AEL72" s="16"/>
      <c r="AEM72" s="16"/>
      <c r="AEN72" s="16"/>
      <c r="AEO72" s="16"/>
      <c r="AEP72" s="16"/>
      <c r="AEQ72" s="16"/>
      <c r="AER72" s="16"/>
      <c r="AES72" s="16"/>
      <c r="AET72" s="16"/>
      <c r="AEU72" s="16"/>
      <c r="AEV72" s="16"/>
      <c r="AEW72" s="16"/>
      <c r="AEX72" s="16"/>
      <c r="AEY72" s="16"/>
      <c r="AEZ72" s="16"/>
      <c r="AFA72" s="16"/>
      <c r="AFB72" s="16"/>
      <c r="AFC72" s="16"/>
      <c r="AFD72" s="16"/>
      <c r="AFE72" s="16"/>
      <c r="AFF72" s="16"/>
      <c r="AFG72" s="16"/>
      <c r="AFH72" s="16"/>
      <c r="AFI72" s="16"/>
      <c r="AFJ72" s="16"/>
      <c r="AFK72" s="16"/>
      <c r="AFL72" s="16"/>
      <c r="AFM72" s="16"/>
      <c r="AFN72" s="16"/>
      <c r="AFO72" s="16"/>
      <c r="AFP72" s="16"/>
      <c r="AFQ72" s="16"/>
      <c r="AFR72" s="16"/>
      <c r="AFS72" s="16"/>
      <c r="AFT72" s="16"/>
      <c r="AFU72" s="16"/>
      <c r="AFV72" s="16"/>
      <c r="AFW72" s="16"/>
      <c r="AFX72" s="16"/>
      <c r="AFY72" s="16"/>
      <c r="AFZ72" s="16"/>
      <c r="AGA72" s="16"/>
      <c r="AGB72" s="16"/>
      <c r="AGC72" s="16"/>
      <c r="AGD72" s="16"/>
      <c r="AGE72" s="16"/>
      <c r="AGF72" s="16"/>
      <c r="AGG72" s="16"/>
      <c r="AGH72" s="16"/>
      <c r="AGI72" s="16"/>
      <c r="AGJ72" s="16"/>
      <c r="AGK72" s="16"/>
      <c r="AGL72" s="16"/>
      <c r="AGM72" s="16"/>
      <c r="AGN72" s="16"/>
      <c r="AGO72" s="16"/>
      <c r="AGP72" s="16"/>
      <c r="AGQ72" s="16"/>
      <c r="AGR72" s="16"/>
      <c r="AGS72" s="16"/>
      <c r="AGT72" s="16"/>
      <c r="AGU72" s="16"/>
      <c r="AGV72" s="16"/>
      <c r="AGW72" s="16"/>
      <c r="AGX72" s="16"/>
      <c r="AGY72" s="16"/>
      <c r="AGZ72" s="16"/>
      <c r="AHA72" s="16"/>
      <c r="AHB72" s="16"/>
      <c r="AHC72" s="16"/>
      <c r="AHD72" s="16"/>
      <c r="AHE72" s="16"/>
      <c r="AHF72" s="16"/>
      <c r="AHG72" s="16"/>
      <c r="AHH72" s="16"/>
      <c r="AHI72" s="16"/>
      <c r="AHJ72" s="16"/>
      <c r="AHK72" s="16"/>
      <c r="AHL72" s="16"/>
      <c r="AHM72" s="16"/>
      <c r="AHN72" s="16"/>
      <c r="AHO72" s="16"/>
      <c r="AHP72" s="16"/>
      <c r="AHQ72" s="16"/>
      <c r="AHR72" s="16"/>
      <c r="AHS72" s="16"/>
      <c r="AHT72" s="16"/>
      <c r="AHU72" s="16"/>
      <c r="AHV72" s="16"/>
      <c r="AHW72" s="16"/>
      <c r="AHX72" s="16"/>
      <c r="AHY72" s="16"/>
      <c r="AHZ72" s="16"/>
      <c r="AIA72" s="16"/>
      <c r="AIB72" s="16"/>
      <c r="AIC72" s="16"/>
      <c r="AID72" s="16"/>
      <c r="AIE72" s="16"/>
      <c r="AIF72" s="16"/>
      <c r="AIG72" s="16"/>
      <c r="AIH72" s="16"/>
      <c r="AII72" s="16"/>
      <c r="AIJ72" s="16"/>
      <c r="AIK72" s="16"/>
      <c r="AIL72" s="16"/>
      <c r="AIM72" s="16"/>
      <c r="AIN72" s="16"/>
      <c r="AIO72" s="16"/>
      <c r="AIP72" s="16"/>
      <c r="AIQ72" s="16"/>
      <c r="AIR72" s="16"/>
      <c r="AIS72" s="16"/>
      <c r="AIT72" s="16"/>
      <c r="AIU72" s="16"/>
      <c r="AIV72" s="16"/>
      <c r="AIW72" s="16"/>
      <c r="AIX72" s="16"/>
      <c r="AIY72" s="16"/>
      <c r="AIZ72" s="16"/>
      <c r="AJA72" s="16"/>
      <c r="AJB72" s="16"/>
      <c r="AJC72" s="16"/>
      <c r="AJD72" s="16"/>
      <c r="AJE72" s="16"/>
      <c r="AJF72" s="16"/>
      <c r="AJG72" s="16"/>
      <c r="AJH72" s="16"/>
      <c r="AJI72" s="16"/>
      <c r="AJJ72" s="16"/>
      <c r="AJK72" s="16"/>
      <c r="AJL72" s="16"/>
      <c r="AJM72" s="16"/>
      <c r="AJN72" s="16"/>
      <c r="AJO72" s="16"/>
      <c r="AJP72" s="16"/>
      <c r="AJQ72" s="16"/>
      <c r="AJR72" s="16"/>
      <c r="AJS72" s="16"/>
      <c r="AJT72" s="16"/>
      <c r="AJU72" s="16"/>
      <c r="AJV72" s="16"/>
      <c r="AJW72" s="16"/>
      <c r="AJX72" s="16"/>
      <c r="AJY72" s="16"/>
      <c r="AJZ72" s="16"/>
      <c r="AKA72" s="16"/>
      <c r="AKB72" s="16"/>
      <c r="AKC72" s="16"/>
      <c r="AKD72" s="16"/>
      <c r="AKE72" s="16"/>
      <c r="AKF72" s="16"/>
      <c r="AKG72" s="16"/>
      <c r="AKH72" s="16"/>
      <c r="AKI72" s="16"/>
      <c r="AKJ72" s="16"/>
      <c r="AKK72" s="16"/>
      <c r="AKL72" s="16"/>
      <c r="AKM72" s="16"/>
      <c r="AKN72" s="16"/>
      <c r="AKO72" s="16"/>
      <c r="AKP72" s="16"/>
      <c r="AKQ72" s="16"/>
      <c r="AKR72" s="16"/>
      <c r="AKS72" s="16"/>
      <c r="AKT72" s="16"/>
      <c r="AKU72" s="16"/>
      <c r="AKV72" s="16"/>
      <c r="AKW72" s="16"/>
      <c r="AKX72" s="16"/>
      <c r="AKY72" s="16"/>
      <c r="AKZ72" s="16"/>
      <c r="ALA72" s="16"/>
      <c r="ALB72" s="16"/>
      <c r="ALC72" s="16"/>
      <c r="ALD72" s="16"/>
      <c r="ALE72" s="16"/>
      <c r="ALF72" s="16"/>
      <c r="ALG72" s="16"/>
      <c r="ALH72" s="16"/>
      <c r="ALI72" s="16"/>
      <c r="ALJ72" s="16"/>
      <c r="ALK72" s="16"/>
      <c r="ALL72" s="16"/>
      <c r="ALM72" s="16"/>
      <c r="ALN72" s="16"/>
      <c r="ALO72" s="16"/>
      <c r="ALP72" s="16"/>
      <c r="ALQ72" s="16"/>
      <c r="ALR72" s="16"/>
      <c r="ALS72" s="16"/>
      <c r="ALT72" s="16"/>
      <c r="ALU72" s="16"/>
      <c r="ALV72" s="16"/>
      <c r="ALW72" s="16"/>
      <c r="ALX72" s="16"/>
      <c r="ALY72" s="16"/>
      <c r="ALZ72" s="16"/>
      <c r="AMA72" s="16"/>
      <c r="AMB72" s="16"/>
      <c r="AMC72" s="16"/>
      <c r="AMD72" s="16"/>
      <c r="AME72" s="16"/>
      <c r="AMF72" s="16"/>
      <c r="AMG72" s="16"/>
      <c r="AMH72" s="16"/>
      <c r="AMI72" s="16"/>
      <c r="AMJ72" s="16"/>
      <c r="AMK72" s="16"/>
      <c r="AML72" s="16"/>
      <c r="AMM72" s="16"/>
      <c r="AMN72" s="16"/>
      <c r="AMO72" s="16"/>
      <c r="AMP72" s="16"/>
      <c r="AMQ72" s="16"/>
      <c r="AMR72" s="16"/>
      <c r="AMS72" s="16"/>
      <c r="AMT72" s="16"/>
      <c r="AMU72" s="16"/>
      <c r="AMV72" s="16"/>
      <c r="AMW72" s="16"/>
      <c r="AMX72" s="16"/>
      <c r="AMY72" s="16"/>
      <c r="AMZ72" s="16"/>
      <c r="ANA72" s="16"/>
      <c r="ANB72" s="16"/>
      <c r="ANC72" s="16"/>
      <c r="AND72" s="16"/>
      <c r="ANE72" s="16"/>
      <c r="ANF72" s="16"/>
      <c r="ANG72" s="16"/>
      <c r="ANH72" s="16"/>
      <c r="ANI72" s="16"/>
      <c r="ANJ72" s="16"/>
      <c r="ANK72" s="16"/>
      <c r="ANL72" s="16"/>
      <c r="ANM72" s="16"/>
      <c r="ANN72" s="16"/>
      <c r="ANO72" s="16"/>
      <c r="ANP72" s="16"/>
      <c r="ANQ72" s="16"/>
      <c r="ANR72" s="16"/>
      <c r="ANS72" s="16"/>
      <c r="ANT72" s="16"/>
      <c r="ANU72" s="16"/>
      <c r="ANV72" s="16"/>
      <c r="ANW72" s="16"/>
      <c r="ANX72" s="16"/>
      <c r="ANY72" s="16"/>
      <c r="ANZ72" s="16"/>
      <c r="AOA72" s="16"/>
      <c r="AOB72" s="16"/>
      <c r="AOC72" s="16"/>
      <c r="AOD72" s="16"/>
      <c r="AOE72" s="16"/>
      <c r="AOF72" s="16"/>
      <c r="AOG72" s="16"/>
      <c r="AOH72" s="16"/>
      <c r="AOI72" s="16"/>
      <c r="AOJ72" s="16"/>
      <c r="AOK72" s="16"/>
      <c r="AOL72" s="16"/>
      <c r="AOM72" s="16"/>
      <c r="AON72" s="16"/>
      <c r="AOO72" s="16"/>
      <c r="AOP72" s="16"/>
      <c r="AOQ72" s="16"/>
      <c r="AOR72" s="16"/>
      <c r="AOS72" s="16"/>
      <c r="AOT72" s="16"/>
      <c r="AOU72" s="16"/>
      <c r="AOV72" s="16"/>
      <c r="AOW72" s="16"/>
      <c r="AOX72" s="16"/>
      <c r="AOY72" s="16"/>
      <c r="AOZ72" s="16"/>
      <c r="APA72" s="16"/>
      <c r="APB72" s="16"/>
      <c r="APC72" s="16"/>
      <c r="APD72" s="16"/>
      <c r="APE72" s="16"/>
      <c r="APF72" s="16"/>
      <c r="APG72" s="16"/>
      <c r="APH72" s="16"/>
      <c r="API72" s="16"/>
      <c r="APJ72" s="16"/>
      <c r="APK72" s="16"/>
      <c r="APL72" s="16"/>
      <c r="APM72" s="16"/>
      <c r="APN72" s="16"/>
      <c r="APO72" s="16"/>
      <c r="APP72" s="16"/>
      <c r="APQ72" s="16"/>
      <c r="APR72" s="16"/>
      <c r="APS72" s="16"/>
      <c r="APT72" s="16"/>
      <c r="APU72" s="16"/>
      <c r="APV72" s="16"/>
      <c r="APW72" s="16"/>
      <c r="APX72" s="16"/>
      <c r="APY72" s="16"/>
      <c r="APZ72" s="16"/>
      <c r="AQA72" s="16"/>
      <c r="AQB72" s="16"/>
      <c r="AQC72" s="16"/>
      <c r="AQD72" s="16"/>
      <c r="AQE72" s="16"/>
      <c r="AQF72" s="16"/>
      <c r="AQG72" s="16"/>
      <c r="AQH72" s="16"/>
      <c r="AQI72" s="16"/>
      <c r="AQJ72" s="16"/>
      <c r="AQK72" s="16"/>
      <c r="AQL72" s="16"/>
      <c r="AQM72" s="16"/>
      <c r="AQN72" s="16"/>
      <c r="AQO72" s="16"/>
      <c r="AQP72" s="16"/>
      <c r="AQQ72" s="16"/>
      <c r="AQR72" s="16"/>
      <c r="AQS72" s="16"/>
      <c r="AQT72" s="16"/>
      <c r="AQU72" s="16"/>
      <c r="AQV72" s="16"/>
      <c r="AQW72" s="16"/>
      <c r="AQX72" s="16"/>
      <c r="AQY72" s="16"/>
      <c r="AQZ72" s="16"/>
      <c r="ARA72" s="16"/>
      <c r="ARB72" s="16"/>
      <c r="ARC72" s="16"/>
      <c r="ARD72" s="16"/>
      <c r="ARE72" s="16"/>
      <c r="ARF72" s="16"/>
      <c r="ARG72" s="16"/>
      <c r="ARH72" s="16"/>
      <c r="ARI72" s="16"/>
      <c r="ARJ72" s="16"/>
      <c r="ARK72" s="16"/>
      <c r="ARL72" s="16"/>
      <c r="ARM72" s="16"/>
      <c r="ARN72" s="16"/>
      <c r="ARO72" s="16"/>
      <c r="ARP72" s="16"/>
      <c r="ARQ72" s="16"/>
      <c r="ARR72" s="16"/>
      <c r="ARS72" s="16"/>
      <c r="ART72" s="16"/>
      <c r="ARU72" s="16"/>
      <c r="ARV72" s="16"/>
      <c r="ARW72" s="16"/>
      <c r="ARX72" s="16"/>
      <c r="ARY72" s="16"/>
      <c r="ARZ72" s="16"/>
      <c r="ASA72" s="16"/>
      <c r="ASB72" s="16"/>
      <c r="ASC72" s="16"/>
      <c r="ASD72" s="16"/>
      <c r="ASE72" s="16"/>
      <c r="ASF72" s="16"/>
      <c r="ASG72" s="16"/>
      <c r="ASH72" s="16"/>
      <c r="ASI72" s="16"/>
      <c r="ASJ72" s="16"/>
      <c r="ASK72" s="16"/>
      <c r="ASL72" s="16"/>
      <c r="ASM72" s="16"/>
      <c r="ASN72" s="16"/>
      <c r="ASO72" s="16"/>
      <c r="ASP72" s="16"/>
      <c r="ASQ72" s="16"/>
      <c r="ASR72" s="16"/>
      <c r="ASS72" s="16"/>
      <c r="AST72" s="16"/>
      <c r="ASU72" s="16"/>
      <c r="ASV72" s="16"/>
      <c r="ASW72" s="16"/>
      <c r="ASX72" s="16"/>
      <c r="ASY72" s="16"/>
      <c r="ASZ72" s="16"/>
      <c r="ATA72" s="16"/>
      <c r="ATB72" s="16"/>
      <c r="ATC72" s="16"/>
      <c r="ATD72" s="16"/>
      <c r="ATE72" s="16"/>
      <c r="ATF72" s="16"/>
      <c r="ATG72" s="16"/>
      <c r="ATH72" s="16"/>
      <c r="ATI72" s="16"/>
      <c r="ATJ72" s="16"/>
      <c r="ATK72" s="16"/>
      <c r="ATL72" s="16"/>
      <c r="ATM72" s="16"/>
      <c r="ATN72" s="16"/>
      <c r="ATO72" s="16"/>
      <c r="ATP72" s="16"/>
      <c r="ATQ72" s="16"/>
      <c r="ATR72" s="16"/>
      <c r="ATS72" s="16"/>
      <c r="ATT72" s="16"/>
      <c r="ATU72" s="16"/>
      <c r="ATV72" s="16"/>
      <c r="ATW72" s="16"/>
      <c r="ATX72" s="16"/>
      <c r="ATY72" s="16"/>
      <c r="ATZ72" s="16"/>
      <c r="AUA72" s="16"/>
      <c r="AUB72" s="16"/>
      <c r="AUC72" s="16"/>
      <c r="AUD72" s="16"/>
      <c r="AUE72" s="16"/>
      <c r="AUF72" s="16"/>
      <c r="AUG72" s="16"/>
      <c r="AUH72" s="16"/>
      <c r="AUI72" s="16"/>
      <c r="AUJ72" s="16"/>
      <c r="AUK72" s="16"/>
      <c r="AUL72" s="16"/>
      <c r="AUM72" s="16"/>
      <c r="AUN72" s="16"/>
      <c r="AUO72" s="16"/>
      <c r="AUP72" s="16"/>
      <c r="AUQ72" s="16"/>
      <c r="AUR72" s="16"/>
      <c r="AUS72" s="16"/>
      <c r="AUT72" s="16"/>
      <c r="AUU72" s="16"/>
      <c r="AUV72" s="16"/>
      <c r="AUW72" s="16"/>
      <c r="AUX72" s="16"/>
      <c r="AUY72" s="16"/>
      <c r="AUZ72" s="16"/>
      <c r="AVA72" s="16"/>
      <c r="AVB72" s="16"/>
      <c r="AVC72" s="16"/>
      <c r="AVD72" s="16"/>
      <c r="AVE72" s="16"/>
      <c r="AVF72" s="16"/>
      <c r="AVG72" s="16"/>
      <c r="AVH72" s="16"/>
      <c r="AVI72" s="16"/>
      <c r="AVJ72" s="16"/>
      <c r="AVK72" s="16"/>
      <c r="AVL72" s="16"/>
      <c r="AVM72" s="16"/>
      <c r="AVN72" s="16"/>
      <c r="AVO72" s="16"/>
      <c r="AVP72" s="16"/>
      <c r="AVQ72" s="16"/>
      <c r="AVR72" s="16"/>
      <c r="AVS72" s="16"/>
      <c r="AVT72" s="16"/>
      <c r="AVU72" s="16"/>
      <c r="AVV72" s="16"/>
      <c r="AVW72" s="16"/>
      <c r="AVX72" s="16"/>
      <c r="AVY72" s="16"/>
      <c r="AVZ72" s="16"/>
      <c r="AWA72" s="16"/>
      <c r="AWB72" s="16"/>
      <c r="AWC72" s="16"/>
      <c r="AWD72" s="16"/>
      <c r="AWE72" s="16"/>
      <c r="AWF72" s="16"/>
      <c r="AWG72" s="16"/>
      <c r="AWH72" s="16"/>
      <c r="AWI72" s="16"/>
      <c r="AWJ72" s="16"/>
      <c r="AWK72" s="16"/>
      <c r="AWL72" s="16"/>
      <c r="AWM72" s="16"/>
      <c r="AWN72" s="16"/>
      <c r="AWO72" s="16"/>
      <c r="AWP72" s="16"/>
      <c r="AWQ72" s="16"/>
      <c r="AWR72" s="16"/>
      <c r="AWS72" s="16"/>
      <c r="AWT72" s="16"/>
      <c r="AWU72" s="16"/>
      <c r="AWV72" s="16"/>
      <c r="AWW72" s="16"/>
      <c r="AWX72" s="16"/>
      <c r="AWY72" s="16"/>
      <c r="AWZ72" s="16"/>
      <c r="AXA72" s="16"/>
      <c r="AXB72" s="16"/>
      <c r="AXC72" s="16"/>
      <c r="AXD72" s="16"/>
      <c r="AXE72" s="16"/>
      <c r="AXF72" s="16"/>
      <c r="AXG72" s="16"/>
      <c r="AXH72" s="16"/>
      <c r="AXI72" s="16"/>
      <c r="AXJ72" s="16"/>
      <c r="AXK72" s="16"/>
      <c r="AXL72" s="16"/>
      <c r="AXM72" s="16"/>
      <c r="AXN72" s="16"/>
      <c r="AXO72" s="16"/>
      <c r="AXP72" s="16"/>
      <c r="AXQ72" s="16"/>
      <c r="AXR72" s="16"/>
      <c r="AXS72" s="16"/>
      <c r="AXT72" s="16"/>
      <c r="AXU72" s="16"/>
      <c r="AXV72" s="16"/>
      <c r="AXW72" s="16"/>
      <c r="AXX72" s="16"/>
      <c r="AXY72" s="16"/>
      <c r="AXZ72" s="16"/>
      <c r="AYA72" s="16"/>
      <c r="AYB72" s="16"/>
      <c r="AYC72" s="16"/>
      <c r="AYD72" s="16"/>
      <c r="AYE72" s="16"/>
      <c r="AYF72" s="16"/>
      <c r="AYG72" s="16"/>
      <c r="AYH72" s="16"/>
      <c r="AYI72" s="16"/>
      <c r="AYJ72" s="16"/>
      <c r="AYK72" s="16"/>
      <c r="AYL72" s="16"/>
      <c r="AYM72" s="16"/>
      <c r="AYN72" s="16"/>
      <c r="AYO72" s="16"/>
      <c r="AYP72" s="16"/>
      <c r="AYQ72" s="16"/>
      <c r="AYR72" s="16"/>
      <c r="AYS72" s="16"/>
      <c r="AYT72" s="16"/>
      <c r="AYU72" s="16"/>
      <c r="AYV72" s="16"/>
      <c r="AYW72" s="16"/>
      <c r="AYX72" s="16"/>
      <c r="AYY72" s="16"/>
      <c r="AYZ72" s="16"/>
      <c r="AZA72" s="16"/>
      <c r="AZB72" s="16"/>
      <c r="AZC72" s="16"/>
      <c r="AZD72" s="16"/>
      <c r="AZE72" s="16"/>
      <c r="AZF72" s="16"/>
      <c r="AZG72" s="16"/>
      <c r="AZH72" s="16"/>
      <c r="AZI72" s="16"/>
      <c r="AZJ72" s="16"/>
      <c r="AZK72" s="16"/>
      <c r="AZL72" s="16"/>
      <c r="AZM72" s="16"/>
      <c r="AZN72" s="16"/>
      <c r="AZO72" s="16"/>
      <c r="AZP72" s="16"/>
      <c r="AZQ72" s="16"/>
      <c r="AZR72" s="16"/>
      <c r="AZS72" s="16"/>
      <c r="AZT72" s="16"/>
      <c r="AZU72" s="16"/>
      <c r="AZV72" s="16"/>
      <c r="AZW72" s="16"/>
      <c r="AZX72" s="16"/>
      <c r="AZY72" s="16"/>
      <c r="AZZ72" s="16"/>
      <c r="BAA72" s="16"/>
      <c r="BAB72" s="16"/>
      <c r="BAC72" s="16"/>
      <c r="BAD72" s="16"/>
      <c r="BAE72" s="16"/>
      <c r="BAF72" s="16"/>
      <c r="BAG72" s="16"/>
      <c r="BAH72" s="16"/>
      <c r="BAI72" s="16"/>
      <c r="BAJ72" s="16"/>
      <c r="BAK72" s="16"/>
      <c r="BAL72" s="16"/>
      <c r="BAM72" s="16"/>
      <c r="BAN72" s="16"/>
      <c r="BAO72" s="16"/>
      <c r="BAP72" s="16"/>
      <c r="BAQ72" s="16"/>
      <c r="BAR72" s="16"/>
      <c r="BAS72" s="16"/>
      <c r="BAT72" s="16"/>
      <c r="BAU72" s="16"/>
      <c r="BAV72" s="16"/>
      <c r="BAW72" s="16"/>
      <c r="BAX72" s="16"/>
      <c r="BAY72" s="16"/>
      <c r="BAZ72" s="16"/>
      <c r="BBA72" s="16"/>
      <c r="BBB72" s="16"/>
      <c r="BBC72" s="16"/>
      <c r="BBD72" s="16"/>
      <c r="BBE72" s="16"/>
      <c r="BBF72" s="16"/>
      <c r="BBG72" s="16"/>
      <c r="BBH72" s="16"/>
      <c r="BBI72" s="16"/>
      <c r="BBJ72" s="16"/>
      <c r="BBK72" s="16"/>
      <c r="BBL72" s="16"/>
      <c r="BBM72" s="16"/>
      <c r="BBN72" s="16"/>
      <c r="BBO72" s="16"/>
      <c r="BBP72" s="16"/>
      <c r="BBQ72" s="16"/>
      <c r="BBR72" s="16"/>
      <c r="BBS72" s="16"/>
      <c r="BBT72" s="16"/>
      <c r="BBU72" s="16"/>
      <c r="BBV72" s="16"/>
      <c r="BBW72" s="16"/>
      <c r="BBX72" s="16"/>
      <c r="BBY72" s="16"/>
      <c r="BBZ72" s="16"/>
      <c r="BCA72" s="16"/>
      <c r="BCB72" s="16"/>
      <c r="BCC72" s="16"/>
      <c r="BCD72" s="16"/>
      <c r="BCE72" s="16"/>
      <c r="BCF72" s="16"/>
      <c r="BCG72" s="16"/>
      <c r="BCH72" s="16"/>
      <c r="BCI72" s="16"/>
      <c r="BCJ72" s="16"/>
      <c r="BCK72" s="16"/>
      <c r="BCL72" s="16"/>
      <c r="BCM72" s="16"/>
      <c r="BCN72" s="16"/>
      <c r="BCO72" s="16"/>
      <c r="BCP72" s="16"/>
      <c r="BCQ72" s="16"/>
      <c r="BCR72" s="16"/>
      <c r="BCS72" s="16"/>
      <c r="BCT72" s="16"/>
      <c r="BCU72" s="16"/>
      <c r="BCV72" s="16"/>
      <c r="BCW72" s="16"/>
      <c r="BCX72" s="16"/>
      <c r="BCY72" s="16"/>
      <c r="BCZ72" s="16"/>
      <c r="BDA72" s="16"/>
      <c r="BDB72" s="16"/>
      <c r="BDC72" s="16"/>
      <c r="BDD72" s="16"/>
      <c r="BDE72" s="16"/>
      <c r="BDF72" s="16"/>
      <c r="BDG72" s="16"/>
      <c r="BDH72" s="16"/>
      <c r="BDI72" s="16"/>
      <c r="BDJ72" s="16"/>
      <c r="BDK72" s="16"/>
      <c r="BDL72" s="16"/>
      <c r="BDM72" s="16"/>
      <c r="BDN72" s="16"/>
      <c r="BDO72" s="16"/>
      <c r="BDP72" s="16"/>
      <c r="BDQ72" s="16"/>
      <c r="BDR72" s="16"/>
      <c r="BDS72" s="16"/>
      <c r="BDT72" s="16"/>
      <c r="BDU72" s="16"/>
      <c r="BDV72" s="16"/>
      <c r="BDW72" s="16"/>
      <c r="BDX72" s="16"/>
      <c r="BDY72" s="16"/>
      <c r="BDZ72" s="16"/>
      <c r="BEA72" s="16"/>
      <c r="BEB72" s="16"/>
      <c r="BEC72" s="16"/>
      <c r="BED72" s="16"/>
      <c r="BEE72" s="16"/>
      <c r="BEF72" s="16"/>
      <c r="BEG72" s="16"/>
      <c r="BEH72" s="16"/>
      <c r="BEI72" s="16"/>
      <c r="BEJ72" s="16"/>
      <c r="BEK72" s="16"/>
      <c r="BEL72" s="16"/>
      <c r="BEM72" s="16"/>
      <c r="BEN72" s="16"/>
      <c r="BEO72" s="16"/>
      <c r="BEP72" s="16"/>
      <c r="BEQ72" s="16"/>
      <c r="BER72" s="16"/>
      <c r="BES72" s="16"/>
      <c r="BET72" s="16"/>
      <c r="BEU72" s="16"/>
      <c r="BEV72" s="16"/>
      <c r="BEW72" s="16"/>
      <c r="BEX72" s="16"/>
      <c r="BEY72" s="16"/>
      <c r="BEZ72" s="16"/>
      <c r="BFA72" s="16"/>
      <c r="BFB72" s="16"/>
      <c r="BFC72" s="16"/>
      <c r="BFD72" s="16"/>
      <c r="BFE72" s="16"/>
      <c r="BFF72" s="16"/>
      <c r="BFG72" s="16"/>
      <c r="BFH72" s="16"/>
      <c r="BFI72" s="16"/>
      <c r="BFJ72" s="16"/>
      <c r="BFK72" s="16"/>
      <c r="BFL72" s="16"/>
      <c r="BFM72" s="16"/>
      <c r="BFN72" s="16"/>
      <c r="BFO72" s="16"/>
      <c r="BFP72" s="16"/>
      <c r="BFQ72" s="16"/>
      <c r="BFR72" s="16"/>
      <c r="BFS72" s="16"/>
      <c r="BFT72" s="16"/>
      <c r="BFU72" s="16"/>
      <c r="BFV72" s="16"/>
      <c r="BFW72" s="16"/>
      <c r="BFX72" s="16"/>
      <c r="BFY72" s="16"/>
      <c r="BFZ72" s="16"/>
      <c r="BGA72" s="16"/>
      <c r="BGB72" s="16"/>
      <c r="BGC72" s="16"/>
      <c r="BGD72" s="16"/>
      <c r="BGE72" s="16"/>
      <c r="BGF72" s="16"/>
      <c r="BGG72" s="16"/>
      <c r="BGH72" s="16"/>
      <c r="BGI72" s="16"/>
      <c r="BGJ72" s="16"/>
      <c r="BGK72" s="16"/>
      <c r="BGL72" s="16"/>
      <c r="BGM72" s="16"/>
      <c r="BGN72" s="16"/>
      <c r="BGO72" s="16"/>
      <c r="BGP72" s="16"/>
      <c r="BGQ72" s="16"/>
      <c r="BGR72" s="16"/>
      <c r="BGS72" s="16"/>
      <c r="BGT72" s="16"/>
      <c r="BGU72" s="16"/>
      <c r="BGV72" s="16"/>
      <c r="BGW72" s="16"/>
      <c r="BGX72" s="16"/>
      <c r="BGY72" s="16"/>
      <c r="BGZ72" s="16"/>
      <c r="BHA72" s="16"/>
      <c r="BHB72" s="16"/>
      <c r="BHC72" s="16"/>
      <c r="BHD72" s="16"/>
      <c r="BHE72" s="16"/>
      <c r="BHF72" s="16"/>
      <c r="BHG72" s="16"/>
      <c r="BHH72" s="16"/>
      <c r="BHI72" s="16"/>
      <c r="BHJ72" s="16"/>
      <c r="BHK72" s="16"/>
      <c r="BHL72" s="16"/>
      <c r="BHM72" s="16"/>
      <c r="BHN72" s="16"/>
      <c r="BHO72" s="16"/>
      <c r="BHP72" s="16"/>
      <c r="BHQ72" s="16"/>
      <c r="BHR72" s="16"/>
      <c r="BHS72" s="16"/>
      <c r="BHT72" s="16"/>
      <c r="BHU72" s="16"/>
      <c r="BHV72" s="16"/>
      <c r="BHW72" s="16"/>
      <c r="BHX72" s="16"/>
      <c r="BHY72" s="16"/>
      <c r="BHZ72" s="16"/>
      <c r="BIA72" s="16"/>
      <c r="BIB72" s="16"/>
      <c r="BIC72" s="16"/>
      <c r="BID72" s="16"/>
      <c r="BIE72" s="16"/>
      <c r="BIF72" s="16"/>
      <c r="BIG72" s="16"/>
      <c r="BIH72" s="16"/>
      <c r="BII72" s="16"/>
      <c r="BIJ72" s="16"/>
      <c r="BIK72" s="16"/>
      <c r="BIL72" s="16"/>
      <c r="BIM72" s="16"/>
      <c r="BIN72" s="16"/>
      <c r="BIO72" s="16"/>
      <c r="BIP72" s="16"/>
      <c r="BIQ72" s="16"/>
      <c r="BIR72" s="16"/>
      <c r="BIS72" s="16"/>
      <c r="BIT72" s="16"/>
      <c r="BIU72" s="16"/>
      <c r="BIV72" s="16"/>
      <c r="BIW72" s="16"/>
      <c r="BIX72" s="16"/>
      <c r="BIY72" s="16"/>
      <c r="BIZ72" s="16"/>
      <c r="BJA72" s="16"/>
      <c r="BJB72" s="16"/>
      <c r="BJC72" s="16"/>
      <c r="BJD72" s="16"/>
      <c r="BJE72" s="16"/>
      <c r="BJF72" s="16"/>
      <c r="BJG72" s="16"/>
      <c r="BJH72" s="16"/>
      <c r="BJI72" s="16"/>
      <c r="BJJ72" s="16"/>
      <c r="BJK72" s="16"/>
      <c r="BJL72" s="16"/>
      <c r="BJM72" s="16"/>
      <c r="BJN72" s="16"/>
      <c r="BJO72" s="16"/>
      <c r="BJP72" s="16"/>
      <c r="BJQ72" s="16"/>
      <c r="BJR72" s="16"/>
      <c r="BJS72" s="16"/>
      <c r="BJT72" s="16"/>
      <c r="BJU72" s="16"/>
      <c r="BJV72" s="16"/>
      <c r="BJW72" s="16"/>
      <c r="BJX72" s="16"/>
      <c r="BJY72" s="16"/>
      <c r="BJZ72" s="16"/>
      <c r="BKA72" s="16"/>
      <c r="BKB72" s="16"/>
      <c r="BKC72" s="16"/>
      <c r="BKD72" s="16"/>
      <c r="BKE72" s="16"/>
      <c r="BKF72" s="16"/>
      <c r="BKG72" s="16"/>
      <c r="BKH72" s="16"/>
      <c r="BKI72" s="16"/>
      <c r="BKJ72" s="16"/>
      <c r="BKK72" s="16"/>
      <c r="BKL72" s="16"/>
      <c r="BKM72" s="16"/>
      <c r="BKN72" s="16"/>
      <c r="BKO72" s="16"/>
      <c r="BKP72" s="16"/>
      <c r="BKQ72" s="16"/>
      <c r="BKR72" s="16"/>
      <c r="BKS72" s="16"/>
      <c r="BKT72" s="16"/>
      <c r="BKU72" s="16"/>
      <c r="BKV72" s="16"/>
      <c r="BKW72" s="16"/>
      <c r="BKX72" s="16"/>
      <c r="BKY72" s="16"/>
      <c r="BKZ72" s="16"/>
      <c r="BLA72" s="16"/>
      <c r="BLB72" s="16"/>
      <c r="BLC72" s="16"/>
      <c r="BLD72" s="16"/>
      <c r="BLE72" s="16"/>
      <c r="BLF72" s="16"/>
      <c r="BLG72" s="16"/>
      <c r="BLH72" s="16"/>
      <c r="BLI72" s="16"/>
      <c r="BLJ72" s="16"/>
      <c r="BLK72" s="16"/>
      <c r="BLL72" s="16"/>
      <c r="BLM72" s="16"/>
      <c r="BLN72" s="16"/>
      <c r="BLO72" s="16"/>
      <c r="BLP72" s="16"/>
      <c r="BLQ72" s="16"/>
      <c r="BLR72" s="16"/>
      <c r="BLS72" s="16"/>
      <c r="BLT72" s="16"/>
      <c r="BLU72" s="16"/>
      <c r="BLV72" s="16"/>
      <c r="BLW72" s="16"/>
      <c r="BLX72" s="16"/>
      <c r="BLY72" s="16"/>
      <c r="BLZ72" s="16"/>
      <c r="BMA72" s="16"/>
      <c r="BMB72" s="16"/>
      <c r="BMC72" s="16"/>
      <c r="BMD72" s="16"/>
      <c r="BME72" s="16"/>
      <c r="BMF72" s="16"/>
      <c r="BMG72" s="16"/>
      <c r="BMH72" s="16"/>
      <c r="BMI72" s="16"/>
      <c r="BMJ72" s="16"/>
      <c r="BMK72" s="16"/>
      <c r="BML72" s="16"/>
      <c r="BMM72" s="16"/>
      <c r="BMN72" s="16"/>
      <c r="BMO72" s="16"/>
      <c r="BMP72" s="16"/>
      <c r="BMQ72" s="16"/>
      <c r="BMR72" s="16"/>
      <c r="BMS72" s="16"/>
      <c r="BMT72" s="16"/>
      <c r="BMU72" s="16"/>
      <c r="BMV72" s="16"/>
      <c r="BMW72" s="16"/>
      <c r="BMX72" s="16"/>
      <c r="BMY72" s="16"/>
      <c r="BMZ72" s="16"/>
      <c r="BNA72" s="16"/>
      <c r="BNB72" s="16"/>
      <c r="BNC72" s="16"/>
      <c r="BND72" s="16"/>
      <c r="BNE72" s="16"/>
      <c r="BNF72" s="16"/>
      <c r="BNG72" s="16"/>
      <c r="BNH72" s="16"/>
      <c r="BNI72" s="16"/>
      <c r="BNJ72" s="16"/>
      <c r="BNK72" s="16"/>
      <c r="BNL72" s="16"/>
      <c r="BNM72" s="16"/>
      <c r="BNN72" s="16"/>
      <c r="BNO72" s="16"/>
      <c r="BNP72" s="16"/>
      <c r="BNQ72" s="16"/>
      <c r="BNR72" s="16"/>
      <c r="BNS72" s="16"/>
      <c r="BNT72" s="16"/>
      <c r="BNU72" s="16"/>
      <c r="BNV72" s="16"/>
      <c r="BNW72" s="16"/>
      <c r="BNX72" s="16"/>
      <c r="BNY72" s="16"/>
      <c r="BNZ72" s="16"/>
      <c r="BOA72" s="16"/>
      <c r="BOB72" s="16"/>
      <c r="BOC72" s="16"/>
      <c r="BOD72" s="16"/>
      <c r="BOE72" s="16"/>
      <c r="BOF72" s="16"/>
      <c r="BOG72" s="16"/>
      <c r="BOH72" s="16"/>
      <c r="BOI72" s="16"/>
      <c r="BOJ72" s="16"/>
      <c r="BOK72" s="16"/>
      <c r="BOL72" s="16"/>
      <c r="BOM72" s="16"/>
      <c r="BON72" s="16"/>
      <c r="BOO72" s="16"/>
      <c r="BOP72" s="16"/>
      <c r="BOQ72" s="16"/>
      <c r="BOR72" s="16"/>
      <c r="BOS72" s="16"/>
      <c r="BOT72" s="16"/>
      <c r="BOU72" s="16"/>
      <c r="BOV72" s="16"/>
      <c r="BOW72" s="16"/>
      <c r="BOX72" s="16"/>
      <c r="BOY72" s="16"/>
      <c r="BOZ72" s="16"/>
      <c r="BPA72" s="16"/>
      <c r="BPB72" s="16"/>
      <c r="BPC72" s="16"/>
      <c r="BPD72" s="16"/>
      <c r="BPE72" s="16"/>
      <c r="BPF72" s="16"/>
      <c r="BPG72" s="16"/>
      <c r="BPH72" s="16"/>
      <c r="BPI72" s="16"/>
      <c r="BPJ72" s="16"/>
      <c r="BPK72" s="16"/>
      <c r="BPL72" s="16"/>
      <c r="BPM72" s="16"/>
      <c r="BPN72" s="16"/>
      <c r="BPO72" s="16"/>
      <c r="BPP72" s="16"/>
      <c r="BPQ72" s="16"/>
      <c r="BPR72" s="16"/>
      <c r="BPS72" s="16"/>
      <c r="BPT72" s="16"/>
      <c r="BPU72" s="16"/>
      <c r="BPV72" s="16"/>
      <c r="BPW72" s="16"/>
      <c r="BPX72" s="16"/>
      <c r="BPY72" s="16"/>
      <c r="BPZ72" s="16"/>
      <c r="BQA72" s="16"/>
      <c r="BQB72" s="16"/>
      <c r="BQC72" s="16"/>
      <c r="BQD72" s="16"/>
      <c r="BQE72" s="16"/>
      <c r="BQF72" s="16"/>
      <c r="BQG72" s="16"/>
      <c r="BQH72" s="16"/>
      <c r="BQI72" s="16"/>
      <c r="BQJ72" s="16"/>
      <c r="BQK72" s="16"/>
      <c r="BQL72" s="16"/>
      <c r="BQM72" s="16"/>
      <c r="BQN72" s="16"/>
      <c r="BQO72" s="16"/>
      <c r="BQP72" s="16"/>
      <c r="BQQ72" s="16"/>
      <c r="BQR72" s="16"/>
      <c r="BQS72" s="16"/>
      <c r="BQT72" s="16"/>
      <c r="BQU72" s="16"/>
      <c r="BQV72" s="16"/>
      <c r="BQW72" s="16"/>
      <c r="BQX72" s="16"/>
      <c r="BQY72" s="16"/>
      <c r="BQZ72" s="16"/>
      <c r="BRA72" s="16"/>
      <c r="BRB72" s="16"/>
      <c r="BRC72" s="16"/>
      <c r="BRD72" s="16"/>
      <c r="BRE72" s="16"/>
      <c r="BRF72" s="16"/>
      <c r="BRG72" s="16"/>
      <c r="BRH72" s="16"/>
      <c r="BRI72" s="16"/>
      <c r="BRJ72" s="16"/>
      <c r="BRK72" s="16"/>
      <c r="BRL72" s="16"/>
      <c r="BRM72" s="16"/>
      <c r="BRN72" s="16"/>
      <c r="BRO72" s="16"/>
      <c r="BRP72" s="16"/>
      <c r="BRQ72" s="16"/>
      <c r="BRR72" s="16"/>
      <c r="BRS72" s="16"/>
      <c r="BRT72" s="16"/>
      <c r="BRU72" s="16"/>
      <c r="BRV72" s="16"/>
      <c r="BRW72" s="16"/>
      <c r="BRX72" s="16"/>
      <c r="BRY72" s="16"/>
      <c r="BRZ72" s="16"/>
      <c r="BSA72" s="16"/>
      <c r="BSB72" s="16"/>
      <c r="BSC72" s="16"/>
      <c r="BSD72" s="16"/>
      <c r="BSE72" s="16"/>
      <c r="BSF72" s="16"/>
      <c r="BSG72" s="16"/>
      <c r="BSH72" s="16"/>
      <c r="BSI72" s="16"/>
      <c r="BSJ72" s="16"/>
      <c r="BSK72" s="16"/>
      <c r="BSL72" s="16"/>
      <c r="BSM72" s="16"/>
      <c r="BSN72" s="16"/>
      <c r="BSO72" s="16"/>
      <c r="BSP72" s="16"/>
      <c r="BSQ72" s="16"/>
      <c r="BSR72" s="16"/>
      <c r="BSS72" s="16"/>
      <c r="BST72" s="16"/>
      <c r="BSU72" s="16"/>
      <c r="BSV72" s="16"/>
      <c r="BSW72" s="16"/>
      <c r="BSX72" s="16"/>
      <c r="BSY72" s="16"/>
      <c r="BSZ72" s="16"/>
      <c r="BTA72" s="16"/>
      <c r="BTB72" s="16"/>
      <c r="BTC72" s="16"/>
      <c r="BTD72" s="16"/>
      <c r="BTE72" s="16"/>
      <c r="BTF72" s="16"/>
      <c r="BTG72" s="16"/>
      <c r="BTH72" s="16"/>
      <c r="BTI72" s="16"/>
      <c r="BTJ72" s="16"/>
      <c r="BTK72" s="16"/>
      <c r="BTL72" s="16"/>
      <c r="BTM72" s="16"/>
      <c r="BTN72" s="16"/>
      <c r="BTO72" s="16"/>
      <c r="BTP72" s="16"/>
      <c r="BTQ72" s="16"/>
      <c r="BTR72" s="16"/>
      <c r="BTS72" s="16"/>
      <c r="BTT72" s="16"/>
      <c r="BTU72" s="16"/>
      <c r="BTV72" s="16"/>
      <c r="BTW72" s="16"/>
      <c r="BTX72" s="16"/>
      <c r="BTY72" s="16"/>
      <c r="BTZ72" s="16"/>
      <c r="BUA72" s="16"/>
      <c r="BUB72" s="16"/>
      <c r="BUC72" s="16"/>
      <c r="BUD72" s="16"/>
      <c r="BUE72" s="16"/>
      <c r="BUF72" s="16"/>
      <c r="BUG72" s="16"/>
      <c r="BUH72" s="16"/>
      <c r="BUI72" s="16"/>
      <c r="BUJ72" s="16"/>
      <c r="BUK72" s="16"/>
      <c r="BUL72" s="16"/>
      <c r="BUM72" s="16"/>
      <c r="BUN72" s="16"/>
      <c r="BUO72" s="16"/>
      <c r="BUP72" s="16"/>
      <c r="BUQ72" s="16"/>
      <c r="BUR72" s="16"/>
      <c r="BUS72" s="16"/>
      <c r="BUT72" s="16"/>
      <c r="BUU72" s="16"/>
      <c r="BUV72" s="16"/>
      <c r="BUW72" s="16"/>
      <c r="BUX72" s="16"/>
      <c r="BUY72" s="16"/>
      <c r="BUZ72" s="16"/>
      <c r="BVA72" s="16"/>
      <c r="BVB72" s="16"/>
      <c r="BVC72" s="16"/>
      <c r="BVD72" s="16"/>
      <c r="BVE72" s="16"/>
      <c r="BVF72" s="16"/>
      <c r="BVG72" s="16"/>
      <c r="BVH72" s="16"/>
      <c r="BVI72" s="16"/>
      <c r="BVJ72" s="16"/>
      <c r="BVK72" s="16"/>
      <c r="BVL72" s="16"/>
      <c r="BVM72" s="16"/>
      <c r="BVN72" s="16"/>
      <c r="BVO72" s="16"/>
      <c r="BVP72" s="16"/>
      <c r="BVQ72" s="16"/>
      <c r="BVR72" s="16"/>
      <c r="BVS72" s="16"/>
      <c r="BVT72" s="16"/>
      <c r="BVU72" s="16"/>
      <c r="BVV72" s="16"/>
      <c r="BVW72" s="16"/>
      <c r="BVX72" s="16"/>
      <c r="BVY72" s="16"/>
      <c r="BVZ72" s="16"/>
      <c r="BWA72" s="16"/>
      <c r="BWB72" s="16"/>
      <c r="BWC72" s="16"/>
      <c r="BWD72" s="16"/>
      <c r="BWE72" s="16"/>
      <c r="BWF72" s="16"/>
      <c r="BWG72" s="16"/>
      <c r="BWH72" s="16"/>
      <c r="BWI72" s="16"/>
      <c r="BWJ72" s="16"/>
      <c r="BWK72" s="16"/>
      <c r="BWL72" s="16"/>
      <c r="BWM72" s="16"/>
      <c r="BWN72" s="16"/>
      <c r="BWO72" s="16"/>
      <c r="BWP72" s="16"/>
      <c r="BWQ72" s="16"/>
      <c r="BWR72" s="16"/>
      <c r="BWS72" s="16"/>
      <c r="BWT72" s="16"/>
      <c r="BWU72" s="16"/>
      <c r="BWV72" s="16"/>
      <c r="BWW72" s="16"/>
      <c r="BWX72" s="16"/>
      <c r="BWY72" s="16"/>
      <c r="BWZ72" s="16"/>
      <c r="BXA72" s="16"/>
      <c r="BXB72" s="16"/>
      <c r="BXC72" s="16"/>
      <c r="BXD72" s="16"/>
      <c r="BXE72" s="16"/>
      <c r="BXF72" s="16"/>
      <c r="BXG72" s="16"/>
      <c r="BXH72" s="16"/>
      <c r="BXI72" s="16"/>
      <c r="BXJ72" s="16"/>
      <c r="BXK72" s="16"/>
      <c r="BXL72" s="16"/>
      <c r="BXM72" s="16"/>
      <c r="BXN72" s="16"/>
      <c r="BXO72" s="16"/>
      <c r="BXP72" s="16"/>
      <c r="BXQ72" s="16"/>
      <c r="BXR72" s="16"/>
      <c r="BXS72" s="16"/>
      <c r="BXT72" s="16"/>
      <c r="BXU72" s="16"/>
      <c r="BXV72" s="16"/>
      <c r="BXW72" s="16"/>
      <c r="BXX72" s="16"/>
      <c r="BXY72" s="16"/>
      <c r="BXZ72" s="16"/>
      <c r="BYA72" s="16"/>
      <c r="BYB72" s="16"/>
      <c r="BYC72" s="16"/>
      <c r="BYD72" s="16"/>
      <c r="BYE72" s="16"/>
      <c r="BYF72" s="16"/>
      <c r="BYG72" s="16"/>
      <c r="BYH72" s="16"/>
      <c r="BYI72" s="16"/>
      <c r="BYJ72" s="16"/>
      <c r="BYK72" s="16"/>
      <c r="BYL72" s="16"/>
      <c r="BYM72" s="16"/>
      <c r="BYN72" s="16"/>
      <c r="BYO72" s="16"/>
      <c r="BYP72" s="16"/>
      <c r="BYQ72" s="16"/>
      <c r="BYR72" s="16"/>
      <c r="BYS72" s="16"/>
      <c r="BYT72" s="16"/>
      <c r="BYU72" s="16"/>
      <c r="BYV72" s="16"/>
      <c r="BYW72" s="16"/>
      <c r="BYX72" s="16"/>
      <c r="BYY72" s="16"/>
      <c r="BYZ72" s="16"/>
      <c r="BZA72" s="16"/>
      <c r="BZB72" s="16"/>
      <c r="BZC72" s="16"/>
      <c r="BZD72" s="16"/>
      <c r="BZE72" s="16"/>
      <c r="BZF72" s="16"/>
      <c r="BZG72" s="16"/>
      <c r="BZH72" s="16"/>
      <c r="BZI72" s="16"/>
      <c r="BZJ72" s="16"/>
      <c r="BZK72" s="16"/>
      <c r="BZL72" s="16"/>
      <c r="BZM72" s="16"/>
      <c r="BZN72" s="16"/>
      <c r="BZO72" s="16"/>
      <c r="BZP72" s="16"/>
      <c r="BZQ72" s="16"/>
      <c r="BZR72" s="16"/>
      <c r="BZS72" s="16"/>
      <c r="BZT72" s="16"/>
      <c r="BZU72" s="16"/>
      <c r="BZV72" s="16"/>
      <c r="BZW72" s="16"/>
      <c r="BZX72" s="16"/>
      <c r="BZY72" s="16"/>
      <c r="BZZ72" s="16"/>
      <c r="CAA72" s="16"/>
      <c r="CAB72" s="16"/>
      <c r="CAC72" s="16"/>
      <c r="CAD72" s="16"/>
      <c r="CAE72" s="16"/>
      <c r="CAF72" s="16"/>
      <c r="CAG72" s="16"/>
      <c r="CAH72" s="16"/>
      <c r="CAI72" s="16"/>
      <c r="CAJ72" s="16"/>
      <c r="CAK72" s="16"/>
      <c r="CAL72" s="16"/>
      <c r="CAM72" s="16"/>
      <c r="CAN72" s="16"/>
      <c r="CAO72" s="16"/>
      <c r="CAP72" s="16"/>
      <c r="CAQ72" s="16"/>
      <c r="CAR72" s="16"/>
      <c r="CAS72" s="16"/>
      <c r="CAT72" s="16"/>
      <c r="CAU72" s="16"/>
      <c r="CAV72" s="16"/>
      <c r="CAW72" s="16"/>
      <c r="CAX72" s="16"/>
      <c r="CAY72" s="16"/>
      <c r="CAZ72" s="16"/>
      <c r="CBA72" s="16"/>
      <c r="CBB72" s="16"/>
      <c r="CBC72" s="16"/>
      <c r="CBD72" s="16"/>
      <c r="CBE72" s="16"/>
      <c r="CBF72" s="16"/>
      <c r="CBG72" s="16"/>
      <c r="CBH72" s="16"/>
      <c r="CBI72" s="16"/>
      <c r="CBJ72" s="16"/>
      <c r="CBK72" s="16"/>
      <c r="CBL72" s="16"/>
      <c r="CBM72" s="16"/>
      <c r="CBN72" s="16"/>
      <c r="CBO72" s="16"/>
      <c r="CBP72" s="16"/>
      <c r="CBQ72" s="16"/>
      <c r="CBR72" s="16"/>
      <c r="CBS72" s="16"/>
      <c r="CBT72" s="16"/>
      <c r="CBU72" s="16"/>
      <c r="CBV72" s="16"/>
      <c r="CBW72" s="16"/>
      <c r="CBX72" s="16"/>
      <c r="CBY72" s="16"/>
      <c r="CBZ72" s="16"/>
      <c r="CCA72" s="16"/>
      <c r="CCB72" s="16"/>
      <c r="CCC72" s="16"/>
      <c r="CCD72" s="16"/>
      <c r="CCE72" s="16"/>
      <c r="CCF72" s="16"/>
      <c r="CCG72" s="16"/>
      <c r="CCH72" s="16"/>
      <c r="CCI72" s="16"/>
      <c r="CCJ72" s="16"/>
      <c r="CCK72" s="16"/>
      <c r="CCL72" s="16"/>
      <c r="CCM72" s="16"/>
      <c r="CCN72" s="16"/>
      <c r="CCO72" s="16"/>
      <c r="CCP72" s="16"/>
      <c r="CCQ72" s="16"/>
      <c r="CCR72" s="16"/>
      <c r="CCS72" s="16"/>
      <c r="CCT72" s="16"/>
      <c r="CCU72" s="16"/>
      <c r="CCV72" s="16"/>
      <c r="CCW72" s="16"/>
      <c r="CCX72" s="16"/>
      <c r="CCY72" s="16"/>
      <c r="CCZ72" s="16"/>
      <c r="CDA72" s="16"/>
      <c r="CDB72" s="16"/>
      <c r="CDC72" s="16"/>
      <c r="CDD72" s="16"/>
      <c r="CDE72" s="16"/>
      <c r="CDF72" s="16"/>
      <c r="CDG72" s="16"/>
      <c r="CDH72" s="16"/>
      <c r="CDI72" s="16"/>
      <c r="CDJ72" s="16"/>
      <c r="CDK72" s="16"/>
      <c r="CDL72" s="16"/>
      <c r="CDM72" s="16"/>
      <c r="CDN72" s="16"/>
      <c r="CDO72" s="16"/>
      <c r="CDP72" s="16"/>
      <c r="CDQ72" s="16"/>
      <c r="CDR72" s="16"/>
      <c r="CDS72" s="16"/>
      <c r="CDT72" s="16"/>
      <c r="CDU72" s="16"/>
      <c r="CDV72" s="16"/>
      <c r="CDW72" s="16"/>
      <c r="CDX72" s="16"/>
      <c r="CDY72" s="16"/>
      <c r="CDZ72" s="16"/>
      <c r="CEA72" s="16"/>
      <c r="CEB72" s="16"/>
      <c r="CEC72" s="16"/>
      <c r="CED72" s="16"/>
      <c r="CEE72" s="16"/>
      <c r="CEF72" s="16"/>
      <c r="CEG72" s="16"/>
      <c r="CEH72" s="16"/>
      <c r="CEI72" s="16"/>
      <c r="CEJ72" s="16"/>
      <c r="CEK72" s="16"/>
      <c r="CEL72" s="16"/>
      <c r="CEM72" s="16"/>
      <c r="CEN72" s="16"/>
      <c r="CEO72" s="16"/>
      <c r="CEP72" s="16"/>
      <c r="CEQ72" s="16"/>
      <c r="CER72" s="16"/>
      <c r="CES72" s="16"/>
      <c r="CET72" s="16"/>
      <c r="CEU72" s="16"/>
      <c r="CEV72" s="16"/>
      <c r="CEW72" s="16"/>
      <c r="CEX72" s="16"/>
      <c r="CEY72" s="16"/>
      <c r="CEZ72" s="16"/>
      <c r="CFA72" s="16"/>
      <c r="CFB72" s="16"/>
      <c r="CFC72" s="16"/>
      <c r="CFD72" s="16"/>
      <c r="CFE72" s="16"/>
      <c r="CFF72" s="16"/>
      <c r="CFG72" s="16"/>
      <c r="CFH72" s="16"/>
      <c r="CFI72" s="16"/>
      <c r="CFJ72" s="16"/>
      <c r="CFK72" s="16"/>
      <c r="CFL72" s="16"/>
      <c r="CFM72" s="16"/>
      <c r="CFN72" s="16"/>
      <c r="CFO72" s="16"/>
      <c r="CFP72" s="16"/>
      <c r="CFQ72" s="16"/>
      <c r="CFR72" s="16"/>
      <c r="CFS72" s="16"/>
      <c r="CFT72" s="16"/>
      <c r="CFU72" s="16"/>
      <c r="CFV72" s="16"/>
      <c r="CFW72" s="16"/>
      <c r="CFX72" s="16"/>
      <c r="CFY72" s="16"/>
      <c r="CFZ72" s="16"/>
      <c r="CGA72" s="16"/>
      <c r="CGB72" s="16"/>
      <c r="CGC72" s="16"/>
      <c r="CGD72" s="16"/>
      <c r="CGE72" s="16"/>
      <c r="CGF72" s="16"/>
      <c r="CGG72" s="16"/>
      <c r="CGH72" s="16"/>
      <c r="CGI72" s="16"/>
      <c r="CGJ72" s="16"/>
      <c r="CGK72" s="16"/>
      <c r="CGL72" s="16"/>
      <c r="CGM72" s="16"/>
      <c r="CGN72" s="16"/>
      <c r="CGO72" s="16"/>
      <c r="CGP72" s="16"/>
      <c r="CGQ72" s="16"/>
      <c r="CGR72" s="16"/>
      <c r="CGS72" s="16"/>
      <c r="CGT72" s="16"/>
      <c r="CGU72" s="16"/>
      <c r="CGV72" s="16"/>
      <c r="CGW72" s="16"/>
      <c r="CGX72" s="16"/>
      <c r="CGY72" s="16"/>
      <c r="CGZ72" s="16"/>
      <c r="CHA72" s="16"/>
      <c r="CHB72" s="16"/>
      <c r="CHC72" s="16"/>
      <c r="CHD72" s="16"/>
      <c r="CHE72" s="16"/>
      <c r="CHF72" s="16"/>
      <c r="CHG72" s="16"/>
      <c r="CHH72" s="16"/>
      <c r="CHI72" s="16"/>
      <c r="CHJ72" s="16"/>
      <c r="CHK72" s="16"/>
      <c r="CHL72" s="16"/>
      <c r="CHM72" s="16"/>
      <c r="CHN72" s="16"/>
      <c r="CHO72" s="16"/>
      <c r="CHP72" s="16"/>
      <c r="CHQ72" s="16"/>
      <c r="CHR72" s="16"/>
      <c r="CHS72" s="16"/>
      <c r="CHT72" s="16"/>
      <c r="CHU72" s="16"/>
      <c r="CHV72" s="16"/>
      <c r="CHW72" s="16"/>
      <c r="CHX72" s="16"/>
      <c r="CHY72" s="16"/>
      <c r="CHZ72" s="16"/>
      <c r="CIA72" s="16"/>
      <c r="CIB72" s="16"/>
      <c r="CIC72" s="16"/>
      <c r="CID72" s="16"/>
      <c r="CIE72" s="16"/>
      <c r="CIF72" s="16"/>
      <c r="CIG72" s="16"/>
      <c r="CIH72" s="16"/>
      <c r="CII72" s="16"/>
      <c r="CIJ72" s="16"/>
      <c r="CIK72" s="16"/>
      <c r="CIL72" s="16"/>
      <c r="CIM72" s="16"/>
      <c r="CIN72" s="16"/>
      <c r="CIO72" s="16"/>
      <c r="CIP72" s="16"/>
      <c r="CIQ72" s="16"/>
      <c r="CIR72" s="16"/>
      <c r="CIS72" s="16"/>
      <c r="CIT72" s="16"/>
      <c r="CIU72" s="16"/>
      <c r="CIV72" s="16"/>
      <c r="CIW72" s="16"/>
      <c r="CIX72" s="16"/>
      <c r="CIY72" s="16"/>
      <c r="CIZ72" s="16"/>
      <c r="CJA72" s="16"/>
      <c r="CJB72" s="16"/>
      <c r="CJC72" s="16"/>
      <c r="CJD72" s="16"/>
      <c r="CJE72" s="16"/>
      <c r="CJF72" s="16"/>
      <c r="CJG72" s="16"/>
      <c r="CJH72" s="16"/>
      <c r="CJI72" s="16"/>
      <c r="CJJ72" s="16"/>
      <c r="CJK72" s="16"/>
      <c r="CJL72" s="16"/>
      <c r="CJM72" s="16"/>
      <c r="CJN72" s="16"/>
      <c r="CJO72" s="16"/>
      <c r="CJP72" s="16"/>
      <c r="CJQ72" s="16"/>
      <c r="CJR72" s="16"/>
      <c r="CJS72" s="16"/>
      <c r="CJT72" s="16"/>
      <c r="CJU72" s="16"/>
      <c r="CJV72" s="16"/>
      <c r="CJW72" s="16"/>
      <c r="CJX72" s="16"/>
      <c r="CJY72" s="16"/>
      <c r="CJZ72" s="16"/>
      <c r="CKA72" s="16"/>
      <c r="CKB72" s="16"/>
      <c r="CKC72" s="16"/>
      <c r="CKD72" s="16"/>
      <c r="CKE72" s="16"/>
      <c r="CKF72" s="16"/>
      <c r="CKG72" s="16"/>
      <c r="CKH72" s="16"/>
      <c r="CKI72" s="16"/>
      <c r="CKJ72" s="16"/>
      <c r="CKK72" s="16"/>
      <c r="CKL72" s="16"/>
      <c r="CKM72" s="16"/>
      <c r="CKN72" s="16"/>
      <c r="CKO72" s="16"/>
      <c r="CKP72" s="16"/>
      <c r="CKQ72" s="16"/>
      <c r="CKR72" s="16"/>
      <c r="CKS72" s="16"/>
      <c r="CKT72" s="16"/>
      <c r="CKU72" s="16"/>
      <c r="CKV72" s="16"/>
      <c r="CKW72" s="16"/>
      <c r="CKX72" s="16"/>
      <c r="CKY72" s="16"/>
      <c r="CKZ72" s="16"/>
      <c r="CLA72" s="16"/>
      <c r="CLB72" s="16"/>
      <c r="CLC72" s="16"/>
      <c r="CLD72" s="16"/>
      <c r="CLE72" s="16"/>
      <c r="CLF72" s="16"/>
      <c r="CLG72" s="16"/>
      <c r="CLH72" s="16"/>
      <c r="CLI72" s="16"/>
      <c r="CLJ72" s="16"/>
      <c r="CLK72" s="16"/>
      <c r="CLL72" s="16"/>
      <c r="CLM72" s="16"/>
      <c r="CLN72" s="16"/>
      <c r="CLO72" s="16"/>
      <c r="CLP72" s="16"/>
      <c r="CLQ72" s="16"/>
      <c r="CLR72" s="16"/>
      <c r="CLS72" s="16"/>
      <c r="CLT72" s="16"/>
      <c r="CLU72" s="16"/>
      <c r="CLV72" s="16"/>
      <c r="CLW72" s="16"/>
      <c r="CLX72" s="16"/>
      <c r="CLY72" s="16"/>
      <c r="CLZ72" s="16"/>
      <c r="CMA72" s="16"/>
      <c r="CMB72" s="16"/>
      <c r="CMC72" s="16"/>
      <c r="CMD72" s="16"/>
      <c r="CME72" s="16"/>
      <c r="CMF72" s="16"/>
      <c r="CMG72" s="16"/>
      <c r="CMH72" s="16"/>
      <c r="CMI72" s="16"/>
      <c r="CMJ72" s="16"/>
      <c r="CMK72" s="16"/>
      <c r="CML72" s="16"/>
      <c r="CMM72" s="16"/>
      <c r="CMN72" s="16"/>
      <c r="CMO72" s="16"/>
      <c r="CMP72" s="16"/>
      <c r="CMQ72" s="16"/>
      <c r="CMR72" s="16"/>
      <c r="CMS72" s="16"/>
      <c r="CMT72" s="16"/>
      <c r="CMU72" s="16"/>
      <c r="CMV72" s="16"/>
      <c r="CMW72" s="16"/>
      <c r="CMX72" s="16"/>
      <c r="CMY72" s="16"/>
      <c r="CMZ72" s="16"/>
      <c r="CNA72" s="16"/>
      <c r="CNB72" s="16"/>
      <c r="CNC72" s="16"/>
      <c r="CND72" s="16"/>
      <c r="CNE72" s="16"/>
      <c r="CNF72" s="16"/>
      <c r="CNG72" s="16"/>
      <c r="CNH72" s="16"/>
      <c r="CNI72" s="16"/>
      <c r="CNJ72" s="16"/>
      <c r="CNK72" s="16"/>
      <c r="CNL72" s="16"/>
      <c r="CNM72" s="16"/>
      <c r="CNN72" s="16"/>
      <c r="CNO72" s="16"/>
      <c r="CNP72" s="16"/>
      <c r="CNQ72" s="16"/>
      <c r="CNR72" s="16"/>
      <c r="CNS72" s="16"/>
      <c r="CNT72" s="16"/>
      <c r="CNU72" s="16"/>
      <c r="CNV72" s="16"/>
      <c r="CNW72" s="16"/>
      <c r="CNX72" s="16"/>
      <c r="CNY72" s="16"/>
      <c r="CNZ72" s="16"/>
      <c r="COA72" s="16"/>
      <c r="COB72" s="16"/>
      <c r="COC72" s="16"/>
      <c r="COD72" s="16"/>
      <c r="COE72" s="16"/>
      <c r="COF72" s="16"/>
      <c r="COG72" s="16"/>
      <c r="COH72" s="16"/>
      <c r="COI72" s="16"/>
      <c r="COJ72" s="16"/>
      <c r="COK72" s="16"/>
      <c r="COL72" s="16"/>
      <c r="COM72" s="16"/>
      <c r="CON72" s="16"/>
      <c r="COO72" s="16"/>
      <c r="COP72" s="16"/>
      <c r="COQ72" s="16"/>
      <c r="COR72" s="16"/>
      <c r="COS72" s="16"/>
      <c r="COT72" s="16"/>
      <c r="COU72" s="16"/>
      <c r="COV72" s="16"/>
      <c r="COW72" s="16"/>
      <c r="COX72" s="16"/>
      <c r="COY72" s="16"/>
      <c r="COZ72" s="16"/>
      <c r="CPA72" s="16"/>
      <c r="CPB72" s="16"/>
      <c r="CPC72" s="16"/>
      <c r="CPD72" s="16"/>
      <c r="CPE72" s="16"/>
      <c r="CPF72" s="16"/>
      <c r="CPG72" s="16"/>
      <c r="CPH72" s="16"/>
      <c r="CPI72" s="16"/>
      <c r="CPJ72" s="16"/>
      <c r="CPK72" s="16"/>
      <c r="CPL72" s="16"/>
      <c r="CPM72" s="16"/>
      <c r="CPN72" s="16"/>
      <c r="CPO72" s="16"/>
      <c r="CPP72" s="16"/>
      <c r="CPQ72" s="16"/>
      <c r="CPR72" s="16"/>
      <c r="CPS72" s="16"/>
      <c r="CPT72" s="16"/>
      <c r="CPU72" s="16"/>
      <c r="CPV72" s="16"/>
      <c r="CPW72" s="16"/>
      <c r="CPX72" s="16"/>
      <c r="CPY72" s="16"/>
      <c r="CPZ72" s="16"/>
      <c r="CQA72" s="16"/>
      <c r="CQB72" s="16"/>
      <c r="CQC72" s="16"/>
      <c r="CQD72" s="16"/>
      <c r="CQE72" s="16"/>
      <c r="CQF72" s="16"/>
      <c r="CQG72" s="16"/>
      <c r="CQH72" s="16"/>
      <c r="CQI72" s="16"/>
      <c r="CQJ72" s="16"/>
      <c r="CQK72" s="16"/>
      <c r="CQL72" s="16"/>
      <c r="CQM72" s="16"/>
      <c r="CQN72" s="16"/>
      <c r="CQO72" s="16"/>
      <c r="CQP72" s="16"/>
      <c r="CQQ72" s="16"/>
      <c r="CQR72" s="16"/>
      <c r="CQS72" s="16"/>
      <c r="CQT72" s="16"/>
      <c r="CQU72" s="16"/>
      <c r="CQV72" s="16"/>
      <c r="CQW72" s="16"/>
      <c r="CQX72" s="16"/>
      <c r="CQY72" s="16"/>
      <c r="CQZ72" s="16"/>
      <c r="CRA72" s="16"/>
      <c r="CRB72" s="16"/>
      <c r="CRC72" s="16"/>
      <c r="CRD72" s="16"/>
      <c r="CRE72" s="16"/>
      <c r="CRF72" s="16"/>
      <c r="CRG72" s="16"/>
      <c r="CRH72" s="16"/>
      <c r="CRI72" s="16"/>
      <c r="CRJ72" s="16"/>
      <c r="CRK72" s="16"/>
      <c r="CRL72" s="16"/>
      <c r="CRM72" s="16"/>
      <c r="CRN72" s="16"/>
      <c r="CRO72" s="16"/>
      <c r="CRP72" s="16"/>
      <c r="CRQ72" s="16"/>
      <c r="CRR72" s="16"/>
      <c r="CRS72" s="16"/>
      <c r="CRT72" s="16"/>
      <c r="CRU72" s="16"/>
      <c r="CRV72" s="16"/>
      <c r="CRW72" s="16"/>
      <c r="CRX72" s="16"/>
      <c r="CRY72" s="16"/>
      <c r="CRZ72" s="16"/>
      <c r="CSA72" s="16"/>
      <c r="CSB72" s="16"/>
      <c r="CSC72" s="16"/>
      <c r="CSD72" s="16"/>
      <c r="CSE72" s="16"/>
      <c r="CSF72" s="16"/>
      <c r="CSG72" s="16"/>
      <c r="CSH72" s="16"/>
      <c r="CSI72" s="16"/>
      <c r="CSJ72" s="16"/>
      <c r="CSK72" s="24"/>
      <c r="CSL72" s="16"/>
      <c r="CSM72" s="16"/>
      <c r="CSN72" s="16"/>
      <c r="CSO72" s="16"/>
      <c r="CSP72" s="16"/>
      <c r="CUG72" s="16"/>
      <c r="CUH72" s="16"/>
      <c r="CUI72" s="16"/>
      <c r="CUJ72" s="16"/>
      <c r="CUK72" s="16"/>
      <c r="CUL72" s="16"/>
      <c r="CUM72" s="16"/>
      <c r="CUN72" s="16"/>
      <c r="CUO72" s="16"/>
      <c r="CUP72" s="16"/>
      <c r="CUQ72" s="16"/>
      <c r="CUR72" s="16"/>
      <c r="CUS72" s="16"/>
      <c r="CUT72" s="16"/>
      <c r="CUU72" s="16"/>
      <c r="CUV72" s="16"/>
      <c r="CUW72" s="16"/>
      <c r="CUX72" s="16"/>
      <c r="CUY72" s="16"/>
      <c r="CUZ72" s="16"/>
      <c r="CVA72" s="16"/>
      <c r="CVB72" s="16"/>
      <c r="CVC72" s="16"/>
      <c r="CVD72" s="16"/>
      <c r="CVE72" s="16"/>
      <c r="CVF72" s="16"/>
      <c r="CVG72" s="16"/>
      <c r="CVH72" s="16"/>
      <c r="CVI72" s="16"/>
      <c r="CVJ72" s="16"/>
      <c r="CVK72" s="16"/>
      <c r="CVL72" s="16"/>
      <c r="CVM72" s="16"/>
      <c r="CVN72" s="16"/>
      <c r="CVO72" s="16"/>
      <c r="CVP72" s="16"/>
    </row>
    <row r="73" spans="3:2616" ht="13.8" x14ac:dyDescent="0.25">
      <c r="C73" s="57"/>
      <c r="E73" s="16"/>
      <c r="K73" s="59"/>
      <c r="L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  <c r="FC73" s="16"/>
      <c r="FD73" s="16"/>
      <c r="FE73" s="16"/>
      <c r="FF73" s="16"/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6"/>
      <c r="FV73" s="16"/>
      <c r="FW73" s="16"/>
      <c r="FX73" s="16"/>
      <c r="FY73" s="16"/>
      <c r="FZ73" s="16"/>
      <c r="GA73" s="16"/>
      <c r="GB73" s="16"/>
      <c r="GC73" s="16"/>
      <c r="GD73" s="16"/>
      <c r="GE73" s="16"/>
      <c r="GF73" s="16"/>
      <c r="GG73" s="16"/>
      <c r="GH73" s="16"/>
      <c r="GI73" s="16"/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6"/>
      <c r="HA73" s="16"/>
      <c r="HB73" s="16"/>
      <c r="HC73" s="16"/>
      <c r="HD73" s="16"/>
      <c r="HE73" s="16"/>
      <c r="HF73" s="16"/>
      <c r="HG73" s="16"/>
      <c r="HH73" s="16"/>
      <c r="HI73" s="16"/>
      <c r="HJ73" s="16"/>
      <c r="HK73" s="16"/>
      <c r="HL73" s="16"/>
      <c r="HM73" s="16"/>
      <c r="HN73" s="16"/>
      <c r="HO73" s="16"/>
      <c r="HP73" s="16"/>
      <c r="HQ73" s="16"/>
      <c r="HR73" s="16"/>
      <c r="HS73" s="16"/>
      <c r="HT73" s="16"/>
      <c r="HU73" s="16"/>
      <c r="HV73" s="16"/>
      <c r="HW73" s="16"/>
      <c r="HX73" s="16"/>
      <c r="HY73" s="16"/>
      <c r="HZ73" s="16"/>
      <c r="IA73" s="16"/>
      <c r="IB73" s="16"/>
      <c r="IC73" s="16"/>
      <c r="ID73" s="16"/>
      <c r="IE73" s="16"/>
      <c r="IF73" s="16"/>
      <c r="IG73" s="16"/>
      <c r="IH73" s="16"/>
      <c r="II73" s="16"/>
      <c r="IJ73" s="16"/>
      <c r="IK73" s="16"/>
      <c r="IL73" s="16"/>
      <c r="IM73" s="16"/>
      <c r="IN73" s="16"/>
      <c r="IO73" s="16"/>
      <c r="IP73" s="16"/>
      <c r="IQ73" s="16"/>
      <c r="IR73" s="16"/>
      <c r="IS73" s="16"/>
      <c r="IT73" s="16"/>
      <c r="IU73" s="16"/>
      <c r="IV73" s="16"/>
      <c r="IW73" s="16"/>
      <c r="IX73" s="16"/>
      <c r="IY73" s="16"/>
      <c r="IZ73" s="16"/>
      <c r="JA73" s="16"/>
      <c r="JB73" s="16"/>
      <c r="JC73" s="16"/>
      <c r="JD73" s="16"/>
      <c r="JE73" s="16"/>
      <c r="JF73" s="16"/>
      <c r="JG73" s="16"/>
      <c r="JH73" s="16"/>
      <c r="JI73" s="16"/>
      <c r="JJ73" s="16"/>
      <c r="JK73" s="16"/>
      <c r="JL73" s="16"/>
      <c r="JM73" s="16"/>
      <c r="JN73" s="16"/>
      <c r="JO73" s="16"/>
      <c r="JP73" s="16"/>
      <c r="JQ73" s="16"/>
      <c r="JR73" s="16"/>
      <c r="JS73" s="16"/>
      <c r="JT73" s="16"/>
      <c r="JU73" s="16"/>
      <c r="JV73" s="16"/>
      <c r="JW73" s="16"/>
      <c r="JX73" s="16"/>
      <c r="JY73" s="16"/>
      <c r="JZ73" s="16"/>
      <c r="KA73" s="16"/>
      <c r="KB73" s="16"/>
      <c r="KC73" s="16"/>
      <c r="KD73" s="16"/>
      <c r="KE73" s="16"/>
      <c r="KF73" s="16"/>
      <c r="KG73" s="16"/>
      <c r="KH73" s="16"/>
      <c r="KI73" s="16"/>
      <c r="KJ73" s="16"/>
      <c r="KK73" s="16"/>
      <c r="KL73" s="16"/>
      <c r="KM73" s="16"/>
      <c r="KN73" s="16"/>
      <c r="KO73" s="16"/>
      <c r="KP73" s="16"/>
      <c r="KQ73" s="16"/>
      <c r="KR73" s="16"/>
      <c r="KS73" s="16"/>
      <c r="KT73" s="16"/>
      <c r="KU73" s="16"/>
      <c r="KV73" s="16"/>
      <c r="KW73" s="16"/>
      <c r="KX73" s="16"/>
      <c r="KY73" s="16"/>
      <c r="KZ73" s="16"/>
      <c r="LA73" s="16"/>
      <c r="LB73" s="16"/>
      <c r="LC73" s="16"/>
      <c r="LD73" s="16"/>
      <c r="LE73" s="16"/>
      <c r="LF73" s="16"/>
      <c r="LG73" s="16"/>
      <c r="LH73" s="16"/>
      <c r="LI73" s="16"/>
      <c r="LJ73" s="16"/>
      <c r="LK73" s="16"/>
      <c r="LL73" s="16"/>
      <c r="LM73" s="16"/>
      <c r="LN73" s="16"/>
      <c r="LO73" s="16"/>
      <c r="LP73" s="16"/>
      <c r="LQ73" s="16"/>
      <c r="LR73" s="16"/>
      <c r="LS73" s="16"/>
      <c r="LT73" s="16"/>
      <c r="LU73" s="16"/>
      <c r="LV73" s="16"/>
      <c r="LW73" s="16"/>
      <c r="LX73" s="16"/>
      <c r="LY73" s="16"/>
      <c r="LZ73" s="16"/>
      <c r="MA73" s="16"/>
      <c r="MB73" s="16"/>
      <c r="MC73" s="16"/>
      <c r="MD73" s="16"/>
      <c r="ME73" s="16"/>
      <c r="MF73" s="16"/>
      <c r="MG73" s="16"/>
      <c r="MH73" s="16"/>
      <c r="MI73" s="16"/>
      <c r="MJ73" s="16"/>
      <c r="MK73" s="16"/>
      <c r="ML73" s="16"/>
      <c r="MM73" s="16"/>
      <c r="MN73" s="16"/>
      <c r="MO73" s="16"/>
      <c r="MP73" s="16"/>
      <c r="MQ73" s="16"/>
      <c r="MR73" s="16"/>
      <c r="MS73" s="16"/>
      <c r="MT73" s="16"/>
      <c r="MU73" s="16"/>
      <c r="MV73" s="16"/>
      <c r="MW73" s="16"/>
      <c r="MX73" s="16"/>
      <c r="MY73" s="16"/>
      <c r="MZ73" s="16"/>
      <c r="NA73" s="16"/>
      <c r="NB73" s="16"/>
      <c r="NC73" s="16"/>
      <c r="ND73" s="16"/>
      <c r="NE73" s="16"/>
      <c r="NF73" s="16"/>
      <c r="NG73" s="16"/>
      <c r="NH73" s="16"/>
      <c r="NI73" s="16"/>
      <c r="NJ73" s="16"/>
      <c r="NK73" s="16"/>
      <c r="NL73" s="16"/>
      <c r="NM73" s="16"/>
      <c r="NN73" s="16"/>
      <c r="NO73" s="16"/>
      <c r="NP73" s="16"/>
      <c r="NQ73" s="16"/>
      <c r="NR73" s="16"/>
      <c r="NS73" s="16"/>
      <c r="NT73" s="16"/>
      <c r="NU73" s="16"/>
      <c r="NV73" s="16"/>
      <c r="NW73" s="16"/>
      <c r="NX73" s="16"/>
      <c r="NY73" s="16"/>
      <c r="NZ73" s="16"/>
      <c r="OA73" s="16"/>
      <c r="OB73" s="16"/>
      <c r="OC73" s="16"/>
      <c r="OD73" s="16"/>
      <c r="OE73" s="16"/>
      <c r="OF73" s="16"/>
      <c r="OG73" s="16"/>
      <c r="OH73" s="16"/>
      <c r="OI73" s="16"/>
      <c r="OJ73" s="16"/>
      <c r="OK73" s="16"/>
      <c r="OL73" s="16"/>
      <c r="OM73" s="16"/>
      <c r="ON73" s="16"/>
      <c r="OO73" s="16"/>
      <c r="OP73" s="16"/>
      <c r="OQ73" s="16"/>
      <c r="OR73" s="16"/>
      <c r="OS73" s="16"/>
      <c r="OT73" s="16"/>
      <c r="OU73" s="16"/>
      <c r="OV73" s="16"/>
      <c r="OW73" s="16"/>
      <c r="OX73" s="16"/>
      <c r="OY73" s="16"/>
      <c r="OZ73" s="16"/>
      <c r="PA73" s="16"/>
      <c r="PB73" s="16"/>
      <c r="PC73" s="16"/>
      <c r="PD73" s="16"/>
      <c r="PE73" s="16"/>
      <c r="PF73" s="16"/>
      <c r="PG73" s="16"/>
      <c r="PH73" s="16"/>
      <c r="PI73" s="16"/>
      <c r="PJ73" s="16"/>
      <c r="PK73" s="16"/>
      <c r="PL73" s="16"/>
      <c r="PM73" s="16"/>
      <c r="PN73" s="16"/>
      <c r="PO73" s="16"/>
      <c r="PP73" s="16"/>
      <c r="PQ73" s="16"/>
      <c r="PR73" s="16"/>
      <c r="PS73" s="16"/>
      <c r="PT73" s="16"/>
      <c r="PU73" s="16"/>
      <c r="PV73" s="16"/>
      <c r="PW73" s="16"/>
      <c r="PX73" s="16"/>
      <c r="PY73" s="16"/>
      <c r="PZ73" s="16"/>
      <c r="QA73" s="16"/>
      <c r="QB73" s="16"/>
      <c r="QC73" s="16"/>
      <c r="QD73" s="16"/>
      <c r="QE73" s="16"/>
      <c r="QF73" s="16"/>
      <c r="QG73" s="16"/>
      <c r="QH73" s="16"/>
      <c r="QI73" s="16"/>
      <c r="QJ73" s="16"/>
      <c r="QK73" s="16"/>
      <c r="QL73" s="16"/>
      <c r="QM73" s="16"/>
      <c r="QN73" s="16"/>
      <c r="QO73" s="16"/>
      <c r="QP73" s="16"/>
      <c r="QQ73" s="16"/>
      <c r="QR73" s="16"/>
      <c r="QS73" s="16"/>
      <c r="QT73" s="16"/>
      <c r="QU73" s="16"/>
      <c r="QV73" s="16"/>
      <c r="QW73" s="16"/>
      <c r="QX73" s="16"/>
      <c r="QY73" s="16"/>
      <c r="QZ73" s="16"/>
      <c r="RA73" s="16"/>
      <c r="RB73" s="16"/>
      <c r="RC73" s="16"/>
      <c r="RD73" s="16"/>
      <c r="RE73" s="16"/>
      <c r="RF73" s="16"/>
      <c r="RG73" s="16"/>
      <c r="RH73" s="16"/>
      <c r="RI73" s="16"/>
      <c r="RJ73" s="16"/>
      <c r="RK73" s="16"/>
      <c r="RL73" s="16"/>
      <c r="RM73" s="16"/>
      <c r="RN73" s="16"/>
      <c r="RO73" s="16"/>
      <c r="RP73" s="16"/>
      <c r="RQ73" s="16"/>
      <c r="RR73" s="16"/>
      <c r="RS73" s="16"/>
      <c r="RT73" s="16"/>
      <c r="RU73" s="16"/>
      <c r="RV73" s="16"/>
      <c r="RW73" s="16"/>
      <c r="RX73" s="16"/>
      <c r="RY73" s="16"/>
      <c r="RZ73" s="16"/>
      <c r="SA73" s="16"/>
      <c r="SB73" s="16"/>
      <c r="SC73" s="16"/>
      <c r="SD73" s="16"/>
      <c r="SE73" s="16"/>
      <c r="SF73" s="16"/>
      <c r="SG73" s="16"/>
      <c r="SH73" s="16"/>
      <c r="SI73" s="16"/>
      <c r="SJ73" s="16"/>
      <c r="SK73" s="16"/>
      <c r="SL73" s="16"/>
      <c r="SM73" s="16"/>
      <c r="SN73" s="16"/>
      <c r="SO73" s="16"/>
      <c r="SP73" s="16"/>
      <c r="SQ73" s="16"/>
      <c r="SR73" s="16"/>
      <c r="SS73" s="16"/>
      <c r="ST73" s="16"/>
      <c r="SU73" s="16"/>
      <c r="SV73" s="16"/>
      <c r="SW73" s="16"/>
      <c r="SX73" s="16"/>
      <c r="SY73" s="16"/>
      <c r="SZ73" s="16"/>
      <c r="TA73" s="16"/>
      <c r="TB73" s="16"/>
      <c r="TC73" s="16"/>
      <c r="TD73" s="16"/>
      <c r="TE73" s="16"/>
      <c r="TF73" s="16"/>
      <c r="TG73" s="16"/>
      <c r="TH73" s="16"/>
      <c r="TI73" s="16"/>
      <c r="TJ73" s="16"/>
      <c r="TK73" s="16"/>
      <c r="TL73" s="16"/>
      <c r="TM73" s="16"/>
      <c r="TN73" s="16"/>
      <c r="TO73" s="16"/>
      <c r="TP73" s="16"/>
      <c r="TQ73" s="16"/>
      <c r="TR73" s="16"/>
      <c r="TS73" s="16"/>
      <c r="TT73" s="16"/>
      <c r="TU73" s="16"/>
      <c r="TV73" s="16"/>
      <c r="TW73" s="16"/>
      <c r="TX73" s="16"/>
      <c r="TY73" s="16"/>
      <c r="TZ73" s="16"/>
      <c r="UA73" s="16"/>
      <c r="UB73" s="16"/>
      <c r="UC73" s="16"/>
      <c r="UD73" s="16"/>
      <c r="UE73" s="16"/>
      <c r="UF73" s="16"/>
      <c r="UG73" s="16"/>
      <c r="UH73" s="16"/>
      <c r="UI73" s="16"/>
      <c r="UJ73" s="16"/>
      <c r="UK73" s="16"/>
      <c r="UL73" s="16"/>
      <c r="UM73" s="16"/>
      <c r="UN73" s="16"/>
      <c r="UO73" s="16"/>
      <c r="UP73" s="16"/>
      <c r="UQ73" s="16"/>
      <c r="UR73" s="16"/>
      <c r="US73" s="16"/>
      <c r="UT73" s="16"/>
      <c r="UU73" s="16"/>
      <c r="UV73" s="16"/>
      <c r="UW73" s="16"/>
      <c r="UX73" s="16"/>
      <c r="UY73" s="16"/>
      <c r="UZ73" s="16"/>
      <c r="VA73" s="16"/>
      <c r="VB73" s="16"/>
      <c r="VC73" s="16"/>
      <c r="VD73" s="16"/>
      <c r="VE73" s="16"/>
      <c r="VF73" s="16"/>
      <c r="VG73" s="16"/>
      <c r="VH73" s="16"/>
      <c r="VI73" s="16"/>
      <c r="VJ73" s="16"/>
      <c r="VK73" s="16"/>
      <c r="VL73" s="16"/>
      <c r="VM73" s="16"/>
      <c r="VN73" s="16"/>
      <c r="VO73" s="16"/>
      <c r="VP73" s="16"/>
      <c r="VQ73" s="16"/>
      <c r="VR73" s="16"/>
      <c r="VS73" s="16"/>
      <c r="VT73" s="16"/>
      <c r="VU73" s="16"/>
      <c r="VV73" s="16"/>
      <c r="VW73" s="16"/>
      <c r="VX73" s="16"/>
      <c r="VY73" s="16"/>
      <c r="VZ73" s="16"/>
      <c r="WA73" s="16"/>
      <c r="WB73" s="16"/>
      <c r="WC73" s="16"/>
      <c r="WD73" s="16"/>
      <c r="WE73" s="16"/>
      <c r="WF73" s="16"/>
      <c r="WG73" s="16"/>
      <c r="WH73" s="16"/>
      <c r="WI73" s="16"/>
      <c r="WJ73" s="16"/>
      <c r="WK73" s="16"/>
      <c r="WL73" s="16"/>
      <c r="WM73" s="16"/>
      <c r="WN73" s="16"/>
      <c r="WO73" s="16"/>
      <c r="WP73" s="16"/>
      <c r="WQ73" s="16"/>
      <c r="WR73" s="16"/>
      <c r="WS73" s="16"/>
      <c r="WT73" s="16"/>
      <c r="WU73" s="16"/>
      <c r="WV73" s="16"/>
      <c r="WW73" s="16"/>
      <c r="WX73" s="16"/>
      <c r="WY73" s="16"/>
      <c r="WZ73" s="16"/>
      <c r="XA73" s="16"/>
      <c r="XB73" s="16"/>
      <c r="XC73" s="16"/>
      <c r="XD73" s="16"/>
      <c r="XE73" s="16"/>
      <c r="XF73" s="16"/>
      <c r="XG73" s="16"/>
      <c r="XH73" s="16"/>
      <c r="XI73" s="16"/>
      <c r="XJ73" s="16"/>
      <c r="XK73" s="16"/>
      <c r="XL73" s="16"/>
      <c r="XM73" s="16"/>
      <c r="XN73" s="16"/>
      <c r="XO73" s="16"/>
      <c r="XP73" s="16"/>
      <c r="XQ73" s="16"/>
      <c r="XR73" s="16"/>
      <c r="XS73" s="16"/>
      <c r="XT73" s="16"/>
      <c r="XU73" s="16"/>
      <c r="XV73" s="16"/>
      <c r="XW73" s="16"/>
      <c r="XX73" s="16"/>
      <c r="XY73" s="16"/>
      <c r="XZ73" s="16"/>
      <c r="YA73" s="16"/>
      <c r="YB73" s="16"/>
      <c r="YC73" s="16"/>
      <c r="YD73" s="16"/>
      <c r="YE73" s="16"/>
      <c r="YF73" s="16"/>
      <c r="YG73" s="16"/>
      <c r="YH73" s="16"/>
      <c r="YI73" s="16"/>
      <c r="YJ73" s="16"/>
      <c r="YK73" s="16"/>
      <c r="YL73" s="16"/>
      <c r="YM73" s="16"/>
      <c r="YN73" s="16"/>
      <c r="YO73" s="16"/>
      <c r="YP73" s="16"/>
      <c r="YQ73" s="16"/>
      <c r="YR73" s="16"/>
      <c r="YS73" s="16"/>
      <c r="YT73" s="16"/>
      <c r="YU73" s="16"/>
      <c r="YV73" s="16"/>
      <c r="YW73" s="16"/>
      <c r="YX73" s="16"/>
      <c r="YY73" s="16"/>
      <c r="YZ73" s="16"/>
      <c r="ZA73" s="16"/>
      <c r="ZB73" s="16"/>
      <c r="ZC73" s="16"/>
      <c r="ZD73" s="16"/>
      <c r="ZE73" s="16"/>
      <c r="ZF73" s="16"/>
      <c r="ZG73" s="16"/>
      <c r="ZH73" s="16"/>
      <c r="ZI73" s="16"/>
      <c r="ZJ73" s="16"/>
      <c r="ZK73" s="16"/>
      <c r="ZL73" s="16"/>
      <c r="ZM73" s="16"/>
      <c r="ZN73" s="16"/>
      <c r="ZO73" s="16"/>
      <c r="ZP73" s="16"/>
      <c r="ZQ73" s="16"/>
      <c r="ZR73" s="16"/>
      <c r="ZS73" s="16"/>
      <c r="ZT73" s="16"/>
      <c r="ZU73" s="16"/>
      <c r="ZV73" s="16"/>
      <c r="ZW73" s="16"/>
      <c r="ZX73" s="16"/>
      <c r="ZY73" s="16"/>
      <c r="ZZ73" s="16"/>
      <c r="AAA73" s="16"/>
      <c r="AAB73" s="16"/>
      <c r="AAC73" s="16"/>
      <c r="AAD73" s="16"/>
      <c r="AAE73" s="16"/>
      <c r="AAF73" s="16"/>
      <c r="AAG73" s="16"/>
      <c r="AAH73" s="16"/>
      <c r="AAI73" s="16"/>
      <c r="AAJ73" s="16"/>
      <c r="AAK73" s="16"/>
      <c r="AAL73" s="16"/>
      <c r="AAM73" s="16"/>
      <c r="AAN73" s="16"/>
      <c r="AAO73" s="16"/>
      <c r="AAP73" s="16"/>
      <c r="AAQ73" s="16"/>
      <c r="AAR73" s="16"/>
      <c r="AAS73" s="16"/>
      <c r="AAT73" s="16"/>
      <c r="AAU73" s="16"/>
      <c r="AAV73" s="16"/>
      <c r="AAW73" s="16"/>
      <c r="AAX73" s="16"/>
      <c r="AAY73" s="16"/>
      <c r="AAZ73" s="16"/>
      <c r="ABA73" s="16"/>
      <c r="ABB73" s="16"/>
      <c r="ABC73" s="16"/>
      <c r="ABD73" s="16"/>
      <c r="ABE73" s="16"/>
      <c r="ABF73" s="16"/>
      <c r="ABG73" s="16"/>
      <c r="ABH73" s="16"/>
      <c r="ABI73" s="16"/>
      <c r="ABJ73" s="16"/>
      <c r="ABK73" s="16"/>
      <c r="ABL73" s="16"/>
      <c r="ABM73" s="16"/>
      <c r="ABN73" s="16"/>
      <c r="ABO73" s="16"/>
      <c r="ABP73" s="16"/>
      <c r="ABQ73" s="16"/>
      <c r="ABR73" s="16"/>
      <c r="ABS73" s="16"/>
      <c r="ABT73" s="16"/>
      <c r="ABU73" s="16"/>
      <c r="ABV73" s="16"/>
      <c r="ABW73" s="16"/>
      <c r="ABX73" s="16"/>
      <c r="ABY73" s="16"/>
      <c r="ABZ73" s="16"/>
      <c r="ACA73" s="16"/>
      <c r="ACB73" s="16"/>
      <c r="ACC73" s="16"/>
      <c r="ACD73" s="16"/>
      <c r="ACE73" s="16"/>
      <c r="ACF73" s="16"/>
      <c r="ACG73" s="16"/>
      <c r="ACH73" s="16"/>
      <c r="ACI73" s="16"/>
      <c r="ACJ73" s="16"/>
      <c r="ACK73" s="16"/>
      <c r="ACL73" s="16"/>
      <c r="ACM73" s="16"/>
      <c r="ACN73" s="16"/>
      <c r="ACO73" s="16"/>
      <c r="ACP73" s="16"/>
      <c r="ACQ73" s="16"/>
      <c r="ACR73" s="16"/>
      <c r="ACS73" s="16"/>
      <c r="ACT73" s="16"/>
      <c r="ACU73" s="16"/>
      <c r="ACV73" s="16"/>
      <c r="ACW73" s="16"/>
      <c r="ACX73" s="16"/>
      <c r="ACY73" s="16"/>
      <c r="ACZ73" s="16"/>
      <c r="ADA73" s="16"/>
      <c r="ADB73" s="16"/>
      <c r="ADC73" s="16"/>
      <c r="ADD73" s="16"/>
      <c r="ADE73" s="16"/>
      <c r="ADF73" s="16"/>
      <c r="ADG73" s="16"/>
      <c r="ADH73" s="16"/>
      <c r="ADI73" s="16"/>
      <c r="ADJ73" s="16"/>
      <c r="ADK73" s="16"/>
      <c r="ADL73" s="16"/>
      <c r="ADM73" s="16"/>
      <c r="ADN73" s="16"/>
      <c r="ADO73" s="16"/>
      <c r="ADP73" s="16"/>
      <c r="ADQ73" s="16"/>
      <c r="ADR73" s="16"/>
      <c r="ADS73" s="16"/>
      <c r="ADT73" s="16"/>
      <c r="ADU73" s="16"/>
      <c r="ADV73" s="16"/>
      <c r="ADW73" s="16"/>
      <c r="ADX73" s="16"/>
      <c r="ADY73" s="16"/>
      <c r="ADZ73" s="16"/>
      <c r="AEA73" s="16"/>
      <c r="AEB73" s="16"/>
      <c r="AEC73" s="16"/>
      <c r="AED73" s="16"/>
      <c r="AEE73" s="16"/>
      <c r="AEF73" s="16"/>
      <c r="AEG73" s="16"/>
      <c r="AEH73" s="16"/>
      <c r="AEI73" s="16"/>
      <c r="AEJ73" s="16"/>
      <c r="AEK73" s="16"/>
      <c r="AEL73" s="16"/>
      <c r="AEM73" s="16"/>
      <c r="AEN73" s="16"/>
      <c r="AEO73" s="16"/>
      <c r="AEP73" s="16"/>
      <c r="AEQ73" s="16"/>
      <c r="AER73" s="16"/>
      <c r="AES73" s="16"/>
      <c r="AET73" s="16"/>
      <c r="AEU73" s="16"/>
      <c r="AEV73" s="16"/>
      <c r="AEW73" s="16"/>
      <c r="AEX73" s="16"/>
      <c r="AEY73" s="16"/>
      <c r="AEZ73" s="16"/>
      <c r="AFA73" s="16"/>
      <c r="AFB73" s="16"/>
      <c r="AFC73" s="16"/>
      <c r="AFD73" s="16"/>
      <c r="AFE73" s="16"/>
      <c r="AFF73" s="16"/>
      <c r="AFG73" s="16"/>
      <c r="AFH73" s="16"/>
      <c r="AFI73" s="16"/>
      <c r="AFJ73" s="16"/>
      <c r="AFK73" s="16"/>
      <c r="AFL73" s="16"/>
      <c r="AFM73" s="16"/>
      <c r="AFN73" s="16"/>
      <c r="AFO73" s="16"/>
      <c r="AFP73" s="16"/>
      <c r="AFQ73" s="16"/>
      <c r="AFR73" s="16"/>
      <c r="AFS73" s="16"/>
      <c r="AFT73" s="16"/>
      <c r="AFU73" s="16"/>
      <c r="AFV73" s="16"/>
      <c r="AFW73" s="16"/>
      <c r="AFX73" s="16"/>
      <c r="AFY73" s="16"/>
      <c r="AFZ73" s="16"/>
      <c r="AGA73" s="16"/>
      <c r="AGB73" s="16"/>
      <c r="AGC73" s="16"/>
      <c r="AGD73" s="16"/>
      <c r="AGE73" s="16"/>
      <c r="AGF73" s="16"/>
      <c r="AGG73" s="16"/>
      <c r="AGH73" s="16"/>
      <c r="AGI73" s="16"/>
      <c r="AGJ73" s="16"/>
      <c r="AGK73" s="16"/>
      <c r="AGL73" s="16"/>
      <c r="AGM73" s="16"/>
      <c r="AGN73" s="16"/>
      <c r="AGO73" s="16"/>
      <c r="AGP73" s="16"/>
      <c r="AGQ73" s="16"/>
      <c r="AGR73" s="16"/>
      <c r="AGS73" s="16"/>
      <c r="AGT73" s="16"/>
      <c r="AGU73" s="16"/>
      <c r="AGV73" s="16"/>
      <c r="AGW73" s="16"/>
      <c r="AGX73" s="16"/>
      <c r="AGY73" s="16"/>
      <c r="AGZ73" s="16"/>
      <c r="AHA73" s="16"/>
      <c r="AHB73" s="16"/>
      <c r="AHC73" s="16"/>
      <c r="AHD73" s="16"/>
      <c r="AHE73" s="16"/>
      <c r="AHF73" s="16"/>
      <c r="AHG73" s="16"/>
      <c r="AHH73" s="16"/>
      <c r="AHI73" s="16"/>
      <c r="AHJ73" s="16"/>
      <c r="AHK73" s="16"/>
      <c r="AHL73" s="16"/>
      <c r="AHM73" s="16"/>
      <c r="AHN73" s="16"/>
      <c r="AHO73" s="16"/>
      <c r="AHP73" s="16"/>
      <c r="AHQ73" s="16"/>
      <c r="AHR73" s="16"/>
      <c r="AHS73" s="16"/>
      <c r="AHT73" s="16"/>
      <c r="AHU73" s="16"/>
      <c r="AHV73" s="16"/>
      <c r="AHW73" s="16"/>
      <c r="AHX73" s="16"/>
      <c r="AHY73" s="16"/>
      <c r="AHZ73" s="16"/>
      <c r="AIA73" s="16"/>
      <c r="AIB73" s="16"/>
      <c r="AIC73" s="16"/>
      <c r="AID73" s="16"/>
      <c r="AIE73" s="16"/>
      <c r="AIF73" s="16"/>
      <c r="AIG73" s="16"/>
      <c r="AIH73" s="16"/>
      <c r="AII73" s="16"/>
      <c r="AIJ73" s="16"/>
      <c r="AIK73" s="16"/>
      <c r="AIL73" s="16"/>
      <c r="AIM73" s="16"/>
      <c r="AIN73" s="16"/>
      <c r="AIO73" s="16"/>
      <c r="AIP73" s="16"/>
      <c r="AIQ73" s="16"/>
      <c r="AIR73" s="16"/>
      <c r="AIS73" s="16"/>
      <c r="AIT73" s="16"/>
      <c r="AIU73" s="16"/>
      <c r="AIV73" s="16"/>
      <c r="AIW73" s="16"/>
      <c r="AIX73" s="16"/>
      <c r="AIY73" s="16"/>
      <c r="AIZ73" s="16"/>
      <c r="AJA73" s="16"/>
      <c r="AJB73" s="16"/>
      <c r="AJC73" s="16"/>
      <c r="AJD73" s="16"/>
      <c r="AJE73" s="16"/>
      <c r="AJF73" s="16"/>
      <c r="AJG73" s="16"/>
      <c r="AJH73" s="16"/>
      <c r="AJI73" s="16"/>
      <c r="AJJ73" s="16"/>
      <c r="AJK73" s="16"/>
      <c r="AJL73" s="16"/>
      <c r="AJM73" s="16"/>
      <c r="AJN73" s="16"/>
      <c r="AJO73" s="16"/>
      <c r="AJP73" s="16"/>
      <c r="AJQ73" s="16"/>
      <c r="AJR73" s="16"/>
      <c r="AJS73" s="16"/>
      <c r="AJT73" s="16"/>
      <c r="AJU73" s="16"/>
      <c r="AJV73" s="16"/>
      <c r="AJW73" s="16"/>
      <c r="AJX73" s="16"/>
      <c r="AJY73" s="16"/>
      <c r="AJZ73" s="16"/>
      <c r="AKA73" s="16"/>
      <c r="AKB73" s="16"/>
      <c r="AKC73" s="16"/>
      <c r="AKD73" s="16"/>
      <c r="AKE73" s="16"/>
      <c r="AKF73" s="16"/>
      <c r="AKG73" s="16"/>
      <c r="AKH73" s="16"/>
      <c r="AKI73" s="16"/>
      <c r="AKJ73" s="16"/>
      <c r="AKK73" s="16"/>
      <c r="AKL73" s="16"/>
      <c r="AKM73" s="16"/>
      <c r="AKN73" s="16"/>
      <c r="AKO73" s="16"/>
      <c r="AKP73" s="16"/>
      <c r="AKQ73" s="16"/>
      <c r="AKR73" s="16"/>
      <c r="AKS73" s="16"/>
      <c r="AKT73" s="16"/>
      <c r="AKU73" s="16"/>
      <c r="AKV73" s="16"/>
      <c r="AKW73" s="16"/>
      <c r="AKX73" s="16"/>
      <c r="AKY73" s="16"/>
      <c r="AKZ73" s="16"/>
      <c r="ALA73" s="16"/>
      <c r="ALB73" s="16"/>
      <c r="ALC73" s="16"/>
      <c r="ALD73" s="16"/>
      <c r="ALE73" s="16"/>
      <c r="ALF73" s="16"/>
      <c r="ALG73" s="16"/>
      <c r="ALH73" s="16"/>
      <c r="ALI73" s="16"/>
      <c r="ALJ73" s="16"/>
      <c r="ALK73" s="16"/>
      <c r="ALL73" s="16"/>
      <c r="ALM73" s="16"/>
      <c r="ALN73" s="16"/>
      <c r="ALO73" s="16"/>
      <c r="ALP73" s="16"/>
      <c r="ALQ73" s="16"/>
      <c r="ALR73" s="16"/>
      <c r="ALS73" s="16"/>
      <c r="ALT73" s="16"/>
      <c r="ALU73" s="16"/>
      <c r="ALV73" s="16"/>
      <c r="ALW73" s="16"/>
      <c r="ALX73" s="16"/>
      <c r="ALY73" s="16"/>
      <c r="ALZ73" s="16"/>
      <c r="AMA73" s="16"/>
      <c r="AMB73" s="16"/>
      <c r="AMC73" s="16"/>
      <c r="AMD73" s="16"/>
      <c r="AME73" s="16"/>
      <c r="AMF73" s="16"/>
      <c r="AMG73" s="16"/>
      <c r="AMH73" s="16"/>
      <c r="AMI73" s="16"/>
      <c r="AMJ73" s="16"/>
      <c r="AMK73" s="16"/>
      <c r="AML73" s="16"/>
      <c r="AMM73" s="16"/>
      <c r="AMN73" s="16"/>
      <c r="AMO73" s="16"/>
      <c r="AMP73" s="16"/>
      <c r="AMQ73" s="16"/>
      <c r="AMR73" s="16"/>
      <c r="AMS73" s="16"/>
      <c r="AMT73" s="16"/>
      <c r="AMU73" s="16"/>
      <c r="AMV73" s="16"/>
      <c r="AMW73" s="16"/>
      <c r="AMX73" s="16"/>
      <c r="AMY73" s="16"/>
      <c r="AMZ73" s="16"/>
      <c r="ANA73" s="16"/>
      <c r="ANB73" s="16"/>
      <c r="ANC73" s="16"/>
      <c r="AND73" s="16"/>
      <c r="ANE73" s="16"/>
      <c r="ANF73" s="16"/>
      <c r="ANG73" s="16"/>
      <c r="ANH73" s="16"/>
      <c r="ANI73" s="16"/>
      <c r="ANJ73" s="16"/>
      <c r="ANK73" s="16"/>
      <c r="ANL73" s="16"/>
      <c r="ANM73" s="16"/>
      <c r="ANN73" s="16"/>
      <c r="ANO73" s="16"/>
      <c r="ANP73" s="16"/>
      <c r="ANQ73" s="16"/>
      <c r="ANR73" s="16"/>
      <c r="ANS73" s="16"/>
      <c r="ANT73" s="16"/>
      <c r="ANU73" s="16"/>
      <c r="ANV73" s="16"/>
      <c r="ANW73" s="16"/>
      <c r="ANX73" s="16"/>
      <c r="ANY73" s="16"/>
      <c r="ANZ73" s="16"/>
      <c r="AOA73" s="16"/>
      <c r="AOB73" s="16"/>
      <c r="AOC73" s="16"/>
      <c r="AOD73" s="16"/>
      <c r="AOE73" s="16"/>
      <c r="AOF73" s="16"/>
      <c r="AOG73" s="16"/>
      <c r="AOH73" s="16"/>
      <c r="AOI73" s="16"/>
      <c r="AOJ73" s="16"/>
      <c r="AOK73" s="16"/>
      <c r="AOL73" s="16"/>
      <c r="AOM73" s="16"/>
      <c r="AON73" s="16"/>
      <c r="AOO73" s="16"/>
      <c r="AOP73" s="16"/>
      <c r="AOQ73" s="16"/>
      <c r="AOR73" s="16"/>
      <c r="AOS73" s="16"/>
      <c r="AOT73" s="16"/>
      <c r="AOU73" s="16"/>
      <c r="AOV73" s="16"/>
      <c r="AOW73" s="16"/>
      <c r="AOX73" s="16"/>
      <c r="AOY73" s="16"/>
      <c r="AOZ73" s="16"/>
      <c r="APA73" s="16"/>
      <c r="APB73" s="16"/>
      <c r="APC73" s="16"/>
      <c r="APD73" s="16"/>
      <c r="APE73" s="16"/>
      <c r="APF73" s="16"/>
      <c r="APG73" s="16"/>
      <c r="APH73" s="16"/>
      <c r="API73" s="16"/>
      <c r="APJ73" s="16"/>
      <c r="APK73" s="16"/>
      <c r="APL73" s="16"/>
      <c r="APM73" s="16"/>
      <c r="APN73" s="16"/>
      <c r="APO73" s="16"/>
      <c r="APP73" s="16"/>
      <c r="APQ73" s="16"/>
      <c r="APR73" s="16"/>
      <c r="APS73" s="16"/>
      <c r="APT73" s="16"/>
      <c r="APU73" s="16"/>
      <c r="APV73" s="16"/>
      <c r="APW73" s="16"/>
      <c r="APX73" s="16"/>
      <c r="APY73" s="16"/>
      <c r="APZ73" s="16"/>
      <c r="AQA73" s="16"/>
      <c r="AQB73" s="16"/>
      <c r="AQC73" s="16"/>
      <c r="AQD73" s="16"/>
      <c r="AQE73" s="16"/>
      <c r="AQF73" s="16"/>
      <c r="AQG73" s="16"/>
      <c r="AQH73" s="16"/>
      <c r="AQI73" s="16"/>
      <c r="AQJ73" s="16"/>
      <c r="AQK73" s="16"/>
      <c r="AQL73" s="16"/>
      <c r="AQM73" s="16"/>
      <c r="AQN73" s="16"/>
      <c r="AQO73" s="16"/>
      <c r="AQP73" s="16"/>
      <c r="AQQ73" s="16"/>
      <c r="AQR73" s="16"/>
      <c r="AQS73" s="16"/>
      <c r="AQT73" s="16"/>
      <c r="AQU73" s="16"/>
      <c r="AQV73" s="16"/>
      <c r="AQW73" s="16"/>
      <c r="AQX73" s="16"/>
      <c r="AQY73" s="16"/>
      <c r="AQZ73" s="16"/>
      <c r="ARA73" s="16"/>
      <c r="ARB73" s="16"/>
      <c r="ARC73" s="16"/>
      <c r="ARD73" s="16"/>
      <c r="ARE73" s="16"/>
      <c r="ARF73" s="16"/>
      <c r="ARG73" s="16"/>
      <c r="ARH73" s="16"/>
      <c r="ARI73" s="16"/>
      <c r="ARJ73" s="16"/>
      <c r="ARK73" s="16"/>
      <c r="ARL73" s="16"/>
      <c r="ARM73" s="16"/>
      <c r="ARN73" s="16"/>
      <c r="ARO73" s="16"/>
      <c r="ARP73" s="16"/>
      <c r="ARQ73" s="16"/>
      <c r="ARR73" s="16"/>
      <c r="ARS73" s="16"/>
      <c r="ART73" s="16"/>
      <c r="ARU73" s="16"/>
      <c r="ARV73" s="16"/>
      <c r="ARW73" s="16"/>
      <c r="ARX73" s="16"/>
      <c r="ARY73" s="16"/>
      <c r="ARZ73" s="16"/>
      <c r="ASA73" s="16"/>
      <c r="ASB73" s="16"/>
      <c r="ASC73" s="16"/>
      <c r="ASD73" s="16"/>
      <c r="ASE73" s="16"/>
      <c r="ASF73" s="16"/>
      <c r="ASG73" s="16"/>
      <c r="ASH73" s="16"/>
      <c r="ASI73" s="16"/>
      <c r="ASJ73" s="16"/>
      <c r="ASK73" s="16"/>
      <c r="ASL73" s="16"/>
      <c r="ASM73" s="16"/>
      <c r="ASN73" s="16"/>
      <c r="ASO73" s="16"/>
      <c r="ASP73" s="16"/>
      <c r="ASQ73" s="16"/>
      <c r="ASR73" s="16"/>
      <c r="ASS73" s="16"/>
      <c r="AST73" s="16"/>
      <c r="ASU73" s="16"/>
      <c r="ASV73" s="16"/>
      <c r="ASW73" s="16"/>
      <c r="ASX73" s="16"/>
      <c r="ASY73" s="16"/>
      <c r="ASZ73" s="16"/>
      <c r="ATA73" s="16"/>
      <c r="ATB73" s="16"/>
      <c r="ATC73" s="16"/>
      <c r="ATD73" s="16"/>
      <c r="ATE73" s="16"/>
      <c r="ATF73" s="16"/>
      <c r="ATG73" s="16"/>
      <c r="ATH73" s="16"/>
      <c r="ATI73" s="16"/>
      <c r="ATJ73" s="16"/>
      <c r="ATK73" s="16"/>
      <c r="ATL73" s="16"/>
      <c r="ATM73" s="16"/>
      <c r="ATN73" s="16"/>
      <c r="ATO73" s="16"/>
      <c r="ATP73" s="16"/>
      <c r="ATQ73" s="16"/>
      <c r="ATR73" s="16"/>
      <c r="ATS73" s="16"/>
      <c r="ATT73" s="16"/>
      <c r="ATU73" s="16"/>
      <c r="ATV73" s="16"/>
      <c r="ATW73" s="16"/>
      <c r="ATX73" s="16"/>
      <c r="ATY73" s="16"/>
      <c r="ATZ73" s="16"/>
      <c r="AUA73" s="16"/>
      <c r="AUB73" s="16"/>
      <c r="AUC73" s="16"/>
      <c r="AUD73" s="16"/>
      <c r="AUE73" s="16"/>
      <c r="AUF73" s="16"/>
      <c r="AUG73" s="16"/>
      <c r="AUH73" s="16"/>
      <c r="AUI73" s="16"/>
      <c r="AUJ73" s="16"/>
      <c r="AUK73" s="16"/>
      <c r="AUL73" s="16"/>
      <c r="AUM73" s="16"/>
      <c r="AUN73" s="16"/>
      <c r="AUO73" s="16"/>
      <c r="AUP73" s="16"/>
      <c r="AUQ73" s="16"/>
      <c r="AUR73" s="16"/>
      <c r="AUS73" s="16"/>
      <c r="AUT73" s="16"/>
      <c r="AUU73" s="16"/>
      <c r="AUV73" s="16"/>
      <c r="AUW73" s="16"/>
      <c r="AUX73" s="16"/>
      <c r="AUY73" s="16"/>
      <c r="AUZ73" s="16"/>
      <c r="AVA73" s="16"/>
      <c r="AVB73" s="16"/>
      <c r="AVC73" s="16"/>
      <c r="AVD73" s="16"/>
      <c r="AVE73" s="16"/>
      <c r="AVF73" s="16"/>
      <c r="AVG73" s="16"/>
      <c r="AVH73" s="16"/>
      <c r="AVI73" s="16"/>
      <c r="AVJ73" s="16"/>
      <c r="AVK73" s="16"/>
      <c r="AVL73" s="16"/>
      <c r="AVM73" s="16"/>
      <c r="AVN73" s="16"/>
      <c r="AVO73" s="16"/>
      <c r="AVP73" s="16"/>
      <c r="AVQ73" s="16"/>
      <c r="AVR73" s="16"/>
      <c r="AVS73" s="16"/>
      <c r="AVT73" s="16"/>
      <c r="AVU73" s="16"/>
      <c r="AVV73" s="16"/>
      <c r="AVW73" s="16"/>
      <c r="AVX73" s="16"/>
      <c r="AVY73" s="16"/>
      <c r="AVZ73" s="16"/>
      <c r="AWA73" s="16"/>
      <c r="AWB73" s="16"/>
      <c r="AWC73" s="16"/>
      <c r="AWD73" s="16"/>
      <c r="AWE73" s="16"/>
      <c r="AWF73" s="16"/>
      <c r="AWG73" s="16"/>
      <c r="AWH73" s="16"/>
      <c r="AWI73" s="16"/>
      <c r="AWJ73" s="16"/>
      <c r="AWK73" s="16"/>
      <c r="AWL73" s="16"/>
      <c r="AWM73" s="16"/>
      <c r="AWN73" s="16"/>
      <c r="AWO73" s="16"/>
      <c r="AWP73" s="16"/>
      <c r="AWQ73" s="16"/>
      <c r="AWR73" s="16"/>
      <c r="AWS73" s="16"/>
      <c r="AWT73" s="16"/>
      <c r="AWU73" s="16"/>
      <c r="AWV73" s="16"/>
      <c r="AWW73" s="16"/>
      <c r="AWX73" s="16"/>
      <c r="AWY73" s="16"/>
      <c r="AWZ73" s="16"/>
      <c r="AXA73" s="16"/>
      <c r="AXB73" s="16"/>
      <c r="AXC73" s="16"/>
      <c r="AXD73" s="16"/>
      <c r="AXE73" s="16"/>
      <c r="AXF73" s="16"/>
      <c r="AXG73" s="16"/>
      <c r="AXH73" s="16"/>
      <c r="AXI73" s="16"/>
      <c r="AXJ73" s="16"/>
      <c r="AXK73" s="16"/>
      <c r="AXL73" s="16"/>
      <c r="AXM73" s="16"/>
      <c r="AXN73" s="16"/>
      <c r="AXO73" s="16"/>
      <c r="AXP73" s="16"/>
      <c r="AXQ73" s="16"/>
      <c r="AXR73" s="16"/>
      <c r="AXS73" s="16"/>
      <c r="AXT73" s="16"/>
      <c r="AXU73" s="16"/>
      <c r="AXV73" s="16"/>
      <c r="AXW73" s="16"/>
      <c r="AXX73" s="16"/>
      <c r="AXY73" s="16"/>
      <c r="AXZ73" s="16"/>
      <c r="AYA73" s="16"/>
      <c r="AYB73" s="16"/>
      <c r="AYC73" s="16"/>
      <c r="AYD73" s="16"/>
      <c r="AYE73" s="16"/>
      <c r="AYF73" s="16"/>
      <c r="AYG73" s="16"/>
      <c r="AYH73" s="16"/>
      <c r="AYI73" s="16"/>
      <c r="AYJ73" s="16"/>
      <c r="AYK73" s="16"/>
      <c r="AYL73" s="16"/>
      <c r="AYM73" s="16"/>
      <c r="AYN73" s="16"/>
      <c r="AYO73" s="16"/>
      <c r="AYP73" s="16"/>
      <c r="AYQ73" s="16"/>
      <c r="AYR73" s="16"/>
      <c r="AYS73" s="16"/>
      <c r="AYT73" s="16"/>
      <c r="AYU73" s="16"/>
      <c r="AYV73" s="16"/>
      <c r="AYW73" s="16"/>
      <c r="AYX73" s="16"/>
      <c r="AYY73" s="16"/>
      <c r="AYZ73" s="16"/>
      <c r="AZA73" s="16"/>
      <c r="AZB73" s="16"/>
      <c r="AZC73" s="16"/>
      <c r="AZD73" s="16"/>
      <c r="AZE73" s="16"/>
      <c r="AZF73" s="16"/>
      <c r="AZG73" s="16"/>
      <c r="AZH73" s="16"/>
      <c r="AZI73" s="16"/>
      <c r="AZJ73" s="16"/>
      <c r="AZK73" s="16"/>
      <c r="AZL73" s="16"/>
      <c r="AZM73" s="16"/>
      <c r="AZN73" s="16"/>
      <c r="AZO73" s="16"/>
      <c r="AZP73" s="16"/>
      <c r="AZQ73" s="16"/>
      <c r="AZR73" s="16"/>
      <c r="AZS73" s="16"/>
      <c r="AZT73" s="16"/>
      <c r="AZU73" s="16"/>
      <c r="AZV73" s="16"/>
      <c r="AZW73" s="16"/>
      <c r="AZX73" s="16"/>
      <c r="AZY73" s="16"/>
      <c r="AZZ73" s="16"/>
      <c r="BAA73" s="16"/>
      <c r="BAB73" s="16"/>
      <c r="BAC73" s="16"/>
      <c r="BAD73" s="16"/>
      <c r="BAE73" s="16"/>
      <c r="BAF73" s="16"/>
      <c r="BAG73" s="16"/>
      <c r="BAH73" s="16"/>
      <c r="BAI73" s="16"/>
      <c r="BAJ73" s="16"/>
      <c r="BAK73" s="16"/>
      <c r="BAL73" s="16"/>
      <c r="BAM73" s="16"/>
      <c r="BAN73" s="16"/>
      <c r="BAO73" s="16"/>
      <c r="BAP73" s="16"/>
      <c r="BAQ73" s="16"/>
      <c r="BAR73" s="16"/>
      <c r="BAS73" s="16"/>
      <c r="BAT73" s="16"/>
      <c r="BAU73" s="16"/>
      <c r="BAV73" s="16"/>
      <c r="BAW73" s="16"/>
      <c r="BAX73" s="16"/>
      <c r="BAY73" s="16"/>
      <c r="BAZ73" s="16"/>
      <c r="BBA73" s="16"/>
      <c r="BBB73" s="16"/>
      <c r="BBC73" s="16"/>
      <c r="BBD73" s="16"/>
      <c r="BBE73" s="16"/>
      <c r="BBF73" s="16"/>
      <c r="BBG73" s="16"/>
      <c r="BBH73" s="16"/>
      <c r="BBI73" s="16"/>
      <c r="BBJ73" s="16"/>
      <c r="BBK73" s="16"/>
      <c r="BBL73" s="16"/>
      <c r="BBM73" s="16"/>
      <c r="BBN73" s="16"/>
      <c r="BBO73" s="16"/>
      <c r="BBP73" s="16"/>
      <c r="BBQ73" s="16"/>
      <c r="BBR73" s="16"/>
      <c r="BBS73" s="16"/>
      <c r="BBT73" s="16"/>
      <c r="BBU73" s="16"/>
      <c r="BBV73" s="16"/>
      <c r="BBW73" s="16"/>
      <c r="BBX73" s="16"/>
      <c r="BBY73" s="16"/>
      <c r="BBZ73" s="16"/>
      <c r="BCA73" s="16"/>
      <c r="BCB73" s="16"/>
      <c r="BCC73" s="16"/>
      <c r="BCD73" s="16"/>
      <c r="BCE73" s="16"/>
      <c r="BCF73" s="16"/>
      <c r="BCG73" s="16"/>
      <c r="BCH73" s="16"/>
      <c r="BCI73" s="16"/>
      <c r="BCJ73" s="16"/>
      <c r="BCK73" s="16"/>
      <c r="BCL73" s="16"/>
      <c r="BCM73" s="16"/>
      <c r="BCN73" s="16"/>
      <c r="BCO73" s="16"/>
      <c r="BCP73" s="16"/>
      <c r="BCQ73" s="16"/>
      <c r="BCR73" s="16"/>
      <c r="BCS73" s="16"/>
      <c r="BCT73" s="16"/>
      <c r="BCU73" s="16"/>
      <c r="BCV73" s="16"/>
      <c r="BCW73" s="16"/>
      <c r="BCX73" s="16"/>
      <c r="BCY73" s="16"/>
      <c r="BCZ73" s="16"/>
      <c r="BDA73" s="16"/>
      <c r="BDB73" s="16"/>
      <c r="BDC73" s="16"/>
      <c r="BDD73" s="16"/>
      <c r="BDE73" s="16"/>
      <c r="BDF73" s="16"/>
      <c r="BDG73" s="16"/>
      <c r="BDH73" s="16"/>
      <c r="BDI73" s="16"/>
      <c r="BDJ73" s="16"/>
      <c r="BDK73" s="16"/>
      <c r="BDL73" s="16"/>
      <c r="BDM73" s="16"/>
      <c r="BDN73" s="16"/>
      <c r="BDO73" s="16"/>
      <c r="BDP73" s="16"/>
      <c r="BDQ73" s="16"/>
      <c r="BDR73" s="16"/>
      <c r="BDS73" s="16"/>
      <c r="BDT73" s="16"/>
      <c r="BDU73" s="16"/>
      <c r="BDV73" s="16"/>
      <c r="BDW73" s="16"/>
      <c r="BDX73" s="16"/>
      <c r="BDY73" s="16"/>
      <c r="BDZ73" s="16"/>
      <c r="BEA73" s="16"/>
      <c r="BEB73" s="16"/>
      <c r="BEC73" s="16"/>
      <c r="BED73" s="16"/>
      <c r="BEE73" s="16"/>
      <c r="BEF73" s="16"/>
      <c r="BEG73" s="16"/>
      <c r="BEH73" s="16"/>
      <c r="BEI73" s="16"/>
      <c r="BEJ73" s="16"/>
      <c r="BEK73" s="16"/>
      <c r="BEL73" s="16"/>
      <c r="BEM73" s="16"/>
      <c r="BEN73" s="16"/>
      <c r="BEO73" s="16"/>
      <c r="BEP73" s="16"/>
      <c r="BEQ73" s="16"/>
      <c r="BER73" s="16"/>
      <c r="BES73" s="16"/>
      <c r="BET73" s="16"/>
      <c r="BEU73" s="16"/>
      <c r="BEV73" s="16"/>
      <c r="BEW73" s="16"/>
      <c r="BEX73" s="16"/>
      <c r="BEY73" s="16"/>
      <c r="BEZ73" s="16"/>
      <c r="BFA73" s="16"/>
      <c r="BFB73" s="16"/>
      <c r="BFC73" s="16"/>
      <c r="BFD73" s="16"/>
      <c r="BFE73" s="16"/>
      <c r="BFF73" s="16"/>
      <c r="BFG73" s="16"/>
      <c r="BFH73" s="16"/>
      <c r="BFI73" s="16"/>
      <c r="BFJ73" s="16"/>
      <c r="BFK73" s="16"/>
      <c r="BFL73" s="16"/>
      <c r="BFM73" s="16"/>
      <c r="BFN73" s="16"/>
      <c r="BFO73" s="16"/>
      <c r="BFP73" s="16"/>
      <c r="BFQ73" s="16"/>
      <c r="BFR73" s="16"/>
      <c r="BFS73" s="16"/>
      <c r="BFT73" s="16"/>
      <c r="BFU73" s="16"/>
      <c r="BFV73" s="16"/>
      <c r="BFW73" s="16"/>
      <c r="BFX73" s="16"/>
      <c r="BFY73" s="16"/>
      <c r="BFZ73" s="16"/>
      <c r="BGA73" s="16"/>
      <c r="BGB73" s="16"/>
      <c r="BGC73" s="16"/>
      <c r="BGD73" s="16"/>
      <c r="BGE73" s="16"/>
      <c r="BGF73" s="16"/>
      <c r="BGG73" s="16"/>
      <c r="BGH73" s="16"/>
      <c r="BGI73" s="16"/>
      <c r="BGJ73" s="16"/>
      <c r="BGK73" s="16"/>
      <c r="BGL73" s="16"/>
      <c r="BGM73" s="16"/>
      <c r="BGN73" s="16"/>
      <c r="BGO73" s="16"/>
      <c r="BGP73" s="16"/>
      <c r="BGQ73" s="16"/>
      <c r="BGR73" s="16"/>
      <c r="BGS73" s="16"/>
      <c r="BGT73" s="16"/>
      <c r="BGU73" s="16"/>
      <c r="BGV73" s="16"/>
      <c r="BGW73" s="16"/>
      <c r="BGX73" s="16"/>
      <c r="BGY73" s="16"/>
      <c r="BGZ73" s="16"/>
      <c r="BHA73" s="16"/>
      <c r="BHB73" s="16"/>
      <c r="BHC73" s="16"/>
      <c r="BHD73" s="16"/>
      <c r="BHE73" s="16"/>
      <c r="BHF73" s="16"/>
      <c r="BHG73" s="16"/>
      <c r="BHH73" s="16"/>
      <c r="BHI73" s="16"/>
      <c r="BHJ73" s="16"/>
      <c r="BHK73" s="16"/>
      <c r="BHL73" s="16"/>
      <c r="BHM73" s="16"/>
      <c r="BHN73" s="16"/>
      <c r="BHO73" s="16"/>
      <c r="BHP73" s="16"/>
      <c r="BHQ73" s="16"/>
      <c r="BHR73" s="16"/>
      <c r="BHS73" s="16"/>
      <c r="BHT73" s="16"/>
      <c r="BHU73" s="16"/>
      <c r="BHV73" s="16"/>
      <c r="BHW73" s="16"/>
      <c r="BHX73" s="16"/>
      <c r="BHY73" s="16"/>
      <c r="BHZ73" s="16"/>
      <c r="BIA73" s="16"/>
      <c r="BIB73" s="16"/>
      <c r="BIC73" s="16"/>
      <c r="BID73" s="16"/>
      <c r="BIE73" s="16"/>
      <c r="BIF73" s="16"/>
      <c r="BIG73" s="16"/>
      <c r="BIH73" s="16"/>
      <c r="BII73" s="16"/>
      <c r="BIJ73" s="16"/>
      <c r="BIK73" s="16"/>
      <c r="BIL73" s="16"/>
      <c r="BIM73" s="16"/>
      <c r="BIN73" s="16"/>
      <c r="BIO73" s="16"/>
      <c r="BIP73" s="16"/>
      <c r="BIQ73" s="16"/>
      <c r="BIR73" s="16"/>
      <c r="BIS73" s="16"/>
      <c r="BIT73" s="16"/>
      <c r="BIU73" s="16"/>
      <c r="BIV73" s="16"/>
      <c r="BIW73" s="16"/>
      <c r="BIX73" s="16"/>
      <c r="BIY73" s="16"/>
      <c r="BIZ73" s="16"/>
      <c r="BJA73" s="16"/>
      <c r="BJB73" s="16"/>
      <c r="BJC73" s="16"/>
      <c r="BJD73" s="16"/>
      <c r="BJE73" s="16"/>
      <c r="BJF73" s="16"/>
      <c r="BJG73" s="16"/>
      <c r="BJH73" s="16"/>
      <c r="BJI73" s="16"/>
      <c r="BJJ73" s="16"/>
      <c r="BJK73" s="16"/>
      <c r="BJL73" s="16"/>
      <c r="BJM73" s="16"/>
      <c r="BJN73" s="16"/>
      <c r="BJO73" s="16"/>
      <c r="BJP73" s="16"/>
      <c r="BJQ73" s="16"/>
      <c r="BJR73" s="16"/>
      <c r="BJS73" s="16"/>
      <c r="BJT73" s="16"/>
      <c r="BJU73" s="16"/>
      <c r="BJV73" s="16"/>
      <c r="BJW73" s="16"/>
      <c r="BJX73" s="16"/>
      <c r="BJY73" s="16"/>
      <c r="BJZ73" s="16"/>
      <c r="BKA73" s="16"/>
      <c r="BKB73" s="16"/>
      <c r="BKC73" s="16"/>
      <c r="BKD73" s="16"/>
      <c r="BKE73" s="16"/>
      <c r="BKF73" s="16"/>
      <c r="BKG73" s="16"/>
      <c r="BKH73" s="16"/>
      <c r="BKI73" s="16"/>
      <c r="BKJ73" s="16"/>
      <c r="BKK73" s="16"/>
      <c r="BKL73" s="16"/>
      <c r="BKM73" s="16"/>
      <c r="BKN73" s="16"/>
      <c r="BKO73" s="16"/>
      <c r="BKP73" s="16"/>
      <c r="BKQ73" s="16"/>
      <c r="BKR73" s="16"/>
      <c r="BKS73" s="16"/>
      <c r="BKT73" s="16"/>
      <c r="BKU73" s="16"/>
      <c r="BKV73" s="16"/>
      <c r="BKW73" s="16"/>
      <c r="BKX73" s="16"/>
      <c r="BKY73" s="16"/>
      <c r="BKZ73" s="16"/>
      <c r="BLA73" s="16"/>
      <c r="BLB73" s="16"/>
      <c r="BLC73" s="16"/>
      <c r="BLD73" s="16"/>
      <c r="BLE73" s="16"/>
      <c r="BLF73" s="16"/>
      <c r="BLG73" s="16"/>
      <c r="BLH73" s="16"/>
      <c r="BLI73" s="16"/>
      <c r="BLJ73" s="16"/>
      <c r="BLK73" s="16"/>
      <c r="BLL73" s="16"/>
      <c r="BLM73" s="16"/>
      <c r="BLN73" s="16"/>
      <c r="BLO73" s="16"/>
      <c r="BLP73" s="16"/>
      <c r="BLQ73" s="16"/>
      <c r="BLR73" s="16"/>
      <c r="BLS73" s="16"/>
      <c r="BLT73" s="16"/>
      <c r="BLU73" s="16"/>
      <c r="BLV73" s="16"/>
      <c r="BLW73" s="16"/>
      <c r="BLX73" s="16"/>
      <c r="BLY73" s="16"/>
      <c r="BLZ73" s="16"/>
      <c r="BMA73" s="16"/>
      <c r="BMB73" s="16"/>
      <c r="BMC73" s="16"/>
      <c r="BMD73" s="16"/>
      <c r="BME73" s="16"/>
      <c r="BMF73" s="16"/>
      <c r="BMG73" s="16"/>
      <c r="BMH73" s="16"/>
      <c r="BMI73" s="16"/>
      <c r="BMJ73" s="16"/>
      <c r="BMK73" s="16"/>
      <c r="BML73" s="16"/>
      <c r="BMM73" s="16"/>
      <c r="BMN73" s="16"/>
      <c r="BMO73" s="16"/>
      <c r="BMP73" s="16"/>
      <c r="BMQ73" s="16"/>
      <c r="BMR73" s="16"/>
      <c r="BMS73" s="16"/>
      <c r="BMT73" s="16"/>
      <c r="BMU73" s="16"/>
      <c r="BMV73" s="16"/>
      <c r="BMW73" s="16"/>
      <c r="BMX73" s="16"/>
      <c r="BMY73" s="16"/>
      <c r="BMZ73" s="16"/>
      <c r="BNA73" s="16"/>
      <c r="BNB73" s="16"/>
      <c r="BNC73" s="16"/>
      <c r="BND73" s="16"/>
      <c r="BNE73" s="16"/>
      <c r="BNF73" s="16"/>
      <c r="BNG73" s="16"/>
      <c r="BNH73" s="16"/>
      <c r="BNI73" s="16"/>
      <c r="BNJ73" s="16"/>
      <c r="BNK73" s="16"/>
      <c r="BNL73" s="16"/>
      <c r="BNM73" s="16"/>
      <c r="BNN73" s="16"/>
      <c r="BNO73" s="16"/>
      <c r="BNP73" s="16"/>
      <c r="BNQ73" s="16"/>
      <c r="BNR73" s="16"/>
      <c r="BNS73" s="16"/>
      <c r="BNT73" s="16"/>
      <c r="BNU73" s="16"/>
      <c r="BNV73" s="16"/>
      <c r="BNW73" s="16"/>
      <c r="BNX73" s="16"/>
      <c r="BNY73" s="16"/>
      <c r="BNZ73" s="16"/>
      <c r="BOA73" s="16"/>
      <c r="BOB73" s="16"/>
      <c r="BOC73" s="16"/>
      <c r="BOD73" s="16"/>
      <c r="BOE73" s="16"/>
      <c r="BOF73" s="16"/>
      <c r="BOG73" s="16"/>
      <c r="BOH73" s="16"/>
      <c r="BOI73" s="16"/>
      <c r="BOJ73" s="16"/>
      <c r="BOK73" s="16"/>
      <c r="BOL73" s="16"/>
      <c r="BOM73" s="16"/>
      <c r="BON73" s="16"/>
      <c r="BOO73" s="16"/>
      <c r="BOP73" s="16"/>
      <c r="BOQ73" s="16"/>
      <c r="BOR73" s="16"/>
      <c r="BOS73" s="16"/>
      <c r="BOT73" s="16"/>
      <c r="BOU73" s="16"/>
      <c r="BOV73" s="16"/>
      <c r="BOW73" s="16"/>
      <c r="BOX73" s="16"/>
      <c r="BOY73" s="16"/>
      <c r="BOZ73" s="16"/>
      <c r="BPA73" s="16"/>
      <c r="BPB73" s="16"/>
      <c r="BPC73" s="16"/>
      <c r="BPD73" s="16"/>
      <c r="BPE73" s="16"/>
      <c r="BPF73" s="16"/>
      <c r="BPG73" s="16"/>
      <c r="BPH73" s="16"/>
      <c r="BPI73" s="16"/>
      <c r="BPJ73" s="16"/>
      <c r="BPK73" s="16"/>
      <c r="BPL73" s="16"/>
      <c r="BPM73" s="16"/>
      <c r="BPN73" s="16"/>
      <c r="BPO73" s="16"/>
      <c r="BPP73" s="16"/>
      <c r="BPQ73" s="16"/>
      <c r="BPR73" s="16"/>
      <c r="BPS73" s="16"/>
      <c r="BPT73" s="16"/>
      <c r="BPU73" s="16"/>
      <c r="BPV73" s="16"/>
      <c r="BPW73" s="16"/>
      <c r="BPX73" s="16"/>
      <c r="BPY73" s="16"/>
      <c r="BPZ73" s="16"/>
      <c r="BQA73" s="16"/>
      <c r="BQB73" s="16"/>
      <c r="BQC73" s="16"/>
      <c r="BQD73" s="16"/>
      <c r="BQE73" s="16"/>
      <c r="BQF73" s="16"/>
      <c r="BQG73" s="16"/>
      <c r="BQH73" s="16"/>
      <c r="BQI73" s="16"/>
      <c r="BQJ73" s="16"/>
      <c r="BQK73" s="16"/>
      <c r="BQL73" s="16"/>
      <c r="BQM73" s="16"/>
      <c r="BQN73" s="16"/>
      <c r="BQO73" s="16"/>
      <c r="BQP73" s="16"/>
      <c r="BQQ73" s="16"/>
      <c r="BQR73" s="16"/>
      <c r="BQS73" s="16"/>
      <c r="BQT73" s="16"/>
      <c r="BQU73" s="16"/>
      <c r="BQV73" s="16"/>
      <c r="BQW73" s="16"/>
      <c r="BQX73" s="16"/>
      <c r="BQY73" s="16"/>
      <c r="BQZ73" s="16"/>
      <c r="BRA73" s="16"/>
      <c r="BRB73" s="16"/>
      <c r="BRC73" s="16"/>
      <c r="BRD73" s="16"/>
      <c r="BRE73" s="16"/>
      <c r="BRF73" s="16"/>
      <c r="BRG73" s="16"/>
      <c r="BRH73" s="16"/>
      <c r="BRI73" s="16"/>
      <c r="BRJ73" s="16"/>
      <c r="BRK73" s="16"/>
      <c r="BRL73" s="16"/>
      <c r="BRM73" s="16"/>
      <c r="BRN73" s="16"/>
      <c r="BRO73" s="16"/>
      <c r="BRP73" s="16"/>
      <c r="BRQ73" s="16"/>
      <c r="BRR73" s="16"/>
      <c r="BRS73" s="16"/>
      <c r="BRT73" s="16"/>
      <c r="BRU73" s="16"/>
      <c r="BRV73" s="16"/>
      <c r="BRW73" s="16"/>
      <c r="BRX73" s="16"/>
      <c r="BRY73" s="16"/>
      <c r="BRZ73" s="16"/>
      <c r="BSA73" s="16"/>
      <c r="BSB73" s="16"/>
      <c r="BSC73" s="16"/>
      <c r="BSD73" s="16"/>
      <c r="BSE73" s="16"/>
      <c r="BSF73" s="16"/>
      <c r="BSG73" s="16"/>
      <c r="BSH73" s="16"/>
      <c r="BSI73" s="16"/>
      <c r="BSJ73" s="16"/>
      <c r="BSK73" s="16"/>
      <c r="BSL73" s="16"/>
      <c r="BSM73" s="16"/>
      <c r="BSN73" s="16"/>
      <c r="BSO73" s="16"/>
      <c r="BSP73" s="16"/>
      <c r="BSQ73" s="16"/>
      <c r="BSR73" s="16"/>
      <c r="BSS73" s="16"/>
      <c r="BST73" s="16"/>
      <c r="BSU73" s="16"/>
      <c r="BSV73" s="16"/>
      <c r="BSW73" s="16"/>
      <c r="BSX73" s="16"/>
      <c r="BSY73" s="16"/>
      <c r="BSZ73" s="16"/>
      <c r="BTA73" s="16"/>
      <c r="BTB73" s="16"/>
      <c r="BTC73" s="16"/>
      <c r="BTD73" s="16"/>
      <c r="BTE73" s="16"/>
      <c r="BTF73" s="16"/>
      <c r="BTG73" s="16"/>
      <c r="BTH73" s="16"/>
      <c r="BTI73" s="16"/>
      <c r="BTJ73" s="16"/>
      <c r="BTK73" s="16"/>
      <c r="BTL73" s="16"/>
      <c r="BTM73" s="16"/>
      <c r="BTN73" s="16"/>
      <c r="BTO73" s="16"/>
      <c r="BTP73" s="16"/>
      <c r="BTQ73" s="16"/>
      <c r="BTR73" s="16"/>
      <c r="BTS73" s="16"/>
      <c r="BTT73" s="16"/>
      <c r="BTU73" s="16"/>
      <c r="BTV73" s="16"/>
      <c r="BTW73" s="16"/>
      <c r="BTX73" s="16"/>
      <c r="BTY73" s="16"/>
      <c r="BTZ73" s="16"/>
      <c r="BUA73" s="16"/>
      <c r="BUB73" s="16"/>
      <c r="BUC73" s="16"/>
      <c r="BUD73" s="16"/>
      <c r="BUE73" s="16"/>
      <c r="BUF73" s="16"/>
      <c r="BUG73" s="16"/>
      <c r="BUH73" s="16"/>
      <c r="BUI73" s="16"/>
      <c r="BUJ73" s="16"/>
      <c r="BUK73" s="16"/>
      <c r="BUL73" s="16"/>
      <c r="BUM73" s="16"/>
      <c r="BUN73" s="16"/>
      <c r="BUO73" s="16"/>
      <c r="BUP73" s="16"/>
      <c r="BUQ73" s="16"/>
      <c r="BUR73" s="16"/>
      <c r="BUS73" s="16"/>
      <c r="BUT73" s="16"/>
      <c r="BUU73" s="16"/>
      <c r="BUV73" s="16"/>
      <c r="BUW73" s="16"/>
      <c r="BUX73" s="16"/>
      <c r="BUY73" s="16"/>
      <c r="BUZ73" s="16"/>
      <c r="BVA73" s="16"/>
      <c r="BVB73" s="16"/>
      <c r="BVC73" s="16"/>
      <c r="BVD73" s="16"/>
      <c r="BVE73" s="16"/>
      <c r="BVF73" s="16"/>
      <c r="BVG73" s="16"/>
      <c r="BVH73" s="16"/>
      <c r="BVI73" s="16"/>
      <c r="BVJ73" s="16"/>
      <c r="BVK73" s="16"/>
      <c r="BVL73" s="16"/>
      <c r="BVM73" s="16"/>
      <c r="BVN73" s="16"/>
      <c r="BVO73" s="16"/>
      <c r="BVP73" s="16"/>
      <c r="BVQ73" s="16"/>
      <c r="BVR73" s="16"/>
      <c r="BVS73" s="16"/>
      <c r="BVT73" s="16"/>
      <c r="BVU73" s="16"/>
      <c r="BVV73" s="16"/>
      <c r="BVW73" s="16"/>
      <c r="BVX73" s="16"/>
      <c r="BVY73" s="16"/>
      <c r="BVZ73" s="16"/>
      <c r="BWA73" s="16"/>
      <c r="BWB73" s="16"/>
      <c r="BWC73" s="16"/>
      <c r="BWD73" s="16"/>
      <c r="BWE73" s="16"/>
      <c r="BWF73" s="16"/>
      <c r="BWG73" s="16"/>
      <c r="BWH73" s="16"/>
      <c r="BWI73" s="16"/>
      <c r="BWJ73" s="16"/>
      <c r="BWK73" s="16"/>
      <c r="BWL73" s="16"/>
      <c r="BWM73" s="16"/>
      <c r="BWN73" s="16"/>
      <c r="BWO73" s="16"/>
      <c r="BWP73" s="16"/>
      <c r="BWQ73" s="16"/>
      <c r="BWR73" s="16"/>
      <c r="BWS73" s="16"/>
      <c r="BWT73" s="16"/>
      <c r="BWU73" s="16"/>
      <c r="BWV73" s="16"/>
      <c r="BWW73" s="16"/>
      <c r="BWX73" s="16"/>
      <c r="BWY73" s="16"/>
      <c r="BWZ73" s="16"/>
      <c r="BXA73" s="16"/>
      <c r="BXB73" s="16"/>
      <c r="BXC73" s="16"/>
      <c r="BXD73" s="16"/>
      <c r="BXE73" s="16"/>
      <c r="BXF73" s="16"/>
      <c r="BXG73" s="16"/>
      <c r="BXH73" s="16"/>
      <c r="BXI73" s="16"/>
      <c r="BXJ73" s="16"/>
      <c r="BXK73" s="16"/>
      <c r="BXL73" s="16"/>
      <c r="BXM73" s="16"/>
      <c r="BXN73" s="16"/>
      <c r="BXO73" s="16"/>
      <c r="BXP73" s="16"/>
      <c r="BXQ73" s="16"/>
      <c r="BXR73" s="16"/>
      <c r="BXS73" s="16"/>
      <c r="BXT73" s="16"/>
      <c r="BXU73" s="16"/>
      <c r="BXV73" s="16"/>
      <c r="BXW73" s="16"/>
      <c r="BXX73" s="16"/>
      <c r="BXY73" s="16"/>
      <c r="BXZ73" s="16"/>
      <c r="BYA73" s="16"/>
      <c r="BYB73" s="16"/>
      <c r="BYC73" s="16"/>
      <c r="BYD73" s="16"/>
      <c r="BYE73" s="16"/>
      <c r="BYF73" s="16"/>
      <c r="BYG73" s="16"/>
      <c r="BYH73" s="16"/>
      <c r="BYI73" s="16"/>
      <c r="BYJ73" s="16"/>
      <c r="BYK73" s="16"/>
      <c r="BYL73" s="16"/>
      <c r="BYM73" s="16"/>
      <c r="BYN73" s="16"/>
      <c r="BYO73" s="16"/>
      <c r="BYP73" s="16"/>
      <c r="BYQ73" s="16"/>
      <c r="BYR73" s="16"/>
      <c r="BYS73" s="16"/>
      <c r="BYT73" s="16"/>
      <c r="BYU73" s="16"/>
      <c r="BYV73" s="16"/>
      <c r="BYW73" s="16"/>
      <c r="BYX73" s="16"/>
      <c r="BYY73" s="16"/>
      <c r="BYZ73" s="16"/>
      <c r="BZA73" s="16"/>
      <c r="BZB73" s="16"/>
      <c r="BZC73" s="16"/>
      <c r="BZD73" s="16"/>
      <c r="BZE73" s="16"/>
      <c r="BZF73" s="16"/>
      <c r="BZG73" s="16"/>
      <c r="BZH73" s="16"/>
      <c r="BZI73" s="16"/>
      <c r="BZJ73" s="16"/>
      <c r="BZK73" s="16"/>
      <c r="BZL73" s="16"/>
      <c r="BZM73" s="16"/>
      <c r="BZN73" s="16"/>
      <c r="BZO73" s="16"/>
      <c r="BZP73" s="16"/>
      <c r="BZQ73" s="16"/>
      <c r="BZR73" s="16"/>
      <c r="BZS73" s="16"/>
      <c r="BZT73" s="16"/>
      <c r="BZU73" s="16"/>
      <c r="BZV73" s="16"/>
      <c r="BZW73" s="16"/>
      <c r="BZX73" s="16"/>
      <c r="BZY73" s="16"/>
      <c r="BZZ73" s="16"/>
      <c r="CAA73" s="16"/>
      <c r="CAB73" s="16"/>
      <c r="CAC73" s="16"/>
      <c r="CAD73" s="16"/>
      <c r="CAE73" s="16"/>
      <c r="CAF73" s="16"/>
      <c r="CAG73" s="16"/>
      <c r="CAH73" s="16"/>
      <c r="CAI73" s="16"/>
      <c r="CAJ73" s="16"/>
      <c r="CAK73" s="16"/>
      <c r="CAL73" s="16"/>
      <c r="CAM73" s="16"/>
      <c r="CAN73" s="16"/>
      <c r="CAO73" s="16"/>
      <c r="CAP73" s="16"/>
      <c r="CAQ73" s="16"/>
      <c r="CAR73" s="16"/>
      <c r="CAS73" s="16"/>
      <c r="CAT73" s="16"/>
      <c r="CAU73" s="16"/>
      <c r="CAV73" s="16"/>
      <c r="CAW73" s="16"/>
      <c r="CAX73" s="16"/>
      <c r="CAY73" s="16"/>
      <c r="CAZ73" s="16"/>
      <c r="CBA73" s="16"/>
      <c r="CBB73" s="16"/>
      <c r="CBC73" s="16"/>
      <c r="CBD73" s="16"/>
      <c r="CBE73" s="16"/>
      <c r="CBF73" s="16"/>
      <c r="CBG73" s="16"/>
      <c r="CBH73" s="16"/>
      <c r="CBI73" s="16"/>
      <c r="CBJ73" s="16"/>
      <c r="CBK73" s="16"/>
      <c r="CBL73" s="16"/>
      <c r="CBM73" s="16"/>
      <c r="CBN73" s="16"/>
      <c r="CBO73" s="16"/>
      <c r="CBP73" s="16"/>
      <c r="CBQ73" s="16"/>
      <c r="CBR73" s="16"/>
      <c r="CBS73" s="16"/>
      <c r="CBT73" s="16"/>
      <c r="CBU73" s="16"/>
      <c r="CBV73" s="16"/>
      <c r="CBW73" s="16"/>
      <c r="CBX73" s="16"/>
      <c r="CBY73" s="16"/>
      <c r="CBZ73" s="16"/>
      <c r="CCA73" s="16"/>
      <c r="CCB73" s="16"/>
      <c r="CCC73" s="16"/>
      <c r="CCD73" s="16"/>
      <c r="CCE73" s="16"/>
      <c r="CCF73" s="16"/>
      <c r="CCG73" s="16"/>
      <c r="CCH73" s="16"/>
      <c r="CCI73" s="16"/>
      <c r="CCJ73" s="16"/>
      <c r="CCK73" s="16"/>
      <c r="CCL73" s="16"/>
      <c r="CCM73" s="16"/>
      <c r="CCN73" s="16"/>
      <c r="CCO73" s="16"/>
      <c r="CCP73" s="16"/>
      <c r="CCQ73" s="16"/>
      <c r="CCR73" s="16"/>
      <c r="CCS73" s="16"/>
      <c r="CCT73" s="16"/>
      <c r="CCU73" s="16"/>
      <c r="CCV73" s="16"/>
      <c r="CCW73" s="16"/>
      <c r="CCX73" s="16"/>
      <c r="CCY73" s="16"/>
      <c r="CCZ73" s="16"/>
      <c r="CDA73" s="16"/>
      <c r="CDB73" s="16"/>
      <c r="CDC73" s="16"/>
      <c r="CDD73" s="16"/>
      <c r="CDE73" s="16"/>
      <c r="CDF73" s="16"/>
      <c r="CDG73" s="16"/>
      <c r="CDH73" s="16"/>
      <c r="CDI73" s="16"/>
      <c r="CDJ73" s="16"/>
      <c r="CDK73" s="16"/>
      <c r="CDL73" s="16"/>
      <c r="CDM73" s="16"/>
      <c r="CDN73" s="16"/>
      <c r="CDO73" s="16"/>
      <c r="CDP73" s="16"/>
      <c r="CDQ73" s="16"/>
      <c r="CDR73" s="16"/>
      <c r="CDS73" s="16"/>
      <c r="CDT73" s="16"/>
      <c r="CDU73" s="16"/>
      <c r="CDV73" s="16"/>
      <c r="CDW73" s="16"/>
      <c r="CDX73" s="16"/>
      <c r="CDY73" s="16"/>
      <c r="CDZ73" s="16"/>
      <c r="CEA73" s="16"/>
      <c r="CEB73" s="16"/>
      <c r="CEC73" s="16"/>
      <c r="CED73" s="16"/>
      <c r="CEE73" s="16"/>
      <c r="CEF73" s="16"/>
      <c r="CEG73" s="16"/>
      <c r="CEH73" s="16"/>
      <c r="CEI73" s="16"/>
      <c r="CEJ73" s="16"/>
      <c r="CEK73" s="16"/>
      <c r="CEL73" s="16"/>
      <c r="CEM73" s="16"/>
      <c r="CEN73" s="16"/>
      <c r="CEO73" s="16"/>
      <c r="CEP73" s="16"/>
      <c r="CEQ73" s="16"/>
      <c r="CER73" s="16"/>
      <c r="CES73" s="16"/>
      <c r="CET73" s="16"/>
      <c r="CEU73" s="16"/>
      <c r="CEV73" s="16"/>
      <c r="CEW73" s="16"/>
      <c r="CEX73" s="16"/>
      <c r="CEY73" s="16"/>
      <c r="CEZ73" s="16"/>
      <c r="CFA73" s="16"/>
      <c r="CFB73" s="16"/>
      <c r="CFC73" s="16"/>
      <c r="CFD73" s="16"/>
      <c r="CFE73" s="16"/>
      <c r="CFF73" s="16"/>
      <c r="CFG73" s="16"/>
      <c r="CFH73" s="16"/>
      <c r="CFI73" s="16"/>
      <c r="CFJ73" s="16"/>
      <c r="CFK73" s="16"/>
      <c r="CFL73" s="16"/>
      <c r="CFM73" s="16"/>
      <c r="CFN73" s="16"/>
      <c r="CFO73" s="16"/>
      <c r="CFP73" s="16"/>
      <c r="CFQ73" s="16"/>
      <c r="CFR73" s="16"/>
      <c r="CFS73" s="16"/>
      <c r="CFT73" s="16"/>
      <c r="CFU73" s="16"/>
      <c r="CFV73" s="16"/>
      <c r="CFW73" s="16"/>
      <c r="CFX73" s="16"/>
      <c r="CFY73" s="16"/>
      <c r="CFZ73" s="16"/>
      <c r="CGA73" s="16"/>
      <c r="CGB73" s="16"/>
      <c r="CGC73" s="16"/>
      <c r="CGD73" s="16"/>
      <c r="CGE73" s="16"/>
      <c r="CGF73" s="16"/>
      <c r="CGG73" s="16"/>
      <c r="CGH73" s="16"/>
      <c r="CGI73" s="16"/>
      <c r="CGJ73" s="16"/>
      <c r="CGK73" s="16"/>
      <c r="CGL73" s="16"/>
      <c r="CGM73" s="16"/>
      <c r="CGN73" s="16"/>
      <c r="CGO73" s="16"/>
      <c r="CGP73" s="16"/>
      <c r="CGQ73" s="16"/>
      <c r="CGR73" s="16"/>
      <c r="CGS73" s="16"/>
      <c r="CGT73" s="16"/>
      <c r="CGU73" s="16"/>
      <c r="CGV73" s="16"/>
      <c r="CGW73" s="16"/>
      <c r="CGX73" s="16"/>
      <c r="CGY73" s="16"/>
      <c r="CGZ73" s="16"/>
      <c r="CHA73" s="16"/>
      <c r="CHB73" s="16"/>
      <c r="CHC73" s="16"/>
      <c r="CHD73" s="16"/>
      <c r="CHE73" s="16"/>
      <c r="CHF73" s="16"/>
      <c r="CHG73" s="16"/>
      <c r="CHH73" s="16"/>
      <c r="CHI73" s="16"/>
      <c r="CHJ73" s="16"/>
      <c r="CHK73" s="16"/>
      <c r="CHL73" s="16"/>
      <c r="CHM73" s="16"/>
      <c r="CHN73" s="16"/>
      <c r="CHO73" s="16"/>
      <c r="CHP73" s="16"/>
      <c r="CHQ73" s="16"/>
      <c r="CHR73" s="16"/>
      <c r="CHS73" s="16"/>
      <c r="CHT73" s="16"/>
      <c r="CHU73" s="16"/>
      <c r="CHV73" s="16"/>
      <c r="CHW73" s="16"/>
      <c r="CHX73" s="16"/>
      <c r="CHY73" s="16"/>
      <c r="CHZ73" s="16"/>
      <c r="CIA73" s="16"/>
      <c r="CIB73" s="16"/>
      <c r="CIC73" s="16"/>
      <c r="CID73" s="16"/>
      <c r="CIE73" s="16"/>
      <c r="CIF73" s="16"/>
      <c r="CIG73" s="16"/>
      <c r="CIH73" s="16"/>
      <c r="CII73" s="16"/>
      <c r="CIJ73" s="16"/>
      <c r="CIK73" s="16"/>
      <c r="CIL73" s="16"/>
      <c r="CIM73" s="16"/>
      <c r="CIN73" s="16"/>
      <c r="CIO73" s="16"/>
      <c r="CIP73" s="16"/>
      <c r="CIQ73" s="16"/>
      <c r="CIR73" s="16"/>
      <c r="CIS73" s="16"/>
      <c r="CIT73" s="16"/>
      <c r="CIU73" s="16"/>
      <c r="CIV73" s="16"/>
      <c r="CIW73" s="16"/>
      <c r="CIX73" s="16"/>
      <c r="CIY73" s="16"/>
      <c r="CIZ73" s="16"/>
      <c r="CJA73" s="16"/>
      <c r="CJB73" s="16"/>
      <c r="CJC73" s="16"/>
      <c r="CJD73" s="16"/>
      <c r="CJE73" s="16"/>
      <c r="CJF73" s="16"/>
      <c r="CJG73" s="16"/>
      <c r="CJH73" s="16"/>
      <c r="CJI73" s="16"/>
      <c r="CJJ73" s="16"/>
      <c r="CJK73" s="16"/>
      <c r="CJL73" s="16"/>
      <c r="CJM73" s="16"/>
      <c r="CJN73" s="16"/>
      <c r="CJO73" s="16"/>
      <c r="CJP73" s="16"/>
      <c r="CJQ73" s="16"/>
      <c r="CJR73" s="16"/>
      <c r="CJS73" s="16"/>
      <c r="CJT73" s="16"/>
      <c r="CJU73" s="16"/>
      <c r="CJV73" s="16"/>
      <c r="CJW73" s="16"/>
      <c r="CJX73" s="16"/>
      <c r="CJY73" s="16"/>
      <c r="CJZ73" s="16"/>
      <c r="CKA73" s="16"/>
      <c r="CKB73" s="16"/>
      <c r="CKC73" s="16"/>
      <c r="CKD73" s="16"/>
      <c r="CKE73" s="16"/>
      <c r="CKF73" s="16"/>
      <c r="CKG73" s="16"/>
      <c r="CKH73" s="16"/>
      <c r="CKI73" s="16"/>
      <c r="CKJ73" s="16"/>
      <c r="CKK73" s="16"/>
      <c r="CKL73" s="16"/>
      <c r="CKM73" s="16"/>
      <c r="CKN73" s="16"/>
      <c r="CKO73" s="16"/>
      <c r="CKP73" s="16"/>
      <c r="CKQ73" s="16"/>
      <c r="CKR73" s="16"/>
      <c r="CKS73" s="16"/>
      <c r="CKT73" s="16"/>
      <c r="CKU73" s="16"/>
      <c r="CKV73" s="16"/>
      <c r="CKW73" s="16"/>
      <c r="CKX73" s="16"/>
      <c r="CKY73" s="16"/>
      <c r="CKZ73" s="16"/>
      <c r="CLA73" s="16"/>
      <c r="CLB73" s="16"/>
      <c r="CLC73" s="16"/>
      <c r="CLD73" s="16"/>
      <c r="CLE73" s="16"/>
      <c r="CLF73" s="16"/>
      <c r="CLG73" s="16"/>
      <c r="CLH73" s="16"/>
      <c r="CLI73" s="16"/>
      <c r="CLJ73" s="16"/>
      <c r="CLK73" s="16"/>
      <c r="CLL73" s="16"/>
      <c r="CLM73" s="16"/>
      <c r="CLN73" s="16"/>
      <c r="CLO73" s="16"/>
      <c r="CLP73" s="16"/>
      <c r="CLQ73" s="16"/>
      <c r="CLR73" s="16"/>
      <c r="CLS73" s="16"/>
      <c r="CLT73" s="16"/>
      <c r="CLU73" s="16"/>
      <c r="CLV73" s="16"/>
      <c r="CLW73" s="16"/>
      <c r="CLX73" s="16"/>
      <c r="CLY73" s="16"/>
      <c r="CLZ73" s="16"/>
      <c r="CMA73" s="16"/>
      <c r="CMB73" s="16"/>
      <c r="CMC73" s="16"/>
      <c r="CMD73" s="16"/>
      <c r="CME73" s="16"/>
      <c r="CMF73" s="16"/>
      <c r="CMG73" s="16"/>
      <c r="CMH73" s="16"/>
      <c r="CMI73" s="16"/>
      <c r="CMJ73" s="16"/>
      <c r="CMK73" s="16"/>
      <c r="CML73" s="16"/>
      <c r="CMM73" s="16"/>
      <c r="CMN73" s="16"/>
      <c r="CMO73" s="16"/>
      <c r="CMP73" s="16"/>
      <c r="CMQ73" s="16"/>
      <c r="CMR73" s="16"/>
      <c r="CMS73" s="16"/>
      <c r="CMT73" s="16"/>
      <c r="CMU73" s="16"/>
      <c r="CMV73" s="16"/>
      <c r="CMW73" s="16"/>
      <c r="CMX73" s="16"/>
      <c r="CMY73" s="16"/>
      <c r="CMZ73" s="16"/>
      <c r="CNA73" s="16"/>
      <c r="CNB73" s="16"/>
      <c r="CNC73" s="16"/>
      <c r="CND73" s="16"/>
      <c r="CNE73" s="16"/>
      <c r="CNF73" s="16"/>
      <c r="CNG73" s="16"/>
      <c r="CNH73" s="16"/>
      <c r="CNI73" s="16"/>
      <c r="CNJ73" s="16"/>
      <c r="CNK73" s="16"/>
      <c r="CNL73" s="16"/>
      <c r="CNM73" s="16"/>
      <c r="CNN73" s="16"/>
      <c r="CNO73" s="16"/>
      <c r="CNP73" s="16"/>
      <c r="CNQ73" s="16"/>
      <c r="CNR73" s="16"/>
      <c r="CNS73" s="16"/>
      <c r="CNT73" s="16"/>
      <c r="CNU73" s="16"/>
      <c r="CNV73" s="16"/>
      <c r="CNW73" s="16"/>
      <c r="CNX73" s="16"/>
      <c r="CNY73" s="16"/>
      <c r="CNZ73" s="16"/>
      <c r="COA73" s="16"/>
      <c r="COB73" s="16"/>
      <c r="COC73" s="16"/>
      <c r="COD73" s="16"/>
      <c r="COE73" s="16"/>
      <c r="COF73" s="16"/>
      <c r="COG73" s="16"/>
      <c r="COH73" s="16"/>
      <c r="COI73" s="16"/>
      <c r="COJ73" s="16"/>
      <c r="COK73" s="16"/>
      <c r="COL73" s="16"/>
      <c r="COM73" s="16"/>
      <c r="CON73" s="16"/>
      <c r="COO73" s="16"/>
      <c r="COP73" s="16"/>
      <c r="COQ73" s="16"/>
      <c r="COR73" s="16"/>
      <c r="COS73" s="16"/>
      <c r="COT73" s="16"/>
      <c r="COU73" s="16"/>
      <c r="COV73" s="16"/>
      <c r="COW73" s="16"/>
      <c r="COX73" s="16"/>
      <c r="COY73" s="16"/>
      <c r="COZ73" s="16"/>
      <c r="CPA73" s="16"/>
      <c r="CPB73" s="16"/>
      <c r="CPC73" s="16"/>
      <c r="CPD73" s="16"/>
      <c r="CPE73" s="16"/>
      <c r="CPF73" s="16"/>
      <c r="CPG73" s="16"/>
      <c r="CPH73" s="16"/>
      <c r="CPI73" s="16"/>
      <c r="CPJ73" s="16"/>
      <c r="CPK73" s="16"/>
      <c r="CPL73" s="16"/>
      <c r="CPM73" s="16"/>
      <c r="CPN73" s="16"/>
      <c r="CPO73" s="16"/>
      <c r="CPP73" s="16"/>
      <c r="CPQ73" s="16"/>
      <c r="CPR73" s="16"/>
      <c r="CPS73" s="16"/>
      <c r="CPT73" s="16"/>
      <c r="CPU73" s="16"/>
      <c r="CPV73" s="16"/>
      <c r="CPW73" s="16"/>
      <c r="CPX73" s="16"/>
      <c r="CPY73" s="16"/>
      <c r="CPZ73" s="16"/>
      <c r="CQA73" s="16"/>
      <c r="CQB73" s="16"/>
      <c r="CQC73" s="16"/>
      <c r="CQD73" s="16"/>
      <c r="CQE73" s="16"/>
      <c r="CQF73" s="16"/>
      <c r="CQG73" s="16"/>
      <c r="CQH73" s="16"/>
      <c r="CQI73" s="16"/>
      <c r="CQJ73" s="16"/>
      <c r="CQK73" s="16"/>
      <c r="CQL73" s="16"/>
      <c r="CQM73" s="16"/>
      <c r="CQN73" s="16"/>
      <c r="CQO73" s="16"/>
      <c r="CQP73" s="16"/>
      <c r="CQQ73" s="16"/>
      <c r="CQR73" s="16"/>
      <c r="CQS73" s="16"/>
      <c r="CQT73" s="16"/>
      <c r="CQU73" s="16"/>
      <c r="CQV73" s="16"/>
      <c r="CQW73" s="16"/>
      <c r="CQX73" s="16"/>
      <c r="CQY73" s="16"/>
      <c r="CQZ73" s="16"/>
      <c r="CRA73" s="16"/>
      <c r="CRB73" s="16"/>
      <c r="CRC73" s="16"/>
      <c r="CRD73" s="16"/>
      <c r="CRE73" s="16"/>
      <c r="CRF73" s="16"/>
      <c r="CRG73" s="16"/>
      <c r="CRH73" s="16"/>
      <c r="CRI73" s="16"/>
      <c r="CRJ73" s="16"/>
      <c r="CRK73" s="16"/>
      <c r="CRL73" s="16"/>
      <c r="CRM73" s="16"/>
      <c r="CRN73" s="16"/>
      <c r="CRO73" s="16"/>
      <c r="CRP73" s="16"/>
      <c r="CRQ73" s="16"/>
      <c r="CRR73" s="16"/>
      <c r="CRS73" s="16"/>
      <c r="CRT73" s="16"/>
      <c r="CRU73" s="16"/>
      <c r="CRV73" s="16"/>
      <c r="CRW73" s="16"/>
      <c r="CRX73" s="16"/>
      <c r="CRY73" s="16"/>
      <c r="CRZ73" s="16"/>
      <c r="CSA73" s="16"/>
      <c r="CSB73" s="16"/>
      <c r="CSC73" s="16"/>
      <c r="CSD73" s="16"/>
      <c r="CSE73" s="16"/>
      <c r="CSF73" s="16"/>
      <c r="CSG73" s="16"/>
      <c r="CSH73" s="16"/>
      <c r="CSI73" s="16"/>
      <c r="CSJ73" s="16"/>
      <c r="CSK73" s="24"/>
      <c r="CSL73" s="16"/>
      <c r="CSM73" s="16"/>
      <c r="CSN73" s="16"/>
      <c r="CSO73" s="16"/>
      <c r="CSP73" s="16"/>
      <c r="CUG73" s="16"/>
      <c r="CUH73" s="16"/>
      <c r="CUI73" s="16"/>
      <c r="CUJ73" s="16"/>
      <c r="CUK73" s="16"/>
      <c r="CUL73" s="16"/>
      <c r="CUM73" s="16"/>
      <c r="CUN73" s="16"/>
      <c r="CUO73" s="16"/>
      <c r="CUP73" s="16"/>
      <c r="CUQ73" s="16"/>
      <c r="CUR73" s="16"/>
      <c r="CUS73" s="16"/>
      <c r="CUT73" s="16"/>
      <c r="CUU73" s="16"/>
      <c r="CUV73" s="16"/>
      <c r="CUW73" s="16"/>
      <c r="CUX73" s="16"/>
      <c r="CUY73" s="16"/>
      <c r="CUZ73" s="16"/>
      <c r="CVA73" s="16"/>
      <c r="CVB73" s="16"/>
      <c r="CVC73" s="16"/>
      <c r="CVD73" s="16"/>
      <c r="CVE73" s="16"/>
      <c r="CVF73" s="16"/>
      <c r="CVG73" s="16"/>
      <c r="CVH73" s="16"/>
      <c r="CVI73" s="16"/>
      <c r="CVJ73" s="16"/>
      <c r="CVK73" s="16"/>
      <c r="CVL73" s="16"/>
      <c r="CVM73" s="16"/>
      <c r="CVN73" s="16"/>
      <c r="CVO73" s="16"/>
      <c r="CVP73" s="16"/>
    </row>
    <row r="74" spans="3:2616" ht="13.8" x14ac:dyDescent="0.25">
      <c r="C74" s="57"/>
      <c r="E74" s="16"/>
      <c r="K74" s="59"/>
      <c r="L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  <c r="HD74" s="16"/>
      <c r="HE74" s="16"/>
      <c r="HF74" s="16"/>
      <c r="HG74" s="16"/>
      <c r="HH74" s="16"/>
      <c r="HI74" s="16"/>
      <c r="HJ74" s="16"/>
      <c r="HK74" s="16"/>
      <c r="HL74" s="16"/>
      <c r="HM74" s="16"/>
      <c r="HN74" s="16"/>
      <c r="HO74" s="16"/>
      <c r="HP74" s="16"/>
      <c r="HQ74" s="16"/>
      <c r="HR74" s="16"/>
      <c r="HS74" s="16"/>
      <c r="HT74" s="16"/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6"/>
      <c r="IF74" s="16"/>
      <c r="IG74" s="16"/>
      <c r="IH74" s="16"/>
      <c r="II74" s="16"/>
      <c r="IJ74" s="16"/>
      <c r="IK74" s="16"/>
      <c r="IL74" s="16"/>
      <c r="IM74" s="16"/>
      <c r="IN74" s="16"/>
      <c r="IO74" s="16"/>
      <c r="IP74" s="16"/>
      <c r="IQ74" s="16"/>
      <c r="IR74" s="16"/>
      <c r="IS74" s="16"/>
      <c r="IT74" s="16"/>
      <c r="IU74" s="16"/>
      <c r="IV74" s="16"/>
      <c r="IW74" s="16"/>
      <c r="IX74" s="16"/>
      <c r="IY74" s="16"/>
      <c r="IZ74" s="16"/>
      <c r="JA74" s="16"/>
      <c r="JB74" s="16"/>
      <c r="JC74" s="16"/>
      <c r="JD74" s="16"/>
      <c r="JE74" s="16"/>
      <c r="JF74" s="16"/>
      <c r="JG74" s="16"/>
      <c r="JH74" s="16"/>
      <c r="JI74" s="16"/>
      <c r="JJ74" s="16"/>
      <c r="JK74" s="16"/>
      <c r="JL74" s="16"/>
      <c r="JM74" s="16"/>
      <c r="JN74" s="16"/>
      <c r="JO74" s="16"/>
      <c r="JP74" s="16"/>
      <c r="JQ74" s="16"/>
      <c r="JR74" s="16"/>
      <c r="JS74" s="16"/>
      <c r="JT74" s="16"/>
      <c r="JU74" s="16"/>
      <c r="JV74" s="16"/>
      <c r="JW74" s="16"/>
      <c r="JX74" s="16"/>
      <c r="JY74" s="16"/>
      <c r="JZ74" s="16"/>
      <c r="KA74" s="16"/>
      <c r="KB74" s="16"/>
      <c r="KC74" s="16"/>
      <c r="KD74" s="16"/>
      <c r="KE74" s="16"/>
      <c r="KF74" s="16"/>
      <c r="KG74" s="16"/>
      <c r="KH74" s="16"/>
      <c r="KI74" s="16"/>
      <c r="KJ74" s="16"/>
      <c r="KK74" s="16"/>
      <c r="KL74" s="16"/>
      <c r="KM74" s="16"/>
      <c r="KN74" s="16"/>
      <c r="KO74" s="16"/>
      <c r="KP74" s="16"/>
      <c r="KQ74" s="16"/>
      <c r="KR74" s="16"/>
      <c r="KS74" s="16"/>
      <c r="KT74" s="16"/>
      <c r="KU74" s="16"/>
      <c r="KV74" s="16"/>
      <c r="KW74" s="16"/>
      <c r="KX74" s="16"/>
      <c r="KY74" s="16"/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6"/>
      <c r="LU74" s="16"/>
      <c r="LV74" s="16"/>
      <c r="LW74" s="16"/>
      <c r="LX74" s="16"/>
      <c r="LY74" s="16"/>
      <c r="LZ74" s="16"/>
      <c r="MA74" s="16"/>
      <c r="MB74" s="16"/>
      <c r="MC74" s="16"/>
      <c r="MD74" s="16"/>
      <c r="ME74" s="16"/>
      <c r="MF74" s="16"/>
      <c r="MG74" s="16"/>
      <c r="MH74" s="16"/>
      <c r="MI74" s="16"/>
      <c r="MJ74" s="16"/>
      <c r="MK74" s="16"/>
      <c r="ML74" s="16"/>
      <c r="MM74" s="16"/>
      <c r="MN74" s="16"/>
      <c r="MO74" s="16"/>
      <c r="MP74" s="16"/>
      <c r="MQ74" s="16"/>
      <c r="MR74" s="16"/>
      <c r="MS74" s="16"/>
      <c r="MT74" s="16"/>
      <c r="MU74" s="16"/>
      <c r="MV74" s="16"/>
      <c r="MW74" s="16"/>
      <c r="MX74" s="16"/>
      <c r="MY74" s="16"/>
      <c r="MZ74" s="16"/>
      <c r="NA74" s="16"/>
      <c r="NB74" s="16"/>
      <c r="NC74" s="16"/>
      <c r="ND74" s="16"/>
      <c r="NE74" s="16"/>
      <c r="NF74" s="16"/>
      <c r="NG74" s="16"/>
      <c r="NH74" s="16"/>
      <c r="NI74" s="16"/>
      <c r="NJ74" s="16"/>
      <c r="NK74" s="16"/>
      <c r="NL74" s="16"/>
      <c r="NM74" s="16"/>
      <c r="NN74" s="16"/>
      <c r="NO74" s="16"/>
      <c r="NP74" s="16"/>
      <c r="NQ74" s="16"/>
      <c r="NR74" s="16"/>
      <c r="NS74" s="16"/>
      <c r="NT74" s="16"/>
      <c r="NU74" s="16"/>
      <c r="NV74" s="16"/>
      <c r="NW74" s="16"/>
      <c r="NX74" s="16"/>
      <c r="NY74" s="16"/>
      <c r="NZ74" s="16"/>
      <c r="OA74" s="16"/>
      <c r="OB74" s="16"/>
      <c r="OC74" s="16"/>
      <c r="OD74" s="16"/>
      <c r="OE74" s="16"/>
      <c r="OF74" s="16"/>
      <c r="OG74" s="16"/>
      <c r="OH74" s="16"/>
      <c r="OI74" s="16"/>
      <c r="OJ74" s="16"/>
      <c r="OK74" s="16"/>
      <c r="OL74" s="16"/>
      <c r="OM74" s="16"/>
      <c r="ON74" s="16"/>
      <c r="OO74" s="16"/>
      <c r="OP74" s="16"/>
      <c r="OQ74" s="16"/>
      <c r="OR74" s="16"/>
      <c r="OS74" s="16"/>
      <c r="OT74" s="16"/>
      <c r="OU74" s="16"/>
      <c r="OV74" s="16"/>
      <c r="OW74" s="16"/>
      <c r="OX74" s="16"/>
      <c r="OY74" s="16"/>
      <c r="OZ74" s="16"/>
      <c r="PA74" s="16"/>
      <c r="PB74" s="16"/>
      <c r="PC74" s="16"/>
      <c r="PD74" s="16"/>
      <c r="PE74" s="16"/>
      <c r="PF74" s="16"/>
      <c r="PG74" s="16"/>
      <c r="PH74" s="16"/>
      <c r="PI74" s="16"/>
      <c r="PJ74" s="16"/>
      <c r="PK74" s="16"/>
      <c r="PL74" s="16"/>
      <c r="PM74" s="16"/>
      <c r="PN74" s="16"/>
      <c r="PO74" s="16"/>
      <c r="PP74" s="16"/>
      <c r="PQ74" s="16"/>
      <c r="PR74" s="16"/>
      <c r="PS74" s="16"/>
      <c r="PT74" s="16"/>
      <c r="PU74" s="16"/>
      <c r="PV74" s="16"/>
      <c r="PW74" s="16"/>
      <c r="PX74" s="16"/>
      <c r="PY74" s="16"/>
      <c r="PZ74" s="16"/>
      <c r="QA74" s="16"/>
      <c r="QB74" s="16"/>
      <c r="QC74" s="16"/>
      <c r="QD74" s="16"/>
      <c r="QE74" s="16"/>
      <c r="QF74" s="16"/>
      <c r="QG74" s="16"/>
      <c r="QH74" s="16"/>
      <c r="QI74" s="16"/>
      <c r="QJ74" s="16"/>
      <c r="QK74" s="16"/>
      <c r="QL74" s="16"/>
      <c r="QM74" s="16"/>
      <c r="QN74" s="16"/>
      <c r="QO74" s="16"/>
      <c r="QP74" s="16"/>
      <c r="QQ74" s="16"/>
      <c r="QR74" s="16"/>
      <c r="QS74" s="16"/>
      <c r="QT74" s="16"/>
      <c r="QU74" s="16"/>
      <c r="QV74" s="16"/>
      <c r="QW74" s="16"/>
      <c r="QX74" s="16"/>
      <c r="QY74" s="16"/>
      <c r="QZ74" s="16"/>
      <c r="RA74" s="16"/>
      <c r="RB74" s="16"/>
      <c r="RC74" s="16"/>
      <c r="RD74" s="16"/>
      <c r="RE74" s="16"/>
      <c r="RF74" s="16"/>
      <c r="RG74" s="16"/>
      <c r="RH74" s="16"/>
      <c r="RI74" s="16"/>
      <c r="RJ74" s="16"/>
      <c r="RK74" s="16"/>
      <c r="RL74" s="16"/>
      <c r="RM74" s="16"/>
      <c r="RN74" s="16"/>
      <c r="RO74" s="16"/>
      <c r="RP74" s="16"/>
      <c r="RQ74" s="16"/>
      <c r="RR74" s="16"/>
      <c r="RS74" s="16"/>
      <c r="RT74" s="16"/>
      <c r="RU74" s="16"/>
      <c r="RV74" s="16"/>
      <c r="RW74" s="16"/>
      <c r="RX74" s="16"/>
      <c r="RY74" s="16"/>
      <c r="RZ74" s="16"/>
      <c r="SA74" s="16"/>
      <c r="SB74" s="16"/>
      <c r="SC74" s="16"/>
      <c r="SD74" s="16"/>
      <c r="SE74" s="16"/>
      <c r="SF74" s="16"/>
      <c r="SG74" s="16"/>
      <c r="SH74" s="16"/>
      <c r="SI74" s="16"/>
      <c r="SJ74" s="16"/>
      <c r="SK74" s="16"/>
      <c r="SL74" s="16"/>
      <c r="SM74" s="16"/>
      <c r="SN74" s="16"/>
      <c r="SO74" s="16"/>
      <c r="SP74" s="16"/>
      <c r="SQ74" s="16"/>
      <c r="SR74" s="16"/>
      <c r="SS74" s="16"/>
      <c r="ST74" s="16"/>
      <c r="SU74" s="16"/>
      <c r="SV74" s="16"/>
      <c r="SW74" s="16"/>
      <c r="SX74" s="16"/>
      <c r="SY74" s="16"/>
      <c r="SZ74" s="16"/>
      <c r="TA74" s="16"/>
      <c r="TB74" s="16"/>
      <c r="TC74" s="16"/>
      <c r="TD74" s="16"/>
      <c r="TE74" s="16"/>
      <c r="TF74" s="16"/>
      <c r="TG74" s="16"/>
      <c r="TH74" s="16"/>
      <c r="TI74" s="16"/>
      <c r="TJ74" s="16"/>
      <c r="TK74" s="16"/>
      <c r="TL74" s="16"/>
      <c r="TM74" s="16"/>
      <c r="TN74" s="16"/>
      <c r="TO74" s="16"/>
      <c r="TP74" s="16"/>
      <c r="TQ74" s="16"/>
      <c r="TR74" s="16"/>
      <c r="TS74" s="16"/>
      <c r="TT74" s="16"/>
      <c r="TU74" s="16"/>
      <c r="TV74" s="16"/>
      <c r="TW74" s="16"/>
      <c r="TX74" s="16"/>
      <c r="TY74" s="16"/>
      <c r="TZ74" s="16"/>
      <c r="UA74" s="16"/>
      <c r="UB74" s="16"/>
      <c r="UC74" s="16"/>
      <c r="UD74" s="16"/>
      <c r="UE74" s="16"/>
      <c r="UF74" s="16"/>
      <c r="UG74" s="16"/>
      <c r="UH74" s="16"/>
      <c r="UI74" s="16"/>
      <c r="UJ74" s="16"/>
      <c r="UK74" s="16"/>
      <c r="UL74" s="16"/>
      <c r="UM74" s="16"/>
      <c r="UN74" s="16"/>
      <c r="UO74" s="16"/>
      <c r="UP74" s="16"/>
      <c r="UQ74" s="16"/>
      <c r="UR74" s="16"/>
      <c r="US74" s="16"/>
      <c r="UT74" s="16"/>
      <c r="UU74" s="16"/>
      <c r="UV74" s="16"/>
      <c r="UW74" s="16"/>
      <c r="UX74" s="16"/>
      <c r="UY74" s="16"/>
      <c r="UZ74" s="16"/>
      <c r="VA74" s="16"/>
      <c r="VB74" s="16"/>
      <c r="VC74" s="16"/>
      <c r="VD74" s="16"/>
      <c r="VE74" s="16"/>
      <c r="VF74" s="16"/>
      <c r="VG74" s="16"/>
      <c r="VH74" s="16"/>
      <c r="VI74" s="16"/>
      <c r="VJ74" s="16"/>
      <c r="VK74" s="16"/>
      <c r="VL74" s="16"/>
      <c r="VM74" s="16"/>
      <c r="VN74" s="16"/>
      <c r="VO74" s="16"/>
      <c r="VP74" s="16"/>
      <c r="VQ74" s="16"/>
      <c r="VR74" s="16"/>
      <c r="VS74" s="16"/>
      <c r="VT74" s="16"/>
      <c r="VU74" s="16"/>
      <c r="VV74" s="16"/>
      <c r="VW74" s="16"/>
      <c r="VX74" s="16"/>
      <c r="VY74" s="16"/>
      <c r="VZ74" s="16"/>
      <c r="WA74" s="16"/>
      <c r="WB74" s="16"/>
      <c r="WC74" s="16"/>
      <c r="WD74" s="16"/>
      <c r="WE74" s="16"/>
      <c r="WF74" s="16"/>
      <c r="WG74" s="16"/>
      <c r="WH74" s="16"/>
      <c r="WI74" s="16"/>
      <c r="WJ74" s="16"/>
      <c r="WK74" s="16"/>
      <c r="WL74" s="16"/>
      <c r="WM74" s="16"/>
      <c r="WN74" s="16"/>
      <c r="WO74" s="16"/>
      <c r="WP74" s="16"/>
      <c r="WQ74" s="16"/>
      <c r="WR74" s="16"/>
      <c r="WS74" s="16"/>
      <c r="WT74" s="16"/>
      <c r="WU74" s="16"/>
      <c r="WV74" s="16"/>
      <c r="WW74" s="16"/>
      <c r="WX74" s="16"/>
      <c r="WY74" s="16"/>
      <c r="WZ74" s="16"/>
      <c r="XA74" s="16"/>
      <c r="XB74" s="16"/>
      <c r="XC74" s="16"/>
      <c r="XD74" s="16"/>
      <c r="XE74" s="16"/>
      <c r="XF74" s="16"/>
      <c r="XG74" s="16"/>
      <c r="XH74" s="16"/>
      <c r="XI74" s="16"/>
      <c r="XJ74" s="16"/>
      <c r="XK74" s="16"/>
      <c r="XL74" s="16"/>
      <c r="XM74" s="16"/>
      <c r="XN74" s="16"/>
      <c r="XO74" s="16"/>
      <c r="XP74" s="16"/>
      <c r="XQ74" s="16"/>
      <c r="XR74" s="16"/>
      <c r="XS74" s="16"/>
      <c r="XT74" s="16"/>
      <c r="XU74" s="16"/>
      <c r="XV74" s="16"/>
      <c r="XW74" s="16"/>
      <c r="XX74" s="16"/>
      <c r="XY74" s="16"/>
      <c r="XZ74" s="16"/>
      <c r="YA74" s="16"/>
      <c r="YB74" s="16"/>
      <c r="YC74" s="16"/>
      <c r="YD74" s="16"/>
      <c r="YE74" s="16"/>
      <c r="YF74" s="16"/>
      <c r="YG74" s="16"/>
      <c r="YH74" s="16"/>
      <c r="YI74" s="16"/>
      <c r="YJ74" s="16"/>
      <c r="YK74" s="16"/>
      <c r="YL74" s="16"/>
      <c r="YM74" s="16"/>
      <c r="YN74" s="16"/>
      <c r="YO74" s="16"/>
      <c r="YP74" s="16"/>
      <c r="YQ74" s="16"/>
      <c r="YR74" s="16"/>
      <c r="YS74" s="16"/>
      <c r="YT74" s="16"/>
      <c r="YU74" s="16"/>
      <c r="YV74" s="16"/>
      <c r="YW74" s="16"/>
      <c r="YX74" s="16"/>
      <c r="YY74" s="16"/>
      <c r="YZ74" s="16"/>
      <c r="ZA74" s="16"/>
      <c r="ZB74" s="16"/>
      <c r="ZC74" s="16"/>
      <c r="ZD74" s="16"/>
      <c r="ZE74" s="16"/>
      <c r="ZF74" s="16"/>
      <c r="ZG74" s="16"/>
      <c r="ZH74" s="16"/>
      <c r="ZI74" s="16"/>
      <c r="ZJ74" s="16"/>
      <c r="ZK74" s="16"/>
      <c r="ZL74" s="16"/>
      <c r="ZM74" s="16"/>
      <c r="ZN74" s="16"/>
      <c r="ZO74" s="16"/>
      <c r="ZP74" s="16"/>
      <c r="ZQ74" s="16"/>
      <c r="ZR74" s="16"/>
      <c r="ZS74" s="16"/>
      <c r="ZT74" s="16"/>
      <c r="ZU74" s="16"/>
      <c r="ZV74" s="16"/>
      <c r="ZW74" s="16"/>
      <c r="ZX74" s="16"/>
      <c r="ZY74" s="16"/>
      <c r="ZZ74" s="16"/>
      <c r="AAA74" s="16"/>
      <c r="AAB74" s="16"/>
      <c r="AAC74" s="16"/>
      <c r="AAD74" s="16"/>
      <c r="AAE74" s="16"/>
      <c r="AAF74" s="16"/>
      <c r="AAG74" s="16"/>
      <c r="AAH74" s="16"/>
      <c r="AAI74" s="16"/>
      <c r="AAJ74" s="16"/>
      <c r="AAK74" s="16"/>
      <c r="AAL74" s="16"/>
      <c r="AAM74" s="16"/>
      <c r="AAN74" s="16"/>
      <c r="AAO74" s="16"/>
      <c r="AAP74" s="16"/>
      <c r="AAQ74" s="16"/>
      <c r="AAR74" s="16"/>
      <c r="AAS74" s="16"/>
      <c r="AAT74" s="16"/>
      <c r="AAU74" s="16"/>
      <c r="AAV74" s="16"/>
      <c r="AAW74" s="16"/>
      <c r="AAX74" s="16"/>
      <c r="AAY74" s="16"/>
      <c r="AAZ74" s="16"/>
      <c r="ABA74" s="16"/>
      <c r="ABB74" s="16"/>
      <c r="ABC74" s="16"/>
      <c r="ABD74" s="16"/>
      <c r="ABE74" s="16"/>
      <c r="ABF74" s="16"/>
      <c r="ABG74" s="16"/>
      <c r="ABH74" s="16"/>
      <c r="ABI74" s="16"/>
      <c r="ABJ74" s="16"/>
      <c r="ABK74" s="16"/>
      <c r="ABL74" s="16"/>
      <c r="ABM74" s="16"/>
      <c r="ABN74" s="16"/>
      <c r="ABO74" s="16"/>
      <c r="ABP74" s="16"/>
      <c r="ABQ74" s="16"/>
      <c r="ABR74" s="16"/>
      <c r="ABS74" s="16"/>
      <c r="ABT74" s="16"/>
      <c r="ABU74" s="16"/>
      <c r="ABV74" s="16"/>
      <c r="ABW74" s="16"/>
      <c r="ABX74" s="16"/>
      <c r="ABY74" s="16"/>
      <c r="ABZ74" s="16"/>
      <c r="ACA74" s="16"/>
      <c r="ACB74" s="16"/>
      <c r="ACC74" s="16"/>
      <c r="ACD74" s="16"/>
      <c r="ACE74" s="16"/>
      <c r="ACF74" s="16"/>
      <c r="ACG74" s="16"/>
      <c r="ACH74" s="16"/>
      <c r="ACI74" s="16"/>
      <c r="ACJ74" s="16"/>
      <c r="ACK74" s="16"/>
      <c r="ACL74" s="16"/>
      <c r="ACM74" s="16"/>
      <c r="ACN74" s="16"/>
      <c r="ACO74" s="16"/>
      <c r="ACP74" s="16"/>
      <c r="ACQ74" s="16"/>
      <c r="ACR74" s="16"/>
      <c r="ACS74" s="16"/>
      <c r="ACT74" s="16"/>
      <c r="ACU74" s="16"/>
      <c r="ACV74" s="16"/>
      <c r="ACW74" s="16"/>
      <c r="ACX74" s="16"/>
      <c r="ACY74" s="16"/>
      <c r="ACZ74" s="16"/>
      <c r="ADA74" s="16"/>
      <c r="ADB74" s="16"/>
      <c r="ADC74" s="16"/>
      <c r="ADD74" s="16"/>
      <c r="ADE74" s="16"/>
      <c r="ADF74" s="16"/>
      <c r="ADG74" s="16"/>
      <c r="ADH74" s="16"/>
      <c r="ADI74" s="16"/>
      <c r="ADJ74" s="16"/>
      <c r="ADK74" s="16"/>
      <c r="ADL74" s="16"/>
      <c r="ADM74" s="16"/>
      <c r="ADN74" s="16"/>
      <c r="ADO74" s="16"/>
      <c r="ADP74" s="16"/>
      <c r="ADQ74" s="16"/>
      <c r="ADR74" s="16"/>
      <c r="ADS74" s="16"/>
      <c r="ADT74" s="16"/>
      <c r="ADU74" s="16"/>
      <c r="ADV74" s="16"/>
      <c r="ADW74" s="16"/>
      <c r="ADX74" s="16"/>
      <c r="ADY74" s="16"/>
      <c r="ADZ74" s="16"/>
      <c r="AEA74" s="16"/>
      <c r="AEB74" s="16"/>
      <c r="AEC74" s="16"/>
      <c r="AED74" s="16"/>
      <c r="AEE74" s="16"/>
      <c r="AEF74" s="16"/>
      <c r="AEG74" s="16"/>
      <c r="AEH74" s="16"/>
      <c r="AEI74" s="16"/>
      <c r="AEJ74" s="16"/>
      <c r="AEK74" s="16"/>
      <c r="AEL74" s="16"/>
      <c r="AEM74" s="16"/>
      <c r="AEN74" s="16"/>
      <c r="AEO74" s="16"/>
      <c r="AEP74" s="16"/>
      <c r="AEQ74" s="16"/>
      <c r="AER74" s="16"/>
      <c r="AES74" s="16"/>
      <c r="AET74" s="16"/>
      <c r="AEU74" s="16"/>
      <c r="AEV74" s="16"/>
      <c r="AEW74" s="16"/>
      <c r="AEX74" s="16"/>
      <c r="AEY74" s="16"/>
      <c r="AEZ74" s="16"/>
      <c r="AFA74" s="16"/>
      <c r="AFB74" s="16"/>
      <c r="AFC74" s="16"/>
      <c r="AFD74" s="16"/>
      <c r="AFE74" s="16"/>
      <c r="AFF74" s="16"/>
      <c r="AFG74" s="16"/>
      <c r="AFH74" s="16"/>
      <c r="AFI74" s="16"/>
      <c r="AFJ74" s="16"/>
      <c r="AFK74" s="16"/>
      <c r="AFL74" s="16"/>
      <c r="AFM74" s="16"/>
      <c r="AFN74" s="16"/>
      <c r="AFO74" s="16"/>
      <c r="AFP74" s="16"/>
      <c r="AFQ74" s="16"/>
      <c r="AFR74" s="16"/>
      <c r="AFS74" s="16"/>
      <c r="AFT74" s="16"/>
      <c r="AFU74" s="16"/>
      <c r="AFV74" s="16"/>
      <c r="AFW74" s="16"/>
      <c r="AFX74" s="16"/>
      <c r="AFY74" s="16"/>
      <c r="AFZ74" s="16"/>
      <c r="AGA74" s="16"/>
      <c r="AGB74" s="16"/>
      <c r="AGC74" s="16"/>
      <c r="AGD74" s="16"/>
      <c r="AGE74" s="16"/>
      <c r="AGF74" s="16"/>
      <c r="AGG74" s="16"/>
      <c r="AGH74" s="16"/>
      <c r="AGI74" s="16"/>
      <c r="AGJ74" s="16"/>
      <c r="AGK74" s="16"/>
      <c r="AGL74" s="16"/>
      <c r="AGM74" s="16"/>
      <c r="AGN74" s="16"/>
      <c r="AGO74" s="16"/>
      <c r="AGP74" s="16"/>
      <c r="AGQ74" s="16"/>
      <c r="AGR74" s="16"/>
      <c r="AGS74" s="16"/>
      <c r="AGT74" s="16"/>
      <c r="AGU74" s="16"/>
      <c r="AGV74" s="16"/>
      <c r="AGW74" s="16"/>
      <c r="AGX74" s="16"/>
      <c r="AGY74" s="16"/>
      <c r="AGZ74" s="16"/>
      <c r="AHA74" s="16"/>
      <c r="AHB74" s="16"/>
      <c r="AHC74" s="16"/>
      <c r="AHD74" s="16"/>
      <c r="AHE74" s="16"/>
      <c r="AHF74" s="16"/>
      <c r="AHG74" s="16"/>
      <c r="AHH74" s="16"/>
      <c r="AHI74" s="16"/>
      <c r="AHJ74" s="16"/>
      <c r="AHK74" s="16"/>
      <c r="AHL74" s="16"/>
      <c r="AHM74" s="16"/>
      <c r="AHN74" s="16"/>
      <c r="AHO74" s="16"/>
      <c r="AHP74" s="16"/>
      <c r="AHQ74" s="16"/>
      <c r="AHR74" s="16"/>
      <c r="AHS74" s="16"/>
      <c r="AHT74" s="16"/>
      <c r="AHU74" s="16"/>
      <c r="AHV74" s="16"/>
      <c r="AHW74" s="16"/>
      <c r="AHX74" s="16"/>
      <c r="AHY74" s="16"/>
      <c r="AHZ74" s="16"/>
      <c r="AIA74" s="16"/>
      <c r="AIB74" s="16"/>
      <c r="AIC74" s="16"/>
      <c r="AID74" s="16"/>
      <c r="AIE74" s="16"/>
      <c r="AIF74" s="16"/>
      <c r="AIG74" s="16"/>
      <c r="AIH74" s="16"/>
      <c r="AII74" s="16"/>
      <c r="AIJ74" s="16"/>
      <c r="AIK74" s="16"/>
      <c r="AIL74" s="16"/>
      <c r="AIM74" s="16"/>
      <c r="AIN74" s="16"/>
      <c r="AIO74" s="16"/>
      <c r="AIP74" s="16"/>
      <c r="AIQ74" s="16"/>
      <c r="AIR74" s="16"/>
      <c r="AIS74" s="16"/>
      <c r="AIT74" s="16"/>
      <c r="AIU74" s="16"/>
      <c r="AIV74" s="16"/>
      <c r="AIW74" s="16"/>
      <c r="AIX74" s="16"/>
      <c r="AIY74" s="16"/>
      <c r="AIZ74" s="16"/>
      <c r="AJA74" s="16"/>
      <c r="AJB74" s="16"/>
      <c r="AJC74" s="16"/>
      <c r="AJD74" s="16"/>
      <c r="AJE74" s="16"/>
      <c r="AJF74" s="16"/>
      <c r="AJG74" s="16"/>
      <c r="AJH74" s="16"/>
      <c r="AJI74" s="16"/>
      <c r="AJJ74" s="16"/>
      <c r="AJK74" s="16"/>
      <c r="AJL74" s="16"/>
      <c r="AJM74" s="16"/>
      <c r="AJN74" s="16"/>
      <c r="AJO74" s="16"/>
      <c r="AJP74" s="16"/>
      <c r="AJQ74" s="16"/>
      <c r="AJR74" s="16"/>
      <c r="AJS74" s="16"/>
      <c r="AJT74" s="16"/>
      <c r="AJU74" s="16"/>
      <c r="AJV74" s="16"/>
      <c r="AJW74" s="16"/>
      <c r="AJX74" s="16"/>
      <c r="AJY74" s="16"/>
      <c r="AJZ74" s="16"/>
      <c r="AKA74" s="16"/>
      <c r="AKB74" s="16"/>
      <c r="AKC74" s="16"/>
      <c r="AKD74" s="16"/>
      <c r="AKE74" s="16"/>
      <c r="AKF74" s="16"/>
      <c r="AKG74" s="16"/>
      <c r="AKH74" s="16"/>
      <c r="AKI74" s="16"/>
      <c r="AKJ74" s="16"/>
      <c r="AKK74" s="16"/>
      <c r="AKL74" s="16"/>
      <c r="AKM74" s="16"/>
      <c r="AKN74" s="16"/>
      <c r="AKO74" s="16"/>
      <c r="AKP74" s="16"/>
      <c r="AKQ74" s="16"/>
      <c r="AKR74" s="16"/>
      <c r="AKS74" s="16"/>
      <c r="AKT74" s="16"/>
      <c r="AKU74" s="16"/>
      <c r="AKV74" s="16"/>
      <c r="AKW74" s="16"/>
      <c r="AKX74" s="16"/>
      <c r="AKY74" s="16"/>
      <c r="AKZ74" s="16"/>
      <c r="ALA74" s="16"/>
      <c r="ALB74" s="16"/>
      <c r="ALC74" s="16"/>
      <c r="ALD74" s="16"/>
      <c r="ALE74" s="16"/>
      <c r="ALF74" s="16"/>
      <c r="ALG74" s="16"/>
      <c r="ALH74" s="16"/>
      <c r="ALI74" s="16"/>
      <c r="ALJ74" s="16"/>
      <c r="ALK74" s="16"/>
      <c r="ALL74" s="16"/>
      <c r="ALM74" s="16"/>
      <c r="ALN74" s="16"/>
      <c r="ALO74" s="16"/>
      <c r="ALP74" s="16"/>
      <c r="ALQ74" s="16"/>
      <c r="ALR74" s="16"/>
      <c r="ALS74" s="16"/>
      <c r="ALT74" s="16"/>
      <c r="ALU74" s="16"/>
      <c r="ALV74" s="16"/>
      <c r="ALW74" s="16"/>
      <c r="ALX74" s="16"/>
      <c r="ALY74" s="16"/>
      <c r="ALZ74" s="16"/>
      <c r="AMA74" s="16"/>
      <c r="AMB74" s="16"/>
      <c r="AMC74" s="16"/>
      <c r="AMD74" s="16"/>
      <c r="AME74" s="16"/>
      <c r="AMF74" s="16"/>
      <c r="AMG74" s="16"/>
      <c r="AMH74" s="16"/>
      <c r="AMI74" s="16"/>
      <c r="AMJ74" s="16"/>
      <c r="AMK74" s="16"/>
      <c r="AML74" s="16"/>
      <c r="AMM74" s="16"/>
      <c r="AMN74" s="16"/>
      <c r="AMO74" s="16"/>
      <c r="AMP74" s="16"/>
      <c r="AMQ74" s="16"/>
      <c r="AMR74" s="16"/>
      <c r="AMS74" s="16"/>
      <c r="AMT74" s="16"/>
      <c r="AMU74" s="16"/>
      <c r="AMV74" s="16"/>
      <c r="AMW74" s="16"/>
      <c r="AMX74" s="16"/>
      <c r="AMY74" s="16"/>
      <c r="AMZ74" s="16"/>
      <c r="ANA74" s="16"/>
      <c r="ANB74" s="16"/>
      <c r="ANC74" s="16"/>
      <c r="AND74" s="16"/>
      <c r="ANE74" s="16"/>
      <c r="ANF74" s="16"/>
      <c r="ANG74" s="16"/>
      <c r="ANH74" s="16"/>
      <c r="ANI74" s="16"/>
      <c r="ANJ74" s="16"/>
      <c r="ANK74" s="16"/>
      <c r="ANL74" s="16"/>
      <c r="ANM74" s="16"/>
      <c r="ANN74" s="16"/>
      <c r="ANO74" s="16"/>
      <c r="ANP74" s="16"/>
      <c r="ANQ74" s="16"/>
      <c r="ANR74" s="16"/>
      <c r="ANS74" s="16"/>
      <c r="ANT74" s="16"/>
      <c r="ANU74" s="16"/>
      <c r="ANV74" s="16"/>
      <c r="ANW74" s="16"/>
      <c r="ANX74" s="16"/>
      <c r="ANY74" s="16"/>
      <c r="ANZ74" s="16"/>
      <c r="AOA74" s="16"/>
      <c r="AOB74" s="16"/>
      <c r="AOC74" s="16"/>
      <c r="AOD74" s="16"/>
      <c r="AOE74" s="16"/>
      <c r="AOF74" s="16"/>
      <c r="AOG74" s="16"/>
      <c r="AOH74" s="16"/>
      <c r="AOI74" s="16"/>
      <c r="AOJ74" s="16"/>
      <c r="AOK74" s="16"/>
      <c r="AOL74" s="16"/>
      <c r="AOM74" s="16"/>
      <c r="AON74" s="16"/>
      <c r="AOO74" s="16"/>
      <c r="AOP74" s="16"/>
      <c r="AOQ74" s="16"/>
      <c r="AOR74" s="16"/>
      <c r="AOS74" s="16"/>
      <c r="AOT74" s="16"/>
      <c r="AOU74" s="16"/>
      <c r="AOV74" s="16"/>
      <c r="AOW74" s="16"/>
      <c r="AOX74" s="16"/>
      <c r="AOY74" s="16"/>
      <c r="AOZ74" s="16"/>
      <c r="APA74" s="16"/>
      <c r="APB74" s="16"/>
      <c r="APC74" s="16"/>
      <c r="APD74" s="16"/>
      <c r="APE74" s="16"/>
      <c r="APF74" s="16"/>
      <c r="APG74" s="16"/>
      <c r="APH74" s="16"/>
      <c r="API74" s="16"/>
      <c r="APJ74" s="16"/>
      <c r="APK74" s="16"/>
      <c r="APL74" s="16"/>
      <c r="APM74" s="16"/>
      <c r="APN74" s="16"/>
      <c r="APO74" s="16"/>
      <c r="APP74" s="16"/>
      <c r="APQ74" s="16"/>
      <c r="APR74" s="16"/>
      <c r="APS74" s="16"/>
      <c r="APT74" s="16"/>
      <c r="APU74" s="16"/>
      <c r="APV74" s="16"/>
      <c r="APW74" s="16"/>
      <c r="APX74" s="16"/>
      <c r="APY74" s="16"/>
      <c r="APZ74" s="16"/>
      <c r="AQA74" s="16"/>
      <c r="AQB74" s="16"/>
      <c r="AQC74" s="16"/>
      <c r="AQD74" s="16"/>
      <c r="AQE74" s="16"/>
      <c r="AQF74" s="16"/>
      <c r="AQG74" s="16"/>
      <c r="AQH74" s="16"/>
      <c r="AQI74" s="16"/>
      <c r="AQJ74" s="16"/>
      <c r="AQK74" s="16"/>
      <c r="AQL74" s="16"/>
      <c r="AQM74" s="16"/>
      <c r="AQN74" s="16"/>
      <c r="AQO74" s="16"/>
      <c r="AQP74" s="16"/>
      <c r="AQQ74" s="16"/>
      <c r="AQR74" s="16"/>
      <c r="AQS74" s="16"/>
      <c r="AQT74" s="16"/>
      <c r="AQU74" s="16"/>
      <c r="AQV74" s="16"/>
      <c r="AQW74" s="16"/>
      <c r="AQX74" s="16"/>
      <c r="AQY74" s="16"/>
      <c r="AQZ74" s="16"/>
      <c r="ARA74" s="16"/>
      <c r="ARB74" s="16"/>
      <c r="ARC74" s="16"/>
      <c r="ARD74" s="16"/>
      <c r="ARE74" s="16"/>
      <c r="ARF74" s="16"/>
      <c r="ARG74" s="16"/>
      <c r="ARH74" s="16"/>
      <c r="ARI74" s="16"/>
      <c r="ARJ74" s="16"/>
      <c r="ARK74" s="16"/>
      <c r="ARL74" s="16"/>
      <c r="ARM74" s="16"/>
      <c r="ARN74" s="16"/>
      <c r="ARO74" s="16"/>
      <c r="ARP74" s="16"/>
      <c r="ARQ74" s="16"/>
      <c r="ARR74" s="16"/>
      <c r="ARS74" s="16"/>
      <c r="ART74" s="16"/>
      <c r="ARU74" s="16"/>
      <c r="ARV74" s="16"/>
      <c r="ARW74" s="16"/>
      <c r="ARX74" s="16"/>
      <c r="ARY74" s="16"/>
      <c r="ARZ74" s="16"/>
      <c r="ASA74" s="16"/>
      <c r="ASB74" s="16"/>
      <c r="ASC74" s="16"/>
      <c r="ASD74" s="16"/>
      <c r="ASE74" s="16"/>
      <c r="ASF74" s="16"/>
      <c r="ASG74" s="16"/>
      <c r="ASH74" s="16"/>
      <c r="ASI74" s="16"/>
      <c r="ASJ74" s="16"/>
      <c r="ASK74" s="16"/>
      <c r="ASL74" s="16"/>
      <c r="ASM74" s="16"/>
      <c r="ASN74" s="16"/>
      <c r="ASO74" s="16"/>
      <c r="ASP74" s="16"/>
      <c r="ASQ74" s="16"/>
      <c r="ASR74" s="16"/>
      <c r="ASS74" s="16"/>
      <c r="AST74" s="16"/>
      <c r="ASU74" s="16"/>
      <c r="ASV74" s="16"/>
      <c r="ASW74" s="16"/>
      <c r="ASX74" s="16"/>
      <c r="ASY74" s="16"/>
      <c r="ASZ74" s="16"/>
      <c r="ATA74" s="16"/>
      <c r="ATB74" s="16"/>
      <c r="ATC74" s="16"/>
      <c r="ATD74" s="16"/>
      <c r="ATE74" s="16"/>
      <c r="ATF74" s="16"/>
      <c r="ATG74" s="16"/>
      <c r="ATH74" s="16"/>
      <c r="ATI74" s="16"/>
      <c r="ATJ74" s="16"/>
      <c r="ATK74" s="16"/>
      <c r="ATL74" s="16"/>
      <c r="ATM74" s="16"/>
      <c r="ATN74" s="16"/>
      <c r="ATO74" s="16"/>
      <c r="ATP74" s="16"/>
      <c r="ATQ74" s="16"/>
      <c r="ATR74" s="16"/>
      <c r="ATS74" s="16"/>
      <c r="ATT74" s="16"/>
      <c r="ATU74" s="16"/>
      <c r="ATV74" s="16"/>
      <c r="ATW74" s="16"/>
      <c r="ATX74" s="16"/>
      <c r="ATY74" s="16"/>
      <c r="ATZ74" s="16"/>
      <c r="AUA74" s="16"/>
      <c r="AUB74" s="16"/>
      <c r="AUC74" s="16"/>
      <c r="AUD74" s="16"/>
      <c r="AUE74" s="16"/>
      <c r="AUF74" s="16"/>
      <c r="AUG74" s="16"/>
      <c r="AUH74" s="16"/>
      <c r="AUI74" s="16"/>
      <c r="AUJ74" s="16"/>
      <c r="AUK74" s="16"/>
      <c r="AUL74" s="16"/>
      <c r="AUM74" s="16"/>
      <c r="AUN74" s="16"/>
      <c r="AUO74" s="16"/>
      <c r="AUP74" s="16"/>
      <c r="AUQ74" s="16"/>
      <c r="AUR74" s="16"/>
      <c r="AUS74" s="16"/>
      <c r="AUT74" s="16"/>
      <c r="AUU74" s="16"/>
      <c r="AUV74" s="16"/>
      <c r="AUW74" s="16"/>
      <c r="AUX74" s="16"/>
      <c r="AUY74" s="16"/>
      <c r="AUZ74" s="16"/>
      <c r="AVA74" s="16"/>
      <c r="AVB74" s="16"/>
      <c r="AVC74" s="16"/>
      <c r="AVD74" s="16"/>
      <c r="AVE74" s="16"/>
      <c r="AVF74" s="16"/>
      <c r="AVG74" s="16"/>
      <c r="AVH74" s="16"/>
      <c r="AVI74" s="16"/>
      <c r="AVJ74" s="16"/>
      <c r="AVK74" s="16"/>
      <c r="AVL74" s="16"/>
      <c r="AVM74" s="16"/>
      <c r="AVN74" s="16"/>
      <c r="AVO74" s="16"/>
      <c r="AVP74" s="16"/>
      <c r="AVQ74" s="16"/>
      <c r="AVR74" s="16"/>
      <c r="AVS74" s="16"/>
      <c r="AVT74" s="16"/>
      <c r="AVU74" s="16"/>
      <c r="AVV74" s="16"/>
      <c r="AVW74" s="16"/>
      <c r="AVX74" s="16"/>
      <c r="AVY74" s="16"/>
      <c r="AVZ74" s="16"/>
      <c r="AWA74" s="16"/>
      <c r="AWB74" s="16"/>
      <c r="AWC74" s="16"/>
      <c r="AWD74" s="16"/>
      <c r="AWE74" s="16"/>
      <c r="AWF74" s="16"/>
      <c r="AWG74" s="16"/>
      <c r="AWH74" s="16"/>
      <c r="AWI74" s="16"/>
      <c r="AWJ74" s="16"/>
      <c r="AWK74" s="16"/>
      <c r="AWL74" s="16"/>
      <c r="AWM74" s="16"/>
      <c r="AWN74" s="16"/>
      <c r="AWO74" s="16"/>
      <c r="AWP74" s="16"/>
      <c r="AWQ74" s="16"/>
      <c r="AWR74" s="16"/>
      <c r="AWS74" s="16"/>
      <c r="AWT74" s="16"/>
      <c r="AWU74" s="16"/>
      <c r="AWV74" s="16"/>
      <c r="AWW74" s="16"/>
      <c r="AWX74" s="16"/>
      <c r="AWY74" s="16"/>
      <c r="AWZ74" s="16"/>
      <c r="AXA74" s="16"/>
      <c r="AXB74" s="16"/>
      <c r="AXC74" s="16"/>
      <c r="AXD74" s="16"/>
      <c r="AXE74" s="16"/>
      <c r="AXF74" s="16"/>
      <c r="AXG74" s="16"/>
      <c r="AXH74" s="16"/>
      <c r="AXI74" s="16"/>
      <c r="AXJ74" s="16"/>
      <c r="AXK74" s="16"/>
      <c r="AXL74" s="16"/>
      <c r="AXM74" s="16"/>
      <c r="AXN74" s="16"/>
      <c r="AXO74" s="16"/>
      <c r="AXP74" s="16"/>
      <c r="AXQ74" s="16"/>
      <c r="AXR74" s="16"/>
      <c r="AXS74" s="16"/>
      <c r="AXT74" s="16"/>
      <c r="AXU74" s="16"/>
      <c r="AXV74" s="16"/>
      <c r="AXW74" s="16"/>
      <c r="AXX74" s="16"/>
      <c r="AXY74" s="16"/>
      <c r="AXZ74" s="16"/>
      <c r="AYA74" s="16"/>
      <c r="AYB74" s="16"/>
      <c r="AYC74" s="16"/>
      <c r="AYD74" s="16"/>
      <c r="AYE74" s="16"/>
      <c r="AYF74" s="16"/>
      <c r="AYG74" s="16"/>
      <c r="AYH74" s="16"/>
      <c r="AYI74" s="16"/>
      <c r="AYJ74" s="16"/>
      <c r="AYK74" s="16"/>
      <c r="AYL74" s="16"/>
      <c r="AYM74" s="16"/>
      <c r="AYN74" s="16"/>
      <c r="AYO74" s="16"/>
      <c r="AYP74" s="16"/>
      <c r="AYQ74" s="16"/>
      <c r="AYR74" s="16"/>
      <c r="AYS74" s="16"/>
      <c r="AYT74" s="16"/>
      <c r="AYU74" s="16"/>
      <c r="AYV74" s="16"/>
      <c r="AYW74" s="16"/>
      <c r="AYX74" s="16"/>
      <c r="AYY74" s="16"/>
      <c r="AYZ74" s="16"/>
      <c r="AZA74" s="16"/>
      <c r="AZB74" s="16"/>
      <c r="AZC74" s="16"/>
      <c r="AZD74" s="16"/>
      <c r="AZE74" s="16"/>
      <c r="AZF74" s="16"/>
      <c r="AZG74" s="16"/>
      <c r="AZH74" s="16"/>
      <c r="AZI74" s="16"/>
      <c r="AZJ74" s="16"/>
      <c r="AZK74" s="16"/>
      <c r="AZL74" s="16"/>
      <c r="AZM74" s="16"/>
      <c r="AZN74" s="16"/>
      <c r="AZO74" s="16"/>
      <c r="AZP74" s="16"/>
      <c r="AZQ74" s="16"/>
      <c r="AZR74" s="16"/>
      <c r="AZS74" s="16"/>
      <c r="AZT74" s="16"/>
      <c r="AZU74" s="16"/>
      <c r="AZV74" s="16"/>
      <c r="AZW74" s="16"/>
      <c r="AZX74" s="16"/>
      <c r="AZY74" s="16"/>
      <c r="AZZ74" s="16"/>
      <c r="BAA74" s="16"/>
      <c r="BAB74" s="16"/>
      <c r="BAC74" s="16"/>
      <c r="BAD74" s="16"/>
      <c r="BAE74" s="16"/>
      <c r="BAF74" s="16"/>
      <c r="BAG74" s="16"/>
      <c r="BAH74" s="16"/>
      <c r="BAI74" s="16"/>
      <c r="BAJ74" s="16"/>
      <c r="BAK74" s="16"/>
      <c r="BAL74" s="16"/>
      <c r="BAM74" s="16"/>
      <c r="BAN74" s="16"/>
      <c r="BAO74" s="16"/>
      <c r="BAP74" s="16"/>
      <c r="BAQ74" s="16"/>
      <c r="BAR74" s="16"/>
      <c r="BAS74" s="16"/>
      <c r="BAT74" s="16"/>
      <c r="BAU74" s="16"/>
      <c r="BAV74" s="16"/>
      <c r="BAW74" s="16"/>
      <c r="BAX74" s="16"/>
      <c r="BAY74" s="16"/>
      <c r="BAZ74" s="16"/>
      <c r="BBA74" s="16"/>
      <c r="BBB74" s="16"/>
      <c r="BBC74" s="16"/>
      <c r="BBD74" s="16"/>
      <c r="BBE74" s="16"/>
      <c r="BBF74" s="16"/>
      <c r="BBG74" s="16"/>
      <c r="BBH74" s="16"/>
      <c r="BBI74" s="16"/>
      <c r="BBJ74" s="16"/>
      <c r="BBK74" s="16"/>
      <c r="BBL74" s="16"/>
      <c r="BBM74" s="16"/>
      <c r="BBN74" s="16"/>
      <c r="BBO74" s="16"/>
      <c r="BBP74" s="16"/>
      <c r="BBQ74" s="16"/>
      <c r="BBR74" s="16"/>
      <c r="BBS74" s="16"/>
      <c r="BBT74" s="16"/>
      <c r="BBU74" s="16"/>
      <c r="BBV74" s="16"/>
      <c r="BBW74" s="16"/>
      <c r="BBX74" s="16"/>
      <c r="BBY74" s="16"/>
      <c r="BBZ74" s="16"/>
      <c r="BCA74" s="16"/>
      <c r="BCB74" s="16"/>
      <c r="BCC74" s="16"/>
      <c r="BCD74" s="16"/>
      <c r="BCE74" s="16"/>
      <c r="BCF74" s="16"/>
      <c r="BCG74" s="16"/>
      <c r="BCH74" s="16"/>
      <c r="BCI74" s="16"/>
      <c r="BCJ74" s="16"/>
      <c r="BCK74" s="16"/>
      <c r="BCL74" s="16"/>
      <c r="BCM74" s="16"/>
      <c r="BCN74" s="16"/>
      <c r="BCO74" s="16"/>
      <c r="BCP74" s="16"/>
      <c r="BCQ74" s="16"/>
      <c r="BCR74" s="16"/>
      <c r="BCS74" s="16"/>
      <c r="BCT74" s="16"/>
      <c r="BCU74" s="16"/>
      <c r="BCV74" s="16"/>
      <c r="BCW74" s="16"/>
      <c r="BCX74" s="16"/>
      <c r="BCY74" s="16"/>
      <c r="BCZ74" s="16"/>
      <c r="BDA74" s="16"/>
      <c r="BDB74" s="16"/>
      <c r="BDC74" s="16"/>
      <c r="BDD74" s="16"/>
      <c r="BDE74" s="16"/>
      <c r="BDF74" s="16"/>
      <c r="BDG74" s="16"/>
      <c r="BDH74" s="16"/>
      <c r="BDI74" s="16"/>
      <c r="BDJ74" s="16"/>
      <c r="BDK74" s="16"/>
      <c r="BDL74" s="16"/>
      <c r="BDM74" s="16"/>
      <c r="BDN74" s="16"/>
      <c r="BDO74" s="16"/>
      <c r="BDP74" s="16"/>
      <c r="BDQ74" s="16"/>
      <c r="BDR74" s="16"/>
      <c r="BDS74" s="16"/>
      <c r="BDT74" s="16"/>
      <c r="BDU74" s="16"/>
      <c r="BDV74" s="16"/>
      <c r="BDW74" s="16"/>
      <c r="BDX74" s="16"/>
      <c r="BDY74" s="16"/>
      <c r="BDZ74" s="16"/>
      <c r="BEA74" s="16"/>
      <c r="BEB74" s="16"/>
      <c r="BEC74" s="16"/>
      <c r="BED74" s="16"/>
      <c r="BEE74" s="16"/>
      <c r="BEF74" s="16"/>
      <c r="BEG74" s="16"/>
      <c r="BEH74" s="16"/>
      <c r="BEI74" s="16"/>
      <c r="BEJ74" s="16"/>
      <c r="BEK74" s="16"/>
      <c r="BEL74" s="16"/>
      <c r="BEM74" s="16"/>
      <c r="BEN74" s="16"/>
      <c r="BEO74" s="16"/>
      <c r="BEP74" s="16"/>
      <c r="BEQ74" s="16"/>
      <c r="BER74" s="16"/>
      <c r="BES74" s="16"/>
      <c r="BET74" s="16"/>
      <c r="BEU74" s="16"/>
      <c r="BEV74" s="16"/>
      <c r="BEW74" s="16"/>
      <c r="BEX74" s="16"/>
      <c r="BEY74" s="16"/>
      <c r="BEZ74" s="16"/>
      <c r="BFA74" s="16"/>
      <c r="BFB74" s="16"/>
      <c r="BFC74" s="16"/>
      <c r="BFD74" s="16"/>
      <c r="BFE74" s="16"/>
      <c r="BFF74" s="16"/>
      <c r="BFG74" s="16"/>
      <c r="BFH74" s="16"/>
      <c r="BFI74" s="16"/>
      <c r="BFJ74" s="16"/>
      <c r="BFK74" s="16"/>
      <c r="BFL74" s="16"/>
      <c r="BFM74" s="16"/>
      <c r="BFN74" s="16"/>
      <c r="BFO74" s="16"/>
      <c r="BFP74" s="16"/>
      <c r="BFQ74" s="16"/>
      <c r="BFR74" s="16"/>
      <c r="BFS74" s="16"/>
      <c r="BFT74" s="16"/>
      <c r="BFU74" s="16"/>
      <c r="BFV74" s="16"/>
      <c r="BFW74" s="16"/>
      <c r="BFX74" s="16"/>
      <c r="BFY74" s="16"/>
      <c r="BFZ74" s="16"/>
      <c r="BGA74" s="16"/>
      <c r="BGB74" s="16"/>
      <c r="BGC74" s="16"/>
      <c r="BGD74" s="16"/>
      <c r="BGE74" s="16"/>
      <c r="BGF74" s="16"/>
      <c r="BGG74" s="16"/>
      <c r="BGH74" s="16"/>
      <c r="BGI74" s="16"/>
      <c r="BGJ74" s="16"/>
      <c r="BGK74" s="16"/>
      <c r="BGL74" s="16"/>
      <c r="BGM74" s="16"/>
      <c r="BGN74" s="16"/>
      <c r="BGO74" s="16"/>
      <c r="BGP74" s="16"/>
      <c r="BGQ74" s="16"/>
      <c r="BGR74" s="16"/>
      <c r="BGS74" s="16"/>
      <c r="BGT74" s="16"/>
      <c r="BGU74" s="16"/>
      <c r="BGV74" s="16"/>
      <c r="BGW74" s="16"/>
      <c r="BGX74" s="16"/>
      <c r="BGY74" s="16"/>
      <c r="BGZ74" s="16"/>
      <c r="BHA74" s="16"/>
      <c r="BHB74" s="16"/>
      <c r="BHC74" s="16"/>
      <c r="BHD74" s="16"/>
      <c r="BHE74" s="16"/>
      <c r="BHF74" s="16"/>
      <c r="BHG74" s="16"/>
      <c r="BHH74" s="16"/>
      <c r="BHI74" s="16"/>
      <c r="BHJ74" s="16"/>
      <c r="BHK74" s="16"/>
      <c r="BHL74" s="16"/>
      <c r="BHM74" s="16"/>
      <c r="BHN74" s="16"/>
      <c r="BHO74" s="16"/>
      <c r="BHP74" s="16"/>
      <c r="BHQ74" s="16"/>
      <c r="BHR74" s="16"/>
      <c r="BHS74" s="16"/>
      <c r="BHT74" s="16"/>
      <c r="BHU74" s="16"/>
      <c r="BHV74" s="16"/>
      <c r="BHW74" s="16"/>
      <c r="BHX74" s="16"/>
      <c r="BHY74" s="16"/>
      <c r="BHZ74" s="16"/>
      <c r="BIA74" s="16"/>
      <c r="BIB74" s="16"/>
      <c r="BIC74" s="16"/>
      <c r="BID74" s="16"/>
      <c r="BIE74" s="16"/>
      <c r="BIF74" s="16"/>
      <c r="BIG74" s="16"/>
      <c r="BIH74" s="16"/>
      <c r="BII74" s="16"/>
      <c r="BIJ74" s="16"/>
      <c r="BIK74" s="16"/>
      <c r="BIL74" s="16"/>
      <c r="BIM74" s="16"/>
      <c r="BIN74" s="16"/>
      <c r="BIO74" s="16"/>
      <c r="BIP74" s="16"/>
      <c r="BIQ74" s="16"/>
      <c r="BIR74" s="16"/>
      <c r="BIS74" s="16"/>
      <c r="BIT74" s="16"/>
      <c r="BIU74" s="16"/>
      <c r="BIV74" s="16"/>
      <c r="BIW74" s="16"/>
      <c r="BIX74" s="16"/>
      <c r="BIY74" s="16"/>
      <c r="BIZ74" s="16"/>
      <c r="BJA74" s="16"/>
      <c r="BJB74" s="16"/>
      <c r="BJC74" s="16"/>
      <c r="BJD74" s="16"/>
      <c r="BJE74" s="16"/>
      <c r="BJF74" s="16"/>
      <c r="BJG74" s="16"/>
      <c r="BJH74" s="16"/>
      <c r="BJI74" s="16"/>
      <c r="BJJ74" s="16"/>
      <c r="BJK74" s="16"/>
      <c r="BJL74" s="16"/>
      <c r="BJM74" s="16"/>
      <c r="BJN74" s="16"/>
      <c r="BJO74" s="16"/>
      <c r="BJP74" s="16"/>
      <c r="BJQ74" s="16"/>
      <c r="BJR74" s="16"/>
      <c r="BJS74" s="16"/>
      <c r="BJT74" s="16"/>
      <c r="BJU74" s="16"/>
      <c r="BJV74" s="16"/>
      <c r="BJW74" s="16"/>
      <c r="BJX74" s="16"/>
      <c r="BJY74" s="16"/>
      <c r="BJZ74" s="16"/>
      <c r="BKA74" s="16"/>
      <c r="BKB74" s="16"/>
      <c r="BKC74" s="16"/>
      <c r="BKD74" s="16"/>
      <c r="BKE74" s="16"/>
      <c r="BKF74" s="16"/>
      <c r="BKG74" s="16"/>
      <c r="BKH74" s="16"/>
      <c r="BKI74" s="16"/>
      <c r="BKJ74" s="16"/>
      <c r="BKK74" s="16"/>
      <c r="BKL74" s="16"/>
      <c r="BKM74" s="16"/>
      <c r="BKN74" s="16"/>
      <c r="BKO74" s="16"/>
      <c r="BKP74" s="16"/>
      <c r="BKQ74" s="16"/>
      <c r="BKR74" s="16"/>
      <c r="BKS74" s="16"/>
      <c r="BKT74" s="16"/>
      <c r="BKU74" s="16"/>
      <c r="BKV74" s="16"/>
      <c r="BKW74" s="16"/>
      <c r="BKX74" s="16"/>
      <c r="BKY74" s="16"/>
      <c r="BKZ74" s="16"/>
      <c r="BLA74" s="16"/>
      <c r="BLB74" s="16"/>
      <c r="BLC74" s="16"/>
      <c r="BLD74" s="16"/>
      <c r="BLE74" s="16"/>
      <c r="BLF74" s="16"/>
      <c r="BLG74" s="16"/>
      <c r="BLH74" s="16"/>
      <c r="BLI74" s="16"/>
      <c r="BLJ74" s="16"/>
      <c r="BLK74" s="16"/>
      <c r="BLL74" s="16"/>
      <c r="BLM74" s="16"/>
      <c r="BLN74" s="16"/>
      <c r="BLO74" s="16"/>
      <c r="BLP74" s="16"/>
      <c r="BLQ74" s="16"/>
      <c r="BLR74" s="16"/>
      <c r="BLS74" s="16"/>
      <c r="BLT74" s="16"/>
      <c r="BLU74" s="16"/>
      <c r="BLV74" s="16"/>
      <c r="BLW74" s="16"/>
      <c r="BLX74" s="16"/>
      <c r="BLY74" s="16"/>
      <c r="BLZ74" s="16"/>
      <c r="BMA74" s="16"/>
      <c r="BMB74" s="16"/>
      <c r="BMC74" s="16"/>
      <c r="BMD74" s="16"/>
      <c r="BME74" s="16"/>
      <c r="BMF74" s="16"/>
      <c r="BMG74" s="16"/>
      <c r="BMH74" s="16"/>
      <c r="BMI74" s="16"/>
      <c r="BMJ74" s="16"/>
      <c r="BMK74" s="16"/>
      <c r="BML74" s="16"/>
      <c r="BMM74" s="16"/>
      <c r="BMN74" s="16"/>
      <c r="BMO74" s="16"/>
      <c r="BMP74" s="16"/>
      <c r="BMQ74" s="16"/>
      <c r="BMR74" s="16"/>
      <c r="BMS74" s="16"/>
      <c r="BMT74" s="16"/>
      <c r="BMU74" s="16"/>
      <c r="BMV74" s="16"/>
      <c r="BMW74" s="16"/>
      <c r="BMX74" s="16"/>
      <c r="BMY74" s="16"/>
      <c r="BMZ74" s="16"/>
      <c r="BNA74" s="16"/>
      <c r="BNB74" s="16"/>
      <c r="BNC74" s="16"/>
      <c r="BND74" s="16"/>
      <c r="BNE74" s="16"/>
      <c r="BNF74" s="16"/>
      <c r="BNG74" s="16"/>
      <c r="BNH74" s="16"/>
      <c r="BNI74" s="16"/>
      <c r="BNJ74" s="16"/>
      <c r="BNK74" s="16"/>
      <c r="BNL74" s="16"/>
      <c r="BNM74" s="16"/>
      <c r="BNN74" s="16"/>
      <c r="BNO74" s="16"/>
      <c r="BNP74" s="16"/>
      <c r="BNQ74" s="16"/>
      <c r="BNR74" s="16"/>
      <c r="BNS74" s="16"/>
      <c r="BNT74" s="16"/>
      <c r="BNU74" s="16"/>
      <c r="BNV74" s="16"/>
      <c r="BNW74" s="16"/>
      <c r="BNX74" s="16"/>
      <c r="BNY74" s="16"/>
      <c r="BNZ74" s="16"/>
      <c r="BOA74" s="16"/>
      <c r="BOB74" s="16"/>
      <c r="BOC74" s="16"/>
      <c r="BOD74" s="16"/>
      <c r="BOE74" s="16"/>
      <c r="BOF74" s="16"/>
      <c r="BOG74" s="16"/>
      <c r="BOH74" s="16"/>
      <c r="BOI74" s="16"/>
      <c r="BOJ74" s="16"/>
      <c r="BOK74" s="16"/>
      <c r="BOL74" s="16"/>
      <c r="BOM74" s="16"/>
      <c r="BON74" s="16"/>
      <c r="BOO74" s="16"/>
      <c r="BOP74" s="16"/>
      <c r="BOQ74" s="16"/>
      <c r="BOR74" s="16"/>
      <c r="BOS74" s="16"/>
      <c r="BOT74" s="16"/>
      <c r="BOU74" s="16"/>
      <c r="BOV74" s="16"/>
      <c r="BOW74" s="16"/>
      <c r="BOX74" s="16"/>
      <c r="BOY74" s="16"/>
      <c r="BOZ74" s="16"/>
      <c r="BPA74" s="16"/>
      <c r="BPB74" s="16"/>
      <c r="BPC74" s="16"/>
      <c r="BPD74" s="16"/>
      <c r="BPE74" s="16"/>
      <c r="BPF74" s="16"/>
      <c r="BPG74" s="16"/>
      <c r="BPH74" s="16"/>
      <c r="BPI74" s="16"/>
      <c r="BPJ74" s="16"/>
      <c r="BPK74" s="16"/>
      <c r="BPL74" s="16"/>
      <c r="BPM74" s="16"/>
      <c r="BPN74" s="16"/>
      <c r="BPO74" s="16"/>
      <c r="BPP74" s="16"/>
      <c r="BPQ74" s="16"/>
      <c r="BPR74" s="16"/>
      <c r="BPS74" s="16"/>
      <c r="BPT74" s="16"/>
      <c r="BPU74" s="16"/>
      <c r="BPV74" s="16"/>
      <c r="BPW74" s="16"/>
      <c r="BPX74" s="16"/>
      <c r="BPY74" s="16"/>
      <c r="BPZ74" s="16"/>
      <c r="BQA74" s="16"/>
      <c r="BQB74" s="16"/>
      <c r="BQC74" s="16"/>
      <c r="BQD74" s="16"/>
      <c r="BQE74" s="16"/>
      <c r="BQF74" s="16"/>
      <c r="BQG74" s="16"/>
      <c r="BQH74" s="16"/>
      <c r="BQI74" s="16"/>
      <c r="BQJ74" s="16"/>
      <c r="BQK74" s="16"/>
      <c r="BQL74" s="16"/>
      <c r="BQM74" s="16"/>
      <c r="BQN74" s="16"/>
      <c r="BQO74" s="16"/>
      <c r="BQP74" s="16"/>
      <c r="BQQ74" s="16"/>
      <c r="BQR74" s="16"/>
      <c r="BQS74" s="16"/>
      <c r="BQT74" s="16"/>
      <c r="BQU74" s="16"/>
      <c r="BQV74" s="16"/>
      <c r="BQW74" s="16"/>
      <c r="BQX74" s="16"/>
      <c r="BQY74" s="16"/>
      <c r="BQZ74" s="16"/>
      <c r="BRA74" s="16"/>
      <c r="BRB74" s="16"/>
      <c r="BRC74" s="16"/>
      <c r="BRD74" s="16"/>
      <c r="BRE74" s="16"/>
      <c r="BRF74" s="16"/>
      <c r="BRG74" s="16"/>
      <c r="BRH74" s="16"/>
      <c r="BRI74" s="16"/>
      <c r="BRJ74" s="16"/>
      <c r="BRK74" s="16"/>
      <c r="BRL74" s="16"/>
      <c r="BRM74" s="16"/>
      <c r="BRN74" s="16"/>
      <c r="BRO74" s="16"/>
      <c r="BRP74" s="16"/>
      <c r="BRQ74" s="16"/>
      <c r="BRR74" s="16"/>
      <c r="BRS74" s="16"/>
      <c r="BRT74" s="16"/>
      <c r="BRU74" s="16"/>
      <c r="BRV74" s="16"/>
      <c r="BRW74" s="16"/>
      <c r="BRX74" s="16"/>
      <c r="BRY74" s="16"/>
      <c r="BRZ74" s="16"/>
      <c r="BSA74" s="16"/>
      <c r="BSB74" s="16"/>
      <c r="BSC74" s="16"/>
      <c r="BSD74" s="16"/>
      <c r="BSE74" s="16"/>
      <c r="BSF74" s="16"/>
      <c r="BSG74" s="16"/>
      <c r="BSH74" s="16"/>
      <c r="BSI74" s="16"/>
      <c r="BSJ74" s="16"/>
      <c r="BSK74" s="16"/>
      <c r="BSL74" s="16"/>
      <c r="BSM74" s="16"/>
      <c r="BSN74" s="16"/>
      <c r="BSO74" s="16"/>
      <c r="BSP74" s="16"/>
      <c r="BSQ74" s="16"/>
      <c r="BSR74" s="16"/>
      <c r="BSS74" s="16"/>
      <c r="BST74" s="16"/>
      <c r="BSU74" s="16"/>
      <c r="BSV74" s="16"/>
      <c r="BSW74" s="16"/>
      <c r="BSX74" s="16"/>
      <c r="BSY74" s="16"/>
      <c r="BSZ74" s="16"/>
      <c r="BTA74" s="16"/>
      <c r="BTB74" s="16"/>
      <c r="BTC74" s="16"/>
      <c r="BTD74" s="16"/>
      <c r="BTE74" s="16"/>
      <c r="BTF74" s="16"/>
      <c r="BTG74" s="16"/>
      <c r="BTH74" s="16"/>
      <c r="BTI74" s="16"/>
      <c r="BTJ74" s="16"/>
      <c r="BTK74" s="16"/>
      <c r="BTL74" s="16"/>
      <c r="BTM74" s="16"/>
      <c r="BTN74" s="16"/>
      <c r="BTO74" s="16"/>
      <c r="BTP74" s="16"/>
      <c r="BTQ74" s="16"/>
      <c r="BTR74" s="16"/>
      <c r="BTS74" s="16"/>
      <c r="BTT74" s="16"/>
      <c r="BTU74" s="16"/>
      <c r="BTV74" s="16"/>
      <c r="BTW74" s="16"/>
      <c r="BTX74" s="16"/>
      <c r="BTY74" s="16"/>
      <c r="BTZ74" s="16"/>
      <c r="BUA74" s="16"/>
      <c r="BUB74" s="16"/>
      <c r="BUC74" s="16"/>
      <c r="BUD74" s="16"/>
      <c r="BUE74" s="16"/>
      <c r="BUF74" s="16"/>
      <c r="BUG74" s="16"/>
      <c r="BUH74" s="16"/>
      <c r="BUI74" s="16"/>
      <c r="BUJ74" s="16"/>
      <c r="BUK74" s="16"/>
      <c r="BUL74" s="16"/>
      <c r="BUM74" s="16"/>
      <c r="BUN74" s="16"/>
      <c r="BUO74" s="16"/>
      <c r="BUP74" s="16"/>
      <c r="BUQ74" s="16"/>
      <c r="BUR74" s="16"/>
      <c r="BUS74" s="16"/>
      <c r="BUT74" s="16"/>
      <c r="BUU74" s="16"/>
      <c r="BUV74" s="16"/>
      <c r="BUW74" s="16"/>
      <c r="BUX74" s="16"/>
      <c r="BUY74" s="16"/>
      <c r="BUZ74" s="16"/>
      <c r="BVA74" s="16"/>
      <c r="BVB74" s="16"/>
      <c r="BVC74" s="16"/>
      <c r="BVD74" s="16"/>
      <c r="BVE74" s="16"/>
      <c r="BVF74" s="16"/>
      <c r="BVG74" s="16"/>
      <c r="BVH74" s="16"/>
      <c r="BVI74" s="16"/>
      <c r="BVJ74" s="16"/>
      <c r="BVK74" s="16"/>
      <c r="BVL74" s="16"/>
      <c r="BVM74" s="16"/>
      <c r="BVN74" s="16"/>
      <c r="BVO74" s="16"/>
      <c r="BVP74" s="16"/>
      <c r="BVQ74" s="16"/>
      <c r="BVR74" s="16"/>
      <c r="BVS74" s="16"/>
      <c r="BVT74" s="16"/>
      <c r="BVU74" s="16"/>
      <c r="BVV74" s="16"/>
      <c r="BVW74" s="16"/>
      <c r="BVX74" s="16"/>
      <c r="BVY74" s="16"/>
      <c r="BVZ74" s="16"/>
      <c r="BWA74" s="16"/>
      <c r="BWB74" s="16"/>
      <c r="BWC74" s="16"/>
      <c r="BWD74" s="16"/>
      <c r="BWE74" s="16"/>
      <c r="BWF74" s="16"/>
      <c r="BWG74" s="16"/>
      <c r="BWH74" s="16"/>
      <c r="BWI74" s="16"/>
      <c r="BWJ74" s="16"/>
      <c r="BWK74" s="16"/>
      <c r="BWL74" s="16"/>
      <c r="BWM74" s="16"/>
      <c r="BWN74" s="16"/>
      <c r="BWO74" s="16"/>
      <c r="BWP74" s="16"/>
      <c r="BWQ74" s="16"/>
      <c r="BWR74" s="16"/>
      <c r="BWS74" s="16"/>
      <c r="BWT74" s="16"/>
      <c r="BWU74" s="16"/>
      <c r="BWV74" s="16"/>
      <c r="BWW74" s="16"/>
      <c r="BWX74" s="16"/>
      <c r="BWY74" s="16"/>
      <c r="BWZ74" s="16"/>
      <c r="BXA74" s="16"/>
      <c r="BXB74" s="16"/>
      <c r="BXC74" s="16"/>
      <c r="BXD74" s="16"/>
      <c r="BXE74" s="16"/>
      <c r="BXF74" s="16"/>
      <c r="BXG74" s="16"/>
      <c r="BXH74" s="16"/>
      <c r="BXI74" s="16"/>
      <c r="BXJ74" s="16"/>
      <c r="BXK74" s="16"/>
      <c r="BXL74" s="16"/>
      <c r="BXM74" s="16"/>
      <c r="BXN74" s="16"/>
      <c r="BXO74" s="16"/>
      <c r="BXP74" s="16"/>
      <c r="BXQ74" s="16"/>
      <c r="BXR74" s="16"/>
      <c r="BXS74" s="16"/>
      <c r="BXT74" s="16"/>
      <c r="BXU74" s="16"/>
      <c r="BXV74" s="16"/>
      <c r="BXW74" s="16"/>
      <c r="BXX74" s="16"/>
      <c r="BXY74" s="16"/>
      <c r="BXZ74" s="16"/>
      <c r="BYA74" s="16"/>
      <c r="BYB74" s="16"/>
      <c r="BYC74" s="16"/>
      <c r="BYD74" s="16"/>
      <c r="BYE74" s="16"/>
      <c r="BYF74" s="16"/>
      <c r="BYG74" s="16"/>
      <c r="BYH74" s="16"/>
      <c r="BYI74" s="16"/>
      <c r="BYJ74" s="16"/>
      <c r="BYK74" s="16"/>
      <c r="BYL74" s="16"/>
      <c r="BYM74" s="16"/>
      <c r="BYN74" s="16"/>
      <c r="BYO74" s="16"/>
      <c r="BYP74" s="16"/>
      <c r="BYQ74" s="16"/>
      <c r="BYR74" s="16"/>
      <c r="BYS74" s="16"/>
      <c r="BYT74" s="16"/>
      <c r="BYU74" s="16"/>
      <c r="BYV74" s="16"/>
      <c r="BYW74" s="16"/>
      <c r="BYX74" s="16"/>
      <c r="BYY74" s="16"/>
      <c r="BYZ74" s="16"/>
      <c r="BZA74" s="16"/>
      <c r="BZB74" s="16"/>
      <c r="BZC74" s="16"/>
      <c r="BZD74" s="16"/>
      <c r="BZE74" s="16"/>
      <c r="BZF74" s="16"/>
      <c r="BZG74" s="16"/>
      <c r="BZH74" s="16"/>
      <c r="BZI74" s="16"/>
      <c r="BZJ74" s="16"/>
      <c r="BZK74" s="16"/>
      <c r="BZL74" s="16"/>
      <c r="BZM74" s="16"/>
      <c r="BZN74" s="16"/>
      <c r="BZO74" s="16"/>
      <c r="BZP74" s="16"/>
      <c r="BZQ74" s="16"/>
      <c r="BZR74" s="16"/>
      <c r="BZS74" s="16"/>
      <c r="BZT74" s="16"/>
      <c r="BZU74" s="16"/>
      <c r="BZV74" s="16"/>
      <c r="BZW74" s="16"/>
      <c r="BZX74" s="16"/>
      <c r="BZY74" s="16"/>
      <c r="BZZ74" s="16"/>
      <c r="CAA74" s="16"/>
      <c r="CAB74" s="16"/>
      <c r="CAC74" s="16"/>
      <c r="CAD74" s="16"/>
      <c r="CAE74" s="16"/>
      <c r="CAF74" s="16"/>
      <c r="CAG74" s="16"/>
      <c r="CAH74" s="16"/>
      <c r="CAI74" s="16"/>
      <c r="CAJ74" s="16"/>
      <c r="CAK74" s="16"/>
      <c r="CAL74" s="16"/>
      <c r="CAM74" s="16"/>
      <c r="CAN74" s="16"/>
      <c r="CAO74" s="16"/>
      <c r="CAP74" s="16"/>
      <c r="CAQ74" s="16"/>
      <c r="CAR74" s="16"/>
      <c r="CAS74" s="16"/>
      <c r="CAT74" s="16"/>
      <c r="CAU74" s="16"/>
      <c r="CAV74" s="16"/>
      <c r="CAW74" s="16"/>
      <c r="CAX74" s="16"/>
      <c r="CAY74" s="16"/>
      <c r="CAZ74" s="16"/>
      <c r="CBA74" s="16"/>
      <c r="CBB74" s="16"/>
      <c r="CBC74" s="16"/>
      <c r="CBD74" s="16"/>
      <c r="CBE74" s="16"/>
      <c r="CBF74" s="16"/>
      <c r="CBG74" s="16"/>
      <c r="CBH74" s="16"/>
      <c r="CBI74" s="16"/>
      <c r="CBJ74" s="16"/>
      <c r="CBK74" s="16"/>
      <c r="CBL74" s="16"/>
      <c r="CBM74" s="16"/>
      <c r="CBN74" s="16"/>
      <c r="CBO74" s="16"/>
      <c r="CBP74" s="16"/>
      <c r="CBQ74" s="16"/>
      <c r="CBR74" s="16"/>
      <c r="CBS74" s="16"/>
      <c r="CBT74" s="16"/>
      <c r="CBU74" s="16"/>
      <c r="CBV74" s="16"/>
      <c r="CBW74" s="16"/>
      <c r="CBX74" s="16"/>
      <c r="CBY74" s="16"/>
      <c r="CBZ74" s="16"/>
      <c r="CCA74" s="16"/>
      <c r="CCB74" s="16"/>
      <c r="CCC74" s="16"/>
      <c r="CCD74" s="16"/>
      <c r="CCE74" s="16"/>
      <c r="CCF74" s="16"/>
      <c r="CCG74" s="16"/>
      <c r="CCH74" s="16"/>
      <c r="CCI74" s="16"/>
      <c r="CCJ74" s="16"/>
      <c r="CCK74" s="16"/>
      <c r="CCL74" s="16"/>
      <c r="CCM74" s="16"/>
      <c r="CCN74" s="16"/>
      <c r="CCO74" s="16"/>
      <c r="CCP74" s="16"/>
      <c r="CCQ74" s="16"/>
      <c r="CCR74" s="16"/>
      <c r="CCS74" s="16"/>
      <c r="CCT74" s="16"/>
      <c r="CCU74" s="16"/>
      <c r="CCV74" s="16"/>
      <c r="CCW74" s="16"/>
      <c r="CCX74" s="16"/>
      <c r="CCY74" s="16"/>
      <c r="CCZ74" s="16"/>
      <c r="CDA74" s="16"/>
      <c r="CDB74" s="16"/>
      <c r="CDC74" s="16"/>
      <c r="CDD74" s="16"/>
      <c r="CDE74" s="16"/>
      <c r="CDF74" s="16"/>
      <c r="CDG74" s="16"/>
      <c r="CDH74" s="16"/>
      <c r="CDI74" s="16"/>
      <c r="CDJ74" s="16"/>
      <c r="CDK74" s="16"/>
      <c r="CDL74" s="16"/>
      <c r="CDM74" s="16"/>
      <c r="CDN74" s="16"/>
      <c r="CDO74" s="16"/>
      <c r="CDP74" s="16"/>
      <c r="CDQ74" s="16"/>
      <c r="CDR74" s="16"/>
      <c r="CDS74" s="16"/>
      <c r="CDT74" s="16"/>
      <c r="CDU74" s="16"/>
      <c r="CDV74" s="16"/>
      <c r="CDW74" s="16"/>
      <c r="CDX74" s="16"/>
      <c r="CDY74" s="16"/>
      <c r="CDZ74" s="16"/>
      <c r="CEA74" s="16"/>
      <c r="CEB74" s="16"/>
      <c r="CEC74" s="16"/>
      <c r="CED74" s="16"/>
      <c r="CEE74" s="16"/>
      <c r="CEF74" s="16"/>
      <c r="CEG74" s="16"/>
      <c r="CEH74" s="16"/>
      <c r="CEI74" s="16"/>
      <c r="CEJ74" s="16"/>
      <c r="CEK74" s="16"/>
      <c r="CEL74" s="16"/>
      <c r="CEM74" s="16"/>
      <c r="CEN74" s="16"/>
      <c r="CEO74" s="16"/>
      <c r="CEP74" s="16"/>
      <c r="CEQ74" s="16"/>
      <c r="CER74" s="16"/>
      <c r="CES74" s="16"/>
      <c r="CET74" s="16"/>
      <c r="CEU74" s="16"/>
      <c r="CEV74" s="16"/>
      <c r="CEW74" s="16"/>
      <c r="CEX74" s="16"/>
      <c r="CEY74" s="16"/>
      <c r="CEZ74" s="16"/>
      <c r="CFA74" s="16"/>
      <c r="CFB74" s="16"/>
      <c r="CFC74" s="16"/>
      <c r="CFD74" s="16"/>
      <c r="CFE74" s="16"/>
      <c r="CFF74" s="16"/>
      <c r="CFG74" s="16"/>
      <c r="CFH74" s="16"/>
      <c r="CFI74" s="16"/>
      <c r="CFJ74" s="16"/>
      <c r="CFK74" s="16"/>
      <c r="CFL74" s="16"/>
      <c r="CFM74" s="16"/>
      <c r="CFN74" s="16"/>
      <c r="CFO74" s="16"/>
      <c r="CFP74" s="16"/>
      <c r="CFQ74" s="16"/>
      <c r="CFR74" s="16"/>
      <c r="CFS74" s="16"/>
      <c r="CFT74" s="16"/>
      <c r="CFU74" s="16"/>
      <c r="CFV74" s="16"/>
      <c r="CFW74" s="16"/>
      <c r="CFX74" s="16"/>
      <c r="CFY74" s="16"/>
      <c r="CFZ74" s="16"/>
      <c r="CGA74" s="16"/>
      <c r="CGB74" s="16"/>
      <c r="CGC74" s="16"/>
      <c r="CGD74" s="16"/>
      <c r="CGE74" s="16"/>
      <c r="CGF74" s="16"/>
      <c r="CGG74" s="16"/>
      <c r="CGH74" s="16"/>
      <c r="CGI74" s="16"/>
      <c r="CGJ74" s="16"/>
      <c r="CGK74" s="16"/>
      <c r="CGL74" s="16"/>
      <c r="CGM74" s="16"/>
      <c r="CGN74" s="16"/>
      <c r="CGO74" s="16"/>
      <c r="CGP74" s="16"/>
      <c r="CGQ74" s="16"/>
      <c r="CGR74" s="16"/>
      <c r="CGS74" s="16"/>
      <c r="CGT74" s="16"/>
      <c r="CGU74" s="16"/>
      <c r="CGV74" s="16"/>
      <c r="CGW74" s="16"/>
      <c r="CGX74" s="16"/>
      <c r="CGY74" s="16"/>
      <c r="CGZ74" s="16"/>
      <c r="CHA74" s="16"/>
      <c r="CHB74" s="16"/>
      <c r="CHC74" s="16"/>
      <c r="CHD74" s="16"/>
      <c r="CHE74" s="16"/>
      <c r="CHF74" s="16"/>
      <c r="CHG74" s="16"/>
      <c r="CHH74" s="16"/>
      <c r="CHI74" s="16"/>
      <c r="CHJ74" s="16"/>
      <c r="CHK74" s="16"/>
      <c r="CHL74" s="16"/>
      <c r="CHM74" s="16"/>
      <c r="CHN74" s="16"/>
      <c r="CHO74" s="16"/>
      <c r="CHP74" s="16"/>
      <c r="CHQ74" s="16"/>
      <c r="CHR74" s="16"/>
      <c r="CHS74" s="16"/>
      <c r="CHT74" s="16"/>
      <c r="CHU74" s="16"/>
      <c r="CHV74" s="16"/>
      <c r="CHW74" s="16"/>
      <c r="CHX74" s="16"/>
      <c r="CHY74" s="16"/>
      <c r="CHZ74" s="16"/>
      <c r="CIA74" s="16"/>
      <c r="CIB74" s="16"/>
      <c r="CIC74" s="16"/>
      <c r="CID74" s="16"/>
      <c r="CIE74" s="16"/>
      <c r="CIF74" s="16"/>
      <c r="CIG74" s="16"/>
      <c r="CIH74" s="16"/>
      <c r="CII74" s="16"/>
      <c r="CIJ74" s="16"/>
      <c r="CIK74" s="16"/>
      <c r="CIL74" s="16"/>
      <c r="CIM74" s="16"/>
      <c r="CIN74" s="16"/>
      <c r="CIO74" s="16"/>
      <c r="CIP74" s="16"/>
      <c r="CIQ74" s="16"/>
      <c r="CIR74" s="16"/>
      <c r="CIS74" s="16"/>
      <c r="CIT74" s="16"/>
      <c r="CIU74" s="16"/>
      <c r="CIV74" s="16"/>
      <c r="CIW74" s="16"/>
      <c r="CIX74" s="16"/>
      <c r="CIY74" s="16"/>
      <c r="CIZ74" s="16"/>
      <c r="CJA74" s="16"/>
      <c r="CJB74" s="16"/>
      <c r="CJC74" s="16"/>
      <c r="CJD74" s="16"/>
      <c r="CJE74" s="16"/>
      <c r="CJF74" s="16"/>
      <c r="CJG74" s="16"/>
      <c r="CJH74" s="16"/>
      <c r="CJI74" s="16"/>
      <c r="CJJ74" s="16"/>
      <c r="CJK74" s="16"/>
      <c r="CJL74" s="16"/>
      <c r="CJM74" s="16"/>
      <c r="CJN74" s="16"/>
      <c r="CJO74" s="16"/>
      <c r="CJP74" s="16"/>
      <c r="CJQ74" s="16"/>
      <c r="CJR74" s="16"/>
      <c r="CJS74" s="16"/>
      <c r="CJT74" s="16"/>
      <c r="CJU74" s="16"/>
      <c r="CJV74" s="16"/>
      <c r="CJW74" s="16"/>
      <c r="CJX74" s="16"/>
      <c r="CJY74" s="16"/>
      <c r="CJZ74" s="16"/>
      <c r="CKA74" s="16"/>
      <c r="CKB74" s="16"/>
      <c r="CKC74" s="16"/>
      <c r="CKD74" s="16"/>
      <c r="CKE74" s="16"/>
      <c r="CKF74" s="16"/>
      <c r="CKG74" s="16"/>
      <c r="CKH74" s="16"/>
      <c r="CKI74" s="16"/>
      <c r="CKJ74" s="16"/>
      <c r="CKK74" s="16"/>
      <c r="CKL74" s="16"/>
      <c r="CKM74" s="16"/>
      <c r="CKN74" s="16"/>
      <c r="CKO74" s="16"/>
      <c r="CKP74" s="16"/>
      <c r="CKQ74" s="16"/>
      <c r="CKR74" s="16"/>
      <c r="CKS74" s="16"/>
      <c r="CKT74" s="16"/>
      <c r="CKU74" s="16"/>
      <c r="CKV74" s="16"/>
      <c r="CKW74" s="16"/>
      <c r="CKX74" s="16"/>
      <c r="CKY74" s="16"/>
      <c r="CKZ74" s="16"/>
      <c r="CLA74" s="16"/>
      <c r="CLB74" s="16"/>
      <c r="CLC74" s="16"/>
      <c r="CLD74" s="16"/>
      <c r="CLE74" s="16"/>
      <c r="CLF74" s="16"/>
      <c r="CLG74" s="16"/>
      <c r="CLH74" s="16"/>
      <c r="CLI74" s="16"/>
      <c r="CLJ74" s="16"/>
      <c r="CLK74" s="16"/>
      <c r="CLL74" s="16"/>
      <c r="CLM74" s="16"/>
      <c r="CLN74" s="16"/>
      <c r="CLO74" s="16"/>
      <c r="CLP74" s="16"/>
      <c r="CLQ74" s="16"/>
      <c r="CLR74" s="16"/>
      <c r="CLS74" s="16"/>
      <c r="CLT74" s="16"/>
      <c r="CLU74" s="16"/>
      <c r="CLV74" s="16"/>
      <c r="CLW74" s="16"/>
      <c r="CLX74" s="16"/>
      <c r="CLY74" s="16"/>
      <c r="CLZ74" s="16"/>
      <c r="CMA74" s="16"/>
      <c r="CMB74" s="16"/>
      <c r="CMC74" s="16"/>
      <c r="CMD74" s="16"/>
      <c r="CME74" s="16"/>
      <c r="CMF74" s="16"/>
      <c r="CMG74" s="16"/>
      <c r="CMH74" s="16"/>
      <c r="CMI74" s="16"/>
      <c r="CMJ74" s="16"/>
      <c r="CMK74" s="16"/>
      <c r="CML74" s="16"/>
      <c r="CMM74" s="16"/>
      <c r="CMN74" s="16"/>
      <c r="CMO74" s="16"/>
      <c r="CMP74" s="16"/>
      <c r="CMQ74" s="16"/>
      <c r="CMR74" s="16"/>
      <c r="CMS74" s="16"/>
      <c r="CMT74" s="16"/>
      <c r="CMU74" s="16"/>
      <c r="CMV74" s="16"/>
      <c r="CMW74" s="16"/>
      <c r="CMX74" s="16"/>
      <c r="CMY74" s="16"/>
      <c r="CMZ74" s="16"/>
      <c r="CNA74" s="16"/>
      <c r="CNB74" s="16"/>
      <c r="CNC74" s="16"/>
      <c r="CND74" s="16"/>
      <c r="CNE74" s="16"/>
      <c r="CNF74" s="16"/>
      <c r="CNG74" s="16"/>
      <c r="CNH74" s="16"/>
      <c r="CNI74" s="16"/>
      <c r="CNJ74" s="16"/>
      <c r="CNK74" s="16"/>
      <c r="CNL74" s="16"/>
      <c r="CNM74" s="16"/>
      <c r="CNN74" s="16"/>
      <c r="CNO74" s="16"/>
      <c r="CNP74" s="16"/>
      <c r="CNQ74" s="16"/>
      <c r="CNR74" s="16"/>
      <c r="CNS74" s="16"/>
      <c r="CNT74" s="16"/>
      <c r="CNU74" s="16"/>
      <c r="CNV74" s="16"/>
      <c r="CNW74" s="16"/>
      <c r="CNX74" s="16"/>
      <c r="CNY74" s="16"/>
      <c r="CNZ74" s="16"/>
      <c r="COA74" s="16"/>
      <c r="COB74" s="16"/>
      <c r="COC74" s="16"/>
      <c r="COD74" s="16"/>
      <c r="COE74" s="16"/>
      <c r="COF74" s="16"/>
      <c r="COG74" s="16"/>
      <c r="COH74" s="16"/>
      <c r="COI74" s="16"/>
      <c r="COJ74" s="16"/>
      <c r="COK74" s="16"/>
      <c r="COL74" s="16"/>
      <c r="COM74" s="16"/>
      <c r="CON74" s="16"/>
      <c r="COO74" s="16"/>
      <c r="COP74" s="16"/>
      <c r="COQ74" s="16"/>
      <c r="COR74" s="16"/>
      <c r="COS74" s="16"/>
      <c r="COT74" s="16"/>
      <c r="COU74" s="16"/>
      <c r="COV74" s="16"/>
      <c r="COW74" s="16"/>
      <c r="COX74" s="16"/>
      <c r="COY74" s="16"/>
      <c r="COZ74" s="16"/>
      <c r="CPA74" s="16"/>
      <c r="CPB74" s="16"/>
      <c r="CPC74" s="16"/>
      <c r="CPD74" s="16"/>
      <c r="CPE74" s="16"/>
      <c r="CPF74" s="16"/>
      <c r="CPG74" s="16"/>
      <c r="CPH74" s="16"/>
      <c r="CPI74" s="16"/>
      <c r="CPJ74" s="16"/>
      <c r="CPK74" s="16"/>
      <c r="CPL74" s="16"/>
      <c r="CPM74" s="16"/>
      <c r="CPN74" s="16"/>
      <c r="CPO74" s="16"/>
      <c r="CPP74" s="16"/>
      <c r="CPQ74" s="16"/>
      <c r="CPR74" s="16"/>
      <c r="CPS74" s="16"/>
      <c r="CPT74" s="16"/>
      <c r="CPU74" s="16"/>
      <c r="CPV74" s="16"/>
      <c r="CPW74" s="16"/>
      <c r="CPX74" s="16"/>
      <c r="CPY74" s="16"/>
      <c r="CPZ74" s="16"/>
      <c r="CQA74" s="16"/>
      <c r="CQB74" s="16"/>
      <c r="CQC74" s="16"/>
      <c r="CQD74" s="16"/>
      <c r="CQE74" s="16"/>
      <c r="CQF74" s="16"/>
      <c r="CQG74" s="16"/>
      <c r="CQH74" s="16"/>
      <c r="CQI74" s="16"/>
      <c r="CQJ74" s="16"/>
      <c r="CQK74" s="16"/>
      <c r="CQL74" s="16"/>
      <c r="CQM74" s="16"/>
      <c r="CQN74" s="16"/>
      <c r="CQO74" s="16"/>
      <c r="CQP74" s="16"/>
      <c r="CQQ74" s="16"/>
      <c r="CQR74" s="16"/>
      <c r="CQS74" s="16"/>
      <c r="CQT74" s="16"/>
      <c r="CQU74" s="16"/>
      <c r="CQV74" s="16"/>
      <c r="CQW74" s="16"/>
      <c r="CQX74" s="16"/>
      <c r="CQY74" s="16"/>
      <c r="CQZ74" s="16"/>
      <c r="CRA74" s="16"/>
      <c r="CRB74" s="16"/>
      <c r="CRC74" s="16"/>
      <c r="CRD74" s="16"/>
      <c r="CRE74" s="16"/>
      <c r="CRF74" s="16"/>
      <c r="CRG74" s="16"/>
      <c r="CRH74" s="16"/>
      <c r="CRI74" s="16"/>
      <c r="CRJ74" s="16"/>
      <c r="CRK74" s="16"/>
      <c r="CRL74" s="16"/>
      <c r="CRM74" s="16"/>
      <c r="CRN74" s="16"/>
      <c r="CRO74" s="16"/>
      <c r="CRP74" s="16"/>
      <c r="CRQ74" s="16"/>
      <c r="CRR74" s="16"/>
      <c r="CRS74" s="16"/>
      <c r="CRT74" s="16"/>
      <c r="CRU74" s="16"/>
      <c r="CRV74" s="16"/>
      <c r="CRW74" s="16"/>
      <c r="CRX74" s="16"/>
      <c r="CRY74" s="16"/>
      <c r="CRZ74" s="16"/>
      <c r="CSA74" s="16"/>
      <c r="CSB74" s="16"/>
      <c r="CSC74" s="16"/>
      <c r="CSD74" s="16"/>
      <c r="CSE74" s="16"/>
      <c r="CSF74" s="16"/>
      <c r="CSG74" s="16"/>
      <c r="CSH74" s="16"/>
      <c r="CSI74" s="16"/>
      <c r="CSJ74" s="16"/>
      <c r="CSK74" s="24"/>
      <c r="CSL74" s="16"/>
      <c r="CSM74" s="16"/>
      <c r="CSN74" s="16"/>
      <c r="CSO74" s="16"/>
      <c r="CSP74" s="16"/>
      <c r="CUG74" s="16"/>
      <c r="CUH74" s="16"/>
      <c r="CUI74" s="16"/>
      <c r="CUJ74" s="16"/>
      <c r="CUK74" s="16"/>
      <c r="CUL74" s="16"/>
      <c r="CUM74" s="16"/>
      <c r="CUN74" s="16"/>
      <c r="CUO74" s="16"/>
      <c r="CUP74" s="16"/>
      <c r="CUQ74" s="16"/>
      <c r="CUR74" s="16"/>
      <c r="CUS74" s="16"/>
      <c r="CUT74" s="16"/>
      <c r="CUU74" s="16"/>
      <c r="CUV74" s="16"/>
      <c r="CUW74" s="16"/>
      <c r="CUX74" s="16"/>
      <c r="CUY74" s="16"/>
      <c r="CUZ74" s="16"/>
      <c r="CVA74" s="16"/>
      <c r="CVB74" s="16"/>
      <c r="CVC74" s="16"/>
      <c r="CVD74" s="16"/>
      <c r="CVE74" s="16"/>
      <c r="CVF74" s="16"/>
      <c r="CVG74" s="16"/>
      <c r="CVH74" s="16"/>
      <c r="CVI74" s="16"/>
      <c r="CVJ74" s="16"/>
      <c r="CVK74" s="16"/>
      <c r="CVL74" s="16"/>
      <c r="CVM74" s="16"/>
      <c r="CVN74" s="16"/>
      <c r="CVO74" s="16"/>
      <c r="CVP74" s="16"/>
    </row>
    <row r="75" spans="3:2616" ht="13.8" x14ac:dyDescent="0.25">
      <c r="C75" s="57"/>
      <c r="E75" s="16"/>
      <c r="K75" s="59"/>
      <c r="L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  <c r="FC75" s="16"/>
      <c r="FD75" s="16"/>
      <c r="FE75" s="16"/>
      <c r="FF75" s="16"/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/>
      <c r="GD75" s="16"/>
      <c r="GE75" s="16"/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6"/>
      <c r="LU75" s="16"/>
      <c r="LV75" s="16"/>
      <c r="LW75" s="16"/>
      <c r="LX75" s="16"/>
      <c r="LY75" s="16"/>
      <c r="LZ75" s="16"/>
      <c r="MA75" s="16"/>
      <c r="MB75" s="16"/>
      <c r="MC75" s="16"/>
      <c r="MD75" s="16"/>
      <c r="ME75" s="16"/>
      <c r="MF75" s="16"/>
      <c r="MG75" s="16"/>
      <c r="MH75" s="16"/>
      <c r="MI75" s="16"/>
      <c r="MJ75" s="16"/>
      <c r="MK75" s="16"/>
      <c r="ML75" s="16"/>
      <c r="MM75" s="16"/>
      <c r="MN75" s="16"/>
      <c r="MO75" s="16"/>
      <c r="MP75" s="16"/>
      <c r="MQ75" s="16"/>
      <c r="MR75" s="16"/>
      <c r="MS75" s="16"/>
      <c r="MT75" s="16"/>
      <c r="MU75" s="16"/>
      <c r="MV75" s="16"/>
      <c r="MW75" s="16"/>
      <c r="MX75" s="16"/>
      <c r="MY75" s="16"/>
      <c r="MZ75" s="16"/>
      <c r="NA75" s="16"/>
      <c r="NB75" s="16"/>
      <c r="NC75" s="16"/>
      <c r="ND75" s="16"/>
      <c r="NE75" s="16"/>
      <c r="NF75" s="16"/>
      <c r="NG75" s="16"/>
      <c r="NH75" s="16"/>
      <c r="NI75" s="16"/>
      <c r="NJ75" s="16"/>
      <c r="NK75" s="16"/>
      <c r="NL75" s="16"/>
      <c r="NM75" s="16"/>
      <c r="NN75" s="16"/>
      <c r="NO75" s="16"/>
      <c r="NP75" s="16"/>
      <c r="NQ75" s="16"/>
      <c r="NR75" s="16"/>
      <c r="NS75" s="16"/>
      <c r="NT75" s="16"/>
      <c r="NU75" s="16"/>
      <c r="NV75" s="16"/>
      <c r="NW75" s="16"/>
      <c r="NX75" s="16"/>
      <c r="NY75" s="16"/>
      <c r="NZ75" s="16"/>
      <c r="OA75" s="16"/>
      <c r="OB75" s="16"/>
      <c r="OC75" s="16"/>
      <c r="OD75" s="16"/>
      <c r="OE75" s="16"/>
      <c r="OF75" s="16"/>
      <c r="OG75" s="16"/>
      <c r="OH75" s="16"/>
      <c r="OI75" s="16"/>
      <c r="OJ75" s="16"/>
      <c r="OK75" s="16"/>
      <c r="OL75" s="16"/>
      <c r="OM75" s="16"/>
      <c r="ON75" s="16"/>
      <c r="OO75" s="16"/>
      <c r="OP75" s="16"/>
      <c r="OQ75" s="16"/>
      <c r="OR75" s="16"/>
      <c r="OS75" s="16"/>
      <c r="OT75" s="16"/>
      <c r="OU75" s="16"/>
      <c r="OV75" s="16"/>
      <c r="OW75" s="16"/>
      <c r="OX75" s="16"/>
      <c r="OY75" s="16"/>
      <c r="OZ75" s="16"/>
      <c r="PA75" s="16"/>
      <c r="PB75" s="16"/>
      <c r="PC75" s="16"/>
      <c r="PD75" s="16"/>
      <c r="PE75" s="16"/>
      <c r="PF75" s="16"/>
      <c r="PG75" s="16"/>
      <c r="PH75" s="16"/>
      <c r="PI75" s="16"/>
      <c r="PJ75" s="16"/>
      <c r="PK75" s="16"/>
      <c r="PL75" s="16"/>
      <c r="PM75" s="16"/>
      <c r="PN75" s="16"/>
      <c r="PO75" s="16"/>
      <c r="PP75" s="16"/>
      <c r="PQ75" s="16"/>
      <c r="PR75" s="16"/>
      <c r="PS75" s="16"/>
      <c r="PT75" s="16"/>
      <c r="PU75" s="16"/>
      <c r="PV75" s="16"/>
      <c r="PW75" s="16"/>
      <c r="PX75" s="16"/>
      <c r="PY75" s="16"/>
      <c r="PZ75" s="16"/>
      <c r="QA75" s="16"/>
      <c r="QB75" s="16"/>
      <c r="QC75" s="16"/>
      <c r="QD75" s="16"/>
      <c r="QE75" s="16"/>
      <c r="QF75" s="16"/>
      <c r="QG75" s="16"/>
      <c r="QH75" s="16"/>
      <c r="QI75" s="16"/>
      <c r="QJ75" s="16"/>
      <c r="QK75" s="16"/>
      <c r="QL75" s="16"/>
      <c r="QM75" s="16"/>
      <c r="QN75" s="16"/>
      <c r="QO75" s="16"/>
      <c r="QP75" s="16"/>
      <c r="QQ75" s="16"/>
      <c r="QR75" s="16"/>
      <c r="QS75" s="16"/>
      <c r="QT75" s="16"/>
      <c r="QU75" s="16"/>
      <c r="QV75" s="16"/>
      <c r="QW75" s="16"/>
      <c r="QX75" s="16"/>
      <c r="QY75" s="16"/>
      <c r="QZ75" s="16"/>
      <c r="RA75" s="16"/>
      <c r="RB75" s="16"/>
      <c r="RC75" s="16"/>
      <c r="RD75" s="16"/>
      <c r="RE75" s="16"/>
      <c r="RF75" s="16"/>
      <c r="RG75" s="16"/>
      <c r="RH75" s="16"/>
      <c r="RI75" s="16"/>
      <c r="RJ75" s="16"/>
      <c r="RK75" s="16"/>
      <c r="RL75" s="16"/>
      <c r="RM75" s="16"/>
      <c r="RN75" s="16"/>
      <c r="RO75" s="16"/>
      <c r="RP75" s="16"/>
      <c r="RQ75" s="16"/>
      <c r="RR75" s="16"/>
      <c r="RS75" s="16"/>
      <c r="RT75" s="16"/>
      <c r="RU75" s="16"/>
      <c r="RV75" s="16"/>
      <c r="RW75" s="16"/>
      <c r="RX75" s="16"/>
      <c r="RY75" s="16"/>
      <c r="RZ75" s="16"/>
      <c r="SA75" s="16"/>
      <c r="SB75" s="16"/>
      <c r="SC75" s="16"/>
      <c r="SD75" s="16"/>
      <c r="SE75" s="16"/>
      <c r="SF75" s="16"/>
      <c r="SG75" s="16"/>
      <c r="SH75" s="16"/>
      <c r="SI75" s="16"/>
      <c r="SJ75" s="16"/>
      <c r="SK75" s="16"/>
      <c r="SL75" s="16"/>
      <c r="SM75" s="16"/>
      <c r="SN75" s="16"/>
      <c r="SO75" s="16"/>
      <c r="SP75" s="16"/>
      <c r="SQ75" s="16"/>
      <c r="SR75" s="16"/>
      <c r="SS75" s="16"/>
      <c r="ST75" s="16"/>
      <c r="SU75" s="16"/>
      <c r="SV75" s="16"/>
      <c r="SW75" s="16"/>
      <c r="SX75" s="16"/>
      <c r="SY75" s="16"/>
      <c r="SZ75" s="16"/>
      <c r="TA75" s="16"/>
      <c r="TB75" s="16"/>
      <c r="TC75" s="16"/>
      <c r="TD75" s="16"/>
      <c r="TE75" s="16"/>
      <c r="TF75" s="16"/>
      <c r="TG75" s="16"/>
      <c r="TH75" s="16"/>
      <c r="TI75" s="16"/>
      <c r="TJ75" s="16"/>
      <c r="TK75" s="16"/>
      <c r="TL75" s="16"/>
      <c r="TM75" s="16"/>
      <c r="TN75" s="16"/>
      <c r="TO75" s="16"/>
      <c r="TP75" s="16"/>
      <c r="TQ75" s="16"/>
      <c r="TR75" s="16"/>
      <c r="TS75" s="16"/>
      <c r="TT75" s="16"/>
      <c r="TU75" s="16"/>
      <c r="TV75" s="16"/>
      <c r="TW75" s="16"/>
      <c r="TX75" s="16"/>
      <c r="TY75" s="16"/>
      <c r="TZ75" s="16"/>
      <c r="UA75" s="16"/>
      <c r="UB75" s="16"/>
      <c r="UC75" s="16"/>
      <c r="UD75" s="16"/>
      <c r="UE75" s="16"/>
      <c r="UF75" s="16"/>
      <c r="UG75" s="16"/>
      <c r="UH75" s="16"/>
      <c r="UI75" s="16"/>
      <c r="UJ75" s="16"/>
      <c r="UK75" s="16"/>
      <c r="UL75" s="16"/>
      <c r="UM75" s="16"/>
      <c r="UN75" s="16"/>
      <c r="UO75" s="16"/>
      <c r="UP75" s="16"/>
      <c r="UQ75" s="16"/>
      <c r="UR75" s="16"/>
      <c r="US75" s="16"/>
      <c r="UT75" s="16"/>
      <c r="UU75" s="16"/>
      <c r="UV75" s="16"/>
      <c r="UW75" s="16"/>
      <c r="UX75" s="16"/>
      <c r="UY75" s="16"/>
      <c r="UZ75" s="16"/>
      <c r="VA75" s="16"/>
      <c r="VB75" s="16"/>
      <c r="VC75" s="16"/>
      <c r="VD75" s="16"/>
      <c r="VE75" s="16"/>
      <c r="VF75" s="16"/>
      <c r="VG75" s="16"/>
      <c r="VH75" s="16"/>
      <c r="VI75" s="16"/>
      <c r="VJ75" s="16"/>
      <c r="VK75" s="16"/>
      <c r="VL75" s="16"/>
      <c r="VM75" s="16"/>
      <c r="VN75" s="16"/>
      <c r="VO75" s="16"/>
      <c r="VP75" s="16"/>
      <c r="VQ75" s="16"/>
      <c r="VR75" s="16"/>
      <c r="VS75" s="16"/>
      <c r="VT75" s="16"/>
      <c r="VU75" s="16"/>
      <c r="VV75" s="16"/>
      <c r="VW75" s="16"/>
      <c r="VX75" s="16"/>
      <c r="VY75" s="16"/>
      <c r="VZ75" s="16"/>
      <c r="WA75" s="16"/>
      <c r="WB75" s="16"/>
      <c r="WC75" s="16"/>
      <c r="WD75" s="16"/>
      <c r="WE75" s="16"/>
      <c r="WF75" s="16"/>
      <c r="WG75" s="16"/>
      <c r="WH75" s="16"/>
      <c r="WI75" s="16"/>
      <c r="WJ75" s="16"/>
      <c r="WK75" s="16"/>
      <c r="WL75" s="16"/>
      <c r="WM75" s="16"/>
      <c r="WN75" s="16"/>
      <c r="WO75" s="16"/>
      <c r="WP75" s="16"/>
      <c r="WQ75" s="16"/>
      <c r="WR75" s="16"/>
      <c r="WS75" s="16"/>
      <c r="WT75" s="16"/>
      <c r="WU75" s="16"/>
      <c r="WV75" s="16"/>
      <c r="WW75" s="16"/>
      <c r="WX75" s="16"/>
      <c r="WY75" s="16"/>
      <c r="WZ75" s="16"/>
      <c r="XA75" s="16"/>
      <c r="XB75" s="16"/>
      <c r="XC75" s="16"/>
      <c r="XD75" s="16"/>
      <c r="XE75" s="16"/>
      <c r="XF75" s="16"/>
      <c r="XG75" s="16"/>
      <c r="XH75" s="16"/>
      <c r="XI75" s="16"/>
      <c r="XJ75" s="16"/>
      <c r="XK75" s="16"/>
      <c r="XL75" s="16"/>
      <c r="XM75" s="16"/>
      <c r="XN75" s="16"/>
      <c r="XO75" s="16"/>
      <c r="XP75" s="16"/>
      <c r="XQ75" s="16"/>
      <c r="XR75" s="16"/>
      <c r="XS75" s="16"/>
      <c r="XT75" s="16"/>
      <c r="XU75" s="16"/>
      <c r="XV75" s="16"/>
      <c r="XW75" s="16"/>
      <c r="XX75" s="16"/>
      <c r="XY75" s="16"/>
      <c r="XZ75" s="16"/>
      <c r="YA75" s="16"/>
      <c r="YB75" s="16"/>
      <c r="YC75" s="16"/>
      <c r="YD75" s="16"/>
      <c r="YE75" s="16"/>
      <c r="YF75" s="16"/>
      <c r="YG75" s="16"/>
      <c r="YH75" s="16"/>
      <c r="YI75" s="16"/>
      <c r="YJ75" s="16"/>
      <c r="YK75" s="16"/>
      <c r="YL75" s="16"/>
      <c r="YM75" s="16"/>
      <c r="YN75" s="16"/>
      <c r="YO75" s="16"/>
      <c r="YP75" s="16"/>
      <c r="YQ75" s="16"/>
      <c r="YR75" s="16"/>
      <c r="YS75" s="16"/>
      <c r="YT75" s="16"/>
      <c r="YU75" s="16"/>
      <c r="YV75" s="16"/>
      <c r="YW75" s="16"/>
      <c r="YX75" s="16"/>
      <c r="YY75" s="16"/>
      <c r="YZ75" s="16"/>
      <c r="ZA75" s="16"/>
      <c r="ZB75" s="16"/>
      <c r="ZC75" s="16"/>
      <c r="ZD75" s="16"/>
      <c r="ZE75" s="16"/>
      <c r="ZF75" s="16"/>
      <c r="ZG75" s="16"/>
      <c r="ZH75" s="16"/>
      <c r="ZI75" s="16"/>
      <c r="ZJ75" s="16"/>
      <c r="ZK75" s="16"/>
      <c r="ZL75" s="16"/>
      <c r="ZM75" s="16"/>
      <c r="ZN75" s="16"/>
      <c r="ZO75" s="16"/>
      <c r="ZP75" s="16"/>
      <c r="ZQ75" s="16"/>
      <c r="ZR75" s="16"/>
      <c r="ZS75" s="16"/>
      <c r="ZT75" s="16"/>
      <c r="ZU75" s="16"/>
      <c r="ZV75" s="16"/>
      <c r="ZW75" s="16"/>
      <c r="ZX75" s="16"/>
      <c r="ZY75" s="16"/>
      <c r="ZZ75" s="16"/>
      <c r="AAA75" s="16"/>
      <c r="AAB75" s="16"/>
      <c r="AAC75" s="16"/>
      <c r="AAD75" s="16"/>
      <c r="AAE75" s="16"/>
      <c r="AAF75" s="16"/>
      <c r="AAG75" s="16"/>
      <c r="AAH75" s="16"/>
      <c r="AAI75" s="16"/>
      <c r="AAJ75" s="16"/>
      <c r="AAK75" s="16"/>
      <c r="AAL75" s="16"/>
      <c r="AAM75" s="16"/>
      <c r="AAN75" s="16"/>
      <c r="AAO75" s="16"/>
      <c r="AAP75" s="16"/>
      <c r="AAQ75" s="16"/>
      <c r="AAR75" s="16"/>
      <c r="AAS75" s="16"/>
      <c r="AAT75" s="16"/>
      <c r="AAU75" s="16"/>
      <c r="AAV75" s="16"/>
      <c r="AAW75" s="16"/>
      <c r="AAX75" s="16"/>
      <c r="AAY75" s="16"/>
      <c r="AAZ75" s="16"/>
      <c r="ABA75" s="16"/>
      <c r="ABB75" s="16"/>
      <c r="ABC75" s="16"/>
      <c r="ABD75" s="16"/>
      <c r="ABE75" s="16"/>
      <c r="ABF75" s="16"/>
      <c r="ABG75" s="16"/>
      <c r="ABH75" s="16"/>
      <c r="ABI75" s="16"/>
      <c r="ABJ75" s="16"/>
      <c r="ABK75" s="16"/>
      <c r="ABL75" s="16"/>
      <c r="ABM75" s="16"/>
      <c r="ABN75" s="16"/>
      <c r="ABO75" s="16"/>
      <c r="ABP75" s="16"/>
      <c r="ABQ75" s="16"/>
      <c r="ABR75" s="16"/>
      <c r="ABS75" s="16"/>
      <c r="ABT75" s="16"/>
      <c r="ABU75" s="16"/>
      <c r="ABV75" s="16"/>
      <c r="ABW75" s="16"/>
      <c r="ABX75" s="16"/>
      <c r="ABY75" s="16"/>
      <c r="ABZ75" s="16"/>
      <c r="ACA75" s="16"/>
      <c r="ACB75" s="16"/>
      <c r="ACC75" s="16"/>
      <c r="ACD75" s="16"/>
      <c r="ACE75" s="16"/>
      <c r="ACF75" s="16"/>
      <c r="ACG75" s="16"/>
      <c r="ACH75" s="16"/>
      <c r="ACI75" s="16"/>
      <c r="ACJ75" s="16"/>
      <c r="ACK75" s="16"/>
      <c r="ACL75" s="16"/>
      <c r="ACM75" s="16"/>
      <c r="ACN75" s="16"/>
      <c r="ACO75" s="16"/>
      <c r="ACP75" s="16"/>
      <c r="ACQ75" s="16"/>
      <c r="ACR75" s="16"/>
      <c r="ACS75" s="16"/>
      <c r="ACT75" s="16"/>
      <c r="ACU75" s="16"/>
      <c r="ACV75" s="16"/>
      <c r="ACW75" s="16"/>
      <c r="ACX75" s="16"/>
      <c r="ACY75" s="16"/>
      <c r="ACZ75" s="16"/>
      <c r="ADA75" s="16"/>
      <c r="ADB75" s="16"/>
      <c r="ADC75" s="16"/>
      <c r="ADD75" s="16"/>
      <c r="ADE75" s="16"/>
      <c r="ADF75" s="16"/>
      <c r="ADG75" s="16"/>
      <c r="ADH75" s="16"/>
      <c r="ADI75" s="16"/>
      <c r="ADJ75" s="16"/>
      <c r="ADK75" s="16"/>
      <c r="ADL75" s="16"/>
      <c r="ADM75" s="16"/>
      <c r="ADN75" s="16"/>
      <c r="ADO75" s="16"/>
      <c r="ADP75" s="16"/>
      <c r="ADQ75" s="16"/>
      <c r="ADR75" s="16"/>
      <c r="ADS75" s="16"/>
      <c r="ADT75" s="16"/>
      <c r="ADU75" s="16"/>
      <c r="ADV75" s="16"/>
      <c r="ADW75" s="16"/>
      <c r="ADX75" s="16"/>
      <c r="ADY75" s="16"/>
      <c r="ADZ75" s="16"/>
      <c r="AEA75" s="16"/>
      <c r="AEB75" s="16"/>
      <c r="AEC75" s="16"/>
      <c r="AED75" s="16"/>
      <c r="AEE75" s="16"/>
      <c r="AEF75" s="16"/>
      <c r="AEG75" s="16"/>
      <c r="AEH75" s="16"/>
      <c r="AEI75" s="16"/>
      <c r="AEJ75" s="16"/>
      <c r="AEK75" s="16"/>
      <c r="AEL75" s="16"/>
      <c r="AEM75" s="16"/>
      <c r="AEN75" s="16"/>
      <c r="AEO75" s="16"/>
      <c r="AEP75" s="16"/>
      <c r="AEQ75" s="16"/>
      <c r="AER75" s="16"/>
      <c r="AES75" s="16"/>
      <c r="AET75" s="16"/>
      <c r="AEU75" s="16"/>
      <c r="AEV75" s="16"/>
      <c r="AEW75" s="16"/>
      <c r="AEX75" s="16"/>
      <c r="AEY75" s="16"/>
      <c r="AEZ75" s="16"/>
      <c r="AFA75" s="16"/>
      <c r="AFB75" s="16"/>
      <c r="AFC75" s="16"/>
      <c r="AFD75" s="16"/>
      <c r="AFE75" s="16"/>
      <c r="AFF75" s="16"/>
      <c r="AFG75" s="16"/>
      <c r="AFH75" s="16"/>
      <c r="AFI75" s="16"/>
      <c r="AFJ75" s="16"/>
      <c r="AFK75" s="16"/>
      <c r="AFL75" s="16"/>
      <c r="AFM75" s="16"/>
      <c r="AFN75" s="16"/>
      <c r="AFO75" s="16"/>
      <c r="AFP75" s="16"/>
      <c r="AFQ75" s="16"/>
      <c r="AFR75" s="16"/>
      <c r="AFS75" s="16"/>
      <c r="AFT75" s="16"/>
      <c r="AFU75" s="16"/>
      <c r="AFV75" s="16"/>
      <c r="AFW75" s="16"/>
      <c r="AFX75" s="16"/>
      <c r="AFY75" s="16"/>
      <c r="AFZ75" s="16"/>
      <c r="AGA75" s="16"/>
      <c r="AGB75" s="16"/>
      <c r="AGC75" s="16"/>
      <c r="AGD75" s="16"/>
      <c r="AGE75" s="16"/>
      <c r="AGF75" s="16"/>
      <c r="AGG75" s="16"/>
      <c r="AGH75" s="16"/>
      <c r="AGI75" s="16"/>
      <c r="AGJ75" s="16"/>
      <c r="AGK75" s="16"/>
      <c r="AGL75" s="16"/>
      <c r="AGM75" s="16"/>
      <c r="AGN75" s="16"/>
      <c r="AGO75" s="16"/>
      <c r="AGP75" s="16"/>
      <c r="AGQ75" s="16"/>
      <c r="AGR75" s="16"/>
      <c r="AGS75" s="16"/>
      <c r="AGT75" s="16"/>
      <c r="AGU75" s="16"/>
      <c r="AGV75" s="16"/>
      <c r="AGW75" s="16"/>
      <c r="AGX75" s="16"/>
      <c r="AGY75" s="16"/>
      <c r="AGZ75" s="16"/>
      <c r="AHA75" s="16"/>
      <c r="AHB75" s="16"/>
      <c r="AHC75" s="16"/>
      <c r="AHD75" s="16"/>
      <c r="AHE75" s="16"/>
      <c r="AHF75" s="16"/>
      <c r="AHG75" s="16"/>
      <c r="AHH75" s="16"/>
      <c r="AHI75" s="16"/>
      <c r="AHJ75" s="16"/>
      <c r="AHK75" s="16"/>
      <c r="AHL75" s="16"/>
      <c r="AHM75" s="16"/>
      <c r="AHN75" s="16"/>
      <c r="AHO75" s="16"/>
      <c r="AHP75" s="16"/>
      <c r="AHQ75" s="16"/>
      <c r="AHR75" s="16"/>
      <c r="AHS75" s="16"/>
      <c r="AHT75" s="16"/>
      <c r="AHU75" s="16"/>
      <c r="AHV75" s="16"/>
      <c r="AHW75" s="16"/>
      <c r="AHX75" s="16"/>
      <c r="AHY75" s="16"/>
      <c r="AHZ75" s="16"/>
      <c r="AIA75" s="16"/>
      <c r="AIB75" s="16"/>
      <c r="AIC75" s="16"/>
      <c r="AID75" s="16"/>
      <c r="AIE75" s="16"/>
      <c r="AIF75" s="16"/>
      <c r="AIG75" s="16"/>
      <c r="AIH75" s="16"/>
      <c r="AII75" s="16"/>
      <c r="AIJ75" s="16"/>
      <c r="AIK75" s="16"/>
      <c r="AIL75" s="16"/>
      <c r="AIM75" s="16"/>
      <c r="AIN75" s="16"/>
      <c r="AIO75" s="16"/>
      <c r="AIP75" s="16"/>
      <c r="AIQ75" s="16"/>
      <c r="AIR75" s="16"/>
      <c r="AIS75" s="16"/>
      <c r="AIT75" s="16"/>
      <c r="AIU75" s="16"/>
      <c r="AIV75" s="16"/>
      <c r="AIW75" s="16"/>
      <c r="AIX75" s="16"/>
      <c r="AIY75" s="16"/>
      <c r="AIZ75" s="16"/>
      <c r="AJA75" s="16"/>
      <c r="AJB75" s="16"/>
      <c r="AJC75" s="16"/>
      <c r="AJD75" s="16"/>
      <c r="AJE75" s="16"/>
      <c r="AJF75" s="16"/>
      <c r="AJG75" s="16"/>
      <c r="AJH75" s="16"/>
      <c r="AJI75" s="16"/>
      <c r="AJJ75" s="16"/>
      <c r="AJK75" s="16"/>
      <c r="AJL75" s="16"/>
      <c r="AJM75" s="16"/>
      <c r="AJN75" s="16"/>
      <c r="AJO75" s="16"/>
      <c r="AJP75" s="16"/>
      <c r="AJQ75" s="16"/>
      <c r="AJR75" s="16"/>
      <c r="AJS75" s="16"/>
      <c r="AJT75" s="16"/>
      <c r="AJU75" s="16"/>
      <c r="AJV75" s="16"/>
      <c r="AJW75" s="16"/>
      <c r="AJX75" s="16"/>
      <c r="AJY75" s="16"/>
      <c r="AJZ75" s="16"/>
      <c r="AKA75" s="16"/>
      <c r="AKB75" s="16"/>
      <c r="AKC75" s="16"/>
      <c r="AKD75" s="16"/>
      <c r="AKE75" s="16"/>
      <c r="AKF75" s="16"/>
      <c r="AKG75" s="16"/>
      <c r="AKH75" s="16"/>
      <c r="AKI75" s="16"/>
      <c r="AKJ75" s="16"/>
      <c r="AKK75" s="16"/>
      <c r="AKL75" s="16"/>
      <c r="AKM75" s="16"/>
      <c r="AKN75" s="16"/>
      <c r="AKO75" s="16"/>
      <c r="AKP75" s="16"/>
      <c r="AKQ75" s="16"/>
      <c r="AKR75" s="16"/>
      <c r="AKS75" s="16"/>
      <c r="AKT75" s="16"/>
      <c r="AKU75" s="16"/>
      <c r="AKV75" s="16"/>
      <c r="AKW75" s="16"/>
      <c r="AKX75" s="16"/>
      <c r="AKY75" s="16"/>
      <c r="AKZ75" s="16"/>
      <c r="ALA75" s="16"/>
      <c r="ALB75" s="16"/>
      <c r="ALC75" s="16"/>
      <c r="ALD75" s="16"/>
      <c r="ALE75" s="16"/>
      <c r="ALF75" s="16"/>
      <c r="ALG75" s="16"/>
      <c r="ALH75" s="16"/>
      <c r="ALI75" s="16"/>
      <c r="ALJ75" s="16"/>
      <c r="ALK75" s="16"/>
      <c r="ALL75" s="16"/>
      <c r="ALM75" s="16"/>
      <c r="ALN75" s="16"/>
      <c r="ALO75" s="16"/>
      <c r="ALP75" s="16"/>
      <c r="ALQ75" s="16"/>
      <c r="ALR75" s="16"/>
      <c r="ALS75" s="16"/>
      <c r="ALT75" s="16"/>
      <c r="ALU75" s="16"/>
      <c r="ALV75" s="16"/>
      <c r="ALW75" s="16"/>
      <c r="ALX75" s="16"/>
      <c r="ALY75" s="16"/>
      <c r="ALZ75" s="16"/>
      <c r="AMA75" s="16"/>
      <c r="AMB75" s="16"/>
      <c r="AMC75" s="16"/>
      <c r="AMD75" s="16"/>
      <c r="AME75" s="16"/>
      <c r="AMF75" s="16"/>
      <c r="AMG75" s="16"/>
      <c r="AMH75" s="16"/>
      <c r="AMI75" s="16"/>
      <c r="AMJ75" s="16"/>
      <c r="AMK75" s="16"/>
      <c r="AML75" s="16"/>
      <c r="AMM75" s="16"/>
      <c r="AMN75" s="16"/>
      <c r="AMO75" s="16"/>
      <c r="AMP75" s="16"/>
      <c r="AMQ75" s="16"/>
      <c r="AMR75" s="16"/>
      <c r="AMS75" s="16"/>
      <c r="AMT75" s="16"/>
      <c r="AMU75" s="16"/>
      <c r="AMV75" s="16"/>
      <c r="AMW75" s="16"/>
      <c r="AMX75" s="16"/>
      <c r="AMY75" s="16"/>
      <c r="AMZ75" s="16"/>
      <c r="ANA75" s="16"/>
      <c r="ANB75" s="16"/>
      <c r="ANC75" s="16"/>
      <c r="AND75" s="16"/>
      <c r="ANE75" s="16"/>
      <c r="ANF75" s="16"/>
      <c r="ANG75" s="16"/>
      <c r="ANH75" s="16"/>
      <c r="ANI75" s="16"/>
      <c r="ANJ75" s="16"/>
      <c r="ANK75" s="16"/>
      <c r="ANL75" s="16"/>
      <c r="ANM75" s="16"/>
      <c r="ANN75" s="16"/>
      <c r="ANO75" s="16"/>
      <c r="ANP75" s="16"/>
      <c r="ANQ75" s="16"/>
      <c r="ANR75" s="16"/>
      <c r="ANS75" s="16"/>
      <c r="ANT75" s="16"/>
      <c r="ANU75" s="16"/>
      <c r="ANV75" s="16"/>
      <c r="ANW75" s="16"/>
      <c r="ANX75" s="16"/>
      <c r="ANY75" s="16"/>
      <c r="ANZ75" s="16"/>
      <c r="AOA75" s="16"/>
      <c r="AOB75" s="16"/>
      <c r="AOC75" s="16"/>
      <c r="AOD75" s="16"/>
      <c r="AOE75" s="16"/>
      <c r="AOF75" s="16"/>
      <c r="AOG75" s="16"/>
      <c r="AOH75" s="16"/>
      <c r="AOI75" s="16"/>
      <c r="AOJ75" s="16"/>
      <c r="AOK75" s="16"/>
      <c r="AOL75" s="16"/>
      <c r="AOM75" s="16"/>
      <c r="AON75" s="16"/>
      <c r="AOO75" s="16"/>
      <c r="AOP75" s="16"/>
      <c r="AOQ75" s="16"/>
      <c r="AOR75" s="16"/>
      <c r="AOS75" s="16"/>
      <c r="AOT75" s="16"/>
      <c r="AOU75" s="16"/>
      <c r="AOV75" s="16"/>
      <c r="AOW75" s="16"/>
      <c r="AOX75" s="16"/>
      <c r="AOY75" s="16"/>
      <c r="AOZ75" s="16"/>
      <c r="APA75" s="16"/>
      <c r="APB75" s="16"/>
      <c r="APC75" s="16"/>
      <c r="APD75" s="16"/>
      <c r="APE75" s="16"/>
      <c r="APF75" s="16"/>
      <c r="APG75" s="16"/>
      <c r="APH75" s="16"/>
      <c r="API75" s="16"/>
      <c r="APJ75" s="16"/>
      <c r="APK75" s="16"/>
      <c r="APL75" s="16"/>
      <c r="APM75" s="16"/>
      <c r="APN75" s="16"/>
      <c r="APO75" s="16"/>
      <c r="APP75" s="16"/>
      <c r="APQ75" s="16"/>
      <c r="APR75" s="16"/>
      <c r="APS75" s="16"/>
      <c r="APT75" s="16"/>
      <c r="APU75" s="16"/>
      <c r="APV75" s="16"/>
      <c r="APW75" s="16"/>
      <c r="APX75" s="16"/>
      <c r="APY75" s="16"/>
      <c r="APZ75" s="16"/>
      <c r="AQA75" s="16"/>
      <c r="AQB75" s="16"/>
      <c r="AQC75" s="16"/>
      <c r="AQD75" s="16"/>
      <c r="AQE75" s="16"/>
      <c r="AQF75" s="16"/>
      <c r="AQG75" s="16"/>
      <c r="AQH75" s="16"/>
      <c r="AQI75" s="16"/>
      <c r="AQJ75" s="16"/>
      <c r="AQK75" s="16"/>
      <c r="AQL75" s="16"/>
      <c r="AQM75" s="16"/>
      <c r="AQN75" s="16"/>
      <c r="AQO75" s="16"/>
      <c r="AQP75" s="16"/>
      <c r="AQQ75" s="16"/>
      <c r="AQR75" s="16"/>
      <c r="AQS75" s="16"/>
      <c r="AQT75" s="16"/>
      <c r="AQU75" s="16"/>
      <c r="AQV75" s="16"/>
      <c r="AQW75" s="16"/>
      <c r="AQX75" s="16"/>
      <c r="AQY75" s="16"/>
      <c r="AQZ75" s="16"/>
      <c r="ARA75" s="16"/>
      <c r="ARB75" s="16"/>
      <c r="ARC75" s="16"/>
      <c r="ARD75" s="16"/>
      <c r="ARE75" s="16"/>
      <c r="ARF75" s="16"/>
      <c r="ARG75" s="16"/>
      <c r="ARH75" s="16"/>
      <c r="ARI75" s="16"/>
      <c r="ARJ75" s="16"/>
      <c r="ARK75" s="16"/>
      <c r="ARL75" s="16"/>
      <c r="ARM75" s="16"/>
      <c r="ARN75" s="16"/>
      <c r="ARO75" s="16"/>
      <c r="ARP75" s="16"/>
      <c r="ARQ75" s="16"/>
      <c r="ARR75" s="16"/>
      <c r="ARS75" s="16"/>
      <c r="ART75" s="16"/>
      <c r="ARU75" s="16"/>
      <c r="ARV75" s="16"/>
      <c r="ARW75" s="16"/>
      <c r="ARX75" s="16"/>
      <c r="ARY75" s="16"/>
      <c r="ARZ75" s="16"/>
      <c r="ASA75" s="16"/>
      <c r="ASB75" s="16"/>
      <c r="ASC75" s="16"/>
      <c r="ASD75" s="16"/>
      <c r="ASE75" s="16"/>
      <c r="ASF75" s="16"/>
      <c r="ASG75" s="16"/>
      <c r="ASH75" s="16"/>
      <c r="ASI75" s="16"/>
      <c r="ASJ75" s="16"/>
      <c r="ASK75" s="16"/>
      <c r="ASL75" s="16"/>
      <c r="ASM75" s="16"/>
      <c r="ASN75" s="16"/>
      <c r="ASO75" s="16"/>
      <c r="ASP75" s="16"/>
      <c r="ASQ75" s="16"/>
      <c r="ASR75" s="16"/>
      <c r="ASS75" s="16"/>
      <c r="AST75" s="16"/>
      <c r="ASU75" s="16"/>
      <c r="ASV75" s="16"/>
      <c r="ASW75" s="16"/>
      <c r="ASX75" s="16"/>
      <c r="ASY75" s="16"/>
      <c r="ASZ75" s="16"/>
      <c r="ATA75" s="16"/>
      <c r="ATB75" s="16"/>
      <c r="ATC75" s="16"/>
      <c r="ATD75" s="16"/>
      <c r="ATE75" s="16"/>
      <c r="ATF75" s="16"/>
      <c r="ATG75" s="16"/>
      <c r="ATH75" s="16"/>
      <c r="ATI75" s="16"/>
      <c r="ATJ75" s="16"/>
      <c r="ATK75" s="16"/>
      <c r="ATL75" s="16"/>
      <c r="ATM75" s="16"/>
      <c r="ATN75" s="16"/>
      <c r="ATO75" s="16"/>
      <c r="ATP75" s="16"/>
      <c r="ATQ75" s="16"/>
      <c r="ATR75" s="16"/>
      <c r="ATS75" s="16"/>
      <c r="ATT75" s="16"/>
      <c r="ATU75" s="16"/>
      <c r="ATV75" s="16"/>
      <c r="ATW75" s="16"/>
      <c r="ATX75" s="16"/>
      <c r="ATY75" s="16"/>
      <c r="ATZ75" s="16"/>
      <c r="AUA75" s="16"/>
      <c r="AUB75" s="16"/>
      <c r="AUC75" s="16"/>
      <c r="AUD75" s="16"/>
      <c r="AUE75" s="16"/>
      <c r="AUF75" s="16"/>
      <c r="AUG75" s="16"/>
      <c r="AUH75" s="16"/>
      <c r="AUI75" s="16"/>
      <c r="AUJ75" s="16"/>
      <c r="AUK75" s="16"/>
      <c r="AUL75" s="16"/>
      <c r="AUM75" s="16"/>
      <c r="AUN75" s="16"/>
      <c r="AUO75" s="16"/>
      <c r="AUP75" s="16"/>
      <c r="AUQ75" s="16"/>
      <c r="AUR75" s="16"/>
      <c r="AUS75" s="16"/>
      <c r="AUT75" s="16"/>
      <c r="AUU75" s="16"/>
      <c r="AUV75" s="16"/>
      <c r="AUW75" s="16"/>
      <c r="AUX75" s="16"/>
      <c r="AUY75" s="16"/>
      <c r="AUZ75" s="16"/>
      <c r="AVA75" s="16"/>
      <c r="AVB75" s="16"/>
      <c r="AVC75" s="16"/>
      <c r="AVD75" s="16"/>
      <c r="AVE75" s="16"/>
      <c r="AVF75" s="16"/>
      <c r="AVG75" s="16"/>
      <c r="AVH75" s="16"/>
      <c r="AVI75" s="16"/>
      <c r="AVJ75" s="16"/>
      <c r="AVK75" s="16"/>
      <c r="AVL75" s="16"/>
      <c r="AVM75" s="16"/>
      <c r="AVN75" s="16"/>
      <c r="AVO75" s="16"/>
      <c r="AVP75" s="16"/>
      <c r="AVQ75" s="16"/>
      <c r="AVR75" s="16"/>
      <c r="AVS75" s="16"/>
      <c r="AVT75" s="16"/>
      <c r="AVU75" s="16"/>
      <c r="AVV75" s="16"/>
      <c r="AVW75" s="16"/>
      <c r="AVX75" s="16"/>
      <c r="AVY75" s="16"/>
      <c r="AVZ75" s="16"/>
      <c r="AWA75" s="16"/>
      <c r="AWB75" s="16"/>
      <c r="AWC75" s="16"/>
      <c r="AWD75" s="16"/>
      <c r="AWE75" s="16"/>
      <c r="AWF75" s="16"/>
      <c r="AWG75" s="16"/>
      <c r="AWH75" s="16"/>
      <c r="AWI75" s="16"/>
      <c r="AWJ75" s="16"/>
      <c r="AWK75" s="16"/>
      <c r="AWL75" s="16"/>
      <c r="AWM75" s="16"/>
      <c r="AWN75" s="16"/>
      <c r="AWO75" s="16"/>
      <c r="AWP75" s="16"/>
      <c r="AWQ75" s="16"/>
      <c r="AWR75" s="16"/>
      <c r="AWS75" s="16"/>
      <c r="AWT75" s="16"/>
      <c r="AWU75" s="16"/>
      <c r="AWV75" s="16"/>
      <c r="AWW75" s="16"/>
      <c r="AWX75" s="16"/>
      <c r="AWY75" s="16"/>
      <c r="AWZ75" s="16"/>
      <c r="AXA75" s="16"/>
      <c r="AXB75" s="16"/>
      <c r="AXC75" s="16"/>
      <c r="AXD75" s="16"/>
      <c r="AXE75" s="16"/>
      <c r="AXF75" s="16"/>
      <c r="AXG75" s="16"/>
      <c r="AXH75" s="16"/>
      <c r="AXI75" s="16"/>
      <c r="AXJ75" s="16"/>
      <c r="AXK75" s="16"/>
      <c r="AXL75" s="16"/>
      <c r="AXM75" s="16"/>
      <c r="AXN75" s="16"/>
      <c r="AXO75" s="16"/>
      <c r="AXP75" s="16"/>
      <c r="AXQ75" s="16"/>
      <c r="AXR75" s="16"/>
      <c r="AXS75" s="16"/>
      <c r="AXT75" s="16"/>
      <c r="AXU75" s="16"/>
      <c r="AXV75" s="16"/>
      <c r="AXW75" s="16"/>
      <c r="AXX75" s="16"/>
      <c r="AXY75" s="16"/>
      <c r="AXZ75" s="16"/>
      <c r="AYA75" s="16"/>
      <c r="AYB75" s="16"/>
      <c r="AYC75" s="16"/>
      <c r="AYD75" s="16"/>
      <c r="AYE75" s="16"/>
      <c r="AYF75" s="16"/>
      <c r="AYG75" s="16"/>
      <c r="AYH75" s="16"/>
      <c r="AYI75" s="16"/>
      <c r="AYJ75" s="16"/>
      <c r="AYK75" s="16"/>
      <c r="AYL75" s="16"/>
      <c r="AYM75" s="16"/>
      <c r="AYN75" s="16"/>
      <c r="AYO75" s="16"/>
      <c r="AYP75" s="16"/>
      <c r="AYQ75" s="16"/>
      <c r="AYR75" s="16"/>
      <c r="AYS75" s="16"/>
      <c r="AYT75" s="16"/>
      <c r="AYU75" s="16"/>
      <c r="AYV75" s="16"/>
      <c r="AYW75" s="16"/>
      <c r="AYX75" s="16"/>
      <c r="AYY75" s="16"/>
      <c r="AYZ75" s="16"/>
      <c r="AZA75" s="16"/>
      <c r="AZB75" s="16"/>
      <c r="AZC75" s="16"/>
      <c r="AZD75" s="16"/>
      <c r="AZE75" s="16"/>
      <c r="AZF75" s="16"/>
      <c r="AZG75" s="16"/>
      <c r="AZH75" s="16"/>
      <c r="AZI75" s="16"/>
      <c r="AZJ75" s="16"/>
      <c r="AZK75" s="16"/>
      <c r="AZL75" s="16"/>
      <c r="AZM75" s="16"/>
      <c r="AZN75" s="16"/>
      <c r="AZO75" s="16"/>
      <c r="AZP75" s="16"/>
      <c r="AZQ75" s="16"/>
      <c r="AZR75" s="16"/>
      <c r="AZS75" s="16"/>
      <c r="AZT75" s="16"/>
      <c r="AZU75" s="16"/>
      <c r="AZV75" s="16"/>
      <c r="AZW75" s="16"/>
      <c r="AZX75" s="16"/>
      <c r="AZY75" s="16"/>
      <c r="AZZ75" s="16"/>
      <c r="BAA75" s="16"/>
      <c r="BAB75" s="16"/>
      <c r="BAC75" s="16"/>
      <c r="BAD75" s="16"/>
      <c r="BAE75" s="16"/>
      <c r="BAF75" s="16"/>
      <c r="BAG75" s="16"/>
      <c r="BAH75" s="16"/>
      <c r="BAI75" s="16"/>
      <c r="BAJ75" s="16"/>
      <c r="BAK75" s="16"/>
      <c r="BAL75" s="16"/>
      <c r="BAM75" s="16"/>
      <c r="BAN75" s="16"/>
      <c r="BAO75" s="16"/>
      <c r="BAP75" s="16"/>
      <c r="BAQ75" s="16"/>
      <c r="BAR75" s="16"/>
      <c r="BAS75" s="16"/>
      <c r="BAT75" s="16"/>
      <c r="BAU75" s="16"/>
      <c r="BAV75" s="16"/>
      <c r="BAW75" s="16"/>
      <c r="BAX75" s="16"/>
      <c r="BAY75" s="16"/>
      <c r="BAZ75" s="16"/>
      <c r="BBA75" s="16"/>
      <c r="BBB75" s="16"/>
      <c r="BBC75" s="16"/>
      <c r="BBD75" s="16"/>
      <c r="BBE75" s="16"/>
      <c r="BBF75" s="16"/>
      <c r="BBG75" s="16"/>
      <c r="BBH75" s="16"/>
      <c r="BBI75" s="16"/>
      <c r="BBJ75" s="16"/>
      <c r="BBK75" s="16"/>
      <c r="BBL75" s="16"/>
      <c r="BBM75" s="16"/>
      <c r="BBN75" s="16"/>
      <c r="BBO75" s="16"/>
      <c r="BBP75" s="16"/>
      <c r="BBQ75" s="16"/>
      <c r="BBR75" s="16"/>
      <c r="BBS75" s="16"/>
      <c r="BBT75" s="16"/>
      <c r="BBU75" s="16"/>
      <c r="BBV75" s="16"/>
      <c r="BBW75" s="16"/>
      <c r="BBX75" s="16"/>
      <c r="BBY75" s="16"/>
      <c r="BBZ75" s="16"/>
      <c r="BCA75" s="16"/>
      <c r="BCB75" s="16"/>
      <c r="BCC75" s="16"/>
      <c r="BCD75" s="16"/>
      <c r="BCE75" s="16"/>
      <c r="BCF75" s="16"/>
      <c r="BCG75" s="16"/>
      <c r="BCH75" s="16"/>
      <c r="BCI75" s="16"/>
      <c r="BCJ75" s="16"/>
      <c r="BCK75" s="16"/>
      <c r="BCL75" s="16"/>
      <c r="BCM75" s="16"/>
      <c r="BCN75" s="16"/>
      <c r="BCO75" s="16"/>
      <c r="BCP75" s="16"/>
      <c r="BCQ75" s="16"/>
      <c r="BCR75" s="16"/>
      <c r="BCS75" s="16"/>
      <c r="BCT75" s="16"/>
      <c r="BCU75" s="16"/>
      <c r="BCV75" s="16"/>
      <c r="BCW75" s="16"/>
      <c r="BCX75" s="16"/>
      <c r="BCY75" s="16"/>
      <c r="BCZ75" s="16"/>
      <c r="BDA75" s="16"/>
      <c r="BDB75" s="16"/>
      <c r="BDC75" s="16"/>
      <c r="BDD75" s="16"/>
      <c r="BDE75" s="16"/>
      <c r="BDF75" s="16"/>
      <c r="BDG75" s="16"/>
      <c r="BDH75" s="16"/>
      <c r="BDI75" s="16"/>
      <c r="BDJ75" s="16"/>
      <c r="BDK75" s="16"/>
      <c r="BDL75" s="16"/>
      <c r="BDM75" s="16"/>
      <c r="BDN75" s="16"/>
      <c r="BDO75" s="16"/>
      <c r="BDP75" s="16"/>
      <c r="BDQ75" s="16"/>
      <c r="BDR75" s="16"/>
      <c r="BDS75" s="16"/>
      <c r="BDT75" s="16"/>
      <c r="BDU75" s="16"/>
      <c r="BDV75" s="16"/>
      <c r="BDW75" s="16"/>
      <c r="BDX75" s="16"/>
      <c r="BDY75" s="16"/>
      <c r="BDZ75" s="16"/>
      <c r="BEA75" s="16"/>
      <c r="BEB75" s="16"/>
      <c r="BEC75" s="16"/>
      <c r="BED75" s="16"/>
      <c r="BEE75" s="16"/>
      <c r="BEF75" s="16"/>
      <c r="BEG75" s="16"/>
      <c r="BEH75" s="16"/>
      <c r="BEI75" s="16"/>
      <c r="BEJ75" s="16"/>
      <c r="BEK75" s="16"/>
      <c r="BEL75" s="16"/>
      <c r="BEM75" s="16"/>
      <c r="BEN75" s="16"/>
      <c r="BEO75" s="16"/>
      <c r="BEP75" s="16"/>
      <c r="BEQ75" s="16"/>
      <c r="BER75" s="16"/>
      <c r="BES75" s="16"/>
      <c r="BET75" s="16"/>
      <c r="BEU75" s="16"/>
      <c r="BEV75" s="16"/>
      <c r="BEW75" s="16"/>
      <c r="BEX75" s="16"/>
      <c r="BEY75" s="16"/>
      <c r="BEZ75" s="16"/>
      <c r="BFA75" s="16"/>
      <c r="BFB75" s="16"/>
      <c r="BFC75" s="16"/>
      <c r="BFD75" s="16"/>
      <c r="BFE75" s="16"/>
      <c r="BFF75" s="16"/>
      <c r="BFG75" s="16"/>
      <c r="BFH75" s="16"/>
      <c r="BFI75" s="16"/>
      <c r="BFJ75" s="16"/>
      <c r="BFK75" s="16"/>
      <c r="BFL75" s="16"/>
      <c r="BFM75" s="16"/>
      <c r="BFN75" s="16"/>
      <c r="BFO75" s="16"/>
      <c r="BFP75" s="16"/>
      <c r="BFQ75" s="16"/>
      <c r="BFR75" s="16"/>
      <c r="BFS75" s="16"/>
      <c r="BFT75" s="16"/>
      <c r="BFU75" s="16"/>
      <c r="BFV75" s="16"/>
      <c r="BFW75" s="16"/>
      <c r="BFX75" s="16"/>
      <c r="BFY75" s="16"/>
      <c r="BFZ75" s="16"/>
      <c r="BGA75" s="16"/>
      <c r="BGB75" s="16"/>
      <c r="BGC75" s="16"/>
      <c r="BGD75" s="16"/>
      <c r="BGE75" s="16"/>
      <c r="BGF75" s="16"/>
      <c r="BGG75" s="16"/>
      <c r="BGH75" s="16"/>
      <c r="BGI75" s="16"/>
      <c r="BGJ75" s="16"/>
      <c r="BGK75" s="16"/>
      <c r="BGL75" s="16"/>
      <c r="BGM75" s="16"/>
      <c r="BGN75" s="16"/>
      <c r="BGO75" s="16"/>
      <c r="BGP75" s="16"/>
      <c r="BGQ75" s="16"/>
      <c r="BGR75" s="16"/>
      <c r="BGS75" s="16"/>
      <c r="BGT75" s="16"/>
      <c r="BGU75" s="16"/>
      <c r="BGV75" s="16"/>
      <c r="BGW75" s="16"/>
      <c r="BGX75" s="16"/>
      <c r="BGY75" s="16"/>
      <c r="BGZ75" s="16"/>
      <c r="BHA75" s="16"/>
      <c r="BHB75" s="16"/>
      <c r="BHC75" s="16"/>
      <c r="BHD75" s="16"/>
      <c r="BHE75" s="16"/>
      <c r="BHF75" s="16"/>
      <c r="BHG75" s="16"/>
      <c r="BHH75" s="16"/>
      <c r="BHI75" s="16"/>
      <c r="BHJ75" s="16"/>
      <c r="BHK75" s="16"/>
      <c r="BHL75" s="16"/>
      <c r="BHM75" s="16"/>
      <c r="BHN75" s="16"/>
      <c r="BHO75" s="16"/>
      <c r="BHP75" s="16"/>
      <c r="BHQ75" s="16"/>
      <c r="BHR75" s="16"/>
      <c r="BHS75" s="16"/>
      <c r="BHT75" s="16"/>
      <c r="BHU75" s="16"/>
      <c r="BHV75" s="16"/>
      <c r="BHW75" s="16"/>
      <c r="BHX75" s="16"/>
      <c r="BHY75" s="16"/>
      <c r="BHZ75" s="16"/>
      <c r="BIA75" s="16"/>
      <c r="BIB75" s="16"/>
      <c r="BIC75" s="16"/>
      <c r="BID75" s="16"/>
      <c r="BIE75" s="16"/>
      <c r="BIF75" s="16"/>
      <c r="BIG75" s="16"/>
      <c r="BIH75" s="16"/>
      <c r="BII75" s="16"/>
      <c r="BIJ75" s="16"/>
      <c r="BIK75" s="16"/>
      <c r="BIL75" s="16"/>
      <c r="BIM75" s="16"/>
      <c r="BIN75" s="16"/>
      <c r="BIO75" s="16"/>
      <c r="BIP75" s="16"/>
      <c r="BIQ75" s="16"/>
      <c r="BIR75" s="16"/>
      <c r="BIS75" s="16"/>
      <c r="BIT75" s="16"/>
      <c r="BIU75" s="16"/>
      <c r="BIV75" s="16"/>
      <c r="BIW75" s="16"/>
      <c r="BIX75" s="16"/>
      <c r="BIY75" s="16"/>
      <c r="BIZ75" s="16"/>
      <c r="BJA75" s="16"/>
      <c r="BJB75" s="16"/>
      <c r="BJC75" s="16"/>
      <c r="BJD75" s="16"/>
      <c r="BJE75" s="16"/>
      <c r="BJF75" s="16"/>
      <c r="BJG75" s="16"/>
      <c r="BJH75" s="16"/>
      <c r="BJI75" s="16"/>
      <c r="BJJ75" s="16"/>
      <c r="BJK75" s="16"/>
      <c r="BJL75" s="16"/>
      <c r="BJM75" s="16"/>
      <c r="BJN75" s="16"/>
      <c r="BJO75" s="16"/>
      <c r="BJP75" s="16"/>
      <c r="BJQ75" s="16"/>
      <c r="BJR75" s="16"/>
      <c r="BJS75" s="16"/>
      <c r="BJT75" s="16"/>
      <c r="BJU75" s="16"/>
      <c r="BJV75" s="16"/>
      <c r="BJW75" s="16"/>
      <c r="BJX75" s="16"/>
      <c r="BJY75" s="16"/>
      <c r="BJZ75" s="16"/>
      <c r="BKA75" s="16"/>
      <c r="BKB75" s="16"/>
      <c r="BKC75" s="16"/>
      <c r="BKD75" s="16"/>
      <c r="BKE75" s="16"/>
      <c r="BKF75" s="16"/>
      <c r="BKG75" s="16"/>
      <c r="BKH75" s="16"/>
      <c r="BKI75" s="16"/>
      <c r="BKJ75" s="16"/>
      <c r="BKK75" s="16"/>
      <c r="BKL75" s="16"/>
      <c r="BKM75" s="16"/>
      <c r="BKN75" s="16"/>
      <c r="BKO75" s="16"/>
      <c r="BKP75" s="16"/>
      <c r="BKQ75" s="16"/>
      <c r="BKR75" s="16"/>
      <c r="BKS75" s="16"/>
      <c r="BKT75" s="16"/>
      <c r="BKU75" s="16"/>
      <c r="BKV75" s="16"/>
      <c r="BKW75" s="16"/>
      <c r="BKX75" s="16"/>
      <c r="BKY75" s="16"/>
      <c r="BKZ75" s="16"/>
      <c r="BLA75" s="16"/>
      <c r="BLB75" s="16"/>
      <c r="BLC75" s="16"/>
      <c r="BLD75" s="16"/>
      <c r="BLE75" s="16"/>
      <c r="BLF75" s="16"/>
      <c r="BLG75" s="16"/>
      <c r="BLH75" s="16"/>
      <c r="BLI75" s="16"/>
      <c r="BLJ75" s="16"/>
      <c r="BLK75" s="16"/>
      <c r="BLL75" s="16"/>
      <c r="BLM75" s="16"/>
      <c r="BLN75" s="16"/>
      <c r="BLO75" s="16"/>
      <c r="BLP75" s="16"/>
      <c r="BLQ75" s="16"/>
      <c r="BLR75" s="16"/>
      <c r="BLS75" s="16"/>
      <c r="BLT75" s="16"/>
      <c r="BLU75" s="16"/>
      <c r="BLV75" s="16"/>
      <c r="BLW75" s="16"/>
      <c r="BLX75" s="16"/>
      <c r="BLY75" s="16"/>
      <c r="BLZ75" s="16"/>
      <c r="BMA75" s="16"/>
      <c r="BMB75" s="16"/>
      <c r="BMC75" s="16"/>
      <c r="BMD75" s="16"/>
      <c r="BME75" s="16"/>
      <c r="BMF75" s="16"/>
      <c r="BMG75" s="16"/>
      <c r="BMH75" s="16"/>
      <c r="BMI75" s="16"/>
      <c r="BMJ75" s="16"/>
      <c r="BMK75" s="16"/>
      <c r="BML75" s="16"/>
      <c r="BMM75" s="16"/>
      <c r="BMN75" s="16"/>
      <c r="BMO75" s="16"/>
      <c r="BMP75" s="16"/>
      <c r="BMQ75" s="16"/>
      <c r="BMR75" s="16"/>
      <c r="BMS75" s="16"/>
      <c r="BMT75" s="16"/>
      <c r="BMU75" s="16"/>
      <c r="BMV75" s="16"/>
      <c r="BMW75" s="16"/>
      <c r="BMX75" s="16"/>
      <c r="BMY75" s="16"/>
      <c r="BMZ75" s="16"/>
      <c r="BNA75" s="16"/>
      <c r="BNB75" s="16"/>
      <c r="BNC75" s="16"/>
      <c r="BND75" s="16"/>
      <c r="BNE75" s="16"/>
      <c r="BNF75" s="16"/>
      <c r="BNG75" s="16"/>
      <c r="BNH75" s="16"/>
      <c r="BNI75" s="16"/>
      <c r="BNJ75" s="16"/>
      <c r="BNK75" s="16"/>
      <c r="BNL75" s="16"/>
      <c r="BNM75" s="16"/>
      <c r="BNN75" s="16"/>
      <c r="BNO75" s="16"/>
      <c r="BNP75" s="16"/>
      <c r="BNQ75" s="16"/>
      <c r="BNR75" s="16"/>
      <c r="BNS75" s="16"/>
      <c r="BNT75" s="16"/>
      <c r="BNU75" s="16"/>
      <c r="BNV75" s="16"/>
      <c r="BNW75" s="16"/>
      <c r="BNX75" s="16"/>
      <c r="BNY75" s="16"/>
      <c r="BNZ75" s="16"/>
      <c r="BOA75" s="16"/>
      <c r="BOB75" s="16"/>
      <c r="BOC75" s="16"/>
      <c r="BOD75" s="16"/>
      <c r="BOE75" s="16"/>
      <c r="BOF75" s="16"/>
      <c r="BOG75" s="16"/>
      <c r="BOH75" s="16"/>
      <c r="BOI75" s="16"/>
      <c r="BOJ75" s="16"/>
      <c r="BOK75" s="16"/>
      <c r="BOL75" s="16"/>
      <c r="BOM75" s="16"/>
      <c r="BON75" s="16"/>
      <c r="BOO75" s="16"/>
      <c r="BOP75" s="16"/>
      <c r="BOQ75" s="16"/>
      <c r="BOR75" s="16"/>
      <c r="BOS75" s="16"/>
      <c r="BOT75" s="16"/>
      <c r="BOU75" s="16"/>
      <c r="BOV75" s="16"/>
      <c r="BOW75" s="16"/>
      <c r="BOX75" s="16"/>
      <c r="BOY75" s="16"/>
      <c r="BOZ75" s="16"/>
      <c r="BPA75" s="16"/>
      <c r="BPB75" s="16"/>
      <c r="BPC75" s="16"/>
      <c r="BPD75" s="16"/>
      <c r="BPE75" s="16"/>
      <c r="BPF75" s="16"/>
      <c r="BPG75" s="16"/>
      <c r="BPH75" s="16"/>
      <c r="BPI75" s="16"/>
      <c r="BPJ75" s="16"/>
      <c r="BPK75" s="16"/>
      <c r="BPL75" s="16"/>
      <c r="BPM75" s="16"/>
      <c r="BPN75" s="16"/>
      <c r="BPO75" s="16"/>
      <c r="BPP75" s="16"/>
      <c r="BPQ75" s="16"/>
      <c r="BPR75" s="16"/>
      <c r="BPS75" s="16"/>
      <c r="BPT75" s="16"/>
      <c r="BPU75" s="16"/>
      <c r="BPV75" s="16"/>
      <c r="BPW75" s="16"/>
      <c r="BPX75" s="16"/>
      <c r="BPY75" s="16"/>
      <c r="BPZ75" s="16"/>
      <c r="BQA75" s="16"/>
      <c r="BQB75" s="16"/>
      <c r="BQC75" s="16"/>
      <c r="BQD75" s="16"/>
      <c r="BQE75" s="16"/>
      <c r="BQF75" s="16"/>
      <c r="BQG75" s="16"/>
      <c r="BQH75" s="16"/>
      <c r="BQI75" s="16"/>
      <c r="BQJ75" s="16"/>
      <c r="BQK75" s="16"/>
      <c r="BQL75" s="16"/>
      <c r="BQM75" s="16"/>
      <c r="BQN75" s="16"/>
      <c r="BQO75" s="16"/>
      <c r="BQP75" s="16"/>
      <c r="BQQ75" s="16"/>
      <c r="BQR75" s="16"/>
      <c r="BQS75" s="16"/>
      <c r="BQT75" s="16"/>
      <c r="BQU75" s="16"/>
      <c r="BQV75" s="16"/>
      <c r="BQW75" s="16"/>
      <c r="BQX75" s="16"/>
      <c r="BQY75" s="16"/>
      <c r="BQZ75" s="16"/>
      <c r="BRA75" s="16"/>
      <c r="BRB75" s="16"/>
      <c r="BRC75" s="16"/>
      <c r="BRD75" s="16"/>
      <c r="BRE75" s="16"/>
      <c r="BRF75" s="16"/>
      <c r="BRG75" s="16"/>
      <c r="BRH75" s="16"/>
      <c r="BRI75" s="16"/>
      <c r="BRJ75" s="16"/>
      <c r="BRK75" s="16"/>
      <c r="BRL75" s="16"/>
      <c r="BRM75" s="16"/>
      <c r="BRN75" s="16"/>
      <c r="BRO75" s="16"/>
      <c r="BRP75" s="16"/>
      <c r="BRQ75" s="16"/>
      <c r="BRR75" s="16"/>
      <c r="BRS75" s="16"/>
      <c r="BRT75" s="16"/>
      <c r="BRU75" s="16"/>
      <c r="BRV75" s="16"/>
      <c r="BRW75" s="16"/>
      <c r="BRX75" s="16"/>
      <c r="BRY75" s="16"/>
      <c r="BRZ75" s="16"/>
      <c r="BSA75" s="16"/>
      <c r="BSB75" s="16"/>
      <c r="BSC75" s="16"/>
      <c r="BSD75" s="16"/>
      <c r="BSE75" s="16"/>
      <c r="BSF75" s="16"/>
      <c r="BSG75" s="16"/>
      <c r="BSH75" s="16"/>
      <c r="BSI75" s="16"/>
      <c r="BSJ75" s="16"/>
      <c r="BSK75" s="16"/>
      <c r="BSL75" s="16"/>
      <c r="BSM75" s="16"/>
      <c r="BSN75" s="16"/>
      <c r="BSO75" s="16"/>
      <c r="BSP75" s="16"/>
      <c r="BSQ75" s="16"/>
      <c r="BSR75" s="16"/>
      <c r="BSS75" s="16"/>
      <c r="BST75" s="16"/>
      <c r="BSU75" s="16"/>
      <c r="BSV75" s="16"/>
      <c r="BSW75" s="16"/>
      <c r="BSX75" s="16"/>
      <c r="BSY75" s="16"/>
      <c r="BSZ75" s="16"/>
      <c r="BTA75" s="16"/>
      <c r="BTB75" s="16"/>
      <c r="BTC75" s="16"/>
      <c r="BTD75" s="16"/>
      <c r="BTE75" s="16"/>
      <c r="BTF75" s="16"/>
      <c r="BTG75" s="16"/>
      <c r="BTH75" s="16"/>
      <c r="BTI75" s="16"/>
      <c r="BTJ75" s="16"/>
      <c r="BTK75" s="16"/>
      <c r="BTL75" s="16"/>
      <c r="BTM75" s="16"/>
      <c r="BTN75" s="16"/>
      <c r="BTO75" s="16"/>
      <c r="BTP75" s="16"/>
      <c r="BTQ75" s="16"/>
      <c r="BTR75" s="16"/>
      <c r="BTS75" s="16"/>
      <c r="BTT75" s="16"/>
      <c r="BTU75" s="16"/>
      <c r="BTV75" s="16"/>
      <c r="BTW75" s="16"/>
      <c r="BTX75" s="16"/>
      <c r="BTY75" s="16"/>
      <c r="BTZ75" s="16"/>
      <c r="BUA75" s="16"/>
      <c r="BUB75" s="16"/>
      <c r="BUC75" s="16"/>
      <c r="BUD75" s="16"/>
      <c r="BUE75" s="16"/>
      <c r="BUF75" s="16"/>
      <c r="BUG75" s="16"/>
      <c r="BUH75" s="16"/>
      <c r="BUI75" s="16"/>
      <c r="BUJ75" s="16"/>
      <c r="BUK75" s="16"/>
      <c r="BUL75" s="16"/>
      <c r="BUM75" s="16"/>
      <c r="BUN75" s="16"/>
      <c r="BUO75" s="16"/>
      <c r="BUP75" s="16"/>
      <c r="BUQ75" s="16"/>
      <c r="BUR75" s="16"/>
      <c r="BUS75" s="16"/>
      <c r="BUT75" s="16"/>
      <c r="BUU75" s="16"/>
      <c r="BUV75" s="16"/>
      <c r="BUW75" s="16"/>
      <c r="BUX75" s="16"/>
      <c r="BUY75" s="16"/>
      <c r="BUZ75" s="16"/>
      <c r="BVA75" s="16"/>
      <c r="BVB75" s="16"/>
      <c r="BVC75" s="16"/>
      <c r="BVD75" s="16"/>
      <c r="BVE75" s="16"/>
      <c r="BVF75" s="16"/>
      <c r="BVG75" s="16"/>
      <c r="BVH75" s="16"/>
      <c r="BVI75" s="16"/>
      <c r="BVJ75" s="16"/>
      <c r="BVK75" s="16"/>
      <c r="BVL75" s="16"/>
      <c r="BVM75" s="16"/>
      <c r="BVN75" s="16"/>
      <c r="BVO75" s="16"/>
      <c r="BVP75" s="16"/>
      <c r="BVQ75" s="16"/>
      <c r="BVR75" s="16"/>
      <c r="BVS75" s="16"/>
      <c r="BVT75" s="16"/>
      <c r="BVU75" s="16"/>
      <c r="BVV75" s="16"/>
      <c r="BVW75" s="16"/>
      <c r="BVX75" s="16"/>
      <c r="BVY75" s="16"/>
      <c r="BVZ75" s="16"/>
      <c r="BWA75" s="16"/>
      <c r="BWB75" s="16"/>
      <c r="BWC75" s="16"/>
      <c r="BWD75" s="16"/>
      <c r="BWE75" s="16"/>
      <c r="BWF75" s="16"/>
      <c r="BWG75" s="16"/>
      <c r="BWH75" s="16"/>
      <c r="BWI75" s="16"/>
      <c r="BWJ75" s="16"/>
      <c r="BWK75" s="16"/>
      <c r="BWL75" s="16"/>
      <c r="BWM75" s="16"/>
      <c r="BWN75" s="16"/>
      <c r="BWO75" s="16"/>
      <c r="BWP75" s="16"/>
      <c r="BWQ75" s="16"/>
      <c r="BWR75" s="16"/>
      <c r="BWS75" s="16"/>
      <c r="BWT75" s="16"/>
      <c r="BWU75" s="16"/>
      <c r="BWV75" s="16"/>
      <c r="BWW75" s="16"/>
      <c r="BWX75" s="16"/>
      <c r="BWY75" s="16"/>
      <c r="BWZ75" s="16"/>
      <c r="BXA75" s="16"/>
      <c r="BXB75" s="16"/>
      <c r="BXC75" s="16"/>
      <c r="BXD75" s="16"/>
      <c r="BXE75" s="16"/>
      <c r="BXF75" s="16"/>
      <c r="BXG75" s="16"/>
      <c r="BXH75" s="16"/>
      <c r="BXI75" s="16"/>
      <c r="BXJ75" s="16"/>
      <c r="BXK75" s="16"/>
      <c r="BXL75" s="16"/>
      <c r="BXM75" s="16"/>
      <c r="BXN75" s="16"/>
      <c r="BXO75" s="16"/>
      <c r="BXP75" s="16"/>
      <c r="BXQ75" s="16"/>
      <c r="BXR75" s="16"/>
      <c r="BXS75" s="16"/>
      <c r="BXT75" s="16"/>
      <c r="BXU75" s="16"/>
      <c r="BXV75" s="16"/>
      <c r="BXW75" s="16"/>
      <c r="BXX75" s="16"/>
      <c r="BXY75" s="16"/>
      <c r="BXZ75" s="16"/>
      <c r="BYA75" s="16"/>
      <c r="BYB75" s="16"/>
      <c r="BYC75" s="16"/>
      <c r="BYD75" s="16"/>
      <c r="BYE75" s="16"/>
      <c r="BYF75" s="16"/>
      <c r="BYG75" s="16"/>
      <c r="BYH75" s="16"/>
      <c r="BYI75" s="16"/>
      <c r="BYJ75" s="16"/>
      <c r="BYK75" s="16"/>
      <c r="BYL75" s="16"/>
      <c r="BYM75" s="16"/>
      <c r="BYN75" s="16"/>
      <c r="BYO75" s="16"/>
      <c r="BYP75" s="16"/>
      <c r="BYQ75" s="16"/>
      <c r="BYR75" s="16"/>
      <c r="BYS75" s="16"/>
      <c r="BYT75" s="16"/>
      <c r="BYU75" s="16"/>
      <c r="BYV75" s="16"/>
      <c r="BYW75" s="16"/>
      <c r="BYX75" s="16"/>
      <c r="BYY75" s="16"/>
      <c r="BYZ75" s="16"/>
      <c r="BZA75" s="16"/>
      <c r="BZB75" s="16"/>
      <c r="BZC75" s="16"/>
      <c r="BZD75" s="16"/>
      <c r="BZE75" s="16"/>
      <c r="BZF75" s="16"/>
      <c r="BZG75" s="16"/>
      <c r="BZH75" s="16"/>
      <c r="BZI75" s="16"/>
      <c r="BZJ75" s="16"/>
      <c r="BZK75" s="16"/>
      <c r="BZL75" s="16"/>
      <c r="BZM75" s="16"/>
      <c r="BZN75" s="16"/>
      <c r="BZO75" s="16"/>
      <c r="BZP75" s="16"/>
      <c r="BZQ75" s="16"/>
      <c r="BZR75" s="16"/>
      <c r="BZS75" s="16"/>
      <c r="BZT75" s="16"/>
      <c r="BZU75" s="16"/>
      <c r="BZV75" s="16"/>
      <c r="BZW75" s="16"/>
      <c r="BZX75" s="16"/>
      <c r="BZY75" s="16"/>
      <c r="BZZ75" s="16"/>
      <c r="CAA75" s="16"/>
      <c r="CAB75" s="16"/>
      <c r="CAC75" s="16"/>
      <c r="CAD75" s="16"/>
      <c r="CAE75" s="16"/>
      <c r="CAF75" s="16"/>
      <c r="CAG75" s="16"/>
      <c r="CAH75" s="16"/>
      <c r="CAI75" s="16"/>
      <c r="CAJ75" s="16"/>
      <c r="CAK75" s="16"/>
      <c r="CAL75" s="16"/>
      <c r="CAM75" s="16"/>
      <c r="CAN75" s="16"/>
      <c r="CAO75" s="16"/>
      <c r="CAP75" s="16"/>
      <c r="CAQ75" s="16"/>
      <c r="CAR75" s="16"/>
      <c r="CAS75" s="16"/>
      <c r="CAT75" s="16"/>
      <c r="CAU75" s="16"/>
      <c r="CAV75" s="16"/>
      <c r="CAW75" s="16"/>
      <c r="CAX75" s="16"/>
      <c r="CAY75" s="16"/>
      <c r="CAZ75" s="16"/>
      <c r="CBA75" s="16"/>
      <c r="CBB75" s="16"/>
      <c r="CBC75" s="16"/>
      <c r="CBD75" s="16"/>
      <c r="CBE75" s="16"/>
      <c r="CBF75" s="16"/>
      <c r="CBG75" s="16"/>
      <c r="CBH75" s="16"/>
      <c r="CBI75" s="16"/>
      <c r="CBJ75" s="16"/>
      <c r="CBK75" s="16"/>
      <c r="CBL75" s="16"/>
      <c r="CBM75" s="16"/>
      <c r="CBN75" s="16"/>
      <c r="CBO75" s="16"/>
      <c r="CBP75" s="16"/>
      <c r="CBQ75" s="16"/>
      <c r="CBR75" s="16"/>
      <c r="CBS75" s="16"/>
      <c r="CBT75" s="16"/>
      <c r="CBU75" s="16"/>
      <c r="CBV75" s="16"/>
      <c r="CBW75" s="16"/>
      <c r="CBX75" s="16"/>
      <c r="CBY75" s="16"/>
      <c r="CBZ75" s="16"/>
      <c r="CCA75" s="16"/>
      <c r="CCB75" s="16"/>
      <c r="CCC75" s="16"/>
      <c r="CCD75" s="16"/>
      <c r="CCE75" s="16"/>
      <c r="CCF75" s="16"/>
      <c r="CCG75" s="16"/>
      <c r="CCH75" s="16"/>
      <c r="CCI75" s="16"/>
      <c r="CCJ75" s="16"/>
      <c r="CCK75" s="16"/>
      <c r="CCL75" s="16"/>
      <c r="CCM75" s="16"/>
      <c r="CCN75" s="16"/>
      <c r="CCO75" s="16"/>
      <c r="CCP75" s="16"/>
      <c r="CCQ75" s="16"/>
      <c r="CCR75" s="16"/>
      <c r="CCS75" s="16"/>
      <c r="CCT75" s="16"/>
      <c r="CCU75" s="16"/>
      <c r="CCV75" s="16"/>
      <c r="CCW75" s="16"/>
      <c r="CCX75" s="16"/>
      <c r="CCY75" s="16"/>
      <c r="CCZ75" s="16"/>
      <c r="CDA75" s="16"/>
      <c r="CDB75" s="16"/>
      <c r="CDC75" s="16"/>
      <c r="CDD75" s="16"/>
      <c r="CDE75" s="16"/>
      <c r="CDF75" s="16"/>
      <c r="CDG75" s="16"/>
      <c r="CDH75" s="16"/>
      <c r="CDI75" s="16"/>
      <c r="CDJ75" s="16"/>
      <c r="CDK75" s="16"/>
      <c r="CDL75" s="16"/>
      <c r="CDM75" s="16"/>
      <c r="CDN75" s="16"/>
      <c r="CDO75" s="16"/>
      <c r="CDP75" s="16"/>
      <c r="CDQ75" s="16"/>
      <c r="CDR75" s="16"/>
      <c r="CDS75" s="16"/>
      <c r="CDT75" s="16"/>
      <c r="CDU75" s="16"/>
      <c r="CDV75" s="16"/>
      <c r="CDW75" s="16"/>
      <c r="CDX75" s="16"/>
      <c r="CDY75" s="16"/>
      <c r="CDZ75" s="16"/>
      <c r="CEA75" s="16"/>
      <c r="CEB75" s="16"/>
      <c r="CEC75" s="16"/>
      <c r="CED75" s="16"/>
      <c r="CEE75" s="16"/>
      <c r="CEF75" s="16"/>
      <c r="CEG75" s="16"/>
      <c r="CEH75" s="16"/>
      <c r="CEI75" s="16"/>
      <c r="CEJ75" s="16"/>
      <c r="CEK75" s="16"/>
      <c r="CEL75" s="16"/>
      <c r="CEM75" s="16"/>
      <c r="CEN75" s="16"/>
      <c r="CEO75" s="16"/>
      <c r="CEP75" s="16"/>
      <c r="CEQ75" s="16"/>
      <c r="CER75" s="16"/>
      <c r="CES75" s="16"/>
      <c r="CET75" s="16"/>
      <c r="CEU75" s="16"/>
      <c r="CEV75" s="16"/>
      <c r="CEW75" s="16"/>
      <c r="CEX75" s="16"/>
      <c r="CEY75" s="16"/>
      <c r="CEZ75" s="16"/>
      <c r="CFA75" s="16"/>
      <c r="CFB75" s="16"/>
      <c r="CFC75" s="16"/>
      <c r="CFD75" s="16"/>
      <c r="CFE75" s="16"/>
      <c r="CFF75" s="16"/>
      <c r="CFG75" s="16"/>
      <c r="CFH75" s="16"/>
      <c r="CFI75" s="16"/>
      <c r="CFJ75" s="16"/>
      <c r="CFK75" s="16"/>
      <c r="CFL75" s="16"/>
      <c r="CFM75" s="16"/>
      <c r="CFN75" s="16"/>
      <c r="CFO75" s="16"/>
      <c r="CFP75" s="16"/>
      <c r="CFQ75" s="16"/>
      <c r="CFR75" s="16"/>
      <c r="CFS75" s="16"/>
      <c r="CFT75" s="16"/>
      <c r="CFU75" s="16"/>
      <c r="CFV75" s="16"/>
      <c r="CFW75" s="16"/>
      <c r="CFX75" s="16"/>
      <c r="CFY75" s="16"/>
      <c r="CFZ75" s="16"/>
      <c r="CGA75" s="16"/>
      <c r="CGB75" s="16"/>
      <c r="CGC75" s="16"/>
      <c r="CGD75" s="16"/>
      <c r="CGE75" s="16"/>
      <c r="CGF75" s="16"/>
      <c r="CGG75" s="16"/>
      <c r="CGH75" s="16"/>
      <c r="CGI75" s="16"/>
      <c r="CGJ75" s="16"/>
      <c r="CGK75" s="16"/>
      <c r="CGL75" s="16"/>
      <c r="CGM75" s="16"/>
      <c r="CGN75" s="16"/>
      <c r="CGO75" s="16"/>
      <c r="CGP75" s="16"/>
      <c r="CGQ75" s="16"/>
      <c r="CGR75" s="16"/>
      <c r="CGS75" s="16"/>
      <c r="CGT75" s="16"/>
      <c r="CGU75" s="16"/>
      <c r="CGV75" s="16"/>
      <c r="CGW75" s="16"/>
      <c r="CGX75" s="16"/>
      <c r="CGY75" s="16"/>
      <c r="CGZ75" s="16"/>
      <c r="CHA75" s="16"/>
      <c r="CHB75" s="16"/>
      <c r="CHC75" s="16"/>
      <c r="CHD75" s="16"/>
      <c r="CHE75" s="16"/>
      <c r="CHF75" s="16"/>
      <c r="CHG75" s="16"/>
      <c r="CHH75" s="16"/>
      <c r="CHI75" s="16"/>
      <c r="CHJ75" s="16"/>
      <c r="CHK75" s="16"/>
      <c r="CHL75" s="16"/>
      <c r="CHM75" s="16"/>
      <c r="CHN75" s="16"/>
      <c r="CHO75" s="16"/>
      <c r="CHP75" s="16"/>
      <c r="CHQ75" s="16"/>
      <c r="CHR75" s="16"/>
      <c r="CHS75" s="16"/>
      <c r="CHT75" s="16"/>
      <c r="CHU75" s="16"/>
      <c r="CHV75" s="16"/>
      <c r="CHW75" s="16"/>
      <c r="CHX75" s="16"/>
      <c r="CHY75" s="16"/>
      <c r="CHZ75" s="16"/>
      <c r="CIA75" s="16"/>
      <c r="CIB75" s="16"/>
      <c r="CIC75" s="16"/>
      <c r="CID75" s="16"/>
      <c r="CIE75" s="16"/>
      <c r="CIF75" s="16"/>
      <c r="CIG75" s="16"/>
      <c r="CIH75" s="16"/>
      <c r="CII75" s="16"/>
      <c r="CIJ75" s="16"/>
      <c r="CIK75" s="16"/>
      <c r="CIL75" s="16"/>
      <c r="CIM75" s="16"/>
      <c r="CIN75" s="16"/>
      <c r="CIO75" s="16"/>
      <c r="CIP75" s="16"/>
      <c r="CIQ75" s="16"/>
      <c r="CIR75" s="16"/>
      <c r="CIS75" s="16"/>
      <c r="CIT75" s="16"/>
      <c r="CIU75" s="16"/>
      <c r="CIV75" s="16"/>
      <c r="CIW75" s="16"/>
      <c r="CIX75" s="16"/>
      <c r="CIY75" s="16"/>
      <c r="CIZ75" s="16"/>
      <c r="CJA75" s="16"/>
      <c r="CJB75" s="16"/>
      <c r="CJC75" s="16"/>
      <c r="CJD75" s="16"/>
      <c r="CJE75" s="16"/>
      <c r="CJF75" s="16"/>
      <c r="CJG75" s="16"/>
      <c r="CJH75" s="16"/>
      <c r="CJI75" s="16"/>
      <c r="CJJ75" s="16"/>
      <c r="CJK75" s="16"/>
      <c r="CJL75" s="16"/>
      <c r="CJM75" s="16"/>
      <c r="CJN75" s="16"/>
      <c r="CJO75" s="16"/>
      <c r="CJP75" s="16"/>
      <c r="CJQ75" s="16"/>
      <c r="CJR75" s="16"/>
      <c r="CJS75" s="16"/>
      <c r="CJT75" s="16"/>
      <c r="CJU75" s="16"/>
      <c r="CJV75" s="16"/>
      <c r="CJW75" s="16"/>
      <c r="CJX75" s="16"/>
      <c r="CJY75" s="16"/>
      <c r="CJZ75" s="16"/>
      <c r="CKA75" s="16"/>
      <c r="CKB75" s="16"/>
      <c r="CKC75" s="16"/>
      <c r="CKD75" s="16"/>
      <c r="CKE75" s="16"/>
      <c r="CKF75" s="16"/>
      <c r="CKG75" s="16"/>
      <c r="CKH75" s="16"/>
      <c r="CKI75" s="16"/>
      <c r="CKJ75" s="16"/>
      <c r="CKK75" s="16"/>
      <c r="CKL75" s="16"/>
      <c r="CKM75" s="16"/>
      <c r="CKN75" s="16"/>
      <c r="CKO75" s="16"/>
      <c r="CKP75" s="16"/>
      <c r="CKQ75" s="16"/>
      <c r="CKR75" s="16"/>
      <c r="CKS75" s="16"/>
      <c r="CKT75" s="16"/>
      <c r="CKU75" s="16"/>
      <c r="CKV75" s="16"/>
      <c r="CKW75" s="16"/>
      <c r="CKX75" s="16"/>
      <c r="CKY75" s="16"/>
      <c r="CKZ75" s="16"/>
      <c r="CLA75" s="16"/>
      <c r="CLB75" s="16"/>
      <c r="CLC75" s="16"/>
      <c r="CLD75" s="16"/>
      <c r="CLE75" s="16"/>
      <c r="CLF75" s="16"/>
      <c r="CLG75" s="16"/>
      <c r="CLH75" s="16"/>
      <c r="CLI75" s="16"/>
      <c r="CLJ75" s="16"/>
      <c r="CLK75" s="16"/>
      <c r="CLL75" s="16"/>
      <c r="CLM75" s="16"/>
      <c r="CLN75" s="16"/>
      <c r="CLO75" s="16"/>
      <c r="CLP75" s="16"/>
      <c r="CLQ75" s="16"/>
      <c r="CLR75" s="16"/>
      <c r="CLS75" s="16"/>
      <c r="CLT75" s="16"/>
      <c r="CLU75" s="16"/>
      <c r="CLV75" s="16"/>
      <c r="CLW75" s="16"/>
      <c r="CLX75" s="16"/>
      <c r="CLY75" s="16"/>
      <c r="CLZ75" s="16"/>
      <c r="CMA75" s="16"/>
      <c r="CMB75" s="16"/>
      <c r="CMC75" s="16"/>
      <c r="CMD75" s="16"/>
      <c r="CME75" s="16"/>
      <c r="CMF75" s="16"/>
      <c r="CMG75" s="16"/>
      <c r="CMH75" s="16"/>
      <c r="CMI75" s="16"/>
      <c r="CMJ75" s="16"/>
      <c r="CMK75" s="16"/>
      <c r="CML75" s="16"/>
      <c r="CMM75" s="16"/>
      <c r="CMN75" s="16"/>
      <c r="CMO75" s="16"/>
      <c r="CMP75" s="16"/>
      <c r="CMQ75" s="16"/>
      <c r="CMR75" s="16"/>
      <c r="CMS75" s="16"/>
      <c r="CMT75" s="16"/>
      <c r="CMU75" s="16"/>
      <c r="CMV75" s="16"/>
      <c r="CMW75" s="16"/>
      <c r="CMX75" s="16"/>
      <c r="CMY75" s="16"/>
      <c r="CMZ75" s="16"/>
      <c r="CNA75" s="16"/>
      <c r="CNB75" s="16"/>
      <c r="CNC75" s="16"/>
      <c r="CND75" s="16"/>
      <c r="CNE75" s="16"/>
      <c r="CNF75" s="16"/>
      <c r="CNG75" s="16"/>
      <c r="CNH75" s="16"/>
      <c r="CNI75" s="16"/>
      <c r="CNJ75" s="16"/>
      <c r="CNK75" s="16"/>
      <c r="CNL75" s="16"/>
      <c r="CNM75" s="16"/>
      <c r="CNN75" s="16"/>
      <c r="CNO75" s="16"/>
      <c r="CNP75" s="16"/>
      <c r="CNQ75" s="16"/>
      <c r="CNR75" s="16"/>
      <c r="CNS75" s="16"/>
      <c r="CNT75" s="16"/>
      <c r="CNU75" s="16"/>
      <c r="CNV75" s="16"/>
      <c r="CNW75" s="16"/>
      <c r="CNX75" s="16"/>
      <c r="CNY75" s="16"/>
      <c r="CNZ75" s="16"/>
      <c r="COA75" s="16"/>
      <c r="COB75" s="16"/>
      <c r="COC75" s="16"/>
      <c r="COD75" s="16"/>
      <c r="COE75" s="16"/>
      <c r="COF75" s="16"/>
      <c r="COG75" s="16"/>
      <c r="COH75" s="16"/>
      <c r="COI75" s="16"/>
      <c r="COJ75" s="16"/>
      <c r="COK75" s="16"/>
      <c r="COL75" s="16"/>
      <c r="COM75" s="16"/>
      <c r="CON75" s="16"/>
      <c r="COO75" s="16"/>
      <c r="COP75" s="16"/>
      <c r="COQ75" s="16"/>
      <c r="COR75" s="16"/>
      <c r="COS75" s="16"/>
      <c r="COT75" s="16"/>
      <c r="COU75" s="16"/>
      <c r="COV75" s="16"/>
      <c r="COW75" s="16"/>
      <c r="COX75" s="16"/>
      <c r="COY75" s="16"/>
      <c r="COZ75" s="16"/>
      <c r="CPA75" s="16"/>
      <c r="CPB75" s="16"/>
      <c r="CPC75" s="16"/>
      <c r="CPD75" s="16"/>
      <c r="CPE75" s="16"/>
      <c r="CPF75" s="16"/>
      <c r="CPG75" s="16"/>
      <c r="CPH75" s="16"/>
      <c r="CPI75" s="16"/>
      <c r="CPJ75" s="16"/>
      <c r="CPK75" s="16"/>
      <c r="CPL75" s="16"/>
      <c r="CPM75" s="16"/>
      <c r="CPN75" s="16"/>
      <c r="CPO75" s="16"/>
      <c r="CPP75" s="16"/>
      <c r="CPQ75" s="16"/>
      <c r="CPR75" s="16"/>
      <c r="CPS75" s="16"/>
      <c r="CPT75" s="16"/>
      <c r="CPU75" s="16"/>
      <c r="CPV75" s="16"/>
      <c r="CPW75" s="16"/>
      <c r="CPX75" s="16"/>
      <c r="CPY75" s="16"/>
      <c r="CPZ75" s="16"/>
      <c r="CQA75" s="16"/>
      <c r="CQB75" s="16"/>
      <c r="CQC75" s="16"/>
      <c r="CQD75" s="16"/>
      <c r="CQE75" s="16"/>
      <c r="CQF75" s="16"/>
      <c r="CQG75" s="16"/>
      <c r="CQH75" s="16"/>
      <c r="CQI75" s="16"/>
      <c r="CQJ75" s="16"/>
      <c r="CQK75" s="16"/>
      <c r="CQL75" s="16"/>
      <c r="CQM75" s="16"/>
      <c r="CQN75" s="16"/>
      <c r="CQO75" s="16"/>
      <c r="CQP75" s="16"/>
      <c r="CQQ75" s="16"/>
      <c r="CQR75" s="16"/>
      <c r="CQS75" s="16"/>
      <c r="CQT75" s="16"/>
      <c r="CQU75" s="16"/>
      <c r="CQV75" s="16"/>
      <c r="CQW75" s="16"/>
      <c r="CQX75" s="16"/>
      <c r="CQY75" s="16"/>
      <c r="CQZ75" s="16"/>
      <c r="CRA75" s="16"/>
      <c r="CRB75" s="16"/>
      <c r="CRC75" s="16"/>
      <c r="CRD75" s="16"/>
      <c r="CRE75" s="16"/>
      <c r="CRF75" s="16"/>
      <c r="CRG75" s="16"/>
      <c r="CRH75" s="16"/>
      <c r="CRI75" s="16"/>
      <c r="CRJ75" s="16"/>
      <c r="CRK75" s="16"/>
      <c r="CRL75" s="16"/>
      <c r="CRM75" s="16"/>
      <c r="CRN75" s="16"/>
      <c r="CRO75" s="16"/>
      <c r="CRP75" s="16"/>
      <c r="CRQ75" s="16"/>
      <c r="CRR75" s="16"/>
      <c r="CRS75" s="16"/>
      <c r="CRT75" s="16"/>
      <c r="CRU75" s="16"/>
      <c r="CRV75" s="16"/>
      <c r="CRW75" s="16"/>
      <c r="CRX75" s="16"/>
      <c r="CRY75" s="16"/>
      <c r="CRZ75" s="16"/>
      <c r="CSA75" s="16"/>
      <c r="CSB75" s="16"/>
      <c r="CSC75" s="16"/>
      <c r="CSD75" s="16"/>
      <c r="CSE75" s="16"/>
      <c r="CSF75" s="16"/>
      <c r="CSG75" s="16"/>
      <c r="CSH75" s="16"/>
      <c r="CSI75" s="16"/>
      <c r="CSJ75" s="16"/>
      <c r="CSK75" s="24"/>
      <c r="CSL75" s="16"/>
      <c r="CSM75" s="16"/>
      <c r="CSN75" s="16"/>
      <c r="CSO75" s="16"/>
      <c r="CSP75" s="16"/>
      <c r="CUG75" s="16"/>
      <c r="CUH75" s="16"/>
      <c r="CUI75" s="16"/>
      <c r="CUJ75" s="16"/>
      <c r="CUK75" s="16"/>
      <c r="CUL75" s="16"/>
      <c r="CUM75" s="16"/>
      <c r="CUN75" s="16"/>
      <c r="CUO75" s="16"/>
      <c r="CUP75" s="16"/>
      <c r="CUQ75" s="16"/>
      <c r="CUR75" s="16"/>
      <c r="CUS75" s="16"/>
      <c r="CUT75" s="16"/>
      <c r="CUU75" s="16"/>
      <c r="CUV75" s="16"/>
      <c r="CUW75" s="16"/>
      <c r="CUX75" s="16"/>
      <c r="CUY75" s="16"/>
      <c r="CUZ75" s="16"/>
      <c r="CVA75" s="16"/>
      <c r="CVB75" s="16"/>
      <c r="CVC75" s="16"/>
      <c r="CVD75" s="16"/>
      <c r="CVE75" s="16"/>
      <c r="CVF75" s="16"/>
      <c r="CVG75" s="16"/>
      <c r="CVH75" s="16"/>
      <c r="CVI75" s="16"/>
      <c r="CVJ75" s="16"/>
      <c r="CVK75" s="16"/>
      <c r="CVL75" s="16"/>
      <c r="CVM75" s="16"/>
      <c r="CVN75" s="16"/>
      <c r="CVO75" s="16"/>
      <c r="CVP75" s="16"/>
    </row>
    <row r="76" spans="3:2616" ht="13.8" x14ac:dyDescent="0.25">
      <c r="C76" s="57"/>
      <c r="E76" s="16"/>
      <c r="K76" s="59"/>
      <c r="L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/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/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/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/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/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/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/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/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/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/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6"/>
      <c r="LU76" s="16"/>
      <c r="LV76" s="16"/>
      <c r="LW76" s="16"/>
      <c r="LX76" s="16"/>
      <c r="LY76" s="16"/>
      <c r="LZ76" s="16"/>
      <c r="MA76" s="16"/>
      <c r="MB76" s="16"/>
      <c r="MC76" s="16"/>
      <c r="MD76" s="16"/>
      <c r="ME76" s="16"/>
      <c r="MF76" s="16"/>
      <c r="MG76" s="16"/>
      <c r="MH76" s="16"/>
      <c r="MI76" s="16"/>
      <c r="MJ76" s="16"/>
      <c r="MK76" s="16"/>
      <c r="ML76" s="16"/>
      <c r="MM76" s="16"/>
      <c r="MN76" s="16"/>
      <c r="MO76" s="16"/>
      <c r="MP76" s="16"/>
      <c r="MQ76" s="16"/>
      <c r="MR76" s="16"/>
      <c r="MS76" s="16"/>
      <c r="MT76" s="16"/>
      <c r="MU76" s="16"/>
      <c r="MV76" s="16"/>
      <c r="MW76" s="16"/>
      <c r="MX76" s="16"/>
      <c r="MY76" s="16"/>
      <c r="MZ76" s="16"/>
      <c r="NA76" s="16"/>
      <c r="NB76" s="16"/>
      <c r="NC76" s="16"/>
      <c r="ND76" s="16"/>
      <c r="NE76" s="16"/>
      <c r="NF76" s="16"/>
      <c r="NG76" s="16"/>
      <c r="NH76" s="16"/>
      <c r="NI76" s="16"/>
      <c r="NJ76" s="16"/>
      <c r="NK76" s="16"/>
      <c r="NL76" s="16"/>
      <c r="NM76" s="16"/>
      <c r="NN76" s="16"/>
      <c r="NO76" s="16"/>
      <c r="NP76" s="16"/>
      <c r="NQ76" s="16"/>
      <c r="NR76" s="16"/>
      <c r="NS76" s="16"/>
      <c r="NT76" s="16"/>
      <c r="NU76" s="16"/>
      <c r="NV76" s="16"/>
      <c r="NW76" s="16"/>
      <c r="NX76" s="16"/>
      <c r="NY76" s="16"/>
      <c r="NZ76" s="16"/>
      <c r="OA76" s="16"/>
      <c r="OB76" s="16"/>
      <c r="OC76" s="16"/>
      <c r="OD76" s="16"/>
      <c r="OE76" s="16"/>
      <c r="OF76" s="16"/>
      <c r="OG76" s="16"/>
      <c r="OH76" s="16"/>
      <c r="OI76" s="16"/>
      <c r="OJ76" s="16"/>
      <c r="OK76" s="16"/>
      <c r="OL76" s="16"/>
      <c r="OM76" s="16"/>
      <c r="ON76" s="16"/>
      <c r="OO76" s="16"/>
      <c r="OP76" s="16"/>
      <c r="OQ76" s="16"/>
      <c r="OR76" s="16"/>
      <c r="OS76" s="16"/>
      <c r="OT76" s="16"/>
      <c r="OU76" s="16"/>
      <c r="OV76" s="16"/>
      <c r="OW76" s="16"/>
      <c r="OX76" s="16"/>
      <c r="OY76" s="16"/>
      <c r="OZ76" s="16"/>
      <c r="PA76" s="16"/>
      <c r="PB76" s="16"/>
      <c r="PC76" s="16"/>
      <c r="PD76" s="16"/>
      <c r="PE76" s="16"/>
      <c r="PF76" s="16"/>
      <c r="PG76" s="16"/>
      <c r="PH76" s="16"/>
      <c r="PI76" s="16"/>
      <c r="PJ76" s="16"/>
      <c r="PK76" s="16"/>
      <c r="PL76" s="16"/>
      <c r="PM76" s="16"/>
      <c r="PN76" s="16"/>
      <c r="PO76" s="16"/>
      <c r="PP76" s="16"/>
      <c r="PQ76" s="16"/>
      <c r="PR76" s="16"/>
      <c r="PS76" s="16"/>
      <c r="PT76" s="16"/>
      <c r="PU76" s="16"/>
      <c r="PV76" s="16"/>
      <c r="PW76" s="16"/>
      <c r="PX76" s="16"/>
      <c r="PY76" s="16"/>
      <c r="PZ76" s="16"/>
      <c r="QA76" s="16"/>
      <c r="QB76" s="16"/>
      <c r="QC76" s="16"/>
      <c r="QD76" s="16"/>
      <c r="QE76" s="16"/>
      <c r="QF76" s="16"/>
      <c r="QG76" s="16"/>
      <c r="QH76" s="16"/>
      <c r="QI76" s="16"/>
      <c r="QJ76" s="16"/>
      <c r="QK76" s="16"/>
      <c r="QL76" s="16"/>
      <c r="QM76" s="16"/>
      <c r="QN76" s="16"/>
      <c r="QO76" s="16"/>
      <c r="QP76" s="16"/>
      <c r="QQ76" s="16"/>
      <c r="QR76" s="16"/>
      <c r="QS76" s="16"/>
      <c r="QT76" s="16"/>
      <c r="QU76" s="16"/>
      <c r="QV76" s="16"/>
      <c r="QW76" s="16"/>
      <c r="QX76" s="16"/>
      <c r="QY76" s="16"/>
      <c r="QZ76" s="16"/>
      <c r="RA76" s="16"/>
      <c r="RB76" s="16"/>
      <c r="RC76" s="16"/>
      <c r="RD76" s="16"/>
      <c r="RE76" s="16"/>
      <c r="RF76" s="16"/>
      <c r="RG76" s="16"/>
      <c r="RH76" s="16"/>
      <c r="RI76" s="16"/>
      <c r="RJ76" s="16"/>
      <c r="RK76" s="16"/>
      <c r="RL76" s="16"/>
      <c r="RM76" s="16"/>
      <c r="RN76" s="16"/>
      <c r="RO76" s="16"/>
      <c r="RP76" s="16"/>
      <c r="RQ76" s="16"/>
      <c r="RR76" s="16"/>
      <c r="RS76" s="16"/>
      <c r="RT76" s="16"/>
      <c r="RU76" s="16"/>
      <c r="RV76" s="16"/>
      <c r="RW76" s="16"/>
      <c r="RX76" s="16"/>
      <c r="RY76" s="16"/>
      <c r="RZ76" s="16"/>
      <c r="SA76" s="16"/>
      <c r="SB76" s="16"/>
      <c r="SC76" s="16"/>
      <c r="SD76" s="16"/>
      <c r="SE76" s="16"/>
      <c r="SF76" s="16"/>
      <c r="SG76" s="16"/>
      <c r="SH76" s="16"/>
      <c r="SI76" s="16"/>
      <c r="SJ76" s="16"/>
      <c r="SK76" s="16"/>
      <c r="SL76" s="16"/>
      <c r="SM76" s="16"/>
      <c r="SN76" s="16"/>
      <c r="SO76" s="16"/>
      <c r="SP76" s="16"/>
      <c r="SQ76" s="16"/>
      <c r="SR76" s="16"/>
      <c r="SS76" s="16"/>
      <c r="ST76" s="16"/>
      <c r="SU76" s="16"/>
      <c r="SV76" s="16"/>
      <c r="SW76" s="16"/>
      <c r="SX76" s="16"/>
      <c r="SY76" s="16"/>
      <c r="SZ76" s="16"/>
      <c r="TA76" s="16"/>
      <c r="TB76" s="16"/>
      <c r="TC76" s="16"/>
      <c r="TD76" s="16"/>
      <c r="TE76" s="16"/>
      <c r="TF76" s="16"/>
      <c r="TG76" s="16"/>
      <c r="TH76" s="16"/>
      <c r="TI76" s="16"/>
      <c r="TJ76" s="16"/>
      <c r="TK76" s="16"/>
      <c r="TL76" s="16"/>
      <c r="TM76" s="16"/>
      <c r="TN76" s="16"/>
      <c r="TO76" s="16"/>
      <c r="TP76" s="16"/>
      <c r="TQ76" s="16"/>
      <c r="TR76" s="16"/>
      <c r="TS76" s="16"/>
      <c r="TT76" s="16"/>
      <c r="TU76" s="16"/>
      <c r="TV76" s="16"/>
      <c r="TW76" s="16"/>
      <c r="TX76" s="16"/>
      <c r="TY76" s="16"/>
      <c r="TZ76" s="16"/>
      <c r="UA76" s="16"/>
      <c r="UB76" s="16"/>
      <c r="UC76" s="16"/>
      <c r="UD76" s="16"/>
      <c r="UE76" s="16"/>
      <c r="UF76" s="16"/>
      <c r="UG76" s="16"/>
      <c r="UH76" s="16"/>
      <c r="UI76" s="16"/>
      <c r="UJ76" s="16"/>
      <c r="UK76" s="16"/>
      <c r="UL76" s="16"/>
      <c r="UM76" s="16"/>
      <c r="UN76" s="16"/>
      <c r="UO76" s="16"/>
      <c r="UP76" s="16"/>
      <c r="UQ76" s="16"/>
      <c r="UR76" s="16"/>
      <c r="US76" s="16"/>
      <c r="UT76" s="16"/>
      <c r="UU76" s="16"/>
      <c r="UV76" s="16"/>
      <c r="UW76" s="16"/>
      <c r="UX76" s="16"/>
      <c r="UY76" s="16"/>
      <c r="UZ76" s="16"/>
      <c r="VA76" s="16"/>
      <c r="VB76" s="16"/>
      <c r="VC76" s="16"/>
      <c r="VD76" s="16"/>
      <c r="VE76" s="16"/>
      <c r="VF76" s="16"/>
      <c r="VG76" s="16"/>
      <c r="VH76" s="16"/>
      <c r="VI76" s="16"/>
      <c r="VJ76" s="16"/>
      <c r="VK76" s="16"/>
      <c r="VL76" s="16"/>
      <c r="VM76" s="16"/>
      <c r="VN76" s="16"/>
      <c r="VO76" s="16"/>
      <c r="VP76" s="16"/>
      <c r="VQ76" s="16"/>
      <c r="VR76" s="16"/>
      <c r="VS76" s="16"/>
      <c r="VT76" s="16"/>
      <c r="VU76" s="16"/>
      <c r="VV76" s="16"/>
      <c r="VW76" s="16"/>
      <c r="VX76" s="16"/>
      <c r="VY76" s="16"/>
      <c r="VZ76" s="16"/>
      <c r="WA76" s="16"/>
      <c r="WB76" s="16"/>
      <c r="WC76" s="16"/>
      <c r="WD76" s="16"/>
      <c r="WE76" s="16"/>
      <c r="WF76" s="16"/>
      <c r="WG76" s="16"/>
      <c r="WH76" s="16"/>
      <c r="WI76" s="16"/>
      <c r="WJ76" s="16"/>
      <c r="WK76" s="16"/>
      <c r="WL76" s="16"/>
      <c r="WM76" s="16"/>
      <c r="WN76" s="16"/>
      <c r="WO76" s="16"/>
      <c r="WP76" s="16"/>
      <c r="WQ76" s="16"/>
      <c r="WR76" s="16"/>
      <c r="WS76" s="16"/>
      <c r="WT76" s="16"/>
      <c r="WU76" s="16"/>
      <c r="WV76" s="16"/>
      <c r="WW76" s="16"/>
      <c r="WX76" s="16"/>
      <c r="WY76" s="16"/>
      <c r="WZ76" s="16"/>
      <c r="XA76" s="16"/>
      <c r="XB76" s="16"/>
      <c r="XC76" s="16"/>
      <c r="XD76" s="16"/>
      <c r="XE76" s="16"/>
      <c r="XF76" s="16"/>
      <c r="XG76" s="16"/>
      <c r="XH76" s="16"/>
      <c r="XI76" s="16"/>
      <c r="XJ76" s="16"/>
      <c r="XK76" s="16"/>
      <c r="XL76" s="16"/>
      <c r="XM76" s="16"/>
      <c r="XN76" s="16"/>
      <c r="XO76" s="16"/>
      <c r="XP76" s="16"/>
      <c r="XQ76" s="16"/>
      <c r="XR76" s="16"/>
      <c r="XS76" s="16"/>
      <c r="XT76" s="16"/>
      <c r="XU76" s="16"/>
      <c r="XV76" s="16"/>
      <c r="XW76" s="16"/>
      <c r="XX76" s="16"/>
      <c r="XY76" s="16"/>
      <c r="XZ76" s="16"/>
      <c r="YA76" s="16"/>
      <c r="YB76" s="16"/>
      <c r="YC76" s="16"/>
      <c r="YD76" s="16"/>
      <c r="YE76" s="16"/>
      <c r="YF76" s="16"/>
      <c r="YG76" s="16"/>
      <c r="YH76" s="16"/>
      <c r="YI76" s="16"/>
      <c r="YJ76" s="16"/>
      <c r="YK76" s="16"/>
      <c r="YL76" s="16"/>
      <c r="YM76" s="16"/>
      <c r="YN76" s="16"/>
      <c r="YO76" s="16"/>
      <c r="YP76" s="16"/>
      <c r="YQ76" s="16"/>
      <c r="YR76" s="16"/>
      <c r="YS76" s="16"/>
      <c r="YT76" s="16"/>
      <c r="YU76" s="16"/>
      <c r="YV76" s="16"/>
      <c r="YW76" s="16"/>
      <c r="YX76" s="16"/>
      <c r="YY76" s="16"/>
      <c r="YZ76" s="16"/>
      <c r="ZA76" s="16"/>
      <c r="ZB76" s="16"/>
      <c r="ZC76" s="16"/>
      <c r="ZD76" s="16"/>
      <c r="ZE76" s="16"/>
      <c r="ZF76" s="16"/>
      <c r="ZG76" s="16"/>
      <c r="ZH76" s="16"/>
      <c r="ZI76" s="16"/>
      <c r="ZJ76" s="16"/>
      <c r="ZK76" s="16"/>
      <c r="ZL76" s="16"/>
      <c r="ZM76" s="16"/>
      <c r="ZN76" s="16"/>
      <c r="ZO76" s="16"/>
      <c r="ZP76" s="16"/>
      <c r="ZQ76" s="16"/>
      <c r="ZR76" s="16"/>
      <c r="ZS76" s="16"/>
      <c r="ZT76" s="16"/>
      <c r="ZU76" s="16"/>
      <c r="ZV76" s="16"/>
      <c r="ZW76" s="16"/>
      <c r="ZX76" s="16"/>
      <c r="ZY76" s="16"/>
      <c r="ZZ76" s="16"/>
      <c r="AAA76" s="16"/>
      <c r="AAB76" s="16"/>
      <c r="AAC76" s="16"/>
      <c r="AAD76" s="16"/>
      <c r="AAE76" s="16"/>
      <c r="AAF76" s="16"/>
      <c r="AAG76" s="16"/>
      <c r="AAH76" s="16"/>
      <c r="AAI76" s="16"/>
      <c r="AAJ76" s="16"/>
      <c r="AAK76" s="16"/>
      <c r="AAL76" s="16"/>
      <c r="AAM76" s="16"/>
      <c r="AAN76" s="16"/>
      <c r="AAO76" s="16"/>
      <c r="AAP76" s="16"/>
      <c r="AAQ76" s="16"/>
      <c r="AAR76" s="16"/>
      <c r="AAS76" s="16"/>
      <c r="AAT76" s="16"/>
      <c r="AAU76" s="16"/>
      <c r="AAV76" s="16"/>
      <c r="AAW76" s="16"/>
      <c r="AAX76" s="16"/>
      <c r="AAY76" s="16"/>
      <c r="AAZ76" s="16"/>
      <c r="ABA76" s="16"/>
      <c r="ABB76" s="16"/>
      <c r="ABC76" s="16"/>
      <c r="ABD76" s="16"/>
      <c r="ABE76" s="16"/>
      <c r="ABF76" s="16"/>
      <c r="ABG76" s="16"/>
      <c r="ABH76" s="16"/>
      <c r="ABI76" s="16"/>
      <c r="ABJ76" s="16"/>
      <c r="ABK76" s="16"/>
      <c r="ABL76" s="16"/>
      <c r="ABM76" s="16"/>
      <c r="ABN76" s="16"/>
      <c r="ABO76" s="16"/>
      <c r="ABP76" s="16"/>
      <c r="ABQ76" s="16"/>
      <c r="ABR76" s="16"/>
      <c r="ABS76" s="16"/>
      <c r="ABT76" s="16"/>
      <c r="ABU76" s="16"/>
      <c r="ABV76" s="16"/>
      <c r="ABW76" s="16"/>
      <c r="ABX76" s="16"/>
      <c r="ABY76" s="16"/>
      <c r="ABZ76" s="16"/>
      <c r="ACA76" s="16"/>
      <c r="ACB76" s="16"/>
      <c r="ACC76" s="16"/>
      <c r="ACD76" s="16"/>
      <c r="ACE76" s="16"/>
      <c r="ACF76" s="16"/>
      <c r="ACG76" s="16"/>
      <c r="ACH76" s="16"/>
      <c r="ACI76" s="16"/>
      <c r="ACJ76" s="16"/>
      <c r="ACK76" s="16"/>
      <c r="ACL76" s="16"/>
      <c r="ACM76" s="16"/>
      <c r="ACN76" s="16"/>
      <c r="ACO76" s="16"/>
      <c r="ACP76" s="16"/>
      <c r="ACQ76" s="16"/>
      <c r="ACR76" s="16"/>
      <c r="ACS76" s="16"/>
      <c r="ACT76" s="16"/>
      <c r="ACU76" s="16"/>
      <c r="ACV76" s="16"/>
      <c r="ACW76" s="16"/>
      <c r="ACX76" s="16"/>
      <c r="ACY76" s="16"/>
      <c r="ACZ76" s="16"/>
      <c r="ADA76" s="16"/>
      <c r="ADB76" s="16"/>
      <c r="ADC76" s="16"/>
      <c r="ADD76" s="16"/>
      <c r="ADE76" s="16"/>
      <c r="ADF76" s="16"/>
      <c r="ADG76" s="16"/>
      <c r="ADH76" s="16"/>
      <c r="ADI76" s="16"/>
      <c r="ADJ76" s="16"/>
      <c r="ADK76" s="16"/>
      <c r="ADL76" s="16"/>
      <c r="ADM76" s="16"/>
      <c r="ADN76" s="16"/>
      <c r="ADO76" s="16"/>
      <c r="ADP76" s="16"/>
      <c r="ADQ76" s="16"/>
      <c r="ADR76" s="16"/>
      <c r="ADS76" s="16"/>
      <c r="ADT76" s="16"/>
      <c r="ADU76" s="16"/>
      <c r="ADV76" s="16"/>
      <c r="ADW76" s="16"/>
      <c r="ADX76" s="16"/>
      <c r="ADY76" s="16"/>
      <c r="ADZ76" s="16"/>
      <c r="AEA76" s="16"/>
      <c r="AEB76" s="16"/>
      <c r="AEC76" s="16"/>
      <c r="AED76" s="16"/>
      <c r="AEE76" s="16"/>
      <c r="AEF76" s="16"/>
      <c r="AEG76" s="16"/>
      <c r="AEH76" s="16"/>
      <c r="AEI76" s="16"/>
      <c r="AEJ76" s="16"/>
      <c r="AEK76" s="16"/>
      <c r="AEL76" s="16"/>
      <c r="AEM76" s="16"/>
      <c r="AEN76" s="16"/>
      <c r="AEO76" s="16"/>
      <c r="AEP76" s="16"/>
      <c r="AEQ76" s="16"/>
      <c r="AER76" s="16"/>
      <c r="AES76" s="16"/>
      <c r="AET76" s="16"/>
      <c r="AEU76" s="16"/>
      <c r="AEV76" s="16"/>
      <c r="AEW76" s="16"/>
      <c r="AEX76" s="16"/>
      <c r="AEY76" s="16"/>
      <c r="AEZ76" s="16"/>
      <c r="AFA76" s="16"/>
      <c r="AFB76" s="16"/>
      <c r="AFC76" s="16"/>
      <c r="AFD76" s="16"/>
      <c r="AFE76" s="16"/>
      <c r="AFF76" s="16"/>
      <c r="AFG76" s="16"/>
      <c r="AFH76" s="16"/>
      <c r="AFI76" s="16"/>
      <c r="AFJ76" s="16"/>
      <c r="AFK76" s="16"/>
      <c r="AFL76" s="16"/>
      <c r="AFM76" s="16"/>
      <c r="AFN76" s="16"/>
      <c r="AFO76" s="16"/>
      <c r="AFP76" s="16"/>
      <c r="AFQ76" s="16"/>
      <c r="AFR76" s="16"/>
      <c r="AFS76" s="16"/>
      <c r="AFT76" s="16"/>
      <c r="AFU76" s="16"/>
      <c r="AFV76" s="16"/>
      <c r="AFW76" s="16"/>
      <c r="AFX76" s="16"/>
      <c r="AFY76" s="16"/>
      <c r="AFZ76" s="16"/>
      <c r="AGA76" s="16"/>
      <c r="AGB76" s="16"/>
      <c r="AGC76" s="16"/>
      <c r="AGD76" s="16"/>
      <c r="AGE76" s="16"/>
      <c r="AGF76" s="16"/>
      <c r="AGG76" s="16"/>
      <c r="AGH76" s="16"/>
      <c r="AGI76" s="16"/>
      <c r="AGJ76" s="16"/>
      <c r="AGK76" s="16"/>
      <c r="AGL76" s="16"/>
      <c r="AGM76" s="16"/>
      <c r="AGN76" s="16"/>
      <c r="AGO76" s="16"/>
      <c r="AGP76" s="16"/>
      <c r="AGQ76" s="16"/>
      <c r="AGR76" s="16"/>
      <c r="AGS76" s="16"/>
      <c r="AGT76" s="16"/>
      <c r="AGU76" s="16"/>
      <c r="AGV76" s="16"/>
      <c r="AGW76" s="16"/>
      <c r="AGX76" s="16"/>
      <c r="AGY76" s="16"/>
      <c r="AGZ76" s="16"/>
      <c r="AHA76" s="16"/>
      <c r="AHB76" s="16"/>
      <c r="AHC76" s="16"/>
      <c r="AHD76" s="16"/>
      <c r="AHE76" s="16"/>
      <c r="AHF76" s="16"/>
      <c r="AHG76" s="16"/>
      <c r="AHH76" s="16"/>
      <c r="AHI76" s="16"/>
      <c r="AHJ76" s="16"/>
      <c r="AHK76" s="16"/>
      <c r="AHL76" s="16"/>
      <c r="AHM76" s="16"/>
      <c r="AHN76" s="16"/>
      <c r="AHO76" s="16"/>
      <c r="AHP76" s="16"/>
      <c r="AHQ76" s="16"/>
      <c r="AHR76" s="16"/>
      <c r="AHS76" s="16"/>
      <c r="AHT76" s="16"/>
      <c r="AHU76" s="16"/>
      <c r="AHV76" s="16"/>
      <c r="AHW76" s="16"/>
      <c r="AHX76" s="16"/>
      <c r="AHY76" s="16"/>
      <c r="AHZ76" s="16"/>
      <c r="AIA76" s="16"/>
      <c r="AIB76" s="16"/>
      <c r="AIC76" s="16"/>
      <c r="AID76" s="16"/>
      <c r="AIE76" s="16"/>
      <c r="AIF76" s="16"/>
      <c r="AIG76" s="16"/>
      <c r="AIH76" s="16"/>
      <c r="AII76" s="16"/>
      <c r="AIJ76" s="16"/>
      <c r="AIK76" s="16"/>
      <c r="AIL76" s="16"/>
      <c r="AIM76" s="16"/>
      <c r="AIN76" s="16"/>
      <c r="AIO76" s="16"/>
      <c r="AIP76" s="16"/>
      <c r="AIQ76" s="16"/>
      <c r="AIR76" s="16"/>
      <c r="AIS76" s="16"/>
      <c r="AIT76" s="16"/>
      <c r="AIU76" s="16"/>
      <c r="AIV76" s="16"/>
      <c r="AIW76" s="16"/>
      <c r="AIX76" s="16"/>
      <c r="AIY76" s="16"/>
      <c r="AIZ76" s="16"/>
      <c r="AJA76" s="16"/>
      <c r="AJB76" s="16"/>
      <c r="AJC76" s="16"/>
      <c r="AJD76" s="16"/>
      <c r="AJE76" s="16"/>
      <c r="AJF76" s="16"/>
      <c r="AJG76" s="16"/>
      <c r="AJH76" s="16"/>
      <c r="AJI76" s="16"/>
      <c r="AJJ76" s="16"/>
      <c r="AJK76" s="16"/>
      <c r="AJL76" s="16"/>
      <c r="AJM76" s="16"/>
      <c r="AJN76" s="16"/>
      <c r="AJO76" s="16"/>
      <c r="AJP76" s="16"/>
      <c r="AJQ76" s="16"/>
      <c r="AJR76" s="16"/>
      <c r="AJS76" s="16"/>
      <c r="AJT76" s="16"/>
      <c r="AJU76" s="16"/>
      <c r="AJV76" s="16"/>
      <c r="AJW76" s="16"/>
      <c r="AJX76" s="16"/>
      <c r="AJY76" s="16"/>
      <c r="AJZ76" s="16"/>
      <c r="AKA76" s="16"/>
      <c r="AKB76" s="16"/>
      <c r="AKC76" s="16"/>
      <c r="AKD76" s="16"/>
      <c r="AKE76" s="16"/>
      <c r="AKF76" s="16"/>
      <c r="AKG76" s="16"/>
      <c r="AKH76" s="16"/>
      <c r="AKI76" s="16"/>
      <c r="AKJ76" s="16"/>
      <c r="AKK76" s="16"/>
      <c r="AKL76" s="16"/>
      <c r="AKM76" s="16"/>
      <c r="AKN76" s="16"/>
      <c r="AKO76" s="16"/>
      <c r="AKP76" s="16"/>
      <c r="AKQ76" s="16"/>
      <c r="AKR76" s="16"/>
      <c r="AKS76" s="16"/>
      <c r="AKT76" s="16"/>
      <c r="AKU76" s="16"/>
      <c r="AKV76" s="16"/>
      <c r="AKW76" s="16"/>
      <c r="AKX76" s="16"/>
      <c r="AKY76" s="16"/>
      <c r="AKZ76" s="16"/>
      <c r="ALA76" s="16"/>
      <c r="ALB76" s="16"/>
      <c r="ALC76" s="16"/>
      <c r="ALD76" s="16"/>
      <c r="ALE76" s="16"/>
      <c r="ALF76" s="16"/>
      <c r="ALG76" s="16"/>
      <c r="ALH76" s="16"/>
      <c r="ALI76" s="16"/>
      <c r="ALJ76" s="16"/>
      <c r="ALK76" s="16"/>
      <c r="ALL76" s="16"/>
      <c r="ALM76" s="16"/>
      <c r="ALN76" s="16"/>
      <c r="ALO76" s="16"/>
      <c r="ALP76" s="16"/>
      <c r="ALQ76" s="16"/>
      <c r="ALR76" s="16"/>
      <c r="ALS76" s="16"/>
      <c r="ALT76" s="16"/>
      <c r="ALU76" s="16"/>
      <c r="ALV76" s="16"/>
      <c r="ALW76" s="16"/>
      <c r="ALX76" s="16"/>
      <c r="ALY76" s="16"/>
      <c r="ALZ76" s="16"/>
      <c r="AMA76" s="16"/>
      <c r="AMB76" s="16"/>
      <c r="AMC76" s="16"/>
      <c r="AMD76" s="16"/>
      <c r="AME76" s="16"/>
      <c r="AMF76" s="16"/>
      <c r="AMG76" s="16"/>
      <c r="AMH76" s="16"/>
      <c r="AMI76" s="16"/>
      <c r="AMJ76" s="16"/>
      <c r="AMK76" s="16"/>
      <c r="AML76" s="16"/>
      <c r="AMM76" s="16"/>
      <c r="AMN76" s="16"/>
      <c r="AMO76" s="16"/>
      <c r="AMP76" s="16"/>
      <c r="AMQ76" s="16"/>
      <c r="AMR76" s="16"/>
      <c r="AMS76" s="16"/>
      <c r="AMT76" s="16"/>
      <c r="AMU76" s="16"/>
      <c r="AMV76" s="16"/>
      <c r="AMW76" s="16"/>
      <c r="AMX76" s="16"/>
      <c r="AMY76" s="16"/>
      <c r="AMZ76" s="16"/>
      <c r="ANA76" s="16"/>
      <c r="ANB76" s="16"/>
      <c r="ANC76" s="16"/>
      <c r="AND76" s="16"/>
      <c r="ANE76" s="16"/>
      <c r="ANF76" s="16"/>
      <c r="ANG76" s="16"/>
      <c r="ANH76" s="16"/>
      <c r="ANI76" s="16"/>
      <c r="ANJ76" s="16"/>
      <c r="ANK76" s="16"/>
      <c r="ANL76" s="16"/>
      <c r="ANM76" s="16"/>
      <c r="ANN76" s="16"/>
      <c r="ANO76" s="16"/>
      <c r="ANP76" s="16"/>
      <c r="ANQ76" s="16"/>
      <c r="ANR76" s="16"/>
      <c r="ANS76" s="16"/>
      <c r="ANT76" s="16"/>
      <c r="ANU76" s="16"/>
      <c r="ANV76" s="16"/>
      <c r="ANW76" s="16"/>
      <c r="ANX76" s="16"/>
      <c r="ANY76" s="16"/>
      <c r="ANZ76" s="16"/>
      <c r="AOA76" s="16"/>
      <c r="AOB76" s="16"/>
      <c r="AOC76" s="16"/>
      <c r="AOD76" s="16"/>
      <c r="AOE76" s="16"/>
      <c r="AOF76" s="16"/>
      <c r="AOG76" s="16"/>
      <c r="AOH76" s="16"/>
      <c r="AOI76" s="16"/>
      <c r="AOJ76" s="16"/>
      <c r="AOK76" s="16"/>
      <c r="AOL76" s="16"/>
      <c r="AOM76" s="16"/>
      <c r="AON76" s="16"/>
      <c r="AOO76" s="16"/>
      <c r="AOP76" s="16"/>
      <c r="AOQ76" s="16"/>
      <c r="AOR76" s="16"/>
      <c r="AOS76" s="16"/>
      <c r="AOT76" s="16"/>
      <c r="AOU76" s="16"/>
      <c r="AOV76" s="16"/>
      <c r="AOW76" s="16"/>
      <c r="AOX76" s="16"/>
      <c r="AOY76" s="16"/>
      <c r="AOZ76" s="16"/>
      <c r="APA76" s="16"/>
      <c r="APB76" s="16"/>
      <c r="APC76" s="16"/>
      <c r="APD76" s="16"/>
      <c r="APE76" s="16"/>
      <c r="APF76" s="16"/>
      <c r="APG76" s="16"/>
      <c r="APH76" s="16"/>
      <c r="API76" s="16"/>
      <c r="APJ76" s="16"/>
      <c r="APK76" s="16"/>
      <c r="APL76" s="16"/>
      <c r="APM76" s="16"/>
      <c r="APN76" s="16"/>
      <c r="APO76" s="16"/>
      <c r="APP76" s="16"/>
      <c r="APQ76" s="16"/>
      <c r="APR76" s="16"/>
      <c r="APS76" s="16"/>
      <c r="APT76" s="16"/>
      <c r="APU76" s="16"/>
      <c r="APV76" s="16"/>
      <c r="APW76" s="16"/>
      <c r="APX76" s="16"/>
      <c r="APY76" s="16"/>
      <c r="APZ76" s="16"/>
      <c r="AQA76" s="16"/>
      <c r="AQB76" s="16"/>
      <c r="AQC76" s="16"/>
      <c r="AQD76" s="16"/>
      <c r="AQE76" s="16"/>
      <c r="AQF76" s="16"/>
      <c r="AQG76" s="16"/>
      <c r="AQH76" s="16"/>
      <c r="AQI76" s="16"/>
      <c r="AQJ76" s="16"/>
      <c r="AQK76" s="16"/>
      <c r="AQL76" s="16"/>
      <c r="AQM76" s="16"/>
      <c r="AQN76" s="16"/>
      <c r="AQO76" s="16"/>
      <c r="AQP76" s="16"/>
      <c r="AQQ76" s="16"/>
      <c r="AQR76" s="16"/>
      <c r="AQS76" s="16"/>
      <c r="AQT76" s="16"/>
      <c r="AQU76" s="16"/>
      <c r="AQV76" s="16"/>
      <c r="AQW76" s="16"/>
      <c r="AQX76" s="16"/>
      <c r="AQY76" s="16"/>
      <c r="AQZ76" s="16"/>
      <c r="ARA76" s="16"/>
      <c r="ARB76" s="16"/>
      <c r="ARC76" s="16"/>
      <c r="ARD76" s="16"/>
      <c r="ARE76" s="16"/>
      <c r="ARF76" s="16"/>
      <c r="ARG76" s="16"/>
      <c r="ARH76" s="16"/>
      <c r="ARI76" s="16"/>
      <c r="ARJ76" s="16"/>
      <c r="ARK76" s="16"/>
      <c r="ARL76" s="16"/>
      <c r="ARM76" s="16"/>
      <c r="ARN76" s="16"/>
      <c r="ARO76" s="16"/>
      <c r="ARP76" s="16"/>
      <c r="ARQ76" s="16"/>
      <c r="ARR76" s="16"/>
      <c r="ARS76" s="16"/>
      <c r="ART76" s="16"/>
      <c r="ARU76" s="16"/>
      <c r="ARV76" s="16"/>
      <c r="ARW76" s="16"/>
      <c r="ARX76" s="16"/>
      <c r="ARY76" s="16"/>
      <c r="ARZ76" s="16"/>
      <c r="ASA76" s="16"/>
      <c r="ASB76" s="16"/>
      <c r="ASC76" s="16"/>
      <c r="ASD76" s="16"/>
      <c r="ASE76" s="16"/>
      <c r="ASF76" s="16"/>
      <c r="ASG76" s="16"/>
      <c r="ASH76" s="16"/>
      <c r="ASI76" s="16"/>
      <c r="ASJ76" s="16"/>
      <c r="ASK76" s="16"/>
      <c r="ASL76" s="16"/>
      <c r="ASM76" s="16"/>
      <c r="ASN76" s="16"/>
      <c r="ASO76" s="16"/>
      <c r="ASP76" s="16"/>
      <c r="ASQ76" s="16"/>
      <c r="ASR76" s="16"/>
      <c r="ASS76" s="16"/>
      <c r="AST76" s="16"/>
      <c r="ASU76" s="16"/>
      <c r="ASV76" s="16"/>
      <c r="ASW76" s="16"/>
      <c r="ASX76" s="16"/>
      <c r="ASY76" s="16"/>
      <c r="ASZ76" s="16"/>
      <c r="ATA76" s="16"/>
      <c r="ATB76" s="16"/>
      <c r="ATC76" s="16"/>
      <c r="ATD76" s="16"/>
      <c r="ATE76" s="16"/>
      <c r="ATF76" s="16"/>
      <c r="ATG76" s="16"/>
      <c r="ATH76" s="16"/>
      <c r="ATI76" s="16"/>
      <c r="ATJ76" s="16"/>
      <c r="ATK76" s="16"/>
      <c r="ATL76" s="16"/>
      <c r="ATM76" s="16"/>
      <c r="ATN76" s="16"/>
      <c r="ATO76" s="16"/>
      <c r="ATP76" s="16"/>
      <c r="ATQ76" s="16"/>
      <c r="ATR76" s="16"/>
      <c r="ATS76" s="16"/>
      <c r="ATT76" s="16"/>
      <c r="ATU76" s="16"/>
      <c r="ATV76" s="16"/>
      <c r="ATW76" s="16"/>
      <c r="ATX76" s="16"/>
      <c r="ATY76" s="16"/>
      <c r="ATZ76" s="16"/>
      <c r="AUA76" s="16"/>
      <c r="AUB76" s="16"/>
      <c r="AUC76" s="16"/>
      <c r="AUD76" s="16"/>
      <c r="AUE76" s="16"/>
      <c r="AUF76" s="16"/>
      <c r="AUG76" s="16"/>
      <c r="AUH76" s="16"/>
      <c r="AUI76" s="16"/>
      <c r="AUJ76" s="16"/>
      <c r="AUK76" s="16"/>
      <c r="AUL76" s="16"/>
      <c r="AUM76" s="16"/>
      <c r="AUN76" s="16"/>
      <c r="AUO76" s="16"/>
      <c r="AUP76" s="16"/>
      <c r="AUQ76" s="16"/>
      <c r="AUR76" s="16"/>
      <c r="AUS76" s="16"/>
      <c r="AUT76" s="16"/>
      <c r="AUU76" s="16"/>
      <c r="AUV76" s="16"/>
      <c r="AUW76" s="16"/>
      <c r="AUX76" s="16"/>
      <c r="AUY76" s="16"/>
      <c r="AUZ76" s="16"/>
      <c r="AVA76" s="16"/>
      <c r="AVB76" s="16"/>
      <c r="AVC76" s="16"/>
      <c r="AVD76" s="16"/>
      <c r="AVE76" s="16"/>
      <c r="AVF76" s="16"/>
      <c r="AVG76" s="16"/>
      <c r="AVH76" s="16"/>
      <c r="AVI76" s="16"/>
      <c r="AVJ76" s="16"/>
      <c r="AVK76" s="16"/>
      <c r="AVL76" s="16"/>
      <c r="AVM76" s="16"/>
      <c r="AVN76" s="16"/>
      <c r="AVO76" s="16"/>
      <c r="AVP76" s="16"/>
      <c r="AVQ76" s="16"/>
      <c r="AVR76" s="16"/>
      <c r="AVS76" s="16"/>
      <c r="AVT76" s="16"/>
      <c r="AVU76" s="16"/>
      <c r="AVV76" s="16"/>
      <c r="AVW76" s="16"/>
      <c r="AVX76" s="16"/>
      <c r="AVY76" s="16"/>
      <c r="AVZ76" s="16"/>
      <c r="AWA76" s="16"/>
      <c r="AWB76" s="16"/>
      <c r="AWC76" s="16"/>
      <c r="AWD76" s="16"/>
      <c r="AWE76" s="16"/>
      <c r="AWF76" s="16"/>
      <c r="AWG76" s="16"/>
      <c r="AWH76" s="16"/>
      <c r="AWI76" s="16"/>
      <c r="AWJ76" s="16"/>
      <c r="AWK76" s="16"/>
      <c r="AWL76" s="16"/>
      <c r="AWM76" s="16"/>
      <c r="AWN76" s="16"/>
      <c r="AWO76" s="16"/>
      <c r="AWP76" s="16"/>
      <c r="AWQ76" s="16"/>
      <c r="AWR76" s="16"/>
      <c r="AWS76" s="16"/>
      <c r="AWT76" s="16"/>
      <c r="AWU76" s="16"/>
      <c r="AWV76" s="16"/>
      <c r="AWW76" s="16"/>
      <c r="AWX76" s="16"/>
      <c r="AWY76" s="16"/>
      <c r="AWZ76" s="16"/>
      <c r="AXA76" s="16"/>
      <c r="AXB76" s="16"/>
      <c r="AXC76" s="16"/>
      <c r="AXD76" s="16"/>
      <c r="AXE76" s="16"/>
      <c r="AXF76" s="16"/>
      <c r="AXG76" s="16"/>
      <c r="AXH76" s="16"/>
      <c r="AXI76" s="16"/>
      <c r="AXJ76" s="16"/>
      <c r="AXK76" s="16"/>
      <c r="AXL76" s="16"/>
      <c r="AXM76" s="16"/>
      <c r="AXN76" s="16"/>
      <c r="AXO76" s="16"/>
      <c r="AXP76" s="16"/>
      <c r="AXQ76" s="16"/>
      <c r="AXR76" s="16"/>
      <c r="AXS76" s="16"/>
      <c r="AXT76" s="16"/>
      <c r="AXU76" s="16"/>
      <c r="AXV76" s="16"/>
      <c r="AXW76" s="16"/>
      <c r="AXX76" s="16"/>
      <c r="AXY76" s="16"/>
      <c r="AXZ76" s="16"/>
      <c r="AYA76" s="16"/>
      <c r="AYB76" s="16"/>
      <c r="AYC76" s="16"/>
      <c r="AYD76" s="16"/>
      <c r="AYE76" s="16"/>
      <c r="AYF76" s="16"/>
      <c r="AYG76" s="16"/>
      <c r="AYH76" s="16"/>
      <c r="AYI76" s="16"/>
      <c r="AYJ76" s="16"/>
      <c r="AYK76" s="16"/>
      <c r="AYL76" s="16"/>
      <c r="AYM76" s="16"/>
      <c r="AYN76" s="16"/>
      <c r="AYO76" s="16"/>
      <c r="AYP76" s="16"/>
      <c r="AYQ76" s="16"/>
      <c r="AYR76" s="16"/>
      <c r="AYS76" s="16"/>
      <c r="AYT76" s="16"/>
      <c r="AYU76" s="16"/>
      <c r="AYV76" s="16"/>
      <c r="AYW76" s="16"/>
      <c r="AYX76" s="16"/>
      <c r="AYY76" s="16"/>
      <c r="AYZ76" s="16"/>
      <c r="AZA76" s="16"/>
      <c r="AZB76" s="16"/>
      <c r="AZC76" s="16"/>
      <c r="AZD76" s="16"/>
      <c r="AZE76" s="16"/>
      <c r="AZF76" s="16"/>
      <c r="AZG76" s="16"/>
      <c r="AZH76" s="16"/>
      <c r="AZI76" s="16"/>
      <c r="AZJ76" s="16"/>
      <c r="AZK76" s="16"/>
      <c r="AZL76" s="16"/>
      <c r="AZM76" s="16"/>
      <c r="AZN76" s="16"/>
      <c r="AZO76" s="16"/>
      <c r="AZP76" s="16"/>
      <c r="AZQ76" s="16"/>
      <c r="AZR76" s="16"/>
      <c r="AZS76" s="16"/>
      <c r="AZT76" s="16"/>
      <c r="AZU76" s="16"/>
      <c r="AZV76" s="16"/>
      <c r="AZW76" s="16"/>
      <c r="AZX76" s="16"/>
      <c r="AZY76" s="16"/>
      <c r="AZZ76" s="16"/>
      <c r="BAA76" s="16"/>
      <c r="BAB76" s="16"/>
      <c r="BAC76" s="16"/>
      <c r="BAD76" s="16"/>
      <c r="BAE76" s="16"/>
      <c r="BAF76" s="16"/>
      <c r="BAG76" s="16"/>
      <c r="BAH76" s="16"/>
      <c r="BAI76" s="16"/>
      <c r="BAJ76" s="16"/>
      <c r="BAK76" s="16"/>
      <c r="BAL76" s="16"/>
      <c r="BAM76" s="16"/>
      <c r="BAN76" s="16"/>
      <c r="BAO76" s="16"/>
      <c r="BAP76" s="16"/>
      <c r="BAQ76" s="16"/>
      <c r="BAR76" s="16"/>
      <c r="BAS76" s="16"/>
      <c r="BAT76" s="16"/>
      <c r="BAU76" s="16"/>
      <c r="BAV76" s="16"/>
      <c r="BAW76" s="16"/>
      <c r="BAX76" s="16"/>
      <c r="BAY76" s="16"/>
      <c r="BAZ76" s="16"/>
      <c r="BBA76" s="16"/>
      <c r="BBB76" s="16"/>
      <c r="BBC76" s="16"/>
      <c r="BBD76" s="16"/>
      <c r="BBE76" s="16"/>
      <c r="BBF76" s="16"/>
      <c r="BBG76" s="16"/>
      <c r="BBH76" s="16"/>
      <c r="BBI76" s="16"/>
      <c r="BBJ76" s="16"/>
      <c r="BBK76" s="16"/>
      <c r="BBL76" s="16"/>
      <c r="BBM76" s="16"/>
      <c r="BBN76" s="16"/>
      <c r="BBO76" s="16"/>
      <c r="BBP76" s="16"/>
      <c r="BBQ76" s="16"/>
      <c r="BBR76" s="16"/>
      <c r="BBS76" s="16"/>
      <c r="BBT76" s="16"/>
      <c r="BBU76" s="16"/>
      <c r="BBV76" s="16"/>
      <c r="BBW76" s="16"/>
      <c r="BBX76" s="16"/>
      <c r="BBY76" s="16"/>
      <c r="BBZ76" s="16"/>
      <c r="BCA76" s="16"/>
      <c r="BCB76" s="16"/>
      <c r="BCC76" s="16"/>
      <c r="BCD76" s="16"/>
      <c r="BCE76" s="16"/>
      <c r="BCF76" s="16"/>
      <c r="BCG76" s="16"/>
      <c r="BCH76" s="16"/>
      <c r="BCI76" s="16"/>
      <c r="BCJ76" s="16"/>
      <c r="BCK76" s="16"/>
      <c r="BCL76" s="16"/>
      <c r="BCM76" s="16"/>
      <c r="BCN76" s="16"/>
      <c r="BCO76" s="16"/>
      <c r="BCP76" s="16"/>
      <c r="BCQ76" s="16"/>
      <c r="BCR76" s="16"/>
      <c r="BCS76" s="16"/>
      <c r="BCT76" s="16"/>
      <c r="BCU76" s="16"/>
      <c r="BCV76" s="16"/>
      <c r="BCW76" s="16"/>
      <c r="BCX76" s="16"/>
      <c r="BCY76" s="16"/>
      <c r="BCZ76" s="16"/>
      <c r="BDA76" s="16"/>
      <c r="BDB76" s="16"/>
      <c r="BDC76" s="16"/>
      <c r="BDD76" s="16"/>
      <c r="BDE76" s="16"/>
      <c r="BDF76" s="16"/>
      <c r="BDG76" s="16"/>
      <c r="BDH76" s="16"/>
      <c r="BDI76" s="16"/>
      <c r="BDJ76" s="16"/>
      <c r="BDK76" s="16"/>
      <c r="BDL76" s="16"/>
      <c r="BDM76" s="16"/>
      <c r="BDN76" s="16"/>
      <c r="BDO76" s="16"/>
      <c r="BDP76" s="16"/>
      <c r="BDQ76" s="16"/>
      <c r="BDR76" s="16"/>
      <c r="BDS76" s="16"/>
      <c r="BDT76" s="16"/>
      <c r="BDU76" s="16"/>
      <c r="BDV76" s="16"/>
      <c r="BDW76" s="16"/>
      <c r="BDX76" s="16"/>
      <c r="BDY76" s="16"/>
      <c r="BDZ76" s="16"/>
      <c r="BEA76" s="16"/>
      <c r="BEB76" s="16"/>
      <c r="BEC76" s="16"/>
      <c r="BED76" s="16"/>
      <c r="BEE76" s="16"/>
      <c r="BEF76" s="16"/>
      <c r="BEG76" s="16"/>
      <c r="BEH76" s="16"/>
      <c r="BEI76" s="16"/>
      <c r="BEJ76" s="16"/>
      <c r="BEK76" s="16"/>
      <c r="BEL76" s="16"/>
      <c r="BEM76" s="16"/>
      <c r="BEN76" s="16"/>
      <c r="BEO76" s="16"/>
      <c r="BEP76" s="16"/>
      <c r="BEQ76" s="16"/>
      <c r="BER76" s="16"/>
      <c r="BES76" s="16"/>
      <c r="BET76" s="16"/>
      <c r="BEU76" s="16"/>
      <c r="BEV76" s="16"/>
      <c r="BEW76" s="16"/>
      <c r="BEX76" s="16"/>
      <c r="BEY76" s="16"/>
      <c r="BEZ76" s="16"/>
      <c r="BFA76" s="16"/>
      <c r="BFB76" s="16"/>
      <c r="BFC76" s="16"/>
      <c r="BFD76" s="16"/>
      <c r="BFE76" s="16"/>
      <c r="BFF76" s="16"/>
      <c r="BFG76" s="16"/>
      <c r="BFH76" s="16"/>
      <c r="BFI76" s="16"/>
      <c r="BFJ76" s="16"/>
      <c r="BFK76" s="16"/>
      <c r="BFL76" s="16"/>
      <c r="BFM76" s="16"/>
      <c r="BFN76" s="16"/>
      <c r="BFO76" s="16"/>
      <c r="BFP76" s="16"/>
      <c r="BFQ76" s="16"/>
      <c r="BFR76" s="16"/>
      <c r="BFS76" s="16"/>
      <c r="BFT76" s="16"/>
      <c r="BFU76" s="16"/>
      <c r="BFV76" s="16"/>
      <c r="BFW76" s="16"/>
      <c r="BFX76" s="16"/>
      <c r="BFY76" s="16"/>
      <c r="BFZ76" s="16"/>
      <c r="BGA76" s="16"/>
      <c r="BGB76" s="16"/>
      <c r="BGC76" s="16"/>
      <c r="BGD76" s="16"/>
      <c r="BGE76" s="16"/>
      <c r="BGF76" s="16"/>
      <c r="BGG76" s="16"/>
      <c r="BGH76" s="16"/>
      <c r="BGI76" s="16"/>
      <c r="BGJ76" s="16"/>
      <c r="BGK76" s="16"/>
      <c r="BGL76" s="16"/>
      <c r="BGM76" s="16"/>
      <c r="BGN76" s="16"/>
      <c r="BGO76" s="16"/>
      <c r="BGP76" s="16"/>
      <c r="BGQ76" s="16"/>
      <c r="BGR76" s="16"/>
      <c r="BGS76" s="16"/>
      <c r="BGT76" s="16"/>
      <c r="BGU76" s="16"/>
      <c r="BGV76" s="16"/>
      <c r="BGW76" s="16"/>
      <c r="BGX76" s="16"/>
      <c r="BGY76" s="16"/>
      <c r="BGZ76" s="16"/>
      <c r="BHA76" s="16"/>
      <c r="BHB76" s="16"/>
      <c r="BHC76" s="16"/>
      <c r="BHD76" s="16"/>
      <c r="BHE76" s="16"/>
      <c r="BHF76" s="16"/>
      <c r="BHG76" s="16"/>
      <c r="BHH76" s="16"/>
      <c r="BHI76" s="16"/>
      <c r="BHJ76" s="16"/>
      <c r="BHK76" s="16"/>
      <c r="BHL76" s="16"/>
      <c r="BHM76" s="16"/>
      <c r="BHN76" s="16"/>
      <c r="BHO76" s="16"/>
      <c r="BHP76" s="16"/>
      <c r="BHQ76" s="16"/>
      <c r="BHR76" s="16"/>
      <c r="BHS76" s="16"/>
      <c r="BHT76" s="16"/>
      <c r="BHU76" s="16"/>
      <c r="BHV76" s="16"/>
      <c r="BHW76" s="16"/>
      <c r="BHX76" s="16"/>
      <c r="BHY76" s="16"/>
      <c r="BHZ76" s="16"/>
      <c r="BIA76" s="16"/>
      <c r="BIB76" s="16"/>
      <c r="BIC76" s="16"/>
      <c r="BID76" s="16"/>
      <c r="BIE76" s="16"/>
      <c r="BIF76" s="16"/>
      <c r="BIG76" s="16"/>
      <c r="BIH76" s="16"/>
      <c r="BII76" s="16"/>
      <c r="BIJ76" s="16"/>
      <c r="BIK76" s="16"/>
      <c r="BIL76" s="16"/>
      <c r="BIM76" s="16"/>
      <c r="BIN76" s="16"/>
      <c r="BIO76" s="16"/>
      <c r="BIP76" s="16"/>
      <c r="BIQ76" s="16"/>
      <c r="BIR76" s="16"/>
      <c r="BIS76" s="16"/>
      <c r="BIT76" s="16"/>
      <c r="BIU76" s="16"/>
      <c r="BIV76" s="16"/>
      <c r="BIW76" s="16"/>
      <c r="BIX76" s="16"/>
      <c r="BIY76" s="16"/>
      <c r="BIZ76" s="16"/>
      <c r="BJA76" s="16"/>
      <c r="BJB76" s="16"/>
      <c r="BJC76" s="16"/>
      <c r="BJD76" s="16"/>
      <c r="BJE76" s="16"/>
      <c r="BJF76" s="16"/>
      <c r="BJG76" s="16"/>
      <c r="BJH76" s="16"/>
      <c r="BJI76" s="16"/>
      <c r="BJJ76" s="16"/>
      <c r="BJK76" s="16"/>
      <c r="BJL76" s="16"/>
      <c r="BJM76" s="16"/>
      <c r="BJN76" s="16"/>
      <c r="BJO76" s="16"/>
      <c r="BJP76" s="16"/>
      <c r="BJQ76" s="16"/>
      <c r="BJR76" s="16"/>
      <c r="BJS76" s="16"/>
      <c r="BJT76" s="16"/>
      <c r="BJU76" s="16"/>
      <c r="BJV76" s="16"/>
      <c r="BJW76" s="16"/>
      <c r="BJX76" s="16"/>
      <c r="BJY76" s="16"/>
      <c r="BJZ76" s="16"/>
      <c r="BKA76" s="16"/>
      <c r="BKB76" s="16"/>
      <c r="BKC76" s="16"/>
      <c r="BKD76" s="16"/>
      <c r="BKE76" s="16"/>
      <c r="BKF76" s="16"/>
      <c r="BKG76" s="16"/>
      <c r="BKH76" s="16"/>
      <c r="BKI76" s="16"/>
      <c r="BKJ76" s="16"/>
      <c r="BKK76" s="16"/>
      <c r="BKL76" s="16"/>
      <c r="BKM76" s="16"/>
      <c r="BKN76" s="16"/>
      <c r="BKO76" s="16"/>
      <c r="BKP76" s="16"/>
      <c r="BKQ76" s="16"/>
      <c r="BKR76" s="16"/>
      <c r="BKS76" s="16"/>
      <c r="BKT76" s="16"/>
      <c r="BKU76" s="16"/>
      <c r="BKV76" s="16"/>
      <c r="BKW76" s="16"/>
      <c r="BKX76" s="16"/>
      <c r="BKY76" s="16"/>
      <c r="BKZ76" s="16"/>
      <c r="BLA76" s="16"/>
      <c r="BLB76" s="16"/>
      <c r="BLC76" s="16"/>
      <c r="BLD76" s="16"/>
      <c r="BLE76" s="16"/>
      <c r="BLF76" s="16"/>
      <c r="BLG76" s="16"/>
      <c r="BLH76" s="16"/>
      <c r="BLI76" s="16"/>
      <c r="BLJ76" s="16"/>
      <c r="BLK76" s="16"/>
      <c r="BLL76" s="16"/>
      <c r="BLM76" s="16"/>
      <c r="BLN76" s="16"/>
      <c r="BLO76" s="16"/>
      <c r="BLP76" s="16"/>
      <c r="BLQ76" s="16"/>
      <c r="BLR76" s="16"/>
      <c r="BLS76" s="16"/>
      <c r="BLT76" s="16"/>
      <c r="BLU76" s="16"/>
      <c r="BLV76" s="16"/>
      <c r="BLW76" s="16"/>
      <c r="BLX76" s="16"/>
      <c r="BLY76" s="16"/>
      <c r="BLZ76" s="16"/>
      <c r="BMA76" s="16"/>
      <c r="BMB76" s="16"/>
      <c r="BMC76" s="16"/>
      <c r="BMD76" s="16"/>
      <c r="BME76" s="16"/>
      <c r="BMF76" s="16"/>
      <c r="BMG76" s="16"/>
      <c r="BMH76" s="16"/>
      <c r="BMI76" s="16"/>
      <c r="BMJ76" s="16"/>
      <c r="BMK76" s="16"/>
      <c r="BML76" s="16"/>
      <c r="BMM76" s="16"/>
      <c r="BMN76" s="16"/>
      <c r="BMO76" s="16"/>
      <c r="BMP76" s="16"/>
      <c r="BMQ76" s="16"/>
      <c r="BMR76" s="16"/>
      <c r="BMS76" s="16"/>
      <c r="BMT76" s="16"/>
      <c r="BMU76" s="16"/>
      <c r="BMV76" s="16"/>
      <c r="BMW76" s="16"/>
      <c r="BMX76" s="16"/>
      <c r="BMY76" s="16"/>
      <c r="BMZ76" s="16"/>
      <c r="BNA76" s="16"/>
      <c r="BNB76" s="16"/>
      <c r="BNC76" s="16"/>
      <c r="BND76" s="16"/>
      <c r="BNE76" s="16"/>
      <c r="BNF76" s="16"/>
      <c r="BNG76" s="16"/>
      <c r="BNH76" s="16"/>
      <c r="BNI76" s="16"/>
      <c r="BNJ76" s="16"/>
      <c r="BNK76" s="16"/>
      <c r="BNL76" s="16"/>
      <c r="BNM76" s="16"/>
      <c r="BNN76" s="16"/>
      <c r="BNO76" s="16"/>
      <c r="BNP76" s="16"/>
      <c r="BNQ76" s="16"/>
      <c r="BNR76" s="16"/>
      <c r="BNS76" s="16"/>
      <c r="BNT76" s="16"/>
      <c r="BNU76" s="16"/>
      <c r="BNV76" s="16"/>
      <c r="BNW76" s="16"/>
      <c r="BNX76" s="16"/>
      <c r="BNY76" s="16"/>
      <c r="BNZ76" s="16"/>
      <c r="BOA76" s="16"/>
      <c r="BOB76" s="16"/>
      <c r="BOC76" s="16"/>
      <c r="BOD76" s="16"/>
      <c r="BOE76" s="16"/>
      <c r="BOF76" s="16"/>
      <c r="BOG76" s="16"/>
      <c r="BOH76" s="16"/>
      <c r="BOI76" s="16"/>
      <c r="BOJ76" s="16"/>
      <c r="BOK76" s="16"/>
      <c r="BOL76" s="16"/>
      <c r="BOM76" s="16"/>
      <c r="BON76" s="16"/>
      <c r="BOO76" s="16"/>
      <c r="BOP76" s="16"/>
      <c r="BOQ76" s="16"/>
      <c r="BOR76" s="16"/>
      <c r="BOS76" s="16"/>
      <c r="BOT76" s="16"/>
      <c r="BOU76" s="16"/>
      <c r="BOV76" s="16"/>
      <c r="BOW76" s="16"/>
      <c r="BOX76" s="16"/>
      <c r="BOY76" s="16"/>
      <c r="BOZ76" s="16"/>
      <c r="BPA76" s="16"/>
      <c r="BPB76" s="16"/>
      <c r="BPC76" s="16"/>
      <c r="BPD76" s="16"/>
      <c r="BPE76" s="16"/>
      <c r="BPF76" s="16"/>
      <c r="BPG76" s="16"/>
      <c r="BPH76" s="16"/>
      <c r="BPI76" s="16"/>
      <c r="BPJ76" s="16"/>
      <c r="BPK76" s="16"/>
      <c r="BPL76" s="16"/>
      <c r="BPM76" s="16"/>
      <c r="BPN76" s="16"/>
      <c r="BPO76" s="16"/>
      <c r="BPP76" s="16"/>
      <c r="BPQ76" s="16"/>
      <c r="BPR76" s="16"/>
      <c r="BPS76" s="16"/>
      <c r="BPT76" s="16"/>
      <c r="BPU76" s="16"/>
      <c r="BPV76" s="16"/>
      <c r="BPW76" s="16"/>
      <c r="BPX76" s="16"/>
      <c r="BPY76" s="16"/>
      <c r="BPZ76" s="16"/>
      <c r="BQA76" s="16"/>
      <c r="BQB76" s="16"/>
      <c r="BQC76" s="16"/>
      <c r="BQD76" s="16"/>
      <c r="BQE76" s="16"/>
      <c r="BQF76" s="16"/>
      <c r="BQG76" s="16"/>
      <c r="BQH76" s="16"/>
      <c r="BQI76" s="16"/>
      <c r="BQJ76" s="16"/>
      <c r="BQK76" s="16"/>
      <c r="BQL76" s="16"/>
      <c r="BQM76" s="16"/>
      <c r="BQN76" s="16"/>
      <c r="BQO76" s="16"/>
      <c r="BQP76" s="16"/>
      <c r="BQQ76" s="16"/>
      <c r="BQR76" s="16"/>
      <c r="BQS76" s="16"/>
      <c r="BQT76" s="16"/>
      <c r="BQU76" s="16"/>
      <c r="BQV76" s="16"/>
      <c r="BQW76" s="16"/>
      <c r="BQX76" s="16"/>
      <c r="BQY76" s="16"/>
      <c r="BQZ76" s="16"/>
      <c r="BRA76" s="16"/>
      <c r="BRB76" s="16"/>
      <c r="BRC76" s="16"/>
      <c r="BRD76" s="16"/>
      <c r="BRE76" s="16"/>
      <c r="BRF76" s="16"/>
      <c r="BRG76" s="16"/>
      <c r="BRH76" s="16"/>
      <c r="BRI76" s="16"/>
      <c r="BRJ76" s="16"/>
      <c r="BRK76" s="16"/>
      <c r="BRL76" s="16"/>
      <c r="BRM76" s="16"/>
      <c r="BRN76" s="16"/>
      <c r="BRO76" s="16"/>
      <c r="BRP76" s="16"/>
      <c r="BRQ76" s="16"/>
      <c r="BRR76" s="16"/>
      <c r="BRS76" s="16"/>
      <c r="BRT76" s="16"/>
      <c r="BRU76" s="16"/>
      <c r="BRV76" s="16"/>
      <c r="BRW76" s="16"/>
      <c r="BRX76" s="16"/>
      <c r="BRY76" s="16"/>
      <c r="BRZ76" s="16"/>
      <c r="BSA76" s="16"/>
      <c r="BSB76" s="16"/>
      <c r="BSC76" s="16"/>
      <c r="BSD76" s="16"/>
      <c r="BSE76" s="16"/>
      <c r="BSF76" s="16"/>
      <c r="BSG76" s="16"/>
      <c r="BSH76" s="16"/>
      <c r="BSI76" s="16"/>
      <c r="BSJ76" s="16"/>
      <c r="BSK76" s="16"/>
      <c r="BSL76" s="16"/>
      <c r="BSM76" s="16"/>
      <c r="BSN76" s="16"/>
      <c r="BSO76" s="16"/>
      <c r="BSP76" s="16"/>
      <c r="BSQ76" s="16"/>
      <c r="BSR76" s="16"/>
      <c r="BSS76" s="16"/>
      <c r="BST76" s="16"/>
      <c r="BSU76" s="16"/>
      <c r="BSV76" s="16"/>
      <c r="BSW76" s="16"/>
      <c r="BSX76" s="16"/>
      <c r="BSY76" s="16"/>
      <c r="BSZ76" s="16"/>
      <c r="BTA76" s="16"/>
      <c r="BTB76" s="16"/>
      <c r="BTC76" s="16"/>
      <c r="BTD76" s="16"/>
      <c r="BTE76" s="16"/>
      <c r="BTF76" s="16"/>
      <c r="BTG76" s="16"/>
      <c r="BTH76" s="16"/>
      <c r="BTI76" s="16"/>
      <c r="BTJ76" s="16"/>
      <c r="BTK76" s="16"/>
      <c r="BTL76" s="16"/>
      <c r="BTM76" s="16"/>
      <c r="BTN76" s="16"/>
      <c r="BTO76" s="16"/>
      <c r="BTP76" s="16"/>
      <c r="BTQ76" s="16"/>
      <c r="BTR76" s="16"/>
      <c r="BTS76" s="16"/>
      <c r="BTT76" s="16"/>
      <c r="BTU76" s="16"/>
      <c r="BTV76" s="16"/>
      <c r="BTW76" s="16"/>
      <c r="BTX76" s="16"/>
      <c r="BTY76" s="16"/>
      <c r="BTZ76" s="16"/>
      <c r="BUA76" s="16"/>
      <c r="BUB76" s="16"/>
      <c r="BUC76" s="16"/>
      <c r="BUD76" s="16"/>
      <c r="BUE76" s="16"/>
      <c r="BUF76" s="16"/>
      <c r="BUG76" s="16"/>
      <c r="BUH76" s="16"/>
      <c r="BUI76" s="16"/>
      <c r="BUJ76" s="16"/>
      <c r="BUK76" s="16"/>
      <c r="BUL76" s="16"/>
      <c r="BUM76" s="16"/>
      <c r="BUN76" s="16"/>
      <c r="BUO76" s="16"/>
      <c r="BUP76" s="16"/>
      <c r="BUQ76" s="16"/>
      <c r="BUR76" s="16"/>
      <c r="BUS76" s="16"/>
      <c r="BUT76" s="16"/>
      <c r="BUU76" s="16"/>
      <c r="BUV76" s="16"/>
      <c r="BUW76" s="16"/>
      <c r="BUX76" s="16"/>
      <c r="BUY76" s="16"/>
      <c r="BUZ76" s="16"/>
      <c r="BVA76" s="16"/>
      <c r="BVB76" s="16"/>
      <c r="BVC76" s="16"/>
      <c r="BVD76" s="16"/>
      <c r="BVE76" s="16"/>
      <c r="BVF76" s="16"/>
      <c r="BVG76" s="16"/>
      <c r="BVH76" s="16"/>
      <c r="BVI76" s="16"/>
      <c r="BVJ76" s="16"/>
      <c r="BVK76" s="16"/>
      <c r="BVL76" s="16"/>
      <c r="BVM76" s="16"/>
      <c r="BVN76" s="16"/>
      <c r="BVO76" s="16"/>
      <c r="BVP76" s="16"/>
      <c r="BVQ76" s="16"/>
      <c r="BVR76" s="16"/>
      <c r="BVS76" s="16"/>
      <c r="BVT76" s="16"/>
      <c r="BVU76" s="16"/>
      <c r="BVV76" s="16"/>
      <c r="BVW76" s="16"/>
      <c r="BVX76" s="16"/>
      <c r="BVY76" s="16"/>
      <c r="BVZ76" s="16"/>
      <c r="BWA76" s="16"/>
      <c r="BWB76" s="16"/>
      <c r="BWC76" s="16"/>
      <c r="BWD76" s="16"/>
      <c r="BWE76" s="16"/>
      <c r="BWF76" s="16"/>
      <c r="BWG76" s="16"/>
      <c r="BWH76" s="16"/>
      <c r="BWI76" s="16"/>
      <c r="BWJ76" s="16"/>
      <c r="BWK76" s="16"/>
      <c r="BWL76" s="16"/>
      <c r="BWM76" s="16"/>
      <c r="BWN76" s="16"/>
      <c r="BWO76" s="16"/>
      <c r="BWP76" s="16"/>
      <c r="BWQ76" s="16"/>
      <c r="BWR76" s="16"/>
      <c r="BWS76" s="16"/>
      <c r="BWT76" s="16"/>
      <c r="BWU76" s="16"/>
      <c r="BWV76" s="16"/>
      <c r="BWW76" s="16"/>
      <c r="BWX76" s="16"/>
      <c r="BWY76" s="16"/>
      <c r="BWZ76" s="16"/>
      <c r="BXA76" s="16"/>
      <c r="BXB76" s="16"/>
      <c r="BXC76" s="16"/>
      <c r="BXD76" s="16"/>
      <c r="BXE76" s="16"/>
      <c r="BXF76" s="16"/>
      <c r="BXG76" s="16"/>
      <c r="BXH76" s="16"/>
      <c r="BXI76" s="16"/>
      <c r="BXJ76" s="16"/>
      <c r="BXK76" s="16"/>
      <c r="BXL76" s="16"/>
      <c r="BXM76" s="16"/>
      <c r="BXN76" s="16"/>
      <c r="BXO76" s="16"/>
      <c r="BXP76" s="16"/>
      <c r="BXQ76" s="16"/>
      <c r="BXR76" s="16"/>
      <c r="BXS76" s="16"/>
      <c r="BXT76" s="16"/>
      <c r="BXU76" s="16"/>
      <c r="BXV76" s="16"/>
      <c r="BXW76" s="16"/>
      <c r="BXX76" s="16"/>
      <c r="BXY76" s="16"/>
      <c r="BXZ76" s="16"/>
      <c r="BYA76" s="16"/>
      <c r="BYB76" s="16"/>
      <c r="BYC76" s="16"/>
      <c r="BYD76" s="16"/>
      <c r="BYE76" s="16"/>
      <c r="BYF76" s="16"/>
      <c r="BYG76" s="16"/>
      <c r="BYH76" s="16"/>
      <c r="BYI76" s="16"/>
      <c r="BYJ76" s="16"/>
      <c r="BYK76" s="16"/>
      <c r="BYL76" s="16"/>
      <c r="BYM76" s="16"/>
      <c r="BYN76" s="16"/>
      <c r="BYO76" s="16"/>
      <c r="BYP76" s="16"/>
      <c r="BYQ76" s="16"/>
      <c r="BYR76" s="16"/>
      <c r="BYS76" s="16"/>
      <c r="BYT76" s="16"/>
      <c r="BYU76" s="16"/>
      <c r="BYV76" s="16"/>
      <c r="BYW76" s="16"/>
      <c r="BYX76" s="16"/>
      <c r="BYY76" s="16"/>
      <c r="BYZ76" s="16"/>
      <c r="BZA76" s="16"/>
      <c r="BZB76" s="16"/>
      <c r="BZC76" s="16"/>
      <c r="BZD76" s="16"/>
      <c r="BZE76" s="16"/>
      <c r="BZF76" s="16"/>
      <c r="BZG76" s="16"/>
      <c r="BZH76" s="16"/>
      <c r="BZI76" s="16"/>
      <c r="BZJ76" s="16"/>
      <c r="BZK76" s="16"/>
      <c r="BZL76" s="16"/>
      <c r="BZM76" s="16"/>
      <c r="BZN76" s="16"/>
      <c r="BZO76" s="16"/>
      <c r="BZP76" s="16"/>
      <c r="BZQ76" s="16"/>
      <c r="BZR76" s="16"/>
      <c r="BZS76" s="16"/>
      <c r="BZT76" s="16"/>
      <c r="BZU76" s="16"/>
      <c r="BZV76" s="16"/>
      <c r="BZW76" s="16"/>
      <c r="BZX76" s="16"/>
      <c r="BZY76" s="16"/>
      <c r="BZZ76" s="16"/>
      <c r="CAA76" s="16"/>
      <c r="CAB76" s="16"/>
      <c r="CAC76" s="16"/>
      <c r="CAD76" s="16"/>
      <c r="CAE76" s="16"/>
      <c r="CAF76" s="16"/>
      <c r="CAG76" s="16"/>
      <c r="CAH76" s="16"/>
      <c r="CAI76" s="16"/>
      <c r="CAJ76" s="16"/>
      <c r="CAK76" s="16"/>
      <c r="CAL76" s="16"/>
      <c r="CAM76" s="16"/>
      <c r="CAN76" s="16"/>
      <c r="CAO76" s="16"/>
      <c r="CAP76" s="16"/>
      <c r="CAQ76" s="16"/>
      <c r="CAR76" s="16"/>
      <c r="CAS76" s="16"/>
      <c r="CAT76" s="16"/>
      <c r="CAU76" s="16"/>
      <c r="CAV76" s="16"/>
      <c r="CAW76" s="16"/>
      <c r="CAX76" s="16"/>
      <c r="CAY76" s="16"/>
      <c r="CAZ76" s="16"/>
      <c r="CBA76" s="16"/>
      <c r="CBB76" s="16"/>
      <c r="CBC76" s="16"/>
      <c r="CBD76" s="16"/>
      <c r="CBE76" s="16"/>
      <c r="CBF76" s="16"/>
      <c r="CBG76" s="16"/>
      <c r="CBH76" s="16"/>
      <c r="CBI76" s="16"/>
      <c r="CBJ76" s="16"/>
      <c r="CBK76" s="16"/>
      <c r="CBL76" s="16"/>
      <c r="CBM76" s="16"/>
      <c r="CBN76" s="16"/>
      <c r="CBO76" s="16"/>
      <c r="CBP76" s="16"/>
      <c r="CBQ76" s="16"/>
      <c r="CBR76" s="16"/>
      <c r="CBS76" s="16"/>
      <c r="CBT76" s="16"/>
      <c r="CBU76" s="16"/>
      <c r="CBV76" s="16"/>
      <c r="CBW76" s="16"/>
      <c r="CBX76" s="16"/>
      <c r="CBY76" s="16"/>
      <c r="CBZ76" s="16"/>
      <c r="CCA76" s="16"/>
      <c r="CCB76" s="16"/>
      <c r="CCC76" s="16"/>
      <c r="CCD76" s="16"/>
      <c r="CCE76" s="16"/>
      <c r="CCF76" s="16"/>
      <c r="CCG76" s="16"/>
      <c r="CCH76" s="16"/>
      <c r="CCI76" s="16"/>
      <c r="CCJ76" s="16"/>
      <c r="CCK76" s="16"/>
      <c r="CCL76" s="16"/>
      <c r="CCM76" s="16"/>
      <c r="CCN76" s="16"/>
      <c r="CCO76" s="16"/>
      <c r="CCP76" s="16"/>
      <c r="CCQ76" s="16"/>
      <c r="CCR76" s="16"/>
      <c r="CCS76" s="16"/>
      <c r="CCT76" s="16"/>
      <c r="CCU76" s="16"/>
      <c r="CCV76" s="16"/>
      <c r="CCW76" s="16"/>
      <c r="CCX76" s="16"/>
      <c r="CCY76" s="16"/>
      <c r="CCZ76" s="16"/>
      <c r="CDA76" s="16"/>
      <c r="CDB76" s="16"/>
      <c r="CDC76" s="16"/>
      <c r="CDD76" s="16"/>
      <c r="CDE76" s="16"/>
      <c r="CDF76" s="16"/>
      <c r="CDG76" s="16"/>
      <c r="CDH76" s="16"/>
      <c r="CDI76" s="16"/>
      <c r="CDJ76" s="16"/>
      <c r="CDK76" s="16"/>
      <c r="CDL76" s="16"/>
      <c r="CDM76" s="16"/>
      <c r="CDN76" s="16"/>
      <c r="CDO76" s="16"/>
      <c r="CDP76" s="16"/>
      <c r="CDQ76" s="16"/>
      <c r="CDR76" s="16"/>
      <c r="CDS76" s="16"/>
      <c r="CDT76" s="16"/>
      <c r="CDU76" s="16"/>
      <c r="CDV76" s="16"/>
      <c r="CDW76" s="16"/>
      <c r="CDX76" s="16"/>
      <c r="CDY76" s="16"/>
      <c r="CDZ76" s="16"/>
      <c r="CEA76" s="16"/>
      <c r="CEB76" s="16"/>
      <c r="CEC76" s="16"/>
      <c r="CED76" s="16"/>
      <c r="CEE76" s="16"/>
      <c r="CEF76" s="16"/>
      <c r="CEG76" s="16"/>
      <c r="CEH76" s="16"/>
      <c r="CEI76" s="16"/>
      <c r="CEJ76" s="16"/>
      <c r="CEK76" s="16"/>
      <c r="CEL76" s="16"/>
      <c r="CEM76" s="16"/>
      <c r="CEN76" s="16"/>
      <c r="CEO76" s="16"/>
      <c r="CEP76" s="16"/>
      <c r="CEQ76" s="16"/>
      <c r="CER76" s="16"/>
      <c r="CES76" s="16"/>
      <c r="CET76" s="16"/>
      <c r="CEU76" s="16"/>
      <c r="CEV76" s="16"/>
      <c r="CEW76" s="16"/>
      <c r="CEX76" s="16"/>
      <c r="CEY76" s="16"/>
      <c r="CEZ76" s="16"/>
      <c r="CFA76" s="16"/>
      <c r="CFB76" s="16"/>
      <c r="CFC76" s="16"/>
      <c r="CFD76" s="16"/>
      <c r="CFE76" s="16"/>
      <c r="CFF76" s="16"/>
      <c r="CFG76" s="16"/>
      <c r="CFH76" s="16"/>
      <c r="CFI76" s="16"/>
      <c r="CFJ76" s="16"/>
      <c r="CFK76" s="16"/>
      <c r="CFL76" s="16"/>
      <c r="CFM76" s="16"/>
      <c r="CFN76" s="16"/>
      <c r="CFO76" s="16"/>
      <c r="CFP76" s="16"/>
      <c r="CFQ76" s="16"/>
      <c r="CFR76" s="16"/>
      <c r="CFS76" s="16"/>
      <c r="CFT76" s="16"/>
      <c r="CFU76" s="16"/>
      <c r="CFV76" s="16"/>
      <c r="CFW76" s="16"/>
      <c r="CFX76" s="16"/>
      <c r="CFY76" s="16"/>
      <c r="CFZ76" s="16"/>
      <c r="CGA76" s="16"/>
      <c r="CGB76" s="16"/>
      <c r="CGC76" s="16"/>
      <c r="CGD76" s="16"/>
      <c r="CGE76" s="16"/>
      <c r="CGF76" s="16"/>
      <c r="CGG76" s="16"/>
      <c r="CGH76" s="16"/>
      <c r="CGI76" s="16"/>
      <c r="CGJ76" s="16"/>
      <c r="CGK76" s="16"/>
      <c r="CGL76" s="16"/>
      <c r="CGM76" s="16"/>
      <c r="CGN76" s="16"/>
      <c r="CGO76" s="16"/>
      <c r="CGP76" s="16"/>
      <c r="CGQ76" s="16"/>
      <c r="CGR76" s="16"/>
      <c r="CGS76" s="16"/>
      <c r="CGT76" s="16"/>
      <c r="CGU76" s="16"/>
      <c r="CGV76" s="16"/>
      <c r="CGW76" s="16"/>
      <c r="CGX76" s="16"/>
      <c r="CGY76" s="16"/>
      <c r="CGZ76" s="16"/>
      <c r="CHA76" s="16"/>
      <c r="CHB76" s="16"/>
      <c r="CHC76" s="16"/>
      <c r="CHD76" s="16"/>
      <c r="CHE76" s="16"/>
      <c r="CHF76" s="16"/>
      <c r="CHG76" s="16"/>
      <c r="CHH76" s="16"/>
      <c r="CHI76" s="16"/>
      <c r="CHJ76" s="16"/>
      <c r="CHK76" s="16"/>
      <c r="CHL76" s="16"/>
      <c r="CHM76" s="16"/>
      <c r="CHN76" s="16"/>
      <c r="CHO76" s="16"/>
      <c r="CHP76" s="16"/>
      <c r="CHQ76" s="16"/>
      <c r="CHR76" s="16"/>
      <c r="CHS76" s="16"/>
      <c r="CHT76" s="16"/>
      <c r="CHU76" s="16"/>
      <c r="CHV76" s="16"/>
      <c r="CHW76" s="16"/>
      <c r="CHX76" s="16"/>
      <c r="CHY76" s="16"/>
      <c r="CHZ76" s="16"/>
      <c r="CIA76" s="16"/>
      <c r="CIB76" s="16"/>
      <c r="CIC76" s="16"/>
      <c r="CID76" s="16"/>
      <c r="CIE76" s="16"/>
      <c r="CIF76" s="16"/>
      <c r="CIG76" s="16"/>
      <c r="CIH76" s="16"/>
      <c r="CII76" s="16"/>
      <c r="CIJ76" s="16"/>
      <c r="CIK76" s="16"/>
      <c r="CIL76" s="16"/>
      <c r="CIM76" s="16"/>
      <c r="CIN76" s="16"/>
      <c r="CIO76" s="16"/>
      <c r="CIP76" s="16"/>
      <c r="CIQ76" s="16"/>
      <c r="CIR76" s="16"/>
      <c r="CIS76" s="16"/>
      <c r="CIT76" s="16"/>
      <c r="CIU76" s="16"/>
      <c r="CIV76" s="16"/>
      <c r="CIW76" s="16"/>
      <c r="CIX76" s="16"/>
      <c r="CIY76" s="16"/>
      <c r="CIZ76" s="16"/>
      <c r="CJA76" s="16"/>
      <c r="CJB76" s="16"/>
      <c r="CJC76" s="16"/>
      <c r="CJD76" s="16"/>
      <c r="CJE76" s="16"/>
      <c r="CJF76" s="16"/>
      <c r="CJG76" s="16"/>
      <c r="CJH76" s="16"/>
      <c r="CJI76" s="16"/>
      <c r="CJJ76" s="16"/>
      <c r="CJK76" s="16"/>
      <c r="CJL76" s="16"/>
      <c r="CJM76" s="16"/>
      <c r="CJN76" s="16"/>
      <c r="CJO76" s="16"/>
      <c r="CJP76" s="16"/>
      <c r="CJQ76" s="16"/>
      <c r="CJR76" s="16"/>
      <c r="CJS76" s="16"/>
      <c r="CJT76" s="16"/>
      <c r="CJU76" s="16"/>
      <c r="CJV76" s="16"/>
      <c r="CJW76" s="16"/>
      <c r="CJX76" s="16"/>
      <c r="CJY76" s="16"/>
      <c r="CJZ76" s="16"/>
      <c r="CKA76" s="16"/>
      <c r="CKB76" s="16"/>
      <c r="CKC76" s="16"/>
      <c r="CKD76" s="16"/>
      <c r="CKE76" s="16"/>
      <c r="CKF76" s="16"/>
      <c r="CKG76" s="16"/>
      <c r="CKH76" s="16"/>
      <c r="CKI76" s="16"/>
      <c r="CKJ76" s="16"/>
      <c r="CKK76" s="16"/>
      <c r="CKL76" s="16"/>
      <c r="CKM76" s="16"/>
      <c r="CKN76" s="16"/>
      <c r="CKO76" s="16"/>
      <c r="CKP76" s="16"/>
      <c r="CKQ76" s="16"/>
      <c r="CKR76" s="16"/>
      <c r="CKS76" s="16"/>
      <c r="CKT76" s="16"/>
      <c r="CKU76" s="16"/>
      <c r="CKV76" s="16"/>
      <c r="CKW76" s="16"/>
      <c r="CKX76" s="16"/>
      <c r="CKY76" s="16"/>
      <c r="CKZ76" s="16"/>
      <c r="CLA76" s="16"/>
      <c r="CLB76" s="16"/>
      <c r="CLC76" s="16"/>
      <c r="CLD76" s="16"/>
      <c r="CLE76" s="16"/>
      <c r="CLF76" s="16"/>
      <c r="CLG76" s="16"/>
      <c r="CLH76" s="16"/>
      <c r="CLI76" s="16"/>
      <c r="CLJ76" s="16"/>
      <c r="CLK76" s="16"/>
      <c r="CLL76" s="16"/>
      <c r="CLM76" s="16"/>
      <c r="CLN76" s="16"/>
      <c r="CLO76" s="16"/>
      <c r="CLP76" s="16"/>
      <c r="CLQ76" s="16"/>
      <c r="CLR76" s="16"/>
      <c r="CLS76" s="16"/>
      <c r="CLT76" s="16"/>
      <c r="CLU76" s="16"/>
      <c r="CLV76" s="16"/>
      <c r="CLW76" s="16"/>
      <c r="CLX76" s="16"/>
      <c r="CLY76" s="16"/>
      <c r="CLZ76" s="16"/>
      <c r="CMA76" s="16"/>
      <c r="CMB76" s="16"/>
      <c r="CMC76" s="16"/>
      <c r="CMD76" s="16"/>
      <c r="CME76" s="16"/>
      <c r="CMF76" s="16"/>
      <c r="CMG76" s="16"/>
      <c r="CMH76" s="16"/>
      <c r="CMI76" s="16"/>
      <c r="CMJ76" s="16"/>
      <c r="CMK76" s="16"/>
      <c r="CML76" s="16"/>
      <c r="CMM76" s="16"/>
      <c r="CMN76" s="16"/>
      <c r="CMO76" s="16"/>
      <c r="CMP76" s="16"/>
      <c r="CMQ76" s="16"/>
      <c r="CMR76" s="16"/>
      <c r="CMS76" s="16"/>
      <c r="CMT76" s="16"/>
      <c r="CMU76" s="16"/>
      <c r="CMV76" s="16"/>
      <c r="CMW76" s="16"/>
      <c r="CMX76" s="16"/>
      <c r="CMY76" s="16"/>
      <c r="CMZ76" s="16"/>
      <c r="CNA76" s="16"/>
      <c r="CNB76" s="16"/>
      <c r="CNC76" s="16"/>
      <c r="CND76" s="16"/>
      <c r="CNE76" s="16"/>
      <c r="CNF76" s="16"/>
      <c r="CNG76" s="16"/>
      <c r="CNH76" s="16"/>
      <c r="CNI76" s="16"/>
      <c r="CNJ76" s="16"/>
      <c r="CNK76" s="16"/>
      <c r="CNL76" s="16"/>
      <c r="CNM76" s="16"/>
      <c r="CNN76" s="16"/>
      <c r="CNO76" s="16"/>
      <c r="CNP76" s="16"/>
      <c r="CNQ76" s="16"/>
      <c r="CNR76" s="16"/>
      <c r="CNS76" s="16"/>
      <c r="CNT76" s="16"/>
      <c r="CNU76" s="16"/>
      <c r="CNV76" s="16"/>
      <c r="CNW76" s="16"/>
      <c r="CNX76" s="16"/>
      <c r="CNY76" s="16"/>
      <c r="CNZ76" s="16"/>
      <c r="COA76" s="16"/>
      <c r="COB76" s="16"/>
      <c r="COC76" s="16"/>
      <c r="COD76" s="16"/>
      <c r="COE76" s="16"/>
      <c r="COF76" s="16"/>
      <c r="COG76" s="16"/>
      <c r="COH76" s="16"/>
      <c r="COI76" s="16"/>
      <c r="COJ76" s="16"/>
      <c r="COK76" s="16"/>
      <c r="COL76" s="16"/>
      <c r="COM76" s="16"/>
      <c r="CON76" s="16"/>
      <c r="COO76" s="16"/>
      <c r="COP76" s="16"/>
      <c r="COQ76" s="16"/>
      <c r="COR76" s="16"/>
      <c r="COS76" s="16"/>
      <c r="COT76" s="16"/>
      <c r="COU76" s="16"/>
      <c r="COV76" s="16"/>
      <c r="COW76" s="16"/>
      <c r="COX76" s="16"/>
      <c r="COY76" s="16"/>
      <c r="COZ76" s="16"/>
      <c r="CPA76" s="16"/>
      <c r="CPB76" s="16"/>
      <c r="CPC76" s="16"/>
      <c r="CPD76" s="16"/>
      <c r="CPE76" s="16"/>
      <c r="CPF76" s="16"/>
      <c r="CPG76" s="16"/>
      <c r="CPH76" s="16"/>
      <c r="CPI76" s="16"/>
      <c r="CPJ76" s="16"/>
      <c r="CPK76" s="16"/>
      <c r="CPL76" s="16"/>
      <c r="CPM76" s="16"/>
      <c r="CPN76" s="16"/>
      <c r="CPO76" s="16"/>
      <c r="CPP76" s="16"/>
      <c r="CPQ76" s="16"/>
      <c r="CPR76" s="16"/>
      <c r="CPS76" s="16"/>
      <c r="CPT76" s="16"/>
      <c r="CPU76" s="16"/>
      <c r="CPV76" s="16"/>
      <c r="CPW76" s="16"/>
      <c r="CPX76" s="16"/>
      <c r="CPY76" s="16"/>
      <c r="CPZ76" s="16"/>
      <c r="CQA76" s="16"/>
      <c r="CQB76" s="16"/>
      <c r="CQC76" s="16"/>
      <c r="CQD76" s="16"/>
      <c r="CQE76" s="16"/>
      <c r="CQF76" s="16"/>
      <c r="CQG76" s="16"/>
      <c r="CQH76" s="16"/>
      <c r="CQI76" s="16"/>
      <c r="CQJ76" s="16"/>
      <c r="CQK76" s="16"/>
      <c r="CQL76" s="16"/>
      <c r="CQM76" s="16"/>
      <c r="CQN76" s="16"/>
      <c r="CQO76" s="16"/>
      <c r="CQP76" s="16"/>
      <c r="CQQ76" s="16"/>
      <c r="CQR76" s="16"/>
      <c r="CQS76" s="16"/>
      <c r="CQT76" s="16"/>
      <c r="CQU76" s="16"/>
      <c r="CQV76" s="16"/>
      <c r="CQW76" s="16"/>
      <c r="CQX76" s="16"/>
      <c r="CQY76" s="16"/>
      <c r="CQZ76" s="16"/>
      <c r="CRA76" s="16"/>
      <c r="CRB76" s="16"/>
      <c r="CRC76" s="16"/>
      <c r="CRD76" s="16"/>
      <c r="CRE76" s="16"/>
      <c r="CRF76" s="16"/>
      <c r="CRG76" s="16"/>
      <c r="CRH76" s="16"/>
      <c r="CRI76" s="16"/>
      <c r="CRJ76" s="16"/>
      <c r="CRK76" s="16"/>
      <c r="CRL76" s="16"/>
      <c r="CRM76" s="16"/>
      <c r="CRN76" s="16"/>
      <c r="CRO76" s="16"/>
      <c r="CRP76" s="16"/>
      <c r="CRQ76" s="16"/>
      <c r="CRR76" s="16"/>
      <c r="CRS76" s="16"/>
      <c r="CRT76" s="16"/>
      <c r="CRU76" s="16"/>
      <c r="CRV76" s="16"/>
      <c r="CRW76" s="16"/>
      <c r="CRX76" s="16"/>
      <c r="CRY76" s="16"/>
      <c r="CRZ76" s="16"/>
      <c r="CSA76" s="16"/>
      <c r="CSB76" s="16"/>
      <c r="CSC76" s="16"/>
      <c r="CSD76" s="16"/>
      <c r="CSE76" s="16"/>
      <c r="CSF76" s="16"/>
      <c r="CSG76" s="16"/>
      <c r="CSH76" s="16"/>
      <c r="CSI76" s="16"/>
      <c r="CSJ76" s="16"/>
      <c r="CSK76" s="24"/>
      <c r="CSL76" s="16"/>
      <c r="CSM76" s="16"/>
      <c r="CSN76" s="16"/>
      <c r="CSO76" s="16"/>
      <c r="CSP76" s="16"/>
      <c r="CUG76" s="16"/>
      <c r="CUH76" s="16"/>
      <c r="CUI76" s="16"/>
      <c r="CUJ76" s="16"/>
      <c r="CUK76" s="16"/>
      <c r="CUL76" s="16"/>
      <c r="CUM76" s="16"/>
      <c r="CUN76" s="16"/>
      <c r="CUO76" s="16"/>
      <c r="CUP76" s="16"/>
      <c r="CUQ76" s="16"/>
      <c r="CUR76" s="16"/>
      <c r="CUS76" s="16"/>
      <c r="CUT76" s="16"/>
      <c r="CUU76" s="16"/>
      <c r="CUV76" s="16"/>
      <c r="CUW76" s="16"/>
      <c r="CUX76" s="16"/>
      <c r="CUY76" s="16"/>
      <c r="CUZ76" s="16"/>
      <c r="CVA76" s="16"/>
      <c r="CVB76" s="16"/>
      <c r="CVC76" s="16"/>
      <c r="CVD76" s="16"/>
      <c r="CVE76" s="16"/>
      <c r="CVF76" s="16"/>
      <c r="CVG76" s="16"/>
      <c r="CVH76" s="16"/>
      <c r="CVI76" s="16"/>
      <c r="CVJ76" s="16"/>
      <c r="CVK76" s="16"/>
      <c r="CVL76" s="16"/>
      <c r="CVM76" s="16"/>
      <c r="CVN76" s="16"/>
      <c r="CVO76" s="16"/>
      <c r="CVP76" s="16"/>
    </row>
    <row r="77" spans="3:2616" ht="13.8" x14ac:dyDescent="0.25">
      <c r="C77" s="57"/>
      <c r="E77" s="16"/>
      <c r="K77" s="59"/>
      <c r="L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/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/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/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/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/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/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/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/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/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/>
      <c r="LR77" s="16"/>
      <c r="LS77" s="16"/>
      <c r="LT77" s="16"/>
      <c r="LU77" s="16"/>
      <c r="LV77" s="16"/>
      <c r="LW77" s="16"/>
      <c r="LX77" s="16"/>
      <c r="LY77" s="16"/>
      <c r="LZ77" s="16"/>
      <c r="MA77" s="16"/>
      <c r="MB77" s="16"/>
      <c r="MC77" s="16"/>
      <c r="MD77" s="16"/>
      <c r="ME77" s="16"/>
      <c r="MF77" s="16"/>
      <c r="MG77" s="16"/>
      <c r="MH77" s="16"/>
      <c r="MI77" s="16"/>
      <c r="MJ77" s="16"/>
      <c r="MK77" s="16"/>
      <c r="ML77" s="16"/>
      <c r="MM77" s="16"/>
      <c r="MN77" s="16"/>
      <c r="MO77" s="16"/>
      <c r="MP77" s="16"/>
      <c r="MQ77" s="16"/>
      <c r="MR77" s="16"/>
      <c r="MS77" s="16"/>
      <c r="MT77" s="16"/>
      <c r="MU77" s="16"/>
      <c r="MV77" s="16"/>
      <c r="MW77" s="16"/>
      <c r="MX77" s="16"/>
      <c r="MY77" s="16"/>
      <c r="MZ77" s="16"/>
      <c r="NA77" s="16"/>
      <c r="NB77" s="16"/>
      <c r="NC77" s="16"/>
      <c r="ND77" s="16"/>
      <c r="NE77" s="16"/>
      <c r="NF77" s="16"/>
      <c r="NG77" s="16"/>
      <c r="NH77" s="16"/>
      <c r="NI77" s="16"/>
      <c r="NJ77" s="16"/>
      <c r="NK77" s="16"/>
      <c r="NL77" s="16"/>
      <c r="NM77" s="16"/>
      <c r="NN77" s="16"/>
      <c r="NO77" s="16"/>
      <c r="NP77" s="16"/>
      <c r="NQ77" s="16"/>
      <c r="NR77" s="16"/>
      <c r="NS77" s="16"/>
      <c r="NT77" s="16"/>
      <c r="NU77" s="16"/>
      <c r="NV77" s="16"/>
      <c r="NW77" s="16"/>
      <c r="NX77" s="16"/>
      <c r="NY77" s="16"/>
      <c r="NZ77" s="16"/>
      <c r="OA77" s="16"/>
      <c r="OB77" s="16"/>
      <c r="OC77" s="16"/>
      <c r="OD77" s="16"/>
      <c r="OE77" s="16"/>
      <c r="OF77" s="16"/>
      <c r="OG77" s="16"/>
      <c r="OH77" s="16"/>
      <c r="OI77" s="16"/>
      <c r="OJ77" s="16"/>
      <c r="OK77" s="16"/>
      <c r="OL77" s="16"/>
      <c r="OM77" s="16"/>
      <c r="ON77" s="16"/>
      <c r="OO77" s="16"/>
      <c r="OP77" s="16"/>
      <c r="OQ77" s="16"/>
      <c r="OR77" s="16"/>
      <c r="OS77" s="16"/>
      <c r="OT77" s="16"/>
      <c r="OU77" s="16"/>
      <c r="OV77" s="16"/>
      <c r="OW77" s="16"/>
      <c r="OX77" s="16"/>
      <c r="OY77" s="16"/>
      <c r="OZ77" s="16"/>
      <c r="PA77" s="16"/>
      <c r="PB77" s="16"/>
      <c r="PC77" s="16"/>
      <c r="PD77" s="16"/>
      <c r="PE77" s="16"/>
      <c r="PF77" s="16"/>
      <c r="PG77" s="16"/>
      <c r="PH77" s="16"/>
      <c r="PI77" s="16"/>
      <c r="PJ77" s="16"/>
      <c r="PK77" s="16"/>
      <c r="PL77" s="16"/>
      <c r="PM77" s="16"/>
      <c r="PN77" s="16"/>
      <c r="PO77" s="16"/>
      <c r="PP77" s="16"/>
      <c r="PQ77" s="16"/>
      <c r="PR77" s="16"/>
      <c r="PS77" s="16"/>
      <c r="PT77" s="16"/>
      <c r="PU77" s="16"/>
      <c r="PV77" s="16"/>
      <c r="PW77" s="16"/>
      <c r="PX77" s="16"/>
      <c r="PY77" s="16"/>
      <c r="PZ77" s="16"/>
      <c r="QA77" s="16"/>
      <c r="QB77" s="16"/>
      <c r="QC77" s="16"/>
      <c r="QD77" s="16"/>
      <c r="QE77" s="16"/>
      <c r="QF77" s="16"/>
      <c r="QG77" s="16"/>
      <c r="QH77" s="16"/>
      <c r="QI77" s="16"/>
      <c r="QJ77" s="16"/>
      <c r="QK77" s="16"/>
      <c r="QL77" s="16"/>
      <c r="QM77" s="16"/>
      <c r="QN77" s="16"/>
      <c r="QO77" s="16"/>
      <c r="QP77" s="16"/>
      <c r="QQ77" s="16"/>
      <c r="QR77" s="16"/>
      <c r="QS77" s="16"/>
      <c r="QT77" s="16"/>
      <c r="QU77" s="16"/>
      <c r="QV77" s="16"/>
      <c r="QW77" s="16"/>
      <c r="QX77" s="16"/>
      <c r="QY77" s="16"/>
      <c r="QZ77" s="16"/>
      <c r="RA77" s="16"/>
      <c r="RB77" s="16"/>
      <c r="RC77" s="16"/>
      <c r="RD77" s="16"/>
      <c r="RE77" s="16"/>
      <c r="RF77" s="16"/>
      <c r="RG77" s="16"/>
      <c r="RH77" s="16"/>
      <c r="RI77" s="16"/>
      <c r="RJ77" s="16"/>
      <c r="RK77" s="16"/>
      <c r="RL77" s="16"/>
      <c r="RM77" s="16"/>
      <c r="RN77" s="16"/>
      <c r="RO77" s="16"/>
      <c r="RP77" s="16"/>
      <c r="RQ77" s="16"/>
      <c r="RR77" s="16"/>
      <c r="RS77" s="16"/>
      <c r="RT77" s="16"/>
      <c r="RU77" s="16"/>
      <c r="RV77" s="16"/>
      <c r="RW77" s="16"/>
      <c r="RX77" s="16"/>
      <c r="RY77" s="16"/>
      <c r="RZ77" s="16"/>
      <c r="SA77" s="16"/>
      <c r="SB77" s="16"/>
      <c r="SC77" s="16"/>
      <c r="SD77" s="16"/>
      <c r="SE77" s="16"/>
      <c r="SF77" s="16"/>
      <c r="SG77" s="16"/>
      <c r="SH77" s="16"/>
      <c r="SI77" s="16"/>
      <c r="SJ77" s="16"/>
      <c r="SK77" s="16"/>
      <c r="SL77" s="16"/>
      <c r="SM77" s="16"/>
      <c r="SN77" s="16"/>
      <c r="SO77" s="16"/>
      <c r="SP77" s="16"/>
      <c r="SQ77" s="16"/>
      <c r="SR77" s="16"/>
      <c r="SS77" s="16"/>
      <c r="ST77" s="16"/>
      <c r="SU77" s="16"/>
      <c r="SV77" s="16"/>
      <c r="SW77" s="16"/>
      <c r="SX77" s="16"/>
      <c r="SY77" s="16"/>
      <c r="SZ77" s="16"/>
      <c r="TA77" s="16"/>
      <c r="TB77" s="16"/>
      <c r="TC77" s="16"/>
      <c r="TD77" s="16"/>
      <c r="TE77" s="16"/>
      <c r="TF77" s="16"/>
      <c r="TG77" s="16"/>
      <c r="TH77" s="16"/>
      <c r="TI77" s="16"/>
      <c r="TJ77" s="16"/>
      <c r="TK77" s="16"/>
      <c r="TL77" s="16"/>
      <c r="TM77" s="16"/>
      <c r="TN77" s="16"/>
      <c r="TO77" s="16"/>
      <c r="TP77" s="16"/>
      <c r="TQ77" s="16"/>
      <c r="TR77" s="16"/>
      <c r="TS77" s="16"/>
      <c r="TT77" s="16"/>
      <c r="TU77" s="16"/>
      <c r="TV77" s="16"/>
      <c r="TW77" s="16"/>
      <c r="TX77" s="16"/>
      <c r="TY77" s="16"/>
      <c r="TZ77" s="16"/>
      <c r="UA77" s="16"/>
      <c r="UB77" s="16"/>
      <c r="UC77" s="16"/>
      <c r="UD77" s="16"/>
      <c r="UE77" s="16"/>
      <c r="UF77" s="16"/>
      <c r="UG77" s="16"/>
      <c r="UH77" s="16"/>
      <c r="UI77" s="16"/>
      <c r="UJ77" s="16"/>
      <c r="UK77" s="16"/>
      <c r="UL77" s="16"/>
      <c r="UM77" s="16"/>
      <c r="UN77" s="16"/>
      <c r="UO77" s="16"/>
      <c r="UP77" s="16"/>
      <c r="UQ77" s="16"/>
      <c r="UR77" s="16"/>
      <c r="US77" s="16"/>
      <c r="UT77" s="16"/>
      <c r="UU77" s="16"/>
      <c r="UV77" s="16"/>
      <c r="UW77" s="16"/>
      <c r="UX77" s="16"/>
      <c r="UY77" s="16"/>
      <c r="UZ77" s="16"/>
      <c r="VA77" s="16"/>
      <c r="VB77" s="16"/>
      <c r="VC77" s="16"/>
      <c r="VD77" s="16"/>
      <c r="VE77" s="16"/>
      <c r="VF77" s="16"/>
      <c r="VG77" s="16"/>
      <c r="VH77" s="16"/>
      <c r="VI77" s="16"/>
      <c r="VJ77" s="16"/>
      <c r="VK77" s="16"/>
      <c r="VL77" s="16"/>
      <c r="VM77" s="16"/>
      <c r="VN77" s="16"/>
      <c r="VO77" s="16"/>
      <c r="VP77" s="16"/>
      <c r="VQ77" s="16"/>
      <c r="VR77" s="16"/>
      <c r="VS77" s="16"/>
      <c r="VT77" s="16"/>
      <c r="VU77" s="16"/>
      <c r="VV77" s="16"/>
      <c r="VW77" s="16"/>
      <c r="VX77" s="16"/>
      <c r="VY77" s="16"/>
      <c r="VZ77" s="16"/>
      <c r="WA77" s="16"/>
      <c r="WB77" s="16"/>
      <c r="WC77" s="16"/>
      <c r="WD77" s="16"/>
      <c r="WE77" s="16"/>
      <c r="WF77" s="16"/>
      <c r="WG77" s="16"/>
      <c r="WH77" s="16"/>
      <c r="WI77" s="16"/>
      <c r="WJ77" s="16"/>
      <c r="WK77" s="16"/>
      <c r="WL77" s="16"/>
      <c r="WM77" s="16"/>
      <c r="WN77" s="16"/>
      <c r="WO77" s="16"/>
      <c r="WP77" s="16"/>
      <c r="WQ77" s="16"/>
      <c r="WR77" s="16"/>
      <c r="WS77" s="16"/>
      <c r="WT77" s="16"/>
      <c r="WU77" s="16"/>
      <c r="WV77" s="16"/>
      <c r="WW77" s="16"/>
      <c r="WX77" s="16"/>
      <c r="WY77" s="16"/>
      <c r="WZ77" s="16"/>
      <c r="XA77" s="16"/>
      <c r="XB77" s="16"/>
      <c r="XC77" s="16"/>
      <c r="XD77" s="16"/>
      <c r="XE77" s="16"/>
      <c r="XF77" s="16"/>
      <c r="XG77" s="16"/>
      <c r="XH77" s="16"/>
      <c r="XI77" s="16"/>
      <c r="XJ77" s="16"/>
      <c r="XK77" s="16"/>
      <c r="XL77" s="16"/>
      <c r="XM77" s="16"/>
      <c r="XN77" s="16"/>
      <c r="XO77" s="16"/>
      <c r="XP77" s="16"/>
      <c r="XQ77" s="16"/>
      <c r="XR77" s="16"/>
      <c r="XS77" s="16"/>
      <c r="XT77" s="16"/>
      <c r="XU77" s="16"/>
      <c r="XV77" s="16"/>
      <c r="XW77" s="16"/>
      <c r="XX77" s="16"/>
      <c r="XY77" s="16"/>
      <c r="XZ77" s="16"/>
      <c r="YA77" s="16"/>
      <c r="YB77" s="16"/>
      <c r="YC77" s="16"/>
      <c r="YD77" s="16"/>
      <c r="YE77" s="16"/>
      <c r="YF77" s="16"/>
      <c r="YG77" s="16"/>
      <c r="YH77" s="16"/>
      <c r="YI77" s="16"/>
      <c r="YJ77" s="16"/>
      <c r="YK77" s="16"/>
      <c r="YL77" s="16"/>
      <c r="YM77" s="16"/>
      <c r="YN77" s="16"/>
      <c r="YO77" s="16"/>
      <c r="YP77" s="16"/>
      <c r="YQ77" s="16"/>
      <c r="YR77" s="16"/>
      <c r="YS77" s="16"/>
      <c r="YT77" s="16"/>
      <c r="YU77" s="16"/>
      <c r="YV77" s="16"/>
      <c r="YW77" s="16"/>
      <c r="YX77" s="16"/>
      <c r="YY77" s="16"/>
      <c r="YZ77" s="16"/>
      <c r="ZA77" s="16"/>
      <c r="ZB77" s="16"/>
      <c r="ZC77" s="16"/>
      <c r="ZD77" s="16"/>
      <c r="ZE77" s="16"/>
      <c r="ZF77" s="16"/>
      <c r="ZG77" s="16"/>
      <c r="ZH77" s="16"/>
      <c r="ZI77" s="16"/>
      <c r="ZJ77" s="16"/>
      <c r="ZK77" s="16"/>
      <c r="ZL77" s="16"/>
      <c r="ZM77" s="16"/>
      <c r="ZN77" s="16"/>
      <c r="ZO77" s="16"/>
      <c r="ZP77" s="16"/>
      <c r="ZQ77" s="16"/>
      <c r="ZR77" s="16"/>
      <c r="ZS77" s="16"/>
      <c r="ZT77" s="16"/>
      <c r="ZU77" s="16"/>
      <c r="ZV77" s="16"/>
      <c r="ZW77" s="16"/>
      <c r="ZX77" s="16"/>
      <c r="ZY77" s="16"/>
      <c r="ZZ77" s="16"/>
      <c r="AAA77" s="16"/>
      <c r="AAB77" s="16"/>
      <c r="AAC77" s="16"/>
      <c r="AAD77" s="16"/>
      <c r="AAE77" s="16"/>
      <c r="AAF77" s="16"/>
      <c r="AAG77" s="16"/>
      <c r="AAH77" s="16"/>
      <c r="AAI77" s="16"/>
      <c r="AAJ77" s="16"/>
      <c r="AAK77" s="16"/>
      <c r="AAL77" s="16"/>
      <c r="AAM77" s="16"/>
      <c r="AAN77" s="16"/>
      <c r="AAO77" s="16"/>
      <c r="AAP77" s="16"/>
      <c r="AAQ77" s="16"/>
      <c r="AAR77" s="16"/>
      <c r="AAS77" s="16"/>
      <c r="AAT77" s="16"/>
      <c r="AAU77" s="16"/>
      <c r="AAV77" s="16"/>
      <c r="AAW77" s="16"/>
      <c r="AAX77" s="16"/>
      <c r="AAY77" s="16"/>
      <c r="AAZ77" s="16"/>
      <c r="ABA77" s="16"/>
      <c r="ABB77" s="16"/>
      <c r="ABC77" s="16"/>
      <c r="ABD77" s="16"/>
      <c r="ABE77" s="16"/>
      <c r="ABF77" s="16"/>
      <c r="ABG77" s="16"/>
      <c r="ABH77" s="16"/>
      <c r="ABI77" s="16"/>
      <c r="ABJ77" s="16"/>
      <c r="ABK77" s="16"/>
      <c r="ABL77" s="16"/>
      <c r="ABM77" s="16"/>
      <c r="ABN77" s="16"/>
      <c r="ABO77" s="16"/>
      <c r="ABP77" s="16"/>
      <c r="ABQ77" s="16"/>
      <c r="ABR77" s="16"/>
      <c r="ABS77" s="16"/>
      <c r="ABT77" s="16"/>
      <c r="ABU77" s="16"/>
      <c r="ABV77" s="16"/>
      <c r="ABW77" s="16"/>
      <c r="ABX77" s="16"/>
      <c r="ABY77" s="16"/>
      <c r="ABZ77" s="16"/>
      <c r="ACA77" s="16"/>
      <c r="ACB77" s="16"/>
      <c r="ACC77" s="16"/>
      <c r="ACD77" s="16"/>
      <c r="ACE77" s="16"/>
      <c r="ACF77" s="16"/>
      <c r="ACG77" s="16"/>
      <c r="ACH77" s="16"/>
      <c r="ACI77" s="16"/>
      <c r="ACJ77" s="16"/>
      <c r="ACK77" s="16"/>
      <c r="ACL77" s="16"/>
      <c r="ACM77" s="16"/>
      <c r="ACN77" s="16"/>
      <c r="ACO77" s="16"/>
      <c r="ACP77" s="16"/>
      <c r="ACQ77" s="16"/>
      <c r="ACR77" s="16"/>
      <c r="ACS77" s="16"/>
      <c r="ACT77" s="16"/>
      <c r="ACU77" s="16"/>
      <c r="ACV77" s="16"/>
      <c r="ACW77" s="16"/>
      <c r="ACX77" s="16"/>
      <c r="ACY77" s="16"/>
      <c r="ACZ77" s="16"/>
      <c r="ADA77" s="16"/>
      <c r="ADB77" s="16"/>
      <c r="ADC77" s="16"/>
      <c r="ADD77" s="16"/>
      <c r="ADE77" s="16"/>
      <c r="ADF77" s="16"/>
      <c r="ADG77" s="16"/>
      <c r="ADH77" s="16"/>
      <c r="ADI77" s="16"/>
      <c r="ADJ77" s="16"/>
      <c r="ADK77" s="16"/>
      <c r="ADL77" s="16"/>
      <c r="ADM77" s="16"/>
      <c r="ADN77" s="16"/>
      <c r="ADO77" s="16"/>
      <c r="ADP77" s="16"/>
      <c r="ADQ77" s="16"/>
      <c r="ADR77" s="16"/>
      <c r="ADS77" s="16"/>
      <c r="ADT77" s="16"/>
      <c r="ADU77" s="16"/>
      <c r="ADV77" s="16"/>
      <c r="ADW77" s="16"/>
      <c r="ADX77" s="16"/>
      <c r="ADY77" s="16"/>
      <c r="ADZ77" s="16"/>
      <c r="AEA77" s="16"/>
      <c r="AEB77" s="16"/>
      <c r="AEC77" s="16"/>
      <c r="AED77" s="16"/>
      <c r="AEE77" s="16"/>
      <c r="AEF77" s="16"/>
      <c r="AEG77" s="16"/>
      <c r="AEH77" s="16"/>
      <c r="AEI77" s="16"/>
      <c r="AEJ77" s="16"/>
      <c r="AEK77" s="16"/>
      <c r="AEL77" s="16"/>
      <c r="AEM77" s="16"/>
      <c r="AEN77" s="16"/>
      <c r="AEO77" s="16"/>
      <c r="AEP77" s="16"/>
      <c r="AEQ77" s="16"/>
      <c r="AER77" s="16"/>
      <c r="AES77" s="16"/>
      <c r="AET77" s="16"/>
      <c r="AEU77" s="16"/>
      <c r="AEV77" s="16"/>
      <c r="AEW77" s="16"/>
      <c r="AEX77" s="16"/>
      <c r="AEY77" s="16"/>
      <c r="AEZ77" s="16"/>
      <c r="AFA77" s="16"/>
      <c r="AFB77" s="16"/>
      <c r="AFC77" s="16"/>
      <c r="AFD77" s="16"/>
      <c r="AFE77" s="16"/>
      <c r="AFF77" s="16"/>
      <c r="AFG77" s="16"/>
      <c r="AFH77" s="16"/>
      <c r="AFI77" s="16"/>
      <c r="AFJ77" s="16"/>
      <c r="AFK77" s="16"/>
      <c r="AFL77" s="16"/>
      <c r="AFM77" s="16"/>
      <c r="AFN77" s="16"/>
      <c r="AFO77" s="16"/>
      <c r="AFP77" s="16"/>
      <c r="AFQ77" s="16"/>
      <c r="AFR77" s="16"/>
      <c r="AFS77" s="16"/>
      <c r="AFT77" s="16"/>
      <c r="AFU77" s="16"/>
      <c r="AFV77" s="16"/>
      <c r="AFW77" s="16"/>
      <c r="AFX77" s="16"/>
      <c r="AFY77" s="16"/>
      <c r="AFZ77" s="16"/>
      <c r="AGA77" s="16"/>
      <c r="AGB77" s="16"/>
      <c r="AGC77" s="16"/>
      <c r="AGD77" s="16"/>
      <c r="AGE77" s="16"/>
      <c r="AGF77" s="16"/>
      <c r="AGG77" s="16"/>
      <c r="AGH77" s="16"/>
      <c r="AGI77" s="16"/>
      <c r="AGJ77" s="16"/>
      <c r="AGK77" s="16"/>
      <c r="AGL77" s="16"/>
      <c r="AGM77" s="16"/>
      <c r="AGN77" s="16"/>
      <c r="AGO77" s="16"/>
      <c r="AGP77" s="16"/>
      <c r="AGQ77" s="16"/>
      <c r="AGR77" s="16"/>
      <c r="AGS77" s="16"/>
      <c r="AGT77" s="16"/>
      <c r="AGU77" s="16"/>
      <c r="AGV77" s="16"/>
      <c r="AGW77" s="16"/>
      <c r="AGX77" s="16"/>
      <c r="AGY77" s="16"/>
      <c r="AGZ77" s="16"/>
      <c r="AHA77" s="16"/>
      <c r="AHB77" s="16"/>
      <c r="AHC77" s="16"/>
      <c r="AHD77" s="16"/>
      <c r="AHE77" s="16"/>
      <c r="AHF77" s="16"/>
      <c r="AHG77" s="16"/>
      <c r="AHH77" s="16"/>
      <c r="AHI77" s="16"/>
      <c r="AHJ77" s="16"/>
      <c r="AHK77" s="16"/>
      <c r="AHL77" s="16"/>
      <c r="AHM77" s="16"/>
      <c r="AHN77" s="16"/>
      <c r="AHO77" s="16"/>
      <c r="AHP77" s="16"/>
      <c r="AHQ77" s="16"/>
      <c r="AHR77" s="16"/>
      <c r="AHS77" s="16"/>
      <c r="AHT77" s="16"/>
      <c r="AHU77" s="16"/>
      <c r="AHV77" s="16"/>
      <c r="AHW77" s="16"/>
      <c r="AHX77" s="16"/>
      <c r="AHY77" s="16"/>
      <c r="AHZ77" s="16"/>
      <c r="AIA77" s="16"/>
      <c r="AIB77" s="16"/>
      <c r="AIC77" s="16"/>
      <c r="AID77" s="16"/>
      <c r="AIE77" s="16"/>
      <c r="AIF77" s="16"/>
      <c r="AIG77" s="16"/>
      <c r="AIH77" s="16"/>
      <c r="AII77" s="16"/>
      <c r="AIJ77" s="16"/>
      <c r="AIK77" s="16"/>
      <c r="AIL77" s="16"/>
      <c r="AIM77" s="16"/>
      <c r="AIN77" s="16"/>
      <c r="AIO77" s="16"/>
      <c r="AIP77" s="16"/>
      <c r="AIQ77" s="16"/>
      <c r="AIR77" s="16"/>
      <c r="AIS77" s="16"/>
      <c r="AIT77" s="16"/>
      <c r="AIU77" s="16"/>
      <c r="AIV77" s="16"/>
      <c r="AIW77" s="16"/>
      <c r="AIX77" s="16"/>
      <c r="AIY77" s="16"/>
      <c r="AIZ77" s="16"/>
      <c r="AJA77" s="16"/>
      <c r="AJB77" s="16"/>
      <c r="AJC77" s="16"/>
      <c r="AJD77" s="16"/>
      <c r="AJE77" s="16"/>
      <c r="AJF77" s="16"/>
      <c r="AJG77" s="16"/>
      <c r="AJH77" s="16"/>
      <c r="AJI77" s="16"/>
      <c r="AJJ77" s="16"/>
      <c r="AJK77" s="16"/>
      <c r="AJL77" s="16"/>
      <c r="AJM77" s="16"/>
      <c r="AJN77" s="16"/>
      <c r="AJO77" s="16"/>
      <c r="AJP77" s="16"/>
      <c r="AJQ77" s="16"/>
      <c r="AJR77" s="16"/>
      <c r="AJS77" s="16"/>
      <c r="AJT77" s="16"/>
      <c r="AJU77" s="16"/>
      <c r="AJV77" s="16"/>
      <c r="AJW77" s="16"/>
      <c r="AJX77" s="16"/>
      <c r="AJY77" s="16"/>
      <c r="AJZ77" s="16"/>
      <c r="AKA77" s="16"/>
      <c r="AKB77" s="16"/>
      <c r="AKC77" s="16"/>
      <c r="AKD77" s="16"/>
      <c r="AKE77" s="16"/>
      <c r="AKF77" s="16"/>
      <c r="AKG77" s="16"/>
      <c r="AKH77" s="16"/>
      <c r="AKI77" s="16"/>
      <c r="AKJ77" s="16"/>
      <c r="AKK77" s="16"/>
      <c r="AKL77" s="16"/>
      <c r="AKM77" s="16"/>
      <c r="AKN77" s="16"/>
      <c r="AKO77" s="16"/>
      <c r="AKP77" s="16"/>
      <c r="AKQ77" s="16"/>
      <c r="AKR77" s="16"/>
      <c r="AKS77" s="16"/>
      <c r="AKT77" s="16"/>
      <c r="AKU77" s="16"/>
      <c r="AKV77" s="16"/>
      <c r="AKW77" s="16"/>
      <c r="AKX77" s="16"/>
      <c r="AKY77" s="16"/>
      <c r="AKZ77" s="16"/>
      <c r="ALA77" s="16"/>
      <c r="ALB77" s="16"/>
      <c r="ALC77" s="16"/>
      <c r="ALD77" s="16"/>
      <c r="ALE77" s="16"/>
      <c r="ALF77" s="16"/>
      <c r="ALG77" s="16"/>
      <c r="ALH77" s="16"/>
      <c r="ALI77" s="16"/>
      <c r="ALJ77" s="16"/>
      <c r="ALK77" s="16"/>
      <c r="ALL77" s="16"/>
      <c r="ALM77" s="16"/>
      <c r="ALN77" s="16"/>
      <c r="ALO77" s="16"/>
      <c r="ALP77" s="16"/>
      <c r="ALQ77" s="16"/>
      <c r="ALR77" s="16"/>
      <c r="ALS77" s="16"/>
      <c r="ALT77" s="16"/>
      <c r="ALU77" s="16"/>
      <c r="ALV77" s="16"/>
      <c r="ALW77" s="16"/>
      <c r="ALX77" s="16"/>
      <c r="ALY77" s="16"/>
      <c r="ALZ77" s="16"/>
      <c r="AMA77" s="16"/>
      <c r="AMB77" s="16"/>
      <c r="AMC77" s="16"/>
      <c r="AMD77" s="16"/>
      <c r="AME77" s="16"/>
      <c r="AMF77" s="16"/>
      <c r="AMG77" s="16"/>
      <c r="AMH77" s="16"/>
      <c r="AMI77" s="16"/>
      <c r="AMJ77" s="16"/>
      <c r="AMK77" s="16"/>
      <c r="AML77" s="16"/>
      <c r="AMM77" s="16"/>
      <c r="AMN77" s="16"/>
      <c r="AMO77" s="16"/>
      <c r="AMP77" s="16"/>
      <c r="AMQ77" s="16"/>
      <c r="AMR77" s="16"/>
      <c r="AMS77" s="16"/>
      <c r="AMT77" s="16"/>
      <c r="AMU77" s="16"/>
      <c r="AMV77" s="16"/>
      <c r="AMW77" s="16"/>
      <c r="AMX77" s="16"/>
      <c r="AMY77" s="16"/>
      <c r="AMZ77" s="16"/>
      <c r="ANA77" s="16"/>
      <c r="ANB77" s="16"/>
      <c r="ANC77" s="16"/>
      <c r="AND77" s="16"/>
      <c r="ANE77" s="16"/>
      <c r="ANF77" s="16"/>
      <c r="ANG77" s="16"/>
      <c r="ANH77" s="16"/>
      <c r="ANI77" s="16"/>
      <c r="ANJ77" s="16"/>
      <c r="ANK77" s="16"/>
      <c r="ANL77" s="16"/>
      <c r="ANM77" s="16"/>
      <c r="ANN77" s="16"/>
      <c r="ANO77" s="16"/>
      <c r="ANP77" s="16"/>
      <c r="ANQ77" s="16"/>
      <c r="ANR77" s="16"/>
      <c r="ANS77" s="16"/>
      <c r="ANT77" s="16"/>
      <c r="ANU77" s="16"/>
      <c r="ANV77" s="16"/>
      <c r="ANW77" s="16"/>
      <c r="ANX77" s="16"/>
      <c r="ANY77" s="16"/>
      <c r="ANZ77" s="16"/>
      <c r="AOA77" s="16"/>
      <c r="AOB77" s="16"/>
      <c r="AOC77" s="16"/>
      <c r="AOD77" s="16"/>
      <c r="AOE77" s="16"/>
      <c r="AOF77" s="16"/>
      <c r="AOG77" s="16"/>
      <c r="AOH77" s="16"/>
      <c r="AOI77" s="16"/>
      <c r="AOJ77" s="16"/>
      <c r="AOK77" s="16"/>
      <c r="AOL77" s="16"/>
      <c r="AOM77" s="16"/>
      <c r="AON77" s="16"/>
      <c r="AOO77" s="16"/>
      <c r="AOP77" s="16"/>
      <c r="AOQ77" s="16"/>
      <c r="AOR77" s="16"/>
      <c r="AOS77" s="16"/>
      <c r="AOT77" s="16"/>
      <c r="AOU77" s="16"/>
      <c r="AOV77" s="16"/>
      <c r="AOW77" s="16"/>
      <c r="AOX77" s="16"/>
      <c r="AOY77" s="16"/>
      <c r="AOZ77" s="16"/>
      <c r="APA77" s="16"/>
      <c r="APB77" s="16"/>
      <c r="APC77" s="16"/>
      <c r="APD77" s="16"/>
      <c r="APE77" s="16"/>
      <c r="APF77" s="16"/>
      <c r="APG77" s="16"/>
      <c r="APH77" s="16"/>
      <c r="API77" s="16"/>
      <c r="APJ77" s="16"/>
      <c r="APK77" s="16"/>
      <c r="APL77" s="16"/>
      <c r="APM77" s="16"/>
      <c r="APN77" s="16"/>
      <c r="APO77" s="16"/>
      <c r="APP77" s="16"/>
      <c r="APQ77" s="16"/>
      <c r="APR77" s="16"/>
      <c r="APS77" s="16"/>
      <c r="APT77" s="16"/>
      <c r="APU77" s="16"/>
      <c r="APV77" s="16"/>
      <c r="APW77" s="16"/>
      <c r="APX77" s="16"/>
      <c r="APY77" s="16"/>
      <c r="APZ77" s="16"/>
      <c r="AQA77" s="16"/>
      <c r="AQB77" s="16"/>
      <c r="AQC77" s="16"/>
      <c r="AQD77" s="16"/>
      <c r="AQE77" s="16"/>
      <c r="AQF77" s="16"/>
      <c r="AQG77" s="16"/>
      <c r="AQH77" s="16"/>
      <c r="AQI77" s="16"/>
      <c r="AQJ77" s="16"/>
      <c r="AQK77" s="16"/>
      <c r="AQL77" s="16"/>
      <c r="AQM77" s="16"/>
      <c r="AQN77" s="16"/>
      <c r="AQO77" s="16"/>
      <c r="AQP77" s="16"/>
      <c r="AQQ77" s="16"/>
      <c r="AQR77" s="16"/>
      <c r="AQS77" s="16"/>
      <c r="AQT77" s="16"/>
      <c r="AQU77" s="16"/>
      <c r="AQV77" s="16"/>
      <c r="AQW77" s="16"/>
      <c r="AQX77" s="16"/>
      <c r="AQY77" s="16"/>
      <c r="AQZ77" s="16"/>
      <c r="ARA77" s="16"/>
      <c r="ARB77" s="16"/>
      <c r="ARC77" s="16"/>
      <c r="ARD77" s="16"/>
      <c r="ARE77" s="16"/>
      <c r="ARF77" s="16"/>
      <c r="ARG77" s="16"/>
      <c r="ARH77" s="16"/>
      <c r="ARI77" s="16"/>
      <c r="ARJ77" s="16"/>
      <c r="ARK77" s="16"/>
      <c r="ARL77" s="16"/>
      <c r="ARM77" s="16"/>
      <c r="ARN77" s="16"/>
      <c r="ARO77" s="16"/>
      <c r="ARP77" s="16"/>
      <c r="ARQ77" s="16"/>
      <c r="ARR77" s="16"/>
      <c r="ARS77" s="16"/>
      <c r="ART77" s="16"/>
      <c r="ARU77" s="16"/>
      <c r="ARV77" s="16"/>
      <c r="ARW77" s="16"/>
      <c r="ARX77" s="16"/>
      <c r="ARY77" s="16"/>
      <c r="ARZ77" s="16"/>
      <c r="ASA77" s="16"/>
      <c r="ASB77" s="16"/>
      <c r="ASC77" s="16"/>
      <c r="ASD77" s="16"/>
      <c r="ASE77" s="16"/>
      <c r="ASF77" s="16"/>
      <c r="ASG77" s="16"/>
      <c r="ASH77" s="16"/>
      <c r="ASI77" s="16"/>
      <c r="ASJ77" s="16"/>
      <c r="ASK77" s="16"/>
      <c r="ASL77" s="16"/>
      <c r="ASM77" s="16"/>
      <c r="ASN77" s="16"/>
      <c r="ASO77" s="16"/>
      <c r="ASP77" s="16"/>
      <c r="ASQ77" s="16"/>
      <c r="ASR77" s="16"/>
      <c r="ASS77" s="16"/>
      <c r="AST77" s="16"/>
      <c r="ASU77" s="16"/>
      <c r="ASV77" s="16"/>
      <c r="ASW77" s="16"/>
      <c r="ASX77" s="16"/>
      <c r="ASY77" s="16"/>
      <c r="ASZ77" s="16"/>
      <c r="ATA77" s="16"/>
      <c r="ATB77" s="16"/>
      <c r="ATC77" s="16"/>
      <c r="ATD77" s="16"/>
      <c r="ATE77" s="16"/>
      <c r="ATF77" s="16"/>
      <c r="ATG77" s="16"/>
      <c r="ATH77" s="16"/>
      <c r="ATI77" s="16"/>
      <c r="ATJ77" s="16"/>
      <c r="ATK77" s="16"/>
      <c r="ATL77" s="16"/>
      <c r="ATM77" s="16"/>
      <c r="ATN77" s="16"/>
      <c r="ATO77" s="16"/>
      <c r="ATP77" s="16"/>
      <c r="ATQ77" s="16"/>
      <c r="ATR77" s="16"/>
      <c r="ATS77" s="16"/>
      <c r="ATT77" s="16"/>
      <c r="ATU77" s="16"/>
      <c r="ATV77" s="16"/>
      <c r="ATW77" s="16"/>
      <c r="ATX77" s="16"/>
      <c r="ATY77" s="16"/>
      <c r="ATZ77" s="16"/>
      <c r="AUA77" s="16"/>
      <c r="AUB77" s="16"/>
      <c r="AUC77" s="16"/>
      <c r="AUD77" s="16"/>
      <c r="AUE77" s="16"/>
      <c r="AUF77" s="16"/>
      <c r="AUG77" s="16"/>
      <c r="AUH77" s="16"/>
      <c r="AUI77" s="16"/>
      <c r="AUJ77" s="16"/>
      <c r="AUK77" s="16"/>
      <c r="AUL77" s="16"/>
      <c r="AUM77" s="16"/>
      <c r="AUN77" s="16"/>
      <c r="AUO77" s="16"/>
      <c r="AUP77" s="16"/>
      <c r="AUQ77" s="16"/>
      <c r="AUR77" s="16"/>
      <c r="AUS77" s="16"/>
      <c r="AUT77" s="16"/>
      <c r="AUU77" s="16"/>
      <c r="AUV77" s="16"/>
      <c r="AUW77" s="16"/>
      <c r="AUX77" s="16"/>
      <c r="AUY77" s="16"/>
      <c r="AUZ77" s="16"/>
      <c r="AVA77" s="16"/>
      <c r="AVB77" s="16"/>
      <c r="AVC77" s="16"/>
      <c r="AVD77" s="16"/>
      <c r="AVE77" s="16"/>
      <c r="AVF77" s="16"/>
      <c r="AVG77" s="16"/>
      <c r="AVH77" s="16"/>
      <c r="AVI77" s="16"/>
      <c r="AVJ77" s="16"/>
      <c r="AVK77" s="16"/>
      <c r="AVL77" s="16"/>
      <c r="AVM77" s="16"/>
      <c r="AVN77" s="16"/>
      <c r="AVO77" s="16"/>
      <c r="AVP77" s="16"/>
      <c r="AVQ77" s="16"/>
      <c r="AVR77" s="16"/>
      <c r="AVS77" s="16"/>
      <c r="AVT77" s="16"/>
      <c r="AVU77" s="16"/>
      <c r="AVV77" s="16"/>
      <c r="AVW77" s="16"/>
      <c r="AVX77" s="16"/>
      <c r="AVY77" s="16"/>
      <c r="AVZ77" s="16"/>
      <c r="AWA77" s="16"/>
      <c r="AWB77" s="16"/>
      <c r="AWC77" s="16"/>
      <c r="AWD77" s="16"/>
      <c r="AWE77" s="16"/>
      <c r="AWF77" s="16"/>
      <c r="AWG77" s="16"/>
      <c r="AWH77" s="16"/>
      <c r="AWI77" s="16"/>
      <c r="AWJ77" s="16"/>
      <c r="AWK77" s="16"/>
      <c r="AWL77" s="16"/>
      <c r="AWM77" s="16"/>
      <c r="AWN77" s="16"/>
      <c r="AWO77" s="16"/>
      <c r="AWP77" s="16"/>
      <c r="AWQ77" s="16"/>
      <c r="AWR77" s="16"/>
      <c r="AWS77" s="16"/>
      <c r="AWT77" s="16"/>
      <c r="AWU77" s="16"/>
      <c r="AWV77" s="16"/>
      <c r="AWW77" s="16"/>
      <c r="AWX77" s="16"/>
      <c r="AWY77" s="16"/>
      <c r="AWZ77" s="16"/>
      <c r="AXA77" s="16"/>
      <c r="AXB77" s="16"/>
      <c r="AXC77" s="16"/>
      <c r="AXD77" s="16"/>
      <c r="AXE77" s="16"/>
      <c r="AXF77" s="16"/>
      <c r="AXG77" s="16"/>
      <c r="AXH77" s="16"/>
      <c r="AXI77" s="16"/>
      <c r="AXJ77" s="16"/>
      <c r="AXK77" s="16"/>
      <c r="AXL77" s="16"/>
      <c r="AXM77" s="16"/>
      <c r="AXN77" s="16"/>
      <c r="AXO77" s="16"/>
      <c r="AXP77" s="16"/>
      <c r="AXQ77" s="16"/>
      <c r="AXR77" s="16"/>
      <c r="AXS77" s="16"/>
      <c r="AXT77" s="16"/>
      <c r="AXU77" s="16"/>
      <c r="AXV77" s="16"/>
      <c r="AXW77" s="16"/>
      <c r="AXX77" s="16"/>
      <c r="AXY77" s="16"/>
      <c r="AXZ77" s="16"/>
      <c r="AYA77" s="16"/>
      <c r="AYB77" s="16"/>
      <c r="AYC77" s="16"/>
      <c r="AYD77" s="16"/>
      <c r="AYE77" s="16"/>
      <c r="AYF77" s="16"/>
      <c r="AYG77" s="16"/>
      <c r="AYH77" s="16"/>
      <c r="AYI77" s="16"/>
      <c r="AYJ77" s="16"/>
      <c r="AYK77" s="16"/>
      <c r="AYL77" s="16"/>
      <c r="AYM77" s="16"/>
      <c r="AYN77" s="16"/>
      <c r="AYO77" s="16"/>
      <c r="AYP77" s="16"/>
      <c r="AYQ77" s="16"/>
      <c r="AYR77" s="16"/>
      <c r="AYS77" s="16"/>
      <c r="AYT77" s="16"/>
      <c r="AYU77" s="16"/>
      <c r="AYV77" s="16"/>
      <c r="AYW77" s="16"/>
      <c r="AYX77" s="16"/>
      <c r="AYY77" s="16"/>
      <c r="AYZ77" s="16"/>
      <c r="AZA77" s="16"/>
      <c r="AZB77" s="16"/>
      <c r="AZC77" s="16"/>
      <c r="AZD77" s="16"/>
      <c r="AZE77" s="16"/>
      <c r="AZF77" s="16"/>
      <c r="AZG77" s="16"/>
      <c r="AZH77" s="16"/>
      <c r="AZI77" s="16"/>
      <c r="AZJ77" s="16"/>
      <c r="AZK77" s="16"/>
      <c r="AZL77" s="16"/>
      <c r="AZM77" s="16"/>
      <c r="AZN77" s="16"/>
      <c r="AZO77" s="16"/>
      <c r="AZP77" s="16"/>
      <c r="AZQ77" s="16"/>
      <c r="AZR77" s="16"/>
      <c r="AZS77" s="16"/>
      <c r="AZT77" s="16"/>
      <c r="AZU77" s="16"/>
      <c r="AZV77" s="16"/>
      <c r="AZW77" s="16"/>
      <c r="AZX77" s="16"/>
      <c r="AZY77" s="16"/>
      <c r="AZZ77" s="16"/>
      <c r="BAA77" s="16"/>
      <c r="BAB77" s="16"/>
      <c r="BAC77" s="16"/>
      <c r="BAD77" s="16"/>
      <c r="BAE77" s="16"/>
      <c r="BAF77" s="16"/>
      <c r="BAG77" s="16"/>
      <c r="BAH77" s="16"/>
      <c r="BAI77" s="16"/>
      <c r="BAJ77" s="16"/>
      <c r="BAK77" s="16"/>
      <c r="BAL77" s="16"/>
      <c r="BAM77" s="16"/>
      <c r="BAN77" s="16"/>
      <c r="BAO77" s="16"/>
      <c r="BAP77" s="16"/>
      <c r="BAQ77" s="16"/>
      <c r="BAR77" s="16"/>
      <c r="BAS77" s="16"/>
      <c r="BAT77" s="16"/>
      <c r="BAU77" s="16"/>
      <c r="BAV77" s="16"/>
      <c r="BAW77" s="16"/>
      <c r="BAX77" s="16"/>
      <c r="BAY77" s="16"/>
      <c r="BAZ77" s="16"/>
      <c r="BBA77" s="16"/>
      <c r="BBB77" s="16"/>
      <c r="BBC77" s="16"/>
      <c r="BBD77" s="16"/>
      <c r="BBE77" s="16"/>
      <c r="BBF77" s="16"/>
      <c r="BBG77" s="16"/>
      <c r="BBH77" s="16"/>
      <c r="BBI77" s="16"/>
      <c r="BBJ77" s="16"/>
      <c r="BBK77" s="16"/>
      <c r="BBL77" s="16"/>
      <c r="BBM77" s="16"/>
      <c r="BBN77" s="16"/>
      <c r="BBO77" s="16"/>
      <c r="BBP77" s="16"/>
      <c r="BBQ77" s="16"/>
      <c r="BBR77" s="16"/>
      <c r="BBS77" s="16"/>
      <c r="BBT77" s="16"/>
      <c r="BBU77" s="16"/>
      <c r="BBV77" s="16"/>
      <c r="BBW77" s="16"/>
      <c r="BBX77" s="16"/>
      <c r="BBY77" s="16"/>
      <c r="BBZ77" s="16"/>
      <c r="BCA77" s="16"/>
      <c r="BCB77" s="16"/>
      <c r="BCC77" s="16"/>
      <c r="BCD77" s="16"/>
      <c r="BCE77" s="16"/>
      <c r="BCF77" s="16"/>
      <c r="BCG77" s="16"/>
      <c r="BCH77" s="16"/>
      <c r="BCI77" s="16"/>
      <c r="BCJ77" s="16"/>
      <c r="BCK77" s="16"/>
      <c r="BCL77" s="16"/>
      <c r="BCM77" s="16"/>
      <c r="BCN77" s="16"/>
      <c r="BCO77" s="16"/>
      <c r="BCP77" s="16"/>
      <c r="BCQ77" s="16"/>
      <c r="BCR77" s="16"/>
      <c r="BCS77" s="16"/>
      <c r="BCT77" s="16"/>
      <c r="BCU77" s="16"/>
      <c r="BCV77" s="16"/>
      <c r="BCW77" s="16"/>
      <c r="BCX77" s="16"/>
      <c r="BCY77" s="16"/>
      <c r="BCZ77" s="16"/>
      <c r="BDA77" s="16"/>
      <c r="BDB77" s="16"/>
      <c r="BDC77" s="16"/>
      <c r="BDD77" s="16"/>
      <c r="BDE77" s="16"/>
      <c r="BDF77" s="16"/>
      <c r="BDG77" s="16"/>
      <c r="BDH77" s="16"/>
      <c r="BDI77" s="16"/>
      <c r="BDJ77" s="16"/>
      <c r="BDK77" s="16"/>
      <c r="BDL77" s="16"/>
      <c r="BDM77" s="16"/>
      <c r="BDN77" s="16"/>
      <c r="BDO77" s="16"/>
      <c r="BDP77" s="16"/>
      <c r="BDQ77" s="16"/>
      <c r="BDR77" s="16"/>
      <c r="BDS77" s="16"/>
      <c r="BDT77" s="16"/>
      <c r="BDU77" s="16"/>
      <c r="BDV77" s="16"/>
      <c r="BDW77" s="16"/>
      <c r="BDX77" s="16"/>
      <c r="BDY77" s="16"/>
      <c r="BDZ77" s="16"/>
      <c r="BEA77" s="16"/>
      <c r="BEB77" s="16"/>
      <c r="BEC77" s="16"/>
      <c r="BED77" s="16"/>
      <c r="BEE77" s="16"/>
      <c r="BEF77" s="16"/>
      <c r="BEG77" s="16"/>
      <c r="BEH77" s="16"/>
      <c r="BEI77" s="16"/>
      <c r="BEJ77" s="16"/>
      <c r="BEK77" s="16"/>
      <c r="BEL77" s="16"/>
      <c r="BEM77" s="16"/>
      <c r="BEN77" s="16"/>
      <c r="BEO77" s="16"/>
      <c r="BEP77" s="16"/>
      <c r="BEQ77" s="16"/>
      <c r="BER77" s="16"/>
      <c r="BES77" s="16"/>
      <c r="BET77" s="16"/>
      <c r="BEU77" s="16"/>
      <c r="BEV77" s="16"/>
      <c r="BEW77" s="16"/>
      <c r="BEX77" s="16"/>
      <c r="BEY77" s="16"/>
      <c r="BEZ77" s="16"/>
      <c r="BFA77" s="16"/>
      <c r="BFB77" s="16"/>
      <c r="BFC77" s="16"/>
      <c r="BFD77" s="16"/>
      <c r="BFE77" s="16"/>
      <c r="BFF77" s="16"/>
      <c r="BFG77" s="16"/>
      <c r="BFH77" s="16"/>
      <c r="BFI77" s="16"/>
      <c r="BFJ77" s="16"/>
      <c r="BFK77" s="16"/>
      <c r="BFL77" s="16"/>
      <c r="BFM77" s="16"/>
      <c r="BFN77" s="16"/>
      <c r="BFO77" s="16"/>
      <c r="BFP77" s="16"/>
      <c r="BFQ77" s="16"/>
      <c r="BFR77" s="16"/>
      <c r="BFS77" s="16"/>
      <c r="BFT77" s="16"/>
      <c r="BFU77" s="16"/>
      <c r="BFV77" s="16"/>
      <c r="BFW77" s="16"/>
      <c r="BFX77" s="16"/>
      <c r="BFY77" s="16"/>
      <c r="BFZ77" s="16"/>
      <c r="BGA77" s="16"/>
      <c r="BGB77" s="16"/>
      <c r="BGC77" s="16"/>
      <c r="BGD77" s="16"/>
      <c r="BGE77" s="16"/>
      <c r="BGF77" s="16"/>
      <c r="BGG77" s="16"/>
      <c r="BGH77" s="16"/>
      <c r="BGI77" s="16"/>
      <c r="BGJ77" s="16"/>
      <c r="BGK77" s="16"/>
      <c r="BGL77" s="16"/>
      <c r="BGM77" s="16"/>
      <c r="BGN77" s="16"/>
      <c r="BGO77" s="16"/>
      <c r="BGP77" s="16"/>
      <c r="BGQ77" s="16"/>
      <c r="BGR77" s="16"/>
      <c r="BGS77" s="16"/>
      <c r="BGT77" s="16"/>
      <c r="BGU77" s="16"/>
      <c r="BGV77" s="16"/>
      <c r="BGW77" s="16"/>
      <c r="BGX77" s="16"/>
      <c r="BGY77" s="16"/>
      <c r="BGZ77" s="16"/>
      <c r="BHA77" s="16"/>
      <c r="BHB77" s="16"/>
      <c r="BHC77" s="16"/>
      <c r="BHD77" s="16"/>
      <c r="BHE77" s="16"/>
      <c r="BHF77" s="16"/>
      <c r="BHG77" s="16"/>
      <c r="BHH77" s="16"/>
      <c r="BHI77" s="16"/>
      <c r="BHJ77" s="16"/>
      <c r="BHK77" s="16"/>
      <c r="BHL77" s="16"/>
      <c r="BHM77" s="16"/>
      <c r="BHN77" s="16"/>
      <c r="BHO77" s="16"/>
      <c r="BHP77" s="16"/>
      <c r="BHQ77" s="16"/>
      <c r="BHR77" s="16"/>
      <c r="BHS77" s="16"/>
      <c r="BHT77" s="16"/>
      <c r="BHU77" s="16"/>
      <c r="BHV77" s="16"/>
      <c r="BHW77" s="16"/>
      <c r="BHX77" s="16"/>
      <c r="BHY77" s="16"/>
      <c r="BHZ77" s="16"/>
      <c r="BIA77" s="16"/>
      <c r="BIB77" s="16"/>
      <c r="BIC77" s="16"/>
      <c r="BID77" s="16"/>
      <c r="BIE77" s="16"/>
      <c r="BIF77" s="16"/>
      <c r="BIG77" s="16"/>
      <c r="BIH77" s="16"/>
      <c r="BII77" s="16"/>
      <c r="BIJ77" s="16"/>
      <c r="BIK77" s="16"/>
      <c r="BIL77" s="16"/>
      <c r="BIM77" s="16"/>
      <c r="BIN77" s="16"/>
      <c r="BIO77" s="16"/>
      <c r="BIP77" s="16"/>
      <c r="BIQ77" s="16"/>
      <c r="BIR77" s="16"/>
      <c r="BIS77" s="16"/>
      <c r="BIT77" s="16"/>
      <c r="BIU77" s="16"/>
      <c r="BIV77" s="16"/>
      <c r="BIW77" s="16"/>
      <c r="BIX77" s="16"/>
      <c r="BIY77" s="16"/>
      <c r="BIZ77" s="16"/>
      <c r="BJA77" s="16"/>
      <c r="BJB77" s="16"/>
      <c r="BJC77" s="16"/>
      <c r="BJD77" s="16"/>
      <c r="BJE77" s="16"/>
      <c r="BJF77" s="16"/>
      <c r="BJG77" s="16"/>
      <c r="BJH77" s="16"/>
      <c r="BJI77" s="16"/>
      <c r="BJJ77" s="16"/>
      <c r="BJK77" s="16"/>
      <c r="BJL77" s="16"/>
      <c r="BJM77" s="16"/>
      <c r="BJN77" s="16"/>
      <c r="BJO77" s="16"/>
      <c r="BJP77" s="16"/>
      <c r="BJQ77" s="16"/>
      <c r="BJR77" s="16"/>
      <c r="BJS77" s="16"/>
      <c r="BJT77" s="16"/>
      <c r="BJU77" s="16"/>
      <c r="BJV77" s="16"/>
      <c r="BJW77" s="16"/>
      <c r="BJX77" s="16"/>
      <c r="BJY77" s="16"/>
      <c r="BJZ77" s="16"/>
      <c r="BKA77" s="16"/>
      <c r="BKB77" s="16"/>
      <c r="BKC77" s="16"/>
      <c r="BKD77" s="16"/>
      <c r="BKE77" s="16"/>
      <c r="BKF77" s="16"/>
      <c r="BKG77" s="16"/>
      <c r="BKH77" s="16"/>
      <c r="BKI77" s="16"/>
      <c r="BKJ77" s="16"/>
      <c r="BKK77" s="16"/>
      <c r="BKL77" s="16"/>
      <c r="BKM77" s="16"/>
      <c r="BKN77" s="16"/>
      <c r="BKO77" s="16"/>
      <c r="BKP77" s="16"/>
      <c r="BKQ77" s="16"/>
      <c r="BKR77" s="16"/>
      <c r="BKS77" s="16"/>
      <c r="BKT77" s="16"/>
      <c r="BKU77" s="16"/>
      <c r="BKV77" s="16"/>
      <c r="BKW77" s="16"/>
      <c r="BKX77" s="16"/>
      <c r="BKY77" s="16"/>
      <c r="BKZ77" s="16"/>
      <c r="BLA77" s="16"/>
      <c r="BLB77" s="16"/>
      <c r="BLC77" s="16"/>
      <c r="BLD77" s="16"/>
      <c r="BLE77" s="16"/>
      <c r="BLF77" s="16"/>
      <c r="BLG77" s="16"/>
      <c r="BLH77" s="16"/>
      <c r="BLI77" s="16"/>
      <c r="BLJ77" s="16"/>
      <c r="BLK77" s="16"/>
      <c r="BLL77" s="16"/>
      <c r="BLM77" s="16"/>
      <c r="BLN77" s="16"/>
      <c r="BLO77" s="16"/>
      <c r="BLP77" s="16"/>
      <c r="BLQ77" s="16"/>
      <c r="BLR77" s="16"/>
      <c r="BLS77" s="16"/>
      <c r="BLT77" s="16"/>
      <c r="BLU77" s="16"/>
      <c r="BLV77" s="16"/>
      <c r="BLW77" s="16"/>
      <c r="BLX77" s="16"/>
      <c r="BLY77" s="16"/>
      <c r="BLZ77" s="16"/>
      <c r="BMA77" s="16"/>
      <c r="BMB77" s="16"/>
      <c r="BMC77" s="16"/>
      <c r="BMD77" s="16"/>
      <c r="BME77" s="16"/>
      <c r="BMF77" s="16"/>
      <c r="BMG77" s="16"/>
      <c r="BMH77" s="16"/>
      <c r="BMI77" s="16"/>
      <c r="BMJ77" s="16"/>
      <c r="BMK77" s="16"/>
      <c r="BML77" s="16"/>
      <c r="BMM77" s="16"/>
      <c r="BMN77" s="16"/>
      <c r="BMO77" s="16"/>
      <c r="BMP77" s="16"/>
      <c r="BMQ77" s="16"/>
      <c r="BMR77" s="16"/>
      <c r="BMS77" s="16"/>
      <c r="BMT77" s="16"/>
      <c r="BMU77" s="16"/>
      <c r="BMV77" s="16"/>
      <c r="BMW77" s="16"/>
      <c r="BMX77" s="16"/>
      <c r="BMY77" s="16"/>
      <c r="BMZ77" s="16"/>
      <c r="BNA77" s="16"/>
      <c r="BNB77" s="16"/>
      <c r="BNC77" s="16"/>
      <c r="BND77" s="16"/>
      <c r="BNE77" s="16"/>
      <c r="BNF77" s="16"/>
      <c r="BNG77" s="16"/>
      <c r="BNH77" s="16"/>
      <c r="BNI77" s="16"/>
      <c r="BNJ77" s="16"/>
      <c r="BNK77" s="16"/>
      <c r="BNL77" s="16"/>
      <c r="BNM77" s="16"/>
      <c r="BNN77" s="16"/>
      <c r="BNO77" s="16"/>
      <c r="BNP77" s="16"/>
      <c r="BNQ77" s="16"/>
      <c r="BNR77" s="16"/>
      <c r="BNS77" s="16"/>
      <c r="BNT77" s="16"/>
      <c r="BNU77" s="16"/>
      <c r="BNV77" s="16"/>
      <c r="BNW77" s="16"/>
      <c r="BNX77" s="16"/>
      <c r="BNY77" s="16"/>
      <c r="BNZ77" s="16"/>
      <c r="BOA77" s="16"/>
      <c r="BOB77" s="16"/>
      <c r="BOC77" s="16"/>
      <c r="BOD77" s="16"/>
      <c r="BOE77" s="16"/>
      <c r="BOF77" s="16"/>
      <c r="BOG77" s="16"/>
      <c r="BOH77" s="16"/>
      <c r="BOI77" s="16"/>
      <c r="BOJ77" s="16"/>
      <c r="BOK77" s="16"/>
      <c r="BOL77" s="16"/>
      <c r="BOM77" s="16"/>
      <c r="BON77" s="16"/>
      <c r="BOO77" s="16"/>
      <c r="BOP77" s="16"/>
      <c r="BOQ77" s="16"/>
      <c r="BOR77" s="16"/>
      <c r="BOS77" s="16"/>
      <c r="BOT77" s="16"/>
      <c r="BOU77" s="16"/>
      <c r="BOV77" s="16"/>
      <c r="BOW77" s="16"/>
      <c r="BOX77" s="16"/>
      <c r="BOY77" s="16"/>
      <c r="BOZ77" s="16"/>
      <c r="BPA77" s="16"/>
      <c r="BPB77" s="16"/>
      <c r="BPC77" s="16"/>
      <c r="BPD77" s="16"/>
      <c r="BPE77" s="16"/>
      <c r="BPF77" s="16"/>
      <c r="BPG77" s="16"/>
      <c r="BPH77" s="16"/>
      <c r="BPI77" s="16"/>
      <c r="BPJ77" s="16"/>
      <c r="BPK77" s="16"/>
      <c r="BPL77" s="16"/>
      <c r="BPM77" s="16"/>
      <c r="BPN77" s="16"/>
      <c r="BPO77" s="16"/>
      <c r="BPP77" s="16"/>
      <c r="BPQ77" s="16"/>
      <c r="BPR77" s="16"/>
      <c r="BPS77" s="16"/>
      <c r="BPT77" s="16"/>
      <c r="BPU77" s="16"/>
      <c r="BPV77" s="16"/>
      <c r="BPW77" s="16"/>
      <c r="BPX77" s="16"/>
      <c r="BPY77" s="16"/>
      <c r="BPZ77" s="16"/>
      <c r="BQA77" s="16"/>
      <c r="BQB77" s="16"/>
      <c r="BQC77" s="16"/>
      <c r="BQD77" s="16"/>
      <c r="BQE77" s="16"/>
      <c r="BQF77" s="16"/>
      <c r="BQG77" s="16"/>
      <c r="BQH77" s="16"/>
      <c r="BQI77" s="16"/>
      <c r="BQJ77" s="16"/>
      <c r="BQK77" s="16"/>
      <c r="BQL77" s="16"/>
      <c r="BQM77" s="16"/>
      <c r="BQN77" s="16"/>
      <c r="BQO77" s="16"/>
      <c r="BQP77" s="16"/>
      <c r="BQQ77" s="16"/>
      <c r="BQR77" s="16"/>
      <c r="BQS77" s="16"/>
      <c r="BQT77" s="16"/>
      <c r="BQU77" s="16"/>
      <c r="BQV77" s="16"/>
      <c r="BQW77" s="16"/>
      <c r="BQX77" s="16"/>
      <c r="BQY77" s="16"/>
      <c r="BQZ77" s="16"/>
      <c r="BRA77" s="16"/>
      <c r="BRB77" s="16"/>
      <c r="BRC77" s="16"/>
      <c r="BRD77" s="16"/>
      <c r="BRE77" s="16"/>
      <c r="BRF77" s="16"/>
      <c r="BRG77" s="16"/>
      <c r="BRH77" s="16"/>
      <c r="BRI77" s="16"/>
      <c r="BRJ77" s="16"/>
      <c r="BRK77" s="16"/>
      <c r="BRL77" s="16"/>
      <c r="BRM77" s="16"/>
      <c r="BRN77" s="16"/>
      <c r="BRO77" s="16"/>
      <c r="BRP77" s="16"/>
      <c r="BRQ77" s="16"/>
      <c r="BRR77" s="16"/>
      <c r="BRS77" s="16"/>
      <c r="BRT77" s="16"/>
      <c r="BRU77" s="16"/>
      <c r="BRV77" s="16"/>
      <c r="BRW77" s="16"/>
      <c r="BRX77" s="16"/>
      <c r="BRY77" s="16"/>
      <c r="BRZ77" s="16"/>
      <c r="BSA77" s="16"/>
      <c r="BSB77" s="16"/>
      <c r="BSC77" s="16"/>
      <c r="BSD77" s="16"/>
      <c r="BSE77" s="16"/>
      <c r="BSF77" s="16"/>
      <c r="BSG77" s="16"/>
      <c r="BSH77" s="16"/>
      <c r="BSI77" s="16"/>
      <c r="BSJ77" s="16"/>
      <c r="BSK77" s="16"/>
      <c r="BSL77" s="16"/>
      <c r="BSM77" s="16"/>
      <c r="BSN77" s="16"/>
      <c r="BSO77" s="16"/>
      <c r="BSP77" s="16"/>
      <c r="BSQ77" s="16"/>
      <c r="BSR77" s="16"/>
      <c r="BSS77" s="16"/>
      <c r="BST77" s="16"/>
      <c r="BSU77" s="16"/>
      <c r="BSV77" s="16"/>
      <c r="BSW77" s="16"/>
      <c r="BSX77" s="16"/>
      <c r="BSY77" s="16"/>
      <c r="BSZ77" s="16"/>
      <c r="BTA77" s="16"/>
      <c r="BTB77" s="16"/>
      <c r="BTC77" s="16"/>
      <c r="BTD77" s="16"/>
      <c r="BTE77" s="16"/>
      <c r="BTF77" s="16"/>
      <c r="BTG77" s="16"/>
      <c r="BTH77" s="16"/>
      <c r="BTI77" s="16"/>
      <c r="BTJ77" s="16"/>
      <c r="BTK77" s="16"/>
      <c r="BTL77" s="16"/>
      <c r="BTM77" s="16"/>
      <c r="BTN77" s="16"/>
      <c r="BTO77" s="16"/>
      <c r="BTP77" s="16"/>
      <c r="BTQ77" s="16"/>
      <c r="BTR77" s="16"/>
      <c r="BTS77" s="16"/>
      <c r="BTT77" s="16"/>
      <c r="BTU77" s="16"/>
      <c r="BTV77" s="16"/>
      <c r="BTW77" s="16"/>
      <c r="BTX77" s="16"/>
      <c r="BTY77" s="16"/>
      <c r="BTZ77" s="16"/>
      <c r="BUA77" s="16"/>
      <c r="BUB77" s="16"/>
      <c r="BUC77" s="16"/>
      <c r="BUD77" s="16"/>
      <c r="BUE77" s="16"/>
      <c r="BUF77" s="16"/>
      <c r="BUG77" s="16"/>
      <c r="BUH77" s="16"/>
      <c r="BUI77" s="16"/>
      <c r="BUJ77" s="16"/>
      <c r="BUK77" s="16"/>
      <c r="BUL77" s="16"/>
      <c r="BUM77" s="16"/>
      <c r="BUN77" s="16"/>
      <c r="BUO77" s="16"/>
      <c r="BUP77" s="16"/>
      <c r="BUQ77" s="16"/>
      <c r="BUR77" s="16"/>
      <c r="BUS77" s="16"/>
      <c r="BUT77" s="16"/>
      <c r="BUU77" s="16"/>
      <c r="BUV77" s="16"/>
      <c r="BUW77" s="16"/>
      <c r="BUX77" s="16"/>
      <c r="BUY77" s="16"/>
      <c r="BUZ77" s="16"/>
      <c r="BVA77" s="16"/>
      <c r="BVB77" s="16"/>
      <c r="BVC77" s="16"/>
      <c r="BVD77" s="16"/>
      <c r="BVE77" s="16"/>
      <c r="BVF77" s="16"/>
      <c r="BVG77" s="16"/>
      <c r="BVH77" s="16"/>
      <c r="BVI77" s="16"/>
      <c r="BVJ77" s="16"/>
      <c r="BVK77" s="16"/>
      <c r="BVL77" s="16"/>
      <c r="BVM77" s="16"/>
      <c r="BVN77" s="16"/>
      <c r="BVO77" s="16"/>
      <c r="BVP77" s="16"/>
      <c r="BVQ77" s="16"/>
      <c r="BVR77" s="16"/>
      <c r="BVS77" s="16"/>
      <c r="BVT77" s="16"/>
      <c r="BVU77" s="16"/>
      <c r="BVV77" s="16"/>
      <c r="BVW77" s="16"/>
      <c r="BVX77" s="16"/>
      <c r="BVY77" s="16"/>
      <c r="BVZ77" s="16"/>
      <c r="BWA77" s="16"/>
      <c r="BWB77" s="16"/>
      <c r="BWC77" s="16"/>
      <c r="BWD77" s="16"/>
      <c r="BWE77" s="16"/>
      <c r="BWF77" s="16"/>
      <c r="BWG77" s="16"/>
      <c r="BWH77" s="16"/>
      <c r="BWI77" s="16"/>
      <c r="BWJ77" s="16"/>
      <c r="BWK77" s="16"/>
      <c r="BWL77" s="16"/>
      <c r="BWM77" s="16"/>
      <c r="BWN77" s="16"/>
      <c r="BWO77" s="16"/>
      <c r="BWP77" s="16"/>
      <c r="BWQ77" s="16"/>
      <c r="BWR77" s="16"/>
      <c r="BWS77" s="16"/>
      <c r="BWT77" s="16"/>
      <c r="BWU77" s="16"/>
      <c r="BWV77" s="16"/>
      <c r="BWW77" s="16"/>
      <c r="BWX77" s="16"/>
      <c r="BWY77" s="16"/>
      <c r="BWZ77" s="16"/>
      <c r="BXA77" s="16"/>
      <c r="BXB77" s="16"/>
      <c r="BXC77" s="16"/>
      <c r="BXD77" s="16"/>
      <c r="BXE77" s="16"/>
      <c r="BXF77" s="16"/>
      <c r="BXG77" s="16"/>
      <c r="BXH77" s="16"/>
      <c r="BXI77" s="16"/>
      <c r="BXJ77" s="16"/>
      <c r="BXK77" s="16"/>
      <c r="BXL77" s="16"/>
      <c r="BXM77" s="16"/>
      <c r="BXN77" s="16"/>
      <c r="BXO77" s="16"/>
      <c r="BXP77" s="16"/>
      <c r="BXQ77" s="16"/>
      <c r="BXR77" s="16"/>
      <c r="BXS77" s="16"/>
      <c r="BXT77" s="16"/>
      <c r="BXU77" s="16"/>
      <c r="BXV77" s="16"/>
      <c r="BXW77" s="16"/>
      <c r="BXX77" s="16"/>
      <c r="BXY77" s="16"/>
      <c r="BXZ77" s="16"/>
      <c r="BYA77" s="16"/>
      <c r="BYB77" s="16"/>
      <c r="BYC77" s="16"/>
      <c r="BYD77" s="16"/>
      <c r="BYE77" s="16"/>
      <c r="BYF77" s="16"/>
      <c r="BYG77" s="16"/>
      <c r="BYH77" s="16"/>
      <c r="BYI77" s="16"/>
      <c r="BYJ77" s="16"/>
      <c r="BYK77" s="16"/>
      <c r="BYL77" s="16"/>
      <c r="BYM77" s="16"/>
      <c r="BYN77" s="16"/>
      <c r="BYO77" s="16"/>
      <c r="BYP77" s="16"/>
      <c r="BYQ77" s="16"/>
      <c r="BYR77" s="16"/>
      <c r="BYS77" s="16"/>
      <c r="BYT77" s="16"/>
      <c r="BYU77" s="16"/>
      <c r="BYV77" s="16"/>
      <c r="BYW77" s="16"/>
      <c r="BYX77" s="16"/>
      <c r="BYY77" s="16"/>
      <c r="BYZ77" s="16"/>
      <c r="BZA77" s="16"/>
      <c r="BZB77" s="16"/>
      <c r="BZC77" s="16"/>
      <c r="BZD77" s="16"/>
      <c r="BZE77" s="16"/>
      <c r="BZF77" s="16"/>
      <c r="BZG77" s="16"/>
      <c r="BZH77" s="16"/>
      <c r="BZI77" s="16"/>
      <c r="BZJ77" s="16"/>
      <c r="BZK77" s="16"/>
      <c r="BZL77" s="16"/>
      <c r="BZM77" s="16"/>
      <c r="BZN77" s="16"/>
      <c r="BZO77" s="16"/>
      <c r="BZP77" s="16"/>
      <c r="BZQ77" s="16"/>
      <c r="BZR77" s="16"/>
      <c r="BZS77" s="16"/>
      <c r="BZT77" s="16"/>
      <c r="BZU77" s="16"/>
      <c r="BZV77" s="16"/>
      <c r="BZW77" s="16"/>
      <c r="BZX77" s="16"/>
      <c r="BZY77" s="16"/>
      <c r="BZZ77" s="16"/>
      <c r="CAA77" s="16"/>
      <c r="CAB77" s="16"/>
      <c r="CAC77" s="16"/>
      <c r="CAD77" s="16"/>
      <c r="CAE77" s="16"/>
      <c r="CAF77" s="16"/>
      <c r="CAG77" s="16"/>
      <c r="CAH77" s="16"/>
      <c r="CAI77" s="16"/>
      <c r="CAJ77" s="16"/>
      <c r="CAK77" s="16"/>
      <c r="CAL77" s="16"/>
      <c r="CAM77" s="16"/>
      <c r="CAN77" s="16"/>
      <c r="CAO77" s="16"/>
      <c r="CAP77" s="16"/>
      <c r="CAQ77" s="16"/>
      <c r="CAR77" s="16"/>
      <c r="CAS77" s="16"/>
      <c r="CAT77" s="16"/>
      <c r="CAU77" s="16"/>
      <c r="CAV77" s="16"/>
      <c r="CAW77" s="16"/>
      <c r="CAX77" s="16"/>
      <c r="CAY77" s="16"/>
      <c r="CAZ77" s="16"/>
      <c r="CBA77" s="16"/>
      <c r="CBB77" s="16"/>
      <c r="CBC77" s="16"/>
      <c r="CBD77" s="16"/>
      <c r="CBE77" s="16"/>
      <c r="CBF77" s="16"/>
      <c r="CBG77" s="16"/>
      <c r="CBH77" s="16"/>
      <c r="CBI77" s="16"/>
      <c r="CBJ77" s="16"/>
      <c r="CBK77" s="16"/>
      <c r="CBL77" s="16"/>
      <c r="CBM77" s="16"/>
      <c r="CBN77" s="16"/>
      <c r="CBO77" s="16"/>
      <c r="CBP77" s="16"/>
      <c r="CBQ77" s="16"/>
      <c r="CBR77" s="16"/>
      <c r="CBS77" s="16"/>
      <c r="CBT77" s="16"/>
      <c r="CBU77" s="16"/>
      <c r="CBV77" s="16"/>
      <c r="CBW77" s="16"/>
      <c r="CBX77" s="16"/>
      <c r="CBY77" s="16"/>
      <c r="CBZ77" s="16"/>
      <c r="CCA77" s="16"/>
      <c r="CCB77" s="16"/>
      <c r="CCC77" s="16"/>
      <c r="CCD77" s="16"/>
      <c r="CCE77" s="16"/>
      <c r="CCF77" s="16"/>
      <c r="CCG77" s="16"/>
      <c r="CCH77" s="16"/>
      <c r="CCI77" s="16"/>
      <c r="CCJ77" s="16"/>
      <c r="CCK77" s="16"/>
      <c r="CCL77" s="16"/>
      <c r="CCM77" s="16"/>
      <c r="CCN77" s="16"/>
      <c r="CCO77" s="16"/>
      <c r="CCP77" s="16"/>
      <c r="CCQ77" s="16"/>
      <c r="CCR77" s="16"/>
      <c r="CCS77" s="16"/>
      <c r="CCT77" s="16"/>
      <c r="CCU77" s="16"/>
      <c r="CCV77" s="16"/>
      <c r="CCW77" s="16"/>
      <c r="CCX77" s="16"/>
      <c r="CCY77" s="16"/>
      <c r="CCZ77" s="16"/>
      <c r="CDA77" s="16"/>
      <c r="CDB77" s="16"/>
      <c r="CDC77" s="16"/>
      <c r="CDD77" s="16"/>
      <c r="CDE77" s="16"/>
      <c r="CDF77" s="16"/>
      <c r="CDG77" s="16"/>
      <c r="CDH77" s="16"/>
      <c r="CDI77" s="16"/>
      <c r="CDJ77" s="16"/>
      <c r="CDK77" s="16"/>
      <c r="CDL77" s="16"/>
      <c r="CDM77" s="16"/>
      <c r="CDN77" s="16"/>
      <c r="CDO77" s="16"/>
      <c r="CDP77" s="16"/>
      <c r="CDQ77" s="16"/>
      <c r="CDR77" s="16"/>
      <c r="CDS77" s="16"/>
      <c r="CDT77" s="16"/>
      <c r="CDU77" s="16"/>
      <c r="CDV77" s="16"/>
      <c r="CDW77" s="16"/>
      <c r="CDX77" s="16"/>
      <c r="CDY77" s="16"/>
      <c r="CDZ77" s="16"/>
      <c r="CEA77" s="16"/>
      <c r="CEB77" s="16"/>
      <c r="CEC77" s="16"/>
      <c r="CED77" s="16"/>
      <c r="CEE77" s="16"/>
      <c r="CEF77" s="16"/>
      <c r="CEG77" s="16"/>
      <c r="CEH77" s="16"/>
      <c r="CEI77" s="16"/>
      <c r="CEJ77" s="16"/>
      <c r="CEK77" s="16"/>
      <c r="CEL77" s="16"/>
      <c r="CEM77" s="16"/>
      <c r="CEN77" s="16"/>
      <c r="CEO77" s="16"/>
      <c r="CEP77" s="16"/>
      <c r="CEQ77" s="16"/>
      <c r="CER77" s="16"/>
      <c r="CES77" s="16"/>
      <c r="CET77" s="16"/>
      <c r="CEU77" s="16"/>
      <c r="CEV77" s="16"/>
      <c r="CEW77" s="16"/>
      <c r="CEX77" s="16"/>
      <c r="CEY77" s="16"/>
      <c r="CEZ77" s="16"/>
      <c r="CFA77" s="16"/>
      <c r="CFB77" s="16"/>
      <c r="CFC77" s="16"/>
      <c r="CFD77" s="16"/>
      <c r="CFE77" s="16"/>
      <c r="CFF77" s="16"/>
      <c r="CFG77" s="16"/>
      <c r="CFH77" s="16"/>
      <c r="CFI77" s="16"/>
      <c r="CFJ77" s="16"/>
      <c r="CFK77" s="16"/>
      <c r="CFL77" s="16"/>
      <c r="CFM77" s="16"/>
      <c r="CFN77" s="16"/>
      <c r="CFO77" s="16"/>
      <c r="CFP77" s="16"/>
      <c r="CFQ77" s="16"/>
      <c r="CFR77" s="16"/>
      <c r="CFS77" s="16"/>
      <c r="CFT77" s="16"/>
      <c r="CFU77" s="16"/>
      <c r="CFV77" s="16"/>
      <c r="CFW77" s="16"/>
      <c r="CFX77" s="16"/>
      <c r="CFY77" s="16"/>
      <c r="CFZ77" s="16"/>
      <c r="CGA77" s="16"/>
      <c r="CGB77" s="16"/>
      <c r="CGC77" s="16"/>
      <c r="CGD77" s="16"/>
      <c r="CGE77" s="16"/>
      <c r="CGF77" s="16"/>
      <c r="CGG77" s="16"/>
      <c r="CGH77" s="16"/>
      <c r="CGI77" s="16"/>
      <c r="CGJ77" s="16"/>
      <c r="CGK77" s="16"/>
      <c r="CGL77" s="16"/>
      <c r="CGM77" s="16"/>
      <c r="CGN77" s="16"/>
      <c r="CGO77" s="16"/>
      <c r="CGP77" s="16"/>
      <c r="CGQ77" s="16"/>
      <c r="CGR77" s="16"/>
      <c r="CGS77" s="16"/>
      <c r="CGT77" s="16"/>
      <c r="CGU77" s="16"/>
      <c r="CGV77" s="16"/>
      <c r="CGW77" s="16"/>
      <c r="CGX77" s="16"/>
      <c r="CGY77" s="16"/>
      <c r="CGZ77" s="16"/>
      <c r="CHA77" s="16"/>
      <c r="CHB77" s="16"/>
      <c r="CHC77" s="16"/>
      <c r="CHD77" s="16"/>
      <c r="CHE77" s="16"/>
      <c r="CHF77" s="16"/>
      <c r="CHG77" s="16"/>
      <c r="CHH77" s="16"/>
      <c r="CHI77" s="16"/>
      <c r="CHJ77" s="16"/>
      <c r="CHK77" s="16"/>
      <c r="CHL77" s="16"/>
      <c r="CHM77" s="16"/>
      <c r="CHN77" s="16"/>
      <c r="CHO77" s="16"/>
      <c r="CHP77" s="16"/>
      <c r="CHQ77" s="16"/>
      <c r="CHR77" s="16"/>
      <c r="CHS77" s="16"/>
      <c r="CHT77" s="16"/>
      <c r="CHU77" s="16"/>
      <c r="CHV77" s="16"/>
      <c r="CHW77" s="16"/>
      <c r="CHX77" s="16"/>
      <c r="CHY77" s="16"/>
      <c r="CHZ77" s="16"/>
      <c r="CIA77" s="16"/>
      <c r="CIB77" s="16"/>
      <c r="CIC77" s="16"/>
      <c r="CID77" s="16"/>
      <c r="CIE77" s="16"/>
      <c r="CIF77" s="16"/>
      <c r="CIG77" s="16"/>
      <c r="CIH77" s="16"/>
      <c r="CII77" s="16"/>
      <c r="CIJ77" s="16"/>
      <c r="CIK77" s="16"/>
      <c r="CIL77" s="16"/>
      <c r="CIM77" s="16"/>
      <c r="CIN77" s="16"/>
      <c r="CIO77" s="16"/>
      <c r="CIP77" s="16"/>
      <c r="CIQ77" s="16"/>
      <c r="CIR77" s="16"/>
      <c r="CIS77" s="16"/>
      <c r="CIT77" s="16"/>
      <c r="CIU77" s="16"/>
      <c r="CIV77" s="16"/>
      <c r="CIW77" s="16"/>
      <c r="CIX77" s="16"/>
      <c r="CIY77" s="16"/>
      <c r="CIZ77" s="16"/>
      <c r="CJA77" s="16"/>
      <c r="CJB77" s="16"/>
      <c r="CJC77" s="16"/>
      <c r="CJD77" s="16"/>
      <c r="CJE77" s="16"/>
      <c r="CJF77" s="16"/>
      <c r="CJG77" s="16"/>
      <c r="CJH77" s="16"/>
      <c r="CJI77" s="16"/>
      <c r="CJJ77" s="16"/>
      <c r="CJK77" s="16"/>
      <c r="CJL77" s="16"/>
      <c r="CJM77" s="16"/>
      <c r="CJN77" s="16"/>
      <c r="CJO77" s="16"/>
      <c r="CJP77" s="16"/>
      <c r="CJQ77" s="16"/>
      <c r="CJR77" s="16"/>
      <c r="CJS77" s="16"/>
      <c r="CJT77" s="16"/>
      <c r="CJU77" s="16"/>
      <c r="CJV77" s="16"/>
      <c r="CJW77" s="16"/>
      <c r="CJX77" s="16"/>
      <c r="CJY77" s="16"/>
      <c r="CJZ77" s="16"/>
      <c r="CKA77" s="16"/>
      <c r="CKB77" s="16"/>
      <c r="CKC77" s="16"/>
      <c r="CKD77" s="16"/>
      <c r="CKE77" s="16"/>
      <c r="CKF77" s="16"/>
      <c r="CKG77" s="16"/>
      <c r="CKH77" s="16"/>
      <c r="CKI77" s="16"/>
      <c r="CKJ77" s="16"/>
      <c r="CKK77" s="16"/>
      <c r="CKL77" s="16"/>
      <c r="CKM77" s="16"/>
      <c r="CKN77" s="16"/>
      <c r="CKO77" s="16"/>
      <c r="CKP77" s="16"/>
      <c r="CKQ77" s="16"/>
      <c r="CKR77" s="16"/>
      <c r="CKS77" s="16"/>
      <c r="CKT77" s="16"/>
      <c r="CKU77" s="16"/>
      <c r="CKV77" s="16"/>
      <c r="CKW77" s="16"/>
      <c r="CKX77" s="16"/>
      <c r="CKY77" s="16"/>
      <c r="CKZ77" s="16"/>
      <c r="CLA77" s="16"/>
      <c r="CLB77" s="16"/>
      <c r="CLC77" s="16"/>
      <c r="CLD77" s="16"/>
      <c r="CLE77" s="16"/>
      <c r="CLF77" s="16"/>
      <c r="CLG77" s="16"/>
      <c r="CLH77" s="16"/>
      <c r="CLI77" s="16"/>
      <c r="CLJ77" s="16"/>
      <c r="CLK77" s="16"/>
      <c r="CLL77" s="16"/>
      <c r="CLM77" s="16"/>
      <c r="CLN77" s="16"/>
      <c r="CLO77" s="16"/>
      <c r="CLP77" s="16"/>
      <c r="CLQ77" s="16"/>
      <c r="CLR77" s="16"/>
      <c r="CLS77" s="16"/>
      <c r="CLT77" s="16"/>
      <c r="CLU77" s="16"/>
      <c r="CLV77" s="16"/>
      <c r="CLW77" s="16"/>
      <c r="CLX77" s="16"/>
      <c r="CLY77" s="16"/>
      <c r="CLZ77" s="16"/>
      <c r="CMA77" s="16"/>
      <c r="CMB77" s="16"/>
      <c r="CMC77" s="16"/>
      <c r="CMD77" s="16"/>
      <c r="CME77" s="16"/>
      <c r="CMF77" s="16"/>
      <c r="CMG77" s="16"/>
      <c r="CMH77" s="16"/>
      <c r="CMI77" s="16"/>
      <c r="CMJ77" s="16"/>
      <c r="CMK77" s="16"/>
      <c r="CML77" s="16"/>
      <c r="CMM77" s="16"/>
      <c r="CMN77" s="16"/>
      <c r="CMO77" s="16"/>
      <c r="CMP77" s="16"/>
      <c r="CMQ77" s="16"/>
      <c r="CMR77" s="16"/>
      <c r="CMS77" s="16"/>
      <c r="CMT77" s="16"/>
      <c r="CMU77" s="16"/>
      <c r="CMV77" s="16"/>
      <c r="CMW77" s="16"/>
      <c r="CMX77" s="16"/>
      <c r="CMY77" s="16"/>
      <c r="CMZ77" s="16"/>
      <c r="CNA77" s="16"/>
      <c r="CNB77" s="16"/>
      <c r="CNC77" s="16"/>
      <c r="CND77" s="16"/>
      <c r="CNE77" s="16"/>
      <c r="CNF77" s="16"/>
      <c r="CNG77" s="16"/>
      <c r="CNH77" s="16"/>
      <c r="CNI77" s="16"/>
      <c r="CNJ77" s="16"/>
      <c r="CNK77" s="16"/>
      <c r="CNL77" s="16"/>
      <c r="CNM77" s="16"/>
      <c r="CNN77" s="16"/>
      <c r="CNO77" s="16"/>
      <c r="CNP77" s="16"/>
      <c r="CNQ77" s="16"/>
      <c r="CNR77" s="16"/>
      <c r="CNS77" s="16"/>
      <c r="CNT77" s="16"/>
      <c r="CNU77" s="16"/>
      <c r="CNV77" s="16"/>
      <c r="CNW77" s="16"/>
      <c r="CNX77" s="16"/>
      <c r="CNY77" s="16"/>
      <c r="CNZ77" s="16"/>
      <c r="COA77" s="16"/>
      <c r="COB77" s="16"/>
      <c r="COC77" s="16"/>
      <c r="COD77" s="16"/>
      <c r="COE77" s="16"/>
      <c r="COF77" s="16"/>
      <c r="COG77" s="16"/>
      <c r="COH77" s="16"/>
      <c r="COI77" s="16"/>
      <c r="COJ77" s="16"/>
      <c r="COK77" s="16"/>
      <c r="COL77" s="16"/>
      <c r="COM77" s="16"/>
      <c r="CON77" s="16"/>
      <c r="COO77" s="16"/>
      <c r="COP77" s="16"/>
      <c r="COQ77" s="16"/>
      <c r="COR77" s="16"/>
      <c r="COS77" s="16"/>
      <c r="COT77" s="16"/>
      <c r="COU77" s="16"/>
      <c r="COV77" s="16"/>
      <c r="COW77" s="16"/>
      <c r="COX77" s="16"/>
      <c r="COY77" s="16"/>
      <c r="COZ77" s="16"/>
      <c r="CPA77" s="16"/>
      <c r="CPB77" s="16"/>
      <c r="CPC77" s="16"/>
      <c r="CPD77" s="16"/>
      <c r="CPE77" s="16"/>
      <c r="CPF77" s="16"/>
      <c r="CPG77" s="16"/>
      <c r="CPH77" s="16"/>
      <c r="CPI77" s="16"/>
      <c r="CPJ77" s="16"/>
      <c r="CPK77" s="16"/>
      <c r="CPL77" s="16"/>
      <c r="CPM77" s="16"/>
      <c r="CPN77" s="16"/>
      <c r="CPO77" s="16"/>
      <c r="CPP77" s="16"/>
      <c r="CPQ77" s="16"/>
      <c r="CPR77" s="16"/>
      <c r="CPS77" s="16"/>
      <c r="CPT77" s="16"/>
      <c r="CPU77" s="16"/>
      <c r="CPV77" s="16"/>
      <c r="CPW77" s="16"/>
      <c r="CPX77" s="16"/>
      <c r="CPY77" s="16"/>
      <c r="CPZ77" s="16"/>
      <c r="CQA77" s="16"/>
      <c r="CQB77" s="16"/>
      <c r="CQC77" s="16"/>
      <c r="CQD77" s="16"/>
      <c r="CQE77" s="16"/>
      <c r="CQF77" s="16"/>
      <c r="CQG77" s="16"/>
      <c r="CQH77" s="16"/>
      <c r="CQI77" s="16"/>
      <c r="CQJ77" s="16"/>
      <c r="CQK77" s="16"/>
      <c r="CQL77" s="16"/>
      <c r="CQM77" s="16"/>
      <c r="CQN77" s="16"/>
      <c r="CQO77" s="16"/>
      <c r="CQP77" s="16"/>
      <c r="CQQ77" s="16"/>
      <c r="CQR77" s="16"/>
      <c r="CQS77" s="16"/>
      <c r="CQT77" s="16"/>
      <c r="CQU77" s="16"/>
      <c r="CQV77" s="16"/>
      <c r="CQW77" s="16"/>
      <c r="CQX77" s="16"/>
      <c r="CQY77" s="16"/>
      <c r="CQZ77" s="16"/>
      <c r="CRA77" s="16"/>
      <c r="CRB77" s="16"/>
      <c r="CRC77" s="16"/>
      <c r="CRD77" s="16"/>
      <c r="CRE77" s="16"/>
      <c r="CRF77" s="16"/>
      <c r="CRG77" s="16"/>
      <c r="CRH77" s="16"/>
      <c r="CRI77" s="16"/>
      <c r="CRJ77" s="16"/>
      <c r="CRK77" s="16"/>
      <c r="CRL77" s="16"/>
      <c r="CRM77" s="16"/>
      <c r="CRN77" s="16"/>
      <c r="CRO77" s="16"/>
      <c r="CRP77" s="16"/>
      <c r="CRQ77" s="16"/>
      <c r="CRR77" s="16"/>
      <c r="CRS77" s="16"/>
      <c r="CRT77" s="16"/>
      <c r="CRU77" s="16"/>
      <c r="CRV77" s="16"/>
      <c r="CRW77" s="16"/>
      <c r="CRX77" s="16"/>
      <c r="CRY77" s="16"/>
      <c r="CRZ77" s="16"/>
      <c r="CSA77" s="16"/>
      <c r="CSB77" s="16"/>
      <c r="CSC77" s="16"/>
      <c r="CSD77" s="16"/>
      <c r="CSE77" s="16"/>
      <c r="CSF77" s="16"/>
      <c r="CSG77" s="16"/>
      <c r="CSH77" s="16"/>
      <c r="CSI77" s="16"/>
      <c r="CSJ77" s="16"/>
      <c r="CSK77" s="24"/>
      <c r="CSL77" s="16"/>
      <c r="CSM77" s="16"/>
      <c r="CSN77" s="16"/>
      <c r="CSO77" s="16"/>
      <c r="CSP77" s="16"/>
      <c r="CUG77" s="16"/>
      <c r="CUH77" s="16"/>
      <c r="CUI77" s="16"/>
      <c r="CUJ77" s="16"/>
      <c r="CUK77" s="16"/>
      <c r="CUL77" s="16"/>
      <c r="CUM77" s="16"/>
      <c r="CUN77" s="16"/>
      <c r="CUO77" s="16"/>
      <c r="CUP77" s="16"/>
      <c r="CUQ77" s="16"/>
      <c r="CUR77" s="16"/>
      <c r="CUS77" s="16"/>
      <c r="CUT77" s="16"/>
      <c r="CUU77" s="16"/>
      <c r="CUV77" s="16"/>
      <c r="CUW77" s="16"/>
      <c r="CUX77" s="16"/>
      <c r="CUY77" s="16"/>
      <c r="CUZ77" s="16"/>
      <c r="CVA77" s="16"/>
      <c r="CVB77" s="16"/>
      <c r="CVC77" s="16"/>
      <c r="CVD77" s="16"/>
      <c r="CVE77" s="16"/>
      <c r="CVF77" s="16"/>
      <c r="CVG77" s="16"/>
      <c r="CVH77" s="16"/>
      <c r="CVI77" s="16"/>
      <c r="CVJ77" s="16"/>
      <c r="CVK77" s="16"/>
      <c r="CVL77" s="16"/>
      <c r="CVM77" s="16"/>
      <c r="CVN77" s="16"/>
      <c r="CVO77" s="16"/>
      <c r="CVP77" s="16"/>
    </row>
    <row r="78" spans="3:2616" ht="13.8" x14ac:dyDescent="0.25">
      <c r="C78" s="57"/>
      <c r="E78" s="16"/>
      <c r="K78" s="59"/>
      <c r="L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6"/>
      <c r="LU78" s="16"/>
      <c r="LV78" s="16"/>
      <c r="LW78" s="16"/>
      <c r="LX78" s="16"/>
      <c r="LY78" s="16"/>
      <c r="LZ78" s="16"/>
      <c r="MA78" s="16"/>
      <c r="MB78" s="16"/>
      <c r="MC78" s="16"/>
      <c r="MD78" s="16"/>
      <c r="ME78" s="16"/>
      <c r="MF78" s="16"/>
      <c r="MG78" s="16"/>
      <c r="MH78" s="16"/>
      <c r="MI78" s="16"/>
      <c r="MJ78" s="16"/>
      <c r="MK78" s="16"/>
      <c r="ML78" s="16"/>
      <c r="MM78" s="16"/>
      <c r="MN78" s="16"/>
      <c r="MO78" s="16"/>
      <c r="MP78" s="16"/>
      <c r="MQ78" s="16"/>
      <c r="MR78" s="16"/>
      <c r="MS78" s="16"/>
      <c r="MT78" s="16"/>
      <c r="MU78" s="16"/>
      <c r="MV78" s="16"/>
      <c r="MW78" s="16"/>
      <c r="MX78" s="16"/>
      <c r="MY78" s="16"/>
      <c r="MZ78" s="16"/>
      <c r="NA78" s="16"/>
      <c r="NB78" s="16"/>
      <c r="NC78" s="16"/>
      <c r="ND78" s="16"/>
      <c r="NE78" s="16"/>
      <c r="NF78" s="16"/>
      <c r="NG78" s="16"/>
      <c r="NH78" s="16"/>
      <c r="NI78" s="16"/>
      <c r="NJ78" s="16"/>
      <c r="NK78" s="16"/>
      <c r="NL78" s="16"/>
      <c r="NM78" s="16"/>
      <c r="NN78" s="16"/>
      <c r="NO78" s="16"/>
      <c r="NP78" s="16"/>
      <c r="NQ78" s="16"/>
      <c r="NR78" s="16"/>
      <c r="NS78" s="16"/>
      <c r="NT78" s="16"/>
      <c r="NU78" s="16"/>
      <c r="NV78" s="16"/>
      <c r="NW78" s="16"/>
      <c r="NX78" s="16"/>
      <c r="NY78" s="16"/>
      <c r="NZ78" s="16"/>
      <c r="OA78" s="16"/>
      <c r="OB78" s="16"/>
      <c r="OC78" s="16"/>
      <c r="OD78" s="16"/>
      <c r="OE78" s="16"/>
      <c r="OF78" s="16"/>
      <c r="OG78" s="16"/>
      <c r="OH78" s="16"/>
      <c r="OI78" s="16"/>
      <c r="OJ78" s="16"/>
      <c r="OK78" s="16"/>
      <c r="OL78" s="16"/>
      <c r="OM78" s="16"/>
      <c r="ON78" s="16"/>
      <c r="OO78" s="16"/>
      <c r="OP78" s="16"/>
      <c r="OQ78" s="16"/>
      <c r="OR78" s="16"/>
      <c r="OS78" s="16"/>
      <c r="OT78" s="16"/>
      <c r="OU78" s="16"/>
      <c r="OV78" s="16"/>
      <c r="OW78" s="16"/>
      <c r="OX78" s="16"/>
      <c r="OY78" s="16"/>
      <c r="OZ78" s="16"/>
      <c r="PA78" s="16"/>
      <c r="PB78" s="16"/>
      <c r="PC78" s="16"/>
      <c r="PD78" s="16"/>
      <c r="PE78" s="16"/>
      <c r="PF78" s="16"/>
      <c r="PG78" s="16"/>
      <c r="PH78" s="16"/>
      <c r="PI78" s="16"/>
      <c r="PJ78" s="16"/>
      <c r="PK78" s="16"/>
      <c r="PL78" s="16"/>
      <c r="PM78" s="16"/>
      <c r="PN78" s="16"/>
      <c r="PO78" s="16"/>
      <c r="PP78" s="16"/>
      <c r="PQ78" s="16"/>
      <c r="PR78" s="16"/>
      <c r="PS78" s="16"/>
      <c r="PT78" s="16"/>
      <c r="PU78" s="16"/>
      <c r="PV78" s="16"/>
      <c r="PW78" s="16"/>
      <c r="PX78" s="16"/>
      <c r="PY78" s="16"/>
      <c r="PZ78" s="16"/>
      <c r="QA78" s="16"/>
      <c r="QB78" s="16"/>
      <c r="QC78" s="16"/>
      <c r="QD78" s="16"/>
      <c r="QE78" s="16"/>
      <c r="QF78" s="16"/>
      <c r="QG78" s="16"/>
      <c r="QH78" s="16"/>
      <c r="QI78" s="16"/>
      <c r="QJ78" s="16"/>
      <c r="QK78" s="16"/>
      <c r="QL78" s="16"/>
      <c r="QM78" s="16"/>
      <c r="QN78" s="16"/>
      <c r="QO78" s="16"/>
      <c r="QP78" s="16"/>
      <c r="QQ78" s="16"/>
      <c r="QR78" s="16"/>
      <c r="QS78" s="16"/>
      <c r="QT78" s="16"/>
      <c r="QU78" s="16"/>
      <c r="QV78" s="16"/>
      <c r="QW78" s="16"/>
      <c r="QX78" s="16"/>
      <c r="QY78" s="16"/>
      <c r="QZ78" s="16"/>
      <c r="RA78" s="16"/>
      <c r="RB78" s="16"/>
      <c r="RC78" s="16"/>
      <c r="RD78" s="16"/>
      <c r="RE78" s="16"/>
      <c r="RF78" s="16"/>
      <c r="RG78" s="16"/>
      <c r="RH78" s="16"/>
      <c r="RI78" s="16"/>
      <c r="RJ78" s="16"/>
      <c r="RK78" s="16"/>
      <c r="RL78" s="16"/>
      <c r="RM78" s="16"/>
      <c r="RN78" s="16"/>
      <c r="RO78" s="16"/>
      <c r="RP78" s="16"/>
      <c r="RQ78" s="16"/>
      <c r="RR78" s="16"/>
      <c r="RS78" s="16"/>
      <c r="RT78" s="16"/>
      <c r="RU78" s="16"/>
      <c r="RV78" s="16"/>
      <c r="RW78" s="16"/>
      <c r="RX78" s="16"/>
      <c r="RY78" s="16"/>
      <c r="RZ78" s="16"/>
      <c r="SA78" s="16"/>
      <c r="SB78" s="16"/>
      <c r="SC78" s="16"/>
      <c r="SD78" s="16"/>
      <c r="SE78" s="16"/>
      <c r="SF78" s="16"/>
      <c r="SG78" s="16"/>
      <c r="SH78" s="16"/>
      <c r="SI78" s="16"/>
      <c r="SJ78" s="16"/>
      <c r="SK78" s="16"/>
      <c r="SL78" s="16"/>
      <c r="SM78" s="16"/>
      <c r="SN78" s="16"/>
      <c r="SO78" s="16"/>
      <c r="SP78" s="16"/>
      <c r="SQ78" s="16"/>
      <c r="SR78" s="16"/>
      <c r="SS78" s="16"/>
      <c r="ST78" s="16"/>
      <c r="SU78" s="16"/>
      <c r="SV78" s="16"/>
      <c r="SW78" s="16"/>
      <c r="SX78" s="16"/>
      <c r="SY78" s="16"/>
      <c r="SZ78" s="16"/>
      <c r="TA78" s="16"/>
      <c r="TB78" s="16"/>
      <c r="TC78" s="16"/>
      <c r="TD78" s="16"/>
      <c r="TE78" s="16"/>
      <c r="TF78" s="16"/>
      <c r="TG78" s="16"/>
      <c r="TH78" s="16"/>
      <c r="TI78" s="16"/>
      <c r="TJ78" s="16"/>
      <c r="TK78" s="16"/>
      <c r="TL78" s="16"/>
      <c r="TM78" s="16"/>
      <c r="TN78" s="16"/>
      <c r="TO78" s="16"/>
      <c r="TP78" s="16"/>
      <c r="TQ78" s="16"/>
      <c r="TR78" s="16"/>
      <c r="TS78" s="16"/>
      <c r="TT78" s="16"/>
      <c r="TU78" s="16"/>
      <c r="TV78" s="16"/>
      <c r="TW78" s="16"/>
      <c r="TX78" s="16"/>
      <c r="TY78" s="16"/>
      <c r="TZ78" s="16"/>
      <c r="UA78" s="16"/>
      <c r="UB78" s="16"/>
      <c r="UC78" s="16"/>
      <c r="UD78" s="16"/>
      <c r="UE78" s="16"/>
      <c r="UF78" s="16"/>
      <c r="UG78" s="16"/>
      <c r="UH78" s="16"/>
      <c r="UI78" s="16"/>
      <c r="UJ78" s="16"/>
      <c r="UK78" s="16"/>
      <c r="UL78" s="16"/>
      <c r="UM78" s="16"/>
      <c r="UN78" s="16"/>
      <c r="UO78" s="16"/>
      <c r="UP78" s="16"/>
      <c r="UQ78" s="16"/>
      <c r="UR78" s="16"/>
      <c r="US78" s="16"/>
      <c r="UT78" s="16"/>
      <c r="UU78" s="16"/>
      <c r="UV78" s="16"/>
      <c r="UW78" s="16"/>
      <c r="UX78" s="16"/>
      <c r="UY78" s="16"/>
      <c r="UZ78" s="16"/>
      <c r="VA78" s="16"/>
      <c r="VB78" s="16"/>
      <c r="VC78" s="16"/>
      <c r="VD78" s="16"/>
      <c r="VE78" s="16"/>
      <c r="VF78" s="16"/>
      <c r="VG78" s="16"/>
      <c r="VH78" s="16"/>
      <c r="VI78" s="16"/>
      <c r="VJ78" s="16"/>
      <c r="VK78" s="16"/>
      <c r="VL78" s="16"/>
      <c r="VM78" s="16"/>
      <c r="VN78" s="16"/>
      <c r="VO78" s="16"/>
      <c r="VP78" s="16"/>
      <c r="VQ78" s="16"/>
      <c r="VR78" s="16"/>
      <c r="VS78" s="16"/>
      <c r="VT78" s="16"/>
      <c r="VU78" s="16"/>
      <c r="VV78" s="16"/>
      <c r="VW78" s="16"/>
      <c r="VX78" s="16"/>
      <c r="VY78" s="16"/>
      <c r="VZ78" s="16"/>
      <c r="WA78" s="16"/>
      <c r="WB78" s="16"/>
      <c r="WC78" s="16"/>
      <c r="WD78" s="16"/>
      <c r="WE78" s="16"/>
      <c r="WF78" s="16"/>
      <c r="WG78" s="16"/>
      <c r="WH78" s="16"/>
      <c r="WI78" s="16"/>
      <c r="WJ78" s="16"/>
      <c r="WK78" s="16"/>
      <c r="WL78" s="16"/>
      <c r="WM78" s="16"/>
      <c r="WN78" s="16"/>
      <c r="WO78" s="16"/>
      <c r="WP78" s="16"/>
      <c r="WQ78" s="16"/>
      <c r="WR78" s="16"/>
      <c r="WS78" s="16"/>
      <c r="WT78" s="16"/>
      <c r="WU78" s="16"/>
      <c r="WV78" s="16"/>
      <c r="WW78" s="16"/>
      <c r="WX78" s="16"/>
      <c r="WY78" s="16"/>
      <c r="WZ78" s="16"/>
      <c r="XA78" s="16"/>
      <c r="XB78" s="16"/>
      <c r="XC78" s="16"/>
      <c r="XD78" s="16"/>
      <c r="XE78" s="16"/>
      <c r="XF78" s="16"/>
      <c r="XG78" s="16"/>
      <c r="XH78" s="16"/>
      <c r="XI78" s="16"/>
      <c r="XJ78" s="16"/>
      <c r="XK78" s="16"/>
      <c r="XL78" s="16"/>
      <c r="XM78" s="16"/>
      <c r="XN78" s="16"/>
      <c r="XO78" s="16"/>
      <c r="XP78" s="16"/>
      <c r="XQ78" s="16"/>
      <c r="XR78" s="16"/>
      <c r="XS78" s="16"/>
      <c r="XT78" s="16"/>
      <c r="XU78" s="16"/>
      <c r="XV78" s="16"/>
      <c r="XW78" s="16"/>
      <c r="XX78" s="16"/>
      <c r="XY78" s="16"/>
      <c r="XZ78" s="16"/>
      <c r="YA78" s="16"/>
      <c r="YB78" s="16"/>
      <c r="YC78" s="16"/>
      <c r="YD78" s="16"/>
      <c r="YE78" s="16"/>
      <c r="YF78" s="16"/>
      <c r="YG78" s="16"/>
      <c r="YH78" s="16"/>
      <c r="YI78" s="16"/>
      <c r="YJ78" s="16"/>
      <c r="YK78" s="16"/>
      <c r="YL78" s="16"/>
      <c r="YM78" s="16"/>
      <c r="YN78" s="16"/>
      <c r="YO78" s="16"/>
      <c r="YP78" s="16"/>
      <c r="YQ78" s="16"/>
      <c r="YR78" s="16"/>
      <c r="YS78" s="16"/>
      <c r="YT78" s="16"/>
      <c r="YU78" s="16"/>
      <c r="YV78" s="16"/>
      <c r="YW78" s="16"/>
      <c r="YX78" s="16"/>
      <c r="YY78" s="16"/>
      <c r="YZ78" s="16"/>
      <c r="ZA78" s="16"/>
      <c r="ZB78" s="16"/>
      <c r="ZC78" s="16"/>
      <c r="ZD78" s="16"/>
      <c r="ZE78" s="16"/>
      <c r="ZF78" s="16"/>
      <c r="ZG78" s="16"/>
      <c r="ZH78" s="16"/>
      <c r="ZI78" s="16"/>
      <c r="ZJ78" s="16"/>
      <c r="ZK78" s="16"/>
      <c r="ZL78" s="16"/>
      <c r="ZM78" s="16"/>
      <c r="ZN78" s="16"/>
      <c r="ZO78" s="16"/>
      <c r="ZP78" s="16"/>
      <c r="ZQ78" s="16"/>
      <c r="ZR78" s="16"/>
      <c r="ZS78" s="16"/>
      <c r="ZT78" s="16"/>
      <c r="ZU78" s="16"/>
      <c r="ZV78" s="16"/>
      <c r="ZW78" s="16"/>
      <c r="ZX78" s="16"/>
      <c r="ZY78" s="16"/>
      <c r="ZZ78" s="16"/>
      <c r="AAA78" s="16"/>
      <c r="AAB78" s="16"/>
      <c r="AAC78" s="16"/>
      <c r="AAD78" s="16"/>
      <c r="AAE78" s="16"/>
      <c r="AAF78" s="16"/>
      <c r="AAG78" s="16"/>
      <c r="AAH78" s="16"/>
      <c r="AAI78" s="16"/>
      <c r="AAJ78" s="16"/>
      <c r="AAK78" s="16"/>
      <c r="AAL78" s="16"/>
      <c r="AAM78" s="16"/>
      <c r="AAN78" s="16"/>
      <c r="AAO78" s="16"/>
      <c r="AAP78" s="16"/>
      <c r="AAQ78" s="16"/>
      <c r="AAR78" s="16"/>
      <c r="AAS78" s="16"/>
      <c r="AAT78" s="16"/>
      <c r="AAU78" s="16"/>
      <c r="AAV78" s="16"/>
      <c r="AAW78" s="16"/>
      <c r="AAX78" s="16"/>
      <c r="AAY78" s="16"/>
      <c r="AAZ78" s="16"/>
      <c r="ABA78" s="16"/>
      <c r="ABB78" s="16"/>
      <c r="ABC78" s="16"/>
      <c r="ABD78" s="16"/>
      <c r="ABE78" s="16"/>
      <c r="ABF78" s="16"/>
      <c r="ABG78" s="16"/>
      <c r="ABH78" s="16"/>
      <c r="ABI78" s="16"/>
      <c r="ABJ78" s="16"/>
      <c r="ABK78" s="16"/>
      <c r="ABL78" s="16"/>
      <c r="ABM78" s="16"/>
      <c r="ABN78" s="16"/>
      <c r="ABO78" s="16"/>
      <c r="ABP78" s="16"/>
      <c r="ABQ78" s="16"/>
      <c r="ABR78" s="16"/>
      <c r="ABS78" s="16"/>
      <c r="ABT78" s="16"/>
      <c r="ABU78" s="16"/>
      <c r="ABV78" s="16"/>
      <c r="ABW78" s="16"/>
      <c r="ABX78" s="16"/>
      <c r="ABY78" s="16"/>
      <c r="ABZ78" s="16"/>
      <c r="ACA78" s="16"/>
      <c r="ACB78" s="16"/>
      <c r="ACC78" s="16"/>
      <c r="ACD78" s="16"/>
      <c r="ACE78" s="16"/>
      <c r="ACF78" s="16"/>
      <c r="ACG78" s="16"/>
      <c r="ACH78" s="16"/>
      <c r="ACI78" s="16"/>
      <c r="ACJ78" s="16"/>
      <c r="ACK78" s="16"/>
      <c r="ACL78" s="16"/>
      <c r="ACM78" s="16"/>
      <c r="ACN78" s="16"/>
      <c r="ACO78" s="16"/>
      <c r="ACP78" s="16"/>
      <c r="ACQ78" s="16"/>
      <c r="ACR78" s="16"/>
      <c r="ACS78" s="16"/>
      <c r="ACT78" s="16"/>
      <c r="ACU78" s="16"/>
      <c r="ACV78" s="16"/>
      <c r="ACW78" s="16"/>
      <c r="ACX78" s="16"/>
      <c r="ACY78" s="16"/>
      <c r="ACZ78" s="16"/>
      <c r="ADA78" s="16"/>
      <c r="ADB78" s="16"/>
      <c r="ADC78" s="16"/>
      <c r="ADD78" s="16"/>
      <c r="ADE78" s="16"/>
      <c r="ADF78" s="16"/>
      <c r="ADG78" s="16"/>
      <c r="ADH78" s="16"/>
      <c r="ADI78" s="16"/>
      <c r="ADJ78" s="16"/>
      <c r="ADK78" s="16"/>
      <c r="ADL78" s="16"/>
      <c r="ADM78" s="16"/>
      <c r="ADN78" s="16"/>
      <c r="ADO78" s="16"/>
      <c r="ADP78" s="16"/>
      <c r="ADQ78" s="16"/>
      <c r="ADR78" s="16"/>
      <c r="ADS78" s="16"/>
      <c r="ADT78" s="16"/>
      <c r="ADU78" s="16"/>
      <c r="ADV78" s="16"/>
      <c r="ADW78" s="16"/>
      <c r="ADX78" s="16"/>
      <c r="ADY78" s="16"/>
      <c r="ADZ78" s="16"/>
      <c r="AEA78" s="16"/>
      <c r="AEB78" s="16"/>
      <c r="AEC78" s="16"/>
      <c r="AED78" s="16"/>
      <c r="AEE78" s="16"/>
      <c r="AEF78" s="16"/>
      <c r="AEG78" s="16"/>
      <c r="AEH78" s="16"/>
      <c r="AEI78" s="16"/>
      <c r="AEJ78" s="16"/>
      <c r="AEK78" s="16"/>
      <c r="AEL78" s="16"/>
      <c r="AEM78" s="16"/>
      <c r="AEN78" s="16"/>
      <c r="AEO78" s="16"/>
      <c r="AEP78" s="16"/>
      <c r="AEQ78" s="16"/>
      <c r="AER78" s="16"/>
      <c r="AES78" s="16"/>
      <c r="AET78" s="16"/>
      <c r="AEU78" s="16"/>
      <c r="AEV78" s="16"/>
      <c r="AEW78" s="16"/>
      <c r="AEX78" s="16"/>
      <c r="AEY78" s="16"/>
      <c r="AEZ78" s="16"/>
      <c r="AFA78" s="16"/>
      <c r="AFB78" s="16"/>
      <c r="AFC78" s="16"/>
      <c r="AFD78" s="16"/>
      <c r="AFE78" s="16"/>
      <c r="AFF78" s="16"/>
      <c r="AFG78" s="16"/>
      <c r="AFH78" s="16"/>
      <c r="AFI78" s="16"/>
      <c r="AFJ78" s="16"/>
      <c r="AFK78" s="16"/>
      <c r="AFL78" s="16"/>
      <c r="AFM78" s="16"/>
      <c r="AFN78" s="16"/>
      <c r="AFO78" s="16"/>
      <c r="AFP78" s="16"/>
      <c r="AFQ78" s="16"/>
      <c r="AFR78" s="16"/>
      <c r="AFS78" s="16"/>
      <c r="AFT78" s="16"/>
      <c r="AFU78" s="16"/>
      <c r="AFV78" s="16"/>
      <c r="AFW78" s="16"/>
      <c r="AFX78" s="16"/>
      <c r="AFY78" s="16"/>
      <c r="AFZ78" s="16"/>
      <c r="AGA78" s="16"/>
      <c r="AGB78" s="16"/>
      <c r="AGC78" s="16"/>
      <c r="AGD78" s="16"/>
      <c r="AGE78" s="16"/>
      <c r="AGF78" s="16"/>
      <c r="AGG78" s="16"/>
      <c r="AGH78" s="16"/>
      <c r="AGI78" s="16"/>
      <c r="AGJ78" s="16"/>
      <c r="AGK78" s="16"/>
      <c r="AGL78" s="16"/>
      <c r="AGM78" s="16"/>
      <c r="AGN78" s="16"/>
      <c r="AGO78" s="16"/>
      <c r="AGP78" s="16"/>
      <c r="AGQ78" s="16"/>
      <c r="AGR78" s="16"/>
      <c r="AGS78" s="16"/>
      <c r="AGT78" s="16"/>
      <c r="AGU78" s="16"/>
      <c r="AGV78" s="16"/>
      <c r="AGW78" s="16"/>
      <c r="AGX78" s="16"/>
      <c r="AGY78" s="16"/>
      <c r="AGZ78" s="16"/>
      <c r="AHA78" s="16"/>
      <c r="AHB78" s="16"/>
      <c r="AHC78" s="16"/>
      <c r="AHD78" s="16"/>
      <c r="AHE78" s="16"/>
      <c r="AHF78" s="16"/>
      <c r="AHG78" s="16"/>
      <c r="AHH78" s="16"/>
      <c r="AHI78" s="16"/>
      <c r="AHJ78" s="16"/>
      <c r="AHK78" s="16"/>
      <c r="AHL78" s="16"/>
      <c r="AHM78" s="16"/>
      <c r="AHN78" s="16"/>
      <c r="AHO78" s="16"/>
      <c r="AHP78" s="16"/>
      <c r="AHQ78" s="16"/>
      <c r="AHR78" s="16"/>
      <c r="AHS78" s="16"/>
      <c r="AHT78" s="16"/>
      <c r="AHU78" s="16"/>
      <c r="AHV78" s="16"/>
      <c r="AHW78" s="16"/>
      <c r="AHX78" s="16"/>
      <c r="AHY78" s="16"/>
      <c r="AHZ78" s="16"/>
      <c r="AIA78" s="16"/>
      <c r="AIB78" s="16"/>
      <c r="AIC78" s="16"/>
      <c r="AID78" s="16"/>
      <c r="AIE78" s="16"/>
      <c r="AIF78" s="16"/>
      <c r="AIG78" s="16"/>
      <c r="AIH78" s="16"/>
      <c r="AII78" s="16"/>
      <c r="AIJ78" s="16"/>
      <c r="AIK78" s="16"/>
      <c r="AIL78" s="16"/>
      <c r="AIM78" s="16"/>
      <c r="AIN78" s="16"/>
      <c r="AIO78" s="16"/>
      <c r="AIP78" s="16"/>
      <c r="AIQ78" s="16"/>
      <c r="AIR78" s="16"/>
      <c r="AIS78" s="16"/>
      <c r="AIT78" s="16"/>
      <c r="AIU78" s="16"/>
      <c r="AIV78" s="16"/>
      <c r="AIW78" s="16"/>
      <c r="AIX78" s="16"/>
      <c r="AIY78" s="16"/>
      <c r="AIZ78" s="16"/>
      <c r="AJA78" s="16"/>
      <c r="AJB78" s="16"/>
      <c r="AJC78" s="16"/>
      <c r="AJD78" s="16"/>
      <c r="AJE78" s="16"/>
      <c r="AJF78" s="16"/>
      <c r="AJG78" s="16"/>
      <c r="AJH78" s="16"/>
      <c r="AJI78" s="16"/>
      <c r="AJJ78" s="16"/>
      <c r="AJK78" s="16"/>
      <c r="AJL78" s="16"/>
      <c r="AJM78" s="16"/>
      <c r="AJN78" s="16"/>
      <c r="AJO78" s="16"/>
      <c r="AJP78" s="16"/>
      <c r="AJQ78" s="16"/>
      <c r="AJR78" s="16"/>
      <c r="AJS78" s="16"/>
      <c r="AJT78" s="16"/>
      <c r="AJU78" s="16"/>
      <c r="AJV78" s="16"/>
      <c r="AJW78" s="16"/>
      <c r="AJX78" s="16"/>
      <c r="AJY78" s="16"/>
      <c r="AJZ78" s="16"/>
      <c r="AKA78" s="16"/>
      <c r="AKB78" s="16"/>
      <c r="AKC78" s="16"/>
      <c r="AKD78" s="16"/>
      <c r="AKE78" s="16"/>
      <c r="AKF78" s="16"/>
      <c r="AKG78" s="16"/>
      <c r="AKH78" s="16"/>
      <c r="AKI78" s="16"/>
      <c r="AKJ78" s="16"/>
      <c r="AKK78" s="16"/>
      <c r="AKL78" s="16"/>
      <c r="AKM78" s="16"/>
      <c r="AKN78" s="16"/>
      <c r="AKO78" s="16"/>
      <c r="AKP78" s="16"/>
      <c r="AKQ78" s="16"/>
      <c r="AKR78" s="16"/>
      <c r="AKS78" s="16"/>
      <c r="AKT78" s="16"/>
      <c r="AKU78" s="16"/>
      <c r="AKV78" s="16"/>
      <c r="AKW78" s="16"/>
      <c r="AKX78" s="16"/>
      <c r="AKY78" s="16"/>
      <c r="AKZ78" s="16"/>
      <c r="ALA78" s="16"/>
      <c r="ALB78" s="16"/>
      <c r="ALC78" s="16"/>
      <c r="ALD78" s="16"/>
      <c r="ALE78" s="16"/>
      <c r="ALF78" s="16"/>
      <c r="ALG78" s="16"/>
      <c r="ALH78" s="16"/>
      <c r="ALI78" s="16"/>
      <c r="ALJ78" s="16"/>
      <c r="ALK78" s="16"/>
      <c r="ALL78" s="16"/>
      <c r="ALM78" s="16"/>
      <c r="ALN78" s="16"/>
      <c r="ALO78" s="16"/>
      <c r="ALP78" s="16"/>
      <c r="ALQ78" s="16"/>
      <c r="ALR78" s="16"/>
      <c r="ALS78" s="16"/>
      <c r="ALT78" s="16"/>
      <c r="ALU78" s="16"/>
      <c r="ALV78" s="16"/>
      <c r="ALW78" s="16"/>
      <c r="ALX78" s="16"/>
      <c r="ALY78" s="16"/>
      <c r="ALZ78" s="16"/>
      <c r="AMA78" s="16"/>
      <c r="AMB78" s="16"/>
      <c r="AMC78" s="16"/>
      <c r="AMD78" s="16"/>
      <c r="AME78" s="16"/>
      <c r="AMF78" s="16"/>
      <c r="AMG78" s="16"/>
      <c r="AMH78" s="16"/>
      <c r="AMI78" s="16"/>
      <c r="AMJ78" s="16"/>
      <c r="AMK78" s="16"/>
      <c r="AML78" s="16"/>
      <c r="AMM78" s="16"/>
      <c r="AMN78" s="16"/>
      <c r="AMO78" s="16"/>
      <c r="AMP78" s="16"/>
      <c r="AMQ78" s="16"/>
      <c r="AMR78" s="16"/>
      <c r="AMS78" s="16"/>
      <c r="AMT78" s="16"/>
      <c r="AMU78" s="16"/>
      <c r="AMV78" s="16"/>
      <c r="AMW78" s="16"/>
      <c r="AMX78" s="16"/>
      <c r="AMY78" s="16"/>
      <c r="AMZ78" s="16"/>
      <c r="ANA78" s="16"/>
      <c r="ANB78" s="16"/>
      <c r="ANC78" s="16"/>
      <c r="AND78" s="16"/>
      <c r="ANE78" s="16"/>
      <c r="ANF78" s="16"/>
      <c r="ANG78" s="16"/>
      <c r="ANH78" s="16"/>
      <c r="ANI78" s="16"/>
      <c r="ANJ78" s="16"/>
      <c r="ANK78" s="16"/>
      <c r="ANL78" s="16"/>
      <c r="ANM78" s="16"/>
      <c r="ANN78" s="16"/>
      <c r="ANO78" s="16"/>
      <c r="ANP78" s="16"/>
      <c r="ANQ78" s="16"/>
      <c r="ANR78" s="16"/>
      <c r="ANS78" s="16"/>
      <c r="ANT78" s="16"/>
      <c r="ANU78" s="16"/>
      <c r="ANV78" s="16"/>
      <c r="ANW78" s="16"/>
      <c r="ANX78" s="16"/>
      <c r="ANY78" s="16"/>
      <c r="ANZ78" s="16"/>
      <c r="AOA78" s="16"/>
      <c r="AOB78" s="16"/>
      <c r="AOC78" s="16"/>
      <c r="AOD78" s="16"/>
      <c r="AOE78" s="16"/>
      <c r="AOF78" s="16"/>
      <c r="AOG78" s="16"/>
      <c r="AOH78" s="16"/>
      <c r="AOI78" s="16"/>
      <c r="AOJ78" s="16"/>
      <c r="AOK78" s="16"/>
      <c r="AOL78" s="16"/>
      <c r="AOM78" s="16"/>
      <c r="AON78" s="16"/>
      <c r="AOO78" s="16"/>
      <c r="AOP78" s="16"/>
      <c r="AOQ78" s="16"/>
      <c r="AOR78" s="16"/>
      <c r="AOS78" s="16"/>
      <c r="AOT78" s="16"/>
      <c r="AOU78" s="16"/>
      <c r="AOV78" s="16"/>
      <c r="AOW78" s="16"/>
      <c r="AOX78" s="16"/>
      <c r="AOY78" s="16"/>
      <c r="AOZ78" s="16"/>
      <c r="APA78" s="16"/>
      <c r="APB78" s="16"/>
      <c r="APC78" s="16"/>
      <c r="APD78" s="16"/>
      <c r="APE78" s="16"/>
      <c r="APF78" s="16"/>
      <c r="APG78" s="16"/>
      <c r="APH78" s="16"/>
      <c r="API78" s="16"/>
      <c r="APJ78" s="16"/>
      <c r="APK78" s="16"/>
      <c r="APL78" s="16"/>
      <c r="APM78" s="16"/>
      <c r="APN78" s="16"/>
      <c r="APO78" s="16"/>
      <c r="APP78" s="16"/>
      <c r="APQ78" s="16"/>
      <c r="APR78" s="16"/>
      <c r="APS78" s="16"/>
      <c r="APT78" s="16"/>
      <c r="APU78" s="16"/>
      <c r="APV78" s="16"/>
      <c r="APW78" s="16"/>
      <c r="APX78" s="16"/>
      <c r="APY78" s="16"/>
      <c r="APZ78" s="16"/>
      <c r="AQA78" s="16"/>
      <c r="AQB78" s="16"/>
      <c r="AQC78" s="16"/>
      <c r="AQD78" s="16"/>
      <c r="AQE78" s="16"/>
      <c r="AQF78" s="16"/>
      <c r="AQG78" s="16"/>
      <c r="AQH78" s="16"/>
      <c r="AQI78" s="16"/>
      <c r="AQJ78" s="16"/>
      <c r="AQK78" s="16"/>
      <c r="AQL78" s="16"/>
      <c r="AQM78" s="16"/>
      <c r="AQN78" s="16"/>
      <c r="AQO78" s="16"/>
      <c r="AQP78" s="16"/>
      <c r="AQQ78" s="16"/>
      <c r="AQR78" s="16"/>
      <c r="AQS78" s="16"/>
      <c r="AQT78" s="16"/>
      <c r="AQU78" s="16"/>
      <c r="AQV78" s="16"/>
      <c r="AQW78" s="16"/>
      <c r="AQX78" s="16"/>
      <c r="AQY78" s="16"/>
      <c r="AQZ78" s="16"/>
      <c r="ARA78" s="16"/>
      <c r="ARB78" s="16"/>
      <c r="ARC78" s="16"/>
      <c r="ARD78" s="16"/>
      <c r="ARE78" s="16"/>
      <c r="ARF78" s="16"/>
      <c r="ARG78" s="16"/>
      <c r="ARH78" s="16"/>
      <c r="ARI78" s="16"/>
      <c r="ARJ78" s="16"/>
      <c r="ARK78" s="16"/>
      <c r="ARL78" s="16"/>
      <c r="ARM78" s="16"/>
      <c r="ARN78" s="16"/>
      <c r="ARO78" s="16"/>
      <c r="ARP78" s="16"/>
      <c r="ARQ78" s="16"/>
      <c r="ARR78" s="16"/>
      <c r="ARS78" s="16"/>
      <c r="ART78" s="16"/>
      <c r="ARU78" s="16"/>
      <c r="ARV78" s="16"/>
      <c r="ARW78" s="16"/>
      <c r="ARX78" s="16"/>
      <c r="ARY78" s="16"/>
      <c r="ARZ78" s="16"/>
      <c r="ASA78" s="16"/>
      <c r="ASB78" s="16"/>
      <c r="ASC78" s="16"/>
      <c r="ASD78" s="16"/>
      <c r="ASE78" s="16"/>
      <c r="ASF78" s="16"/>
      <c r="ASG78" s="16"/>
      <c r="ASH78" s="16"/>
      <c r="ASI78" s="16"/>
      <c r="ASJ78" s="16"/>
      <c r="ASK78" s="16"/>
      <c r="ASL78" s="16"/>
      <c r="ASM78" s="16"/>
      <c r="ASN78" s="16"/>
      <c r="ASO78" s="16"/>
      <c r="ASP78" s="16"/>
      <c r="ASQ78" s="16"/>
      <c r="ASR78" s="16"/>
      <c r="ASS78" s="16"/>
      <c r="AST78" s="16"/>
      <c r="ASU78" s="16"/>
      <c r="ASV78" s="16"/>
      <c r="ASW78" s="16"/>
      <c r="ASX78" s="16"/>
      <c r="ASY78" s="16"/>
      <c r="ASZ78" s="16"/>
      <c r="ATA78" s="16"/>
      <c r="ATB78" s="16"/>
      <c r="ATC78" s="16"/>
      <c r="ATD78" s="16"/>
      <c r="ATE78" s="16"/>
      <c r="ATF78" s="16"/>
      <c r="ATG78" s="16"/>
      <c r="ATH78" s="16"/>
      <c r="ATI78" s="16"/>
      <c r="ATJ78" s="16"/>
      <c r="ATK78" s="16"/>
      <c r="ATL78" s="16"/>
      <c r="ATM78" s="16"/>
      <c r="ATN78" s="16"/>
      <c r="ATO78" s="16"/>
      <c r="ATP78" s="16"/>
      <c r="ATQ78" s="16"/>
      <c r="ATR78" s="16"/>
      <c r="ATS78" s="16"/>
      <c r="ATT78" s="16"/>
      <c r="ATU78" s="16"/>
      <c r="ATV78" s="16"/>
      <c r="ATW78" s="16"/>
      <c r="ATX78" s="16"/>
      <c r="ATY78" s="16"/>
      <c r="ATZ78" s="16"/>
      <c r="AUA78" s="16"/>
      <c r="AUB78" s="16"/>
      <c r="AUC78" s="16"/>
      <c r="AUD78" s="16"/>
      <c r="AUE78" s="16"/>
      <c r="AUF78" s="16"/>
      <c r="AUG78" s="16"/>
      <c r="AUH78" s="16"/>
      <c r="AUI78" s="16"/>
      <c r="AUJ78" s="16"/>
      <c r="AUK78" s="16"/>
      <c r="AUL78" s="16"/>
      <c r="AUM78" s="16"/>
      <c r="AUN78" s="16"/>
      <c r="AUO78" s="16"/>
      <c r="AUP78" s="16"/>
      <c r="AUQ78" s="16"/>
      <c r="AUR78" s="16"/>
      <c r="AUS78" s="16"/>
      <c r="AUT78" s="16"/>
      <c r="AUU78" s="16"/>
      <c r="AUV78" s="16"/>
      <c r="AUW78" s="16"/>
      <c r="AUX78" s="16"/>
      <c r="AUY78" s="16"/>
      <c r="AUZ78" s="16"/>
      <c r="AVA78" s="16"/>
      <c r="AVB78" s="16"/>
      <c r="AVC78" s="16"/>
      <c r="AVD78" s="16"/>
      <c r="AVE78" s="16"/>
      <c r="AVF78" s="16"/>
      <c r="AVG78" s="16"/>
      <c r="AVH78" s="16"/>
      <c r="AVI78" s="16"/>
      <c r="AVJ78" s="16"/>
      <c r="AVK78" s="16"/>
      <c r="AVL78" s="16"/>
      <c r="AVM78" s="16"/>
      <c r="AVN78" s="16"/>
      <c r="AVO78" s="16"/>
      <c r="AVP78" s="16"/>
      <c r="AVQ78" s="16"/>
      <c r="AVR78" s="16"/>
      <c r="AVS78" s="16"/>
      <c r="AVT78" s="16"/>
      <c r="AVU78" s="16"/>
      <c r="AVV78" s="16"/>
      <c r="AVW78" s="16"/>
      <c r="AVX78" s="16"/>
      <c r="AVY78" s="16"/>
      <c r="AVZ78" s="16"/>
      <c r="AWA78" s="16"/>
      <c r="AWB78" s="16"/>
      <c r="AWC78" s="16"/>
      <c r="AWD78" s="16"/>
      <c r="AWE78" s="16"/>
      <c r="AWF78" s="16"/>
      <c r="AWG78" s="16"/>
      <c r="AWH78" s="16"/>
      <c r="AWI78" s="16"/>
      <c r="AWJ78" s="16"/>
      <c r="AWK78" s="16"/>
      <c r="AWL78" s="16"/>
      <c r="AWM78" s="16"/>
      <c r="AWN78" s="16"/>
      <c r="AWO78" s="16"/>
      <c r="AWP78" s="16"/>
      <c r="AWQ78" s="16"/>
      <c r="AWR78" s="16"/>
      <c r="AWS78" s="16"/>
      <c r="AWT78" s="16"/>
      <c r="AWU78" s="16"/>
      <c r="AWV78" s="16"/>
      <c r="AWW78" s="16"/>
      <c r="AWX78" s="16"/>
      <c r="AWY78" s="16"/>
      <c r="AWZ78" s="16"/>
      <c r="AXA78" s="16"/>
      <c r="AXB78" s="16"/>
      <c r="AXC78" s="16"/>
      <c r="AXD78" s="16"/>
      <c r="AXE78" s="16"/>
      <c r="AXF78" s="16"/>
      <c r="AXG78" s="16"/>
      <c r="AXH78" s="16"/>
      <c r="AXI78" s="16"/>
      <c r="AXJ78" s="16"/>
      <c r="AXK78" s="16"/>
      <c r="AXL78" s="16"/>
      <c r="AXM78" s="16"/>
      <c r="AXN78" s="16"/>
      <c r="AXO78" s="16"/>
      <c r="AXP78" s="16"/>
      <c r="AXQ78" s="16"/>
      <c r="AXR78" s="16"/>
      <c r="AXS78" s="16"/>
      <c r="AXT78" s="16"/>
      <c r="AXU78" s="16"/>
      <c r="AXV78" s="16"/>
      <c r="AXW78" s="16"/>
      <c r="AXX78" s="16"/>
      <c r="AXY78" s="16"/>
      <c r="AXZ78" s="16"/>
      <c r="AYA78" s="16"/>
      <c r="AYB78" s="16"/>
      <c r="AYC78" s="16"/>
      <c r="AYD78" s="16"/>
      <c r="AYE78" s="16"/>
      <c r="AYF78" s="16"/>
      <c r="AYG78" s="16"/>
      <c r="AYH78" s="16"/>
      <c r="AYI78" s="16"/>
      <c r="AYJ78" s="16"/>
      <c r="AYK78" s="16"/>
      <c r="AYL78" s="16"/>
      <c r="AYM78" s="16"/>
      <c r="AYN78" s="16"/>
      <c r="AYO78" s="16"/>
      <c r="AYP78" s="16"/>
      <c r="AYQ78" s="16"/>
      <c r="AYR78" s="16"/>
      <c r="AYS78" s="16"/>
      <c r="AYT78" s="16"/>
      <c r="AYU78" s="16"/>
      <c r="AYV78" s="16"/>
      <c r="AYW78" s="16"/>
      <c r="AYX78" s="16"/>
      <c r="AYY78" s="16"/>
      <c r="AYZ78" s="16"/>
      <c r="AZA78" s="16"/>
      <c r="AZB78" s="16"/>
      <c r="AZC78" s="16"/>
      <c r="AZD78" s="16"/>
      <c r="AZE78" s="16"/>
      <c r="AZF78" s="16"/>
      <c r="AZG78" s="16"/>
      <c r="AZH78" s="16"/>
      <c r="AZI78" s="16"/>
      <c r="AZJ78" s="16"/>
      <c r="AZK78" s="16"/>
      <c r="AZL78" s="16"/>
      <c r="AZM78" s="16"/>
      <c r="AZN78" s="16"/>
      <c r="AZO78" s="16"/>
      <c r="AZP78" s="16"/>
      <c r="AZQ78" s="16"/>
      <c r="AZR78" s="16"/>
      <c r="AZS78" s="16"/>
      <c r="AZT78" s="16"/>
      <c r="AZU78" s="16"/>
      <c r="AZV78" s="16"/>
      <c r="AZW78" s="16"/>
      <c r="AZX78" s="16"/>
      <c r="AZY78" s="16"/>
      <c r="AZZ78" s="16"/>
      <c r="BAA78" s="16"/>
      <c r="BAB78" s="16"/>
      <c r="BAC78" s="16"/>
      <c r="BAD78" s="16"/>
      <c r="BAE78" s="16"/>
      <c r="BAF78" s="16"/>
      <c r="BAG78" s="16"/>
      <c r="BAH78" s="16"/>
      <c r="BAI78" s="16"/>
      <c r="BAJ78" s="16"/>
      <c r="BAK78" s="16"/>
      <c r="BAL78" s="16"/>
      <c r="BAM78" s="16"/>
      <c r="BAN78" s="16"/>
      <c r="BAO78" s="16"/>
      <c r="BAP78" s="16"/>
      <c r="BAQ78" s="16"/>
      <c r="BAR78" s="16"/>
      <c r="BAS78" s="16"/>
      <c r="BAT78" s="16"/>
      <c r="BAU78" s="16"/>
      <c r="BAV78" s="16"/>
      <c r="BAW78" s="16"/>
      <c r="BAX78" s="16"/>
      <c r="BAY78" s="16"/>
      <c r="BAZ78" s="16"/>
      <c r="BBA78" s="16"/>
      <c r="BBB78" s="16"/>
      <c r="BBC78" s="16"/>
      <c r="BBD78" s="16"/>
      <c r="BBE78" s="16"/>
      <c r="BBF78" s="16"/>
      <c r="BBG78" s="16"/>
      <c r="BBH78" s="16"/>
      <c r="BBI78" s="16"/>
      <c r="BBJ78" s="16"/>
      <c r="BBK78" s="16"/>
      <c r="BBL78" s="16"/>
      <c r="BBM78" s="16"/>
      <c r="BBN78" s="16"/>
      <c r="BBO78" s="16"/>
      <c r="BBP78" s="16"/>
      <c r="BBQ78" s="16"/>
      <c r="BBR78" s="16"/>
      <c r="BBS78" s="16"/>
      <c r="BBT78" s="16"/>
      <c r="BBU78" s="16"/>
      <c r="BBV78" s="16"/>
      <c r="BBW78" s="16"/>
      <c r="BBX78" s="16"/>
      <c r="BBY78" s="16"/>
      <c r="BBZ78" s="16"/>
      <c r="BCA78" s="16"/>
      <c r="BCB78" s="16"/>
      <c r="BCC78" s="16"/>
      <c r="BCD78" s="16"/>
      <c r="BCE78" s="16"/>
      <c r="BCF78" s="16"/>
      <c r="BCG78" s="16"/>
      <c r="BCH78" s="16"/>
      <c r="BCI78" s="16"/>
      <c r="BCJ78" s="16"/>
      <c r="BCK78" s="16"/>
      <c r="BCL78" s="16"/>
      <c r="BCM78" s="16"/>
      <c r="BCN78" s="16"/>
      <c r="BCO78" s="16"/>
      <c r="BCP78" s="16"/>
      <c r="BCQ78" s="16"/>
      <c r="BCR78" s="16"/>
      <c r="BCS78" s="16"/>
      <c r="BCT78" s="16"/>
      <c r="BCU78" s="16"/>
      <c r="BCV78" s="16"/>
      <c r="BCW78" s="16"/>
      <c r="BCX78" s="16"/>
      <c r="BCY78" s="16"/>
      <c r="BCZ78" s="16"/>
      <c r="BDA78" s="16"/>
      <c r="BDB78" s="16"/>
      <c r="BDC78" s="16"/>
      <c r="BDD78" s="16"/>
      <c r="BDE78" s="16"/>
      <c r="BDF78" s="16"/>
      <c r="BDG78" s="16"/>
      <c r="BDH78" s="16"/>
      <c r="BDI78" s="16"/>
      <c r="BDJ78" s="16"/>
      <c r="BDK78" s="16"/>
      <c r="BDL78" s="16"/>
      <c r="BDM78" s="16"/>
      <c r="BDN78" s="16"/>
      <c r="BDO78" s="16"/>
      <c r="BDP78" s="16"/>
      <c r="BDQ78" s="16"/>
      <c r="BDR78" s="16"/>
      <c r="BDS78" s="16"/>
      <c r="BDT78" s="16"/>
      <c r="BDU78" s="16"/>
      <c r="BDV78" s="16"/>
      <c r="BDW78" s="16"/>
      <c r="BDX78" s="16"/>
      <c r="BDY78" s="16"/>
      <c r="BDZ78" s="16"/>
      <c r="BEA78" s="16"/>
      <c r="BEB78" s="16"/>
      <c r="BEC78" s="16"/>
      <c r="BED78" s="16"/>
      <c r="BEE78" s="16"/>
      <c r="BEF78" s="16"/>
      <c r="BEG78" s="16"/>
      <c r="BEH78" s="16"/>
      <c r="BEI78" s="16"/>
      <c r="BEJ78" s="16"/>
      <c r="BEK78" s="16"/>
      <c r="BEL78" s="16"/>
      <c r="BEM78" s="16"/>
      <c r="BEN78" s="16"/>
      <c r="BEO78" s="16"/>
      <c r="BEP78" s="16"/>
      <c r="BEQ78" s="16"/>
      <c r="BER78" s="16"/>
      <c r="BES78" s="16"/>
      <c r="BET78" s="16"/>
      <c r="BEU78" s="16"/>
      <c r="BEV78" s="16"/>
      <c r="BEW78" s="16"/>
      <c r="BEX78" s="16"/>
      <c r="BEY78" s="16"/>
      <c r="BEZ78" s="16"/>
      <c r="BFA78" s="16"/>
      <c r="BFB78" s="16"/>
      <c r="BFC78" s="16"/>
      <c r="BFD78" s="16"/>
      <c r="BFE78" s="16"/>
      <c r="BFF78" s="16"/>
      <c r="BFG78" s="16"/>
      <c r="BFH78" s="16"/>
      <c r="BFI78" s="16"/>
      <c r="BFJ78" s="16"/>
      <c r="BFK78" s="16"/>
      <c r="BFL78" s="16"/>
      <c r="BFM78" s="16"/>
      <c r="BFN78" s="16"/>
      <c r="BFO78" s="16"/>
      <c r="BFP78" s="16"/>
      <c r="BFQ78" s="16"/>
      <c r="BFR78" s="16"/>
      <c r="BFS78" s="16"/>
      <c r="BFT78" s="16"/>
      <c r="BFU78" s="16"/>
      <c r="BFV78" s="16"/>
      <c r="BFW78" s="16"/>
      <c r="BFX78" s="16"/>
      <c r="BFY78" s="16"/>
      <c r="BFZ78" s="16"/>
      <c r="BGA78" s="16"/>
      <c r="BGB78" s="16"/>
      <c r="BGC78" s="16"/>
      <c r="BGD78" s="16"/>
      <c r="BGE78" s="16"/>
      <c r="BGF78" s="16"/>
      <c r="BGG78" s="16"/>
      <c r="BGH78" s="16"/>
      <c r="BGI78" s="16"/>
      <c r="BGJ78" s="16"/>
      <c r="BGK78" s="16"/>
      <c r="BGL78" s="16"/>
      <c r="BGM78" s="16"/>
      <c r="BGN78" s="16"/>
      <c r="BGO78" s="16"/>
      <c r="BGP78" s="16"/>
      <c r="BGQ78" s="16"/>
      <c r="BGR78" s="16"/>
      <c r="BGS78" s="16"/>
      <c r="BGT78" s="16"/>
      <c r="BGU78" s="16"/>
      <c r="BGV78" s="16"/>
      <c r="BGW78" s="16"/>
      <c r="BGX78" s="16"/>
      <c r="BGY78" s="16"/>
      <c r="BGZ78" s="16"/>
      <c r="BHA78" s="16"/>
      <c r="BHB78" s="16"/>
      <c r="BHC78" s="16"/>
      <c r="BHD78" s="16"/>
      <c r="BHE78" s="16"/>
      <c r="BHF78" s="16"/>
      <c r="BHG78" s="16"/>
      <c r="BHH78" s="16"/>
      <c r="BHI78" s="16"/>
      <c r="BHJ78" s="16"/>
      <c r="BHK78" s="16"/>
      <c r="BHL78" s="16"/>
      <c r="BHM78" s="16"/>
      <c r="BHN78" s="16"/>
      <c r="BHO78" s="16"/>
      <c r="BHP78" s="16"/>
      <c r="BHQ78" s="16"/>
      <c r="BHR78" s="16"/>
      <c r="BHS78" s="16"/>
      <c r="BHT78" s="16"/>
      <c r="BHU78" s="16"/>
      <c r="BHV78" s="16"/>
      <c r="BHW78" s="16"/>
      <c r="BHX78" s="16"/>
      <c r="BHY78" s="16"/>
      <c r="BHZ78" s="16"/>
      <c r="BIA78" s="16"/>
      <c r="BIB78" s="16"/>
      <c r="BIC78" s="16"/>
      <c r="BID78" s="16"/>
      <c r="BIE78" s="16"/>
      <c r="BIF78" s="16"/>
      <c r="BIG78" s="16"/>
      <c r="BIH78" s="16"/>
      <c r="BII78" s="16"/>
      <c r="BIJ78" s="16"/>
      <c r="BIK78" s="16"/>
      <c r="BIL78" s="16"/>
      <c r="BIM78" s="16"/>
      <c r="BIN78" s="16"/>
      <c r="BIO78" s="16"/>
      <c r="BIP78" s="16"/>
      <c r="BIQ78" s="16"/>
      <c r="BIR78" s="16"/>
      <c r="BIS78" s="16"/>
      <c r="BIT78" s="16"/>
      <c r="BIU78" s="16"/>
      <c r="BIV78" s="16"/>
      <c r="BIW78" s="16"/>
      <c r="BIX78" s="16"/>
      <c r="BIY78" s="16"/>
      <c r="BIZ78" s="16"/>
      <c r="BJA78" s="16"/>
      <c r="BJB78" s="16"/>
      <c r="BJC78" s="16"/>
      <c r="BJD78" s="16"/>
      <c r="BJE78" s="16"/>
      <c r="BJF78" s="16"/>
      <c r="BJG78" s="16"/>
      <c r="BJH78" s="16"/>
      <c r="BJI78" s="16"/>
      <c r="BJJ78" s="16"/>
      <c r="BJK78" s="16"/>
      <c r="BJL78" s="16"/>
      <c r="BJM78" s="16"/>
      <c r="BJN78" s="16"/>
      <c r="BJO78" s="16"/>
      <c r="BJP78" s="16"/>
      <c r="BJQ78" s="16"/>
      <c r="BJR78" s="16"/>
      <c r="BJS78" s="16"/>
      <c r="BJT78" s="16"/>
      <c r="BJU78" s="16"/>
      <c r="BJV78" s="16"/>
      <c r="BJW78" s="16"/>
      <c r="BJX78" s="16"/>
      <c r="BJY78" s="16"/>
      <c r="BJZ78" s="16"/>
      <c r="BKA78" s="16"/>
      <c r="BKB78" s="16"/>
      <c r="BKC78" s="16"/>
      <c r="BKD78" s="16"/>
      <c r="BKE78" s="16"/>
      <c r="BKF78" s="16"/>
      <c r="BKG78" s="16"/>
      <c r="BKH78" s="16"/>
      <c r="BKI78" s="16"/>
      <c r="BKJ78" s="16"/>
      <c r="BKK78" s="16"/>
      <c r="BKL78" s="16"/>
      <c r="BKM78" s="16"/>
      <c r="BKN78" s="16"/>
      <c r="BKO78" s="16"/>
      <c r="BKP78" s="16"/>
      <c r="BKQ78" s="16"/>
      <c r="BKR78" s="16"/>
      <c r="BKS78" s="16"/>
      <c r="BKT78" s="16"/>
      <c r="BKU78" s="16"/>
      <c r="BKV78" s="16"/>
      <c r="BKW78" s="16"/>
      <c r="BKX78" s="16"/>
      <c r="BKY78" s="16"/>
      <c r="BKZ78" s="16"/>
      <c r="BLA78" s="16"/>
      <c r="BLB78" s="16"/>
      <c r="BLC78" s="16"/>
      <c r="BLD78" s="16"/>
      <c r="BLE78" s="16"/>
      <c r="BLF78" s="16"/>
      <c r="BLG78" s="16"/>
      <c r="BLH78" s="16"/>
      <c r="BLI78" s="16"/>
      <c r="BLJ78" s="16"/>
      <c r="BLK78" s="16"/>
      <c r="BLL78" s="16"/>
      <c r="BLM78" s="16"/>
      <c r="BLN78" s="16"/>
      <c r="BLO78" s="16"/>
      <c r="BLP78" s="16"/>
      <c r="BLQ78" s="16"/>
      <c r="BLR78" s="16"/>
      <c r="BLS78" s="16"/>
      <c r="BLT78" s="16"/>
      <c r="BLU78" s="16"/>
      <c r="BLV78" s="16"/>
      <c r="BLW78" s="16"/>
      <c r="BLX78" s="16"/>
      <c r="BLY78" s="16"/>
      <c r="BLZ78" s="16"/>
      <c r="BMA78" s="16"/>
      <c r="BMB78" s="16"/>
      <c r="BMC78" s="16"/>
      <c r="BMD78" s="16"/>
      <c r="BME78" s="16"/>
      <c r="BMF78" s="16"/>
      <c r="BMG78" s="16"/>
      <c r="BMH78" s="16"/>
      <c r="BMI78" s="16"/>
      <c r="BMJ78" s="16"/>
      <c r="BMK78" s="16"/>
      <c r="BML78" s="16"/>
      <c r="BMM78" s="16"/>
      <c r="BMN78" s="16"/>
      <c r="BMO78" s="16"/>
      <c r="BMP78" s="16"/>
      <c r="BMQ78" s="16"/>
      <c r="BMR78" s="16"/>
      <c r="BMS78" s="16"/>
      <c r="BMT78" s="16"/>
      <c r="BMU78" s="16"/>
      <c r="BMV78" s="16"/>
      <c r="BMW78" s="16"/>
      <c r="BMX78" s="16"/>
      <c r="BMY78" s="16"/>
      <c r="BMZ78" s="16"/>
      <c r="BNA78" s="16"/>
      <c r="BNB78" s="16"/>
      <c r="BNC78" s="16"/>
      <c r="BND78" s="16"/>
      <c r="BNE78" s="16"/>
      <c r="BNF78" s="16"/>
      <c r="BNG78" s="16"/>
      <c r="BNH78" s="16"/>
      <c r="BNI78" s="16"/>
      <c r="BNJ78" s="16"/>
      <c r="BNK78" s="16"/>
      <c r="BNL78" s="16"/>
      <c r="BNM78" s="16"/>
      <c r="BNN78" s="16"/>
      <c r="BNO78" s="16"/>
      <c r="BNP78" s="16"/>
      <c r="BNQ78" s="16"/>
      <c r="BNR78" s="16"/>
      <c r="BNS78" s="16"/>
      <c r="BNT78" s="16"/>
      <c r="BNU78" s="16"/>
      <c r="BNV78" s="16"/>
      <c r="BNW78" s="16"/>
      <c r="BNX78" s="16"/>
      <c r="BNY78" s="16"/>
      <c r="BNZ78" s="16"/>
      <c r="BOA78" s="16"/>
      <c r="BOB78" s="16"/>
      <c r="BOC78" s="16"/>
      <c r="BOD78" s="16"/>
      <c r="BOE78" s="16"/>
      <c r="BOF78" s="16"/>
      <c r="BOG78" s="16"/>
      <c r="BOH78" s="16"/>
      <c r="BOI78" s="16"/>
      <c r="BOJ78" s="16"/>
      <c r="BOK78" s="16"/>
      <c r="BOL78" s="16"/>
      <c r="BOM78" s="16"/>
      <c r="BON78" s="16"/>
      <c r="BOO78" s="16"/>
      <c r="BOP78" s="16"/>
      <c r="BOQ78" s="16"/>
      <c r="BOR78" s="16"/>
      <c r="BOS78" s="16"/>
      <c r="BOT78" s="16"/>
      <c r="BOU78" s="16"/>
      <c r="BOV78" s="16"/>
      <c r="BOW78" s="16"/>
      <c r="BOX78" s="16"/>
      <c r="BOY78" s="16"/>
      <c r="BOZ78" s="16"/>
      <c r="BPA78" s="16"/>
      <c r="BPB78" s="16"/>
      <c r="BPC78" s="16"/>
      <c r="BPD78" s="16"/>
      <c r="BPE78" s="16"/>
      <c r="BPF78" s="16"/>
      <c r="BPG78" s="16"/>
      <c r="BPH78" s="16"/>
      <c r="BPI78" s="16"/>
      <c r="BPJ78" s="16"/>
      <c r="BPK78" s="16"/>
      <c r="BPL78" s="16"/>
      <c r="BPM78" s="16"/>
      <c r="BPN78" s="16"/>
      <c r="BPO78" s="16"/>
      <c r="BPP78" s="16"/>
      <c r="BPQ78" s="16"/>
      <c r="BPR78" s="16"/>
      <c r="BPS78" s="16"/>
      <c r="BPT78" s="16"/>
      <c r="BPU78" s="16"/>
      <c r="BPV78" s="16"/>
      <c r="BPW78" s="16"/>
      <c r="BPX78" s="16"/>
      <c r="BPY78" s="16"/>
      <c r="BPZ78" s="16"/>
      <c r="BQA78" s="16"/>
      <c r="BQB78" s="16"/>
      <c r="BQC78" s="16"/>
      <c r="BQD78" s="16"/>
      <c r="BQE78" s="16"/>
      <c r="BQF78" s="16"/>
      <c r="BQG78" s="16"/>
      <c r="BQH78" s="16"/>
      <c r="BQI78" s="16"/>
      <c r="BQJ78" s="16"/>
      <c r="BQK78" s="16"/>
      <c r="BQL78" s="16"/>
      <c r="BQM78" s="16"/>
      <c r="BQN78" s="16"/>
      <c r="BQO78" s="16"/>
      <c r="BQP78" s="16"/>
      <c r="BQQ78" s="16"/>
      <c r="BQR78" s="16"/>
      <c r="BQS78" s="16"/>
      <c r="BQT78" s="16"/>
      <c r="BQU78" s="16"/>
      <c r="BQV78" s="16"/>
      <c r="BQW78" s="16"/>
      <c r="BQX78" s="16"/>
      <c r="BQY78" s="16"/>
      <c r="BQZ78" s="16"/>
      <c r="BRA78" s="16"/>
      <c r="BRB78" s="16"/>
      <c r="BRC78" s="16"/>
      <c r="BRD78" s="16"/>
      <c r="BRE78" s="16"/>
      <c r="BRF78" s="16"/>
      <c r="BRG78" s="16"/>
      <c r="BRH78" s="16"/>
      <c r="BRI78" s="16"/>
      <c r="BRJ78" s="16"/>
      <c r="BRK78" s="16"/>
      <c r="BRL78" s="16"/>
      <c r="BRM78" s="16"/>
      <c r="BRN78" s="16"/>
      <c r="BRO78" s="16"/>
      <c r="BRP78" s="16"/>
      <c r="BRQ78" s="16"/>
      <c r="BRR78" s="16"/>
      <c r="BRS78" s="16"/>
      <c r="BRT78" s="16"/>
      <c r="BRU78" s="16"/>
      <c r="BRV78" s="16"/>
      <c r="BRW78" s="16"/>
      <c r="BRX78" s="16"/>
      <c r="BRY78" s="16"/>
      <c r="BRZ78" s="16"/>
      <c r="BSA78" s="16"/>
      <c r="BSB78" s="16"/>
      <c r="BSC78" s="16"/>
      <c r="BSD78" s="16"/>
      <c r="BSE78" s="16"/>
      <c r="BSF78" s="16"/>
      <c r="BSG78" s="16"/>
      <c r="BSH78" s="16"/>
      <c r="BSI78" s="16"/>
      <c r="BSJ78" s="16"/>
      <c r="BSK78" s="16"/>
      <c r="BSL78" s="16"/>
      <c r="BSM78" s="16"/>
      <c r="BSN78" s="16"/>
      <c r="BSO78" s="16"/>
      <c r="BSP78" s="16"/>
      <c r="BSQ78" s="16"/>
      <c r="BSR78" s="16"/>
      <c r="BSS78" s="16"/>
      <c r="BST78" s="16"/>
      <c r="BSU78" s="16"/>
      <c r="BSV78" s="16"/>
      <c r="BSW78" s="16"/>
      <c r="BSX78" s="16"/>
      <c r="BSY78" s="16"/>
      <c r="BSZ78" s="16"/>
      <c r="BTA78" s="16"/>
      <c r="BTB78" s="16"/>
      <c r="BTC78" s="16"/>
      <c r="BTD78" s="16"/>
      <c r="BTE78" s="16"/>
      <c r="BTF78" s="16"/>
      <c r="BTG78" s="16"/>
      <c r="BTH78" s="16"/>
      <c r="BTI78" s="16"/>
      <c r="BTJ78" s="16"/>
      <c r="BTK78" s="16"/>
      <c r="BTL78" s="16"/>
      <c r="BTM78" s="16"/>
      <c r="BTN78" s="16"/>
      <c r="BTO78" s="16"/>
      <c r="BTP78" s="16"/>
      <c r="BTQ78" s="16"/>
      <c r="BTR78" s="16"/>
      <c r="BTS78" s="16"/>
      <c r="BTT78" s="16"/>
      <c r="BTU78" s="16"/>
      <c r="BTV78" s="16"/>
      <c r="BTW78" s="16"/>
      <c r="BTX78" s="16"/>
      <c r="BTY78" s="16"/>
      <c r="BTZ78" s="16"/>
      <c r="BUA78" s="16"/>
      <c r="BUB78" s="16"/>
      <c r="BUC78" s="16"/>
      <c r="BUD78" s="16"/>
      <c r="BUE78" s="16"/>
      <c r="BUF78" s="16"/>
      <c r="BUG78" s="16"/>
      <c r="BUH78" s="16"/>
      <c r="BUI78" s="16"/>
      <c r="BUJ78" s="16"/>
      <c r="BUK78" s="16"/>
      <c r="BUL78" s="16"/>
      <c r="BUM78" s="16"/>
      <c r="BUN78" s="16"/>
      <c r="BUO78" s="16"/>
      <c r="BUP78" s="16"/>
      <c r="BUQ78" s="16"/>
      <c r="BUR78" s="16"/>
      <c r="BUS78" s="16"/>
      <c r="BUT78" s="16"/>
      <c r="BUU78" s="16"/>
      <c r="BUV78" s="16"/>
      <c r="BUW78" s="16"/>
      <c r="BUX78" s="16"/>
      <c r="BUY78" s="16"/>
      <c r="BUZ78" s="16"/>
      <c r="BVA78" s="16"/>
      <c r="BVB78" s="16"/>
      <c r="BVC78" s="16"/>
      <c r="BVD78" s="16"/>
      <c r="BVE78" s="16"/>
      <c r="BVF78" s="16"/>
      <c r="BVG78" s="16"/>
      <c r="BVH78" s="16"/>
      <c r="BVI78" s="16"/>
      <c r="BVJ78" s="16"/>
      <c r="BVK78" s="16"/>
      <c r="BVL78" s="16"/>
      <c r="BVM78" s="16"/>
      <c r="BVN78" s="16"/>
      <c r="BVO78" s="16"/>
      <c r="BVP78" s="16"/>
      <c r="BVQ78" s="16"/>
      <c r="BVR78" s="16"/>
      <c r="BVS78" s="16"/>
      <c r="BVT78" s="16"/>
      <c r="BVU78" s="16"/>
      <c r="BVV78" s="16"/>
      <c r="BVW78" s="16"/>
      <c r="BVX78" s="16"/>
      <c r="BVY78" s="16"/>
      <c r="BVZ78" s="16"/>
      <c r="BWA78" s="16"/>
      <c r="BWB78" s="16"/>
      <c r="BWC78" s="16"/>
      <c r="BWD78" s="16"/>
      <c r="BWE78" s="16"/>
      <c r="BWF78" s="16"/>
      <c r="BWG78" s="16"/>
      <c r="BWH78" s="16"/>
      <c r="BWI78" s="16"/>
      <c r="BWJ78" s="16"/>
      <c r="BWK78" s="16"/>
      <c r="BWL78" s="16"/>
      <c r="BWM78" s="16"/>
      <c r="BWN78" s="16"/>
      <c r="BWO78" s="16"/>
      <c r="BWP78" s="16"/>
      <c r="BWQ78" s="16"/>
      <c r="BWR78" s="16"/>
      <c r="BWS78" s="16"/>
      <c r="BWT78" s="16"/>
      <c r="BWU78" s="16"/>
      <c r="BWV78" s="16"/>
      <c r="BWW78" s="16"/>
      <c r="BWX78" s="16"/>
      <c r="BWY78" s="16"/>
      <c r="BWZ78" s="16"/>
      <c r="BXA78" s="16"/>
      <c r="BXB78" s="16"/>
      <c r="BXC78" s="16"/>
      <c r="BXD78" s="16"/>
      <c r="BXE78" s="16"/>
      <c r="BXF78" s="16"/>
      <c r="BXG78" s="16"/>
      <c r="BXH78" s="16"/>
      <c r="BXI78" s="16"/>
      <c r="BXJ78" s="16"/>
      <c r="BXK78" s="16"/>
      <c r="BXL78" s="16"/>
      <c r="BXM78" s="16"/>
      <c r="BXN78" s="16"/>
      <c r="BXO78" s="16"/>
      <c r="BXP78" s="16"/>
      <c r="BXQ78" s="16"/>
      <c r="BXR78" s="16"/>
      <c r="BXS78" s="16"/>
      <c r="BXT78" s="16"/>
      <c r="BXU78" s="16"/>
      <c r="BXV78" s="16"/>
      <c r="BXW78" s="16"/>
      <c r="BXX78" s="16"/>
      <c r="BXY78" s="16"/>
      <c r="BXZ78" s="16"/>
      <c r="BYA78" s="16"/>
      <c r="BYB78" s="16"/>
      <c r="BYC78" s="16"/>
      <c r="BYD78" s="16"/>
      <c r="BYE78" s="16"/>
      <c r="BYF78" s="16"/>
      <c r="BYG78" s="16"/>
      <c r="BYH78" s="16"/>
      <c r="BYI78" s="16"/>
      <c r="BYJ78" s="16"/>
      <c r="BYK78" s="16"/>
      <c r="BYL78" s="16"/>
      <c r="BYM78" s="16"/>
      <c r="BYN78" s="16"/>
      <c r="BYO78" s="16"/>
      <c r="BYP78" s="16"/>
      <c r="BYQ78" s="16"/>
      <c r="BYR78" s="16"/>
      <c r="BYS78" s="16"/>
      <c r="BYT78" s="16"/>
      <c r="BYU78" s="16"/>
      <c r="BYV78" s="16"/>
      <c r="BYW78" s="16"/>
      <c r="BYX78" s="16"/>
      <c r="BYY78" s="16"/>
      <c r="BYZ78" s="16"/>
      <c r="BZA78" s="16"/>
      <c r="BZB78" s="16"/>
      <c r="BZC78" s="16"/>
      <c r="BZD78" s="16"/>
      <c r="BZE78" s="16"/>
      <c r="BZF78" s="16"/>
      <c r="BZG78" s="16"/>
      <c r="BZH78" s="16"/>
      <c r="BZI78" s="16"/>
      <c r="BZJ78" s="16"/>
      <c r="BZK78" s="16"/>
      <c r="BZL78" s="16"/>
      <c r="BZM78" s="16"/>
      <c r="BZN78" s="16"/>
      <c r="BZO78" s="16"/>
      <c r="BZP78" s="16"/>
      <c r="BZQ78" s="16"/>
      <c r="BZR78" s="16"/>
      <c r="BZS78" s="16"/>
      <c r="BZT78" s="16"/>
      <c r="BZU78" s="16"/>
      <c r="BZV78" s="16"/>
      <c r="BZW78" s="16"/>
      <c r="BZX78" s="16"/>
      <c r="BZY78" s="16"/>
      <c r="BZZ78" s="16"/>
      <c r="CAA78" s="16"/>
      <c r="CAB78" s="16"/>
      <c r="CAC78" s="16"/>
      <c r="CAD78" s="16"/>
      <c r="CAE78" s="16"/>
      <c r="CAF78" s="16"/>
      <c r="CAG78" s="16"/>
      <c r="CAH78" s="16"/>
      <c r="CAI78" s="16"/>
      <c r="CAJ78" s="16"/>
      <c r="CAK78" s="16"/>
      <c r="CAL78" s="16"/>
      <c r="CAM78" s="16"/>
      <c r="CAN78" s="16"/>
      <c r="CAO78" s="16"/>
      <c r="CAP78" s="16"/>
      <c r="CAQ78" s="16"/>
      <c r="CAR78" s="16"/>
      <c r="CAS78" s="16"/>
      <c r="CAT78" s="16"/>
      <c r="CAU78" s="16"/>
      <c r="CAV78" s="16"/>
      <c r="CAW78" s="16"/>
      <c r="CAX78" s="16"/>
      <c r="CAY78" s="16"/>
      <c r="CAZ78" s="16"/>
      <c r="CBA78" s="16"/>
      <c r="CBB78" s="16"/>
      <c r="CBC78" s="16"/>
      <c r="CBD78" s="16"/>
      <c r="CBE78" s="16"/>
      <c r="CBF78" s="16"/>
      <c r="CBG78" s="16"/>
      <c r="CBH78" s="16"/>
      <c r="CBI78" s="16"/>
      <c r="CBJ78" s="16"/>
      <c r="CBK78" s="16"/>
      <c r="CBL78" s="16"/>
      <c r="CBM78" s="16"/>
      <c r="CBN78" s="16"/>
      <c r="CBO78" s="16"/>
      <c r="CBP78" s="16"/>
      <c r="CBQ78" s="16"/>
      <c r="CBR78" s="16"/>
      <c r="CBS78" s="16"/>
      <c r="CBT78" s="16"/>
      <c r="CBU78" s="16"/>
      <c r="CBV78" s="16"/>
      <c r="CBW78" s="16"/>
      <c r="CBX78" s="16"/>
      <c r="CBY78" s="16"/>
      <c r="CBZ78" s="16"/>
      <c r="CCA78" s="16"/>
      <c r="CCB78" s="16"/>
      <c r="CCC78" s="16"/>
      <c r="CCD78" s="16"/>
      <c r="CCE78" s="16"/>
      <c r="CCF78" s="16"/>
      <c r="CCG78" s="16"/>
      <c r="CCH78" s="16"/>
      <c r="CCI78" s="16"/>
      <c r="CCJ78" s="16"/>
      <c r="CCK78" s="16"/>
      <c r="CCL78" s="16"/>
      <c r="CCM78" s="16"/>
      <c r="CCN78" s="16"/>
      <c r="CCO78" s="16"/>
      <c r="CCP78" s="16"/>
      <c r="CCQ78" s="16"/>
      <c r="CCR78" s="16"/>
      <c r="CCS78" s="16"/>
      <c r="CCT78" s="16"/>
      <c r="CCU78" s="16"/>
      <c r="CCV78" s="16"/>
      <c r="CCW78" s="16"/>
      <c r="CCX78" s="16"/>
      <c r="CCY78" s="16"/>
      <c r="CCZ78" s="16"/>
      <c r="CDA78" s="16"/>
      <c r="CDB78" s="16"/>
      <c r="CDC78" s="16"/>
      <c r="CDD78" s="16"/>
      <c r="CDE78" s="16"/>
      <c r="CDF78" s="16"/>
      <c r="CDG78" s="16"/>
      <c r="CDH78" s="16"/>
      <c r="CDI78" s="16"/>
      <c r="CDJ78" s="16"/>
      <c r="CDK78" s="16"/>
      <c r="CDL78" s="16"/>
      <c r="CDM78" s="16"/>
      <c r="CDN78" s="16"/>
      <c r="CDO78" s="16"/>
      <c r="CDP78" s="16"/>
      <c r="CDQ78" s="16"/>
      <c r="CDR78" s="16"/>
      <c r="CDS78" s="16"/>
      <c r="CDT78" s="16"/>
      <c r="CDU78" s="16"/>
      <c r="CDV78" s="16"/>
      <c r="CDW78" s="16"/>
      <c r="CDX78" s="16"/>
      <c r="CDY78" s="16"/>
      <c r="CDZ78" s="16"/>
      <c r="CEA78" s="16"/>
      <c r="CEB78" s="16"/>
      <c r="CEC78" s="16"/>
      <c r="CED78" s="16"/>
      <c r="CEE78" s="16"/>
      <c r="CEF78" s="16"/>
      <c r="CEG78" s="16"/>
      <c r="CEH78" s="16"/>
      <c r="CEI78" s="16"/>
      <c r="CEJ78" s="16"/>
      <c r="CEK78" s="16"/>
      <c r="CEL78" s="16"/>
      <c r="CEM78" s="16"/>
      <c r="CEN78" s="16"/>
      <c r="CEO78" s="16"/>
      <c r="CEP78" s="16"/>
      <c r="CEQ78" s="16"/>
      <c r="CER78" s="16"/>
      <c r="CES78" s="16"/>
      <c r="CET78" s="16"/>
      <c r="CEU78" s="16"/>
      <c r="CEV78" s="16"/>
      <c r="CEW78" s="16"/>
      <c r="CEX78" s="16"/>
      <c r="CEY78" s="16"/>
      <c r="CEZ78" s="16"/>
      <c r="CFA78" s="16"/>
      <c r="CFB78" s="16"/>
      <c r="CFC78" s="16"/>
      <c r="CFD78" s="16"/>
      <c r="CFE78" s="16"/>
      <c r="CFF78" s="16"/>
      <c r="CFG78" s="16"/>
      <c r="CFH78" s="16"/>
      <c r="CFI78" s="16"/>
      <c r="CFJ78" s="16"/>
      <c r="CFK78" s="16"/>
      <c r="CFL78" s="16"/>
      <c r="CFM78" s="16"/>
      <c r="CFN78" s="16"/>
      <c r="CFO78" s="16"/>
      <c r="CFP78" s="16"/>
      <c r="CFQ78" s="16"/>
      <c r="CFR78" s="16"/>
      <c r="CFS78" s="16"/>
      <c r="CFT78" s="16"/>
      <c r="CFU78" s="16"/>
      <c r="CFV78" s="16"/>
      <c r="CFW78" s="16"/>
      <c r="CFX78" s="16"/>
      <c r="CFY78" s="16"/>
      <c r="CFZ78" s="16"/>
      <c r="CGA78" s="16"/>
      <c r="CGB78" s="16"/>
      <c r="CGC78" s="16"/>
      <c r="CGD78" s="16"/>
      <c r="CGE78" s="16"/>
      <c r="CGF78" s="16"/>
      <c r="CGG78" s="16"/>
      <c r="CGH78" s="16"/>
      <c r="CGI78" s="16"/>
      <c r="CGJ78" s="16"/>
      <c r="CGK78" s="16"/>
      <c r="CGL78" s="16"/>
      <c r="CGM78" s="16"/>
      <c r="CGN78" s="16"/>
      <c r="CGO78" s="16"/>
      <c r="CGP78" s="16"/>
      <c r="CGQ78" s="16"/>
      <c r="CGR78" s="16"/>
      <c r="CGS78" s="16"/>
      <c r="CGT78" s="16"/>
      <c r="CGU78" s="16"/>
      <c r="CGV78" s="16"/>
      <c r="CGW78" s="16"/>
      <c r="CGX78" s="16"/>
      <c r="CGY78" s="16"/>
      <c r="CGZ78" s="16"/>
      <c r="CHA78" s="16"/>
      <c r="CHB78" s="16"/>
      <c r="CHC78" s="16"/>
      <c r="CHD78" s="16"/>
      <c r="CHE78" s="16"/>
      <c r="CHF78" s="16"/>
      <c r="CHG78" s="16"/>
      <c r="CHH78" s="16"/>
      <c r="CHI78" s="16"/>
      <c r="CHJ78" s="16"/>
      <c r="CHK78" s="16"/>
      <c r="CHL78" s="16"/>
      <c r="CHM78" s="16"/>
      <c r="CHN78" s="16"/>
      <c r="CHO78" s="16"/>
      <c r="CHP78" s="16"/>
      <c r="CHQ78" s="16"/>
      <c r="CHR78" s="16"/>
      <c r="CHS78" s="16"/>
      <c r="CHT78" s="16"/>
      <c r="CHU78" s="16"/>
      <c r="CHV78" s="16"/>
      <c r="CHW78" s="16"/>
      <c r="CHX78" s="16"/>
      <c r="CHY78" s="16"/>
      <c r="CHZ78" s="16"/>
      <c r="CIA78" s="16"/>
      <c r="CIB78" s="16"/>
      <c r="CIC78" s="16"/>
      <c r="CID78" s="16"/>
      <c r="CIE78" s="16"/>
      <c r="CIF78" s="16"/>
      <c r="CIG78" s="16"/>
      <c r="CIH78" s="16"/>
      <c r="CII78" s="16"/>
      <c r="CIJ78" s="16"/>
      <c r="CIK78" s="16"/>
      <c r="CIL78" s="16"/>
      <c r="CIM78" s="16"/>
      <c r="CIN78" s="16"/>
      <c r="CIO78" s="16"/>
      <c r="CIP78" s="16"/>
      <c r="CIQ78" s="16"/>
      <c r="CIR78" s="16"/>
      <c r="CIS78" s="16"/>
      <c r="CIT78" s="16"/>
      <c r="CIU78" s="16"/>
      <c r="CIV78" s="16"/>
      <c r="CIW78" s="16"/>
      <c r="CIX78" s="16"/>
      <c r="CIY78" s="16"/>
      <c r="CIZ78" s="16"/>
      <c r="CJA78" s="16"/>
      <c r="CJB78" s="16"/>
      <c r="CJC78" s="16"/>
      <c r="CJD78" s="16"/>
      <c r="CJE78" s="16"/>
      <c r="CJF78" s="16"/>
      <c r="CJG78" s="16"/>
      <c r="CJH78" s="16"/>
      <c r="CJI78" s="16"/>
      <c r="CJJ78" s="16"/>
      <c r="CJK78" s="16"/>
      <c r="CJL78" s="16"/>
      <c r="CJM78" s="16"/>
      <c r="CJN78" s="16"/>
      <c r="CJO78" s="16"/>
      <c r="CJP78" s="16"/>
      <c r="CJQ78" s="16"/>
      <c r="CJR78" s="16"/>
      <c r="CJS78" s="16"/>
      <c r="CJT78" s="16"/>
      <c r="CJU78" s="16"/>
      <c r="CJV78" s="16"/>
      <c r="CJW78" s="16"/>
      <c r="CJX78" s="16"/>
      <c r="CJY78" s="16"/>
      <c r="CJZ78" s="16"/>
      <c r="CKA78" s="16"/>
      <c r="CKB78" s="16"/>
      <c r="CKC78" s="16"/>
      <c r="CKD78" s="16"/>
      <c r="CKE78" s="16"/>
      <c r="CKF78" s="16"/>
      <c r="CKG78" s="16"/>
      <c r="CKH78" s="16"/>
      <c r="CKI78" s="16"/>
      <c r="CKJ78" s="16"/>
      <c r="CKK78" s="16"/>
      <c r="CKL78" s="16"/>
      <c r="CKM78" s="16"/>
      <c r="CKN78" s="16"/>
      <c r="CKO78" s="16"/>
      <c r="CKP78" s="16"/>
      <c r="CKQ78" s="16"/>
      <c r="CKR78" s="16"/>
      <c r="CKS78" s="16"/>
      <c r="CKT78" s="16"/>
      <c r="CKU78" s="16"/>
      <c r="CKV78" s="16"/>
      <c r="CKW78" s="16"/>
      <c r="CKX78" s="16"/>
      <c r="CKY78" s="16"/>
      <c r="CKZ78" s="16"/>
      <c r="CLA78" s="16"/>
      <c r="CLB78" s="16"/>
      <c r="CLC78" s="16"/>
      <c r="CLD78" s="16"/>
      <c r="CLE78" s="16"/>
      <c r="CLF78" s="16"/>
      <c r="CLG78" s="16"/>
      <c r="CLH78" s="16"/>
      <c r="CLI78" s="16"/>
      <c r="CLJ78" s="16"/>
      <c r="CLK78" s="16"/>
      <c r="CLL78" s="16"/>
      <c r="CLM78" s="16"/>
      <c r="CLN78" s="16"/>
      <c r="CLO78" s="16"/>
      <c r="CLP78" s="16"/>
      <c r="CLQ78" s="16"/>
      <c r="CLR78" s="16"/>
      <c r="CLS78" s="16"/>
      <c r="CLT78" s="16"/>
      <c r="CLU78" s="16"/>
      <c r="CLV78" s="16"/>
      <c r="CLW78" s="16"/>
      <c r="CLX78" s="16"/>
      <c r="CLY78" s="16"/>
      <c r="CLZ78" s="16"/>
      <c r="CMA78" s="16"/>
      <c r="CMB78" s="16"/>
      <c r="CMC78" s="16"/>
      <c r="CMD78" s="16"/>
      <c r="CME78" s="16"/>
      <c r="CMF78" s="16"/>
      <c r="CMG78" s="16"/>
      <c r="CMH78" s="16"/>
      <c r="CMI78" s="16"/>
      <c r="CMJ78" s="16"/>
      <c r="CMK78" s="16"/>
      <c r="CML78" s="16"/>
      <c r="CMM78" s="16"/>
      <c r="CMN78" s="16"/>
      <c r="CMO78" s="16"/>
      <c r="CMP78" s="16"/>
      <c r="CMQ78" s="16"/>
      <c r="CMR78" s="16"/>
      <c r="CMS78" s="16"/>
      <c r="CMT78" s="16"/>
      <c r="CMU78" s="16"/>
      <c r="CMV78" s="16"/>
      <c r="CMW78" s="16"/>
      <c r="CMX78" s="16"/>
      <c r="CMY78" s="16"/>
      <c r="CMZ78" s="16"/>
      <c r="CNA78" s="16"/>
      <c r="CNB78" s="16"/>
      <c r="CNC78" s="16"/>
      <c r="CND78" s="16"/>
      <c r="CNE78" s="16"/>
      <c r="CNF78" s="16"/>
      <c r="CNG78" s="16"/>
      <c r="CNH78" s="16"/>
      <c r="CNI78" s="16"/>
      <c r="CNJ78" s="16"/>
      <c r="CNK78" s="16"/>
      <c r="CNL78" s="16"/>
      <c r="CNM78" s="16"/>
      <c r="CNN78" s="16"/>
      <c r="CNO78" s="16"/>
      <c r="CNP78" s="16"/>
      <c r="CNQ78" s="16"/>
      <c r="CNR78" s="16"/>
      <c r="CNS78" s="16"/>
      <c r="CNT78" s="16"/>
      <c r="CNU78" s="16"/>
      <c r="CNV78" s="16"/>
      <c r="CNW78" s="16"/>
      <c r="CNX78" s="16"/>
      <c r="CNY78" s="16"/>
      <c r="CNZ78" s="16"/>
      <c r="COA78" s="16"/>
      <c r="COB78" s="16"/>
      <c r="COC78" s="16"/>
      <c r="COD78" s="16"/>
      <c r="COE78" s="16"/>
      <c r="COF78" s="16"/>
      <c r="COG78" s="16"/>
      <c r="COH78" s="16"/>
      <c r="COI78" s="16"/>
      <c r="COJ78" s="16"/>
      <c r="COK78" s="16"/>
      <c r="COL78" s="16"/>
      <c r="COM78" s="16"/>
      <c r="CON78" s="16"/>
      <c r="COO78" s="16"/>
      <c r="COP78" s="16"/>
      <c r="COQ78" s="16"/>
      <c r="COR78" s="16"/>
      <c r="COS78" s="16"/>
      <c r="COT78" s="16"/>
      <c r="COU78" s="16"/>
      <c r="COV78" s="16"/>
      <c r="COW78" s="16"/>
      <c r="COX78" s="16"/>
      <c r="COY78" s="16"/>
      <c r="COZ78" s="16"/>
      <c r="CPA78" s="16"/>
      <c r="CPB78" s="16"/>
      <c r="CPC78" s="16"/>
      <c r="CPD78" s="16"/>
      <c r="CPE78" s="16"/>
      <c r="CPF78" s="16"/>
      <c r="CPG78" s="16"/>
      <c r="CPH78" s="16"/>
      <c r="CPI78" s="16"/>
      <c r="CPJ78" s="16"/>
      <c r="CPK78" s="16"/>
      <c r="CPL78" s="16"/>
      <c r="CPM78" s="16"/>
      <c r="CPN78" s="16"/>
      <c r="CPO78" s="16"/>
      <c r="CPP78" s="16"/>
      <c r="CPQ78" s="16"/>
      <c r="CPR78" s="16"/>
      <c r="CPS78" s="16"/>
      <c r="CPT78" s="16"/>
      <c r="CPU78" s="16"/>
      <c r="CPV78" s="16"/>
      <c r="CPW78" s="16"/>
      <c r="CPX78" s="16"/>
      <c r="CPY78" s="16"/>
      <c r="CPZ78" s="16"/>
      <c r="CQA78" s="16"/>
      <c r="CQB78" s="16"/>
      <c r="CQC78" s="16"/>
      <c r="CQD78" s="16"/>
      <c r="CQE78" s="16"/>
      <c r="CQF78" s="16"/>
      <c r="CQG78" s="16"/>
      <c r="CQH78" s="16"/>
      <c r="CQI78" s="16"/>
      <c r="CQJ78" s="16"/>
      <c r="CQK78" s="16"/>
      <c r="CQL78" s="16"/>
      <c r="CQM78" s="16"/>
      <c r="CQN78" s="16"/>
      <c r="CQO78" s="16"/>
      <c r="CQP78" s="16"/>
      <c r="CQQ78" s="16"/>
      <c r="CQR78" s="16"/>
      <c r="CQS78" s="16"/>
      <c r="CQT78" s="16"/>
      <c r="CQU78" s="16"/>
      <c r="CQV78" s="16"/>
      <c r="CQW78" s="16"/>
      <c r="CQX78" s="16"/>
      <c r="CQY78" s="16"/>
      <c r="CQZ78" s="16"/>
      <c r="CRA78" s="16"/>
      <c r="CRB78" s="16"/>
      <c r="CRC78" s="16"/>
      <c r="CRD78" s="16"/>
      <c r="CRE78" s="16"/>
      <c r="CRF78" s="16"/>
      <c r="CRG78" s="16"/>
      <c r="CRH78" s="16"/>
      <c r="CRI78" s="16"/>
      <c r="CRJ78" s="16"/>
      <c r="CRK78" s="16"/>
      <c r="CRL78" s="16"/>
      <c r="CRM78" s="16"/>
      <c r="CRN78" s="16"/>
      <c r="CRO78" s="16"/>
      <c r="CRP78" s="16"/>
      <c r="CRQ78" s="16"/>
      <c r="CRR78" s="16"/>
      <c r="CRS78" s="16"/>
      <c r="CRT78" s="16"/>
      <c r="CRU78" s="16"/>
      <c r="CRV78" s="16"/>
      <c r="CRW78" s="16"/>
      <c r="CRX78" s="16"/>
      <c r="CRY78" s="16"/>
      <c r="CRZ78" s="16"/>
      <c r="CSA78" s="16"/>
      <c r="CSB78" s="16"/>
      <c r="CSC78" s="16"/>
      <c r="CSD78" s="16"/>
      <c r="CSE78" s="16"/>
      <c r="CSF78" s="16"/>
      <c r="CSG78" s="16"/>
      <c r="CSH78" s="16"/>
      <c r="CSI78" s="16"/>
      <c r="CSJ78" s="16"/>
      <c r="CSK78" s="24"/>
      <c r="CSL78" s="16"/>
      <c r="CSM78" s="16"/>
      <c r="CSN78" s="16"/>
      <c r="CSO78" s="16"/>
      <c r="CSP78" s="16"/>
      <c r="CUG78" s="16"/>
      <c r="CUH78" s="16"/>
      <c r="CUI78" s="16"/>
      <c r="CUJ78" s="16"/>
      <c r="CUK78" s="16"/>
      <c r="CUL78" s="16"/>
      <c r="CUM78" s="16"/>
      <c r="CUN78" s="16"/>
      <c r="CUO78" s="16"/>
      <c r="CUP78" s="16"/>
      <c r="CUQ78" s="16"/>
      <c r="CUR78" s="16"/>
      <c r="CUS78" s="16"/>
      <c r="CUT78" s="16"/>
      <c r="CUU78" s="16"/>
      <c r="CUV78" s="16"/>
      <c r="CUW78" s="16"/>
      <c r="CUX78" s="16"/>
      <c r="CUY78" s="16"/>
      <c r="CUZ78" s="16"/>
      <c r="CVA78" s="16"/>
      <c r="CVB78" s="16"/>
      <c r="CVC78" s="16"/>
      <c r="CVD78" s="16"/>
      <c r="CVE78" s="16"/>
      <c r="CVF78" s="16"/>
      <c r="CVG78" s="16"/>
      <c r="CVH78" s="16"/>
      <c r="CVI78" s="16"/>
      <c r="CVJ78" s="16"/>
      <c r="CVK78" s="16"/>
      <c r="CVL78" s="16"/>
      <c r="CVM78" s="16"/>
      <c r="CVN78" s="16"/>
      <c r="CVO78" s="16"/>
      <c r="CVP78" s="16"/>
    </row>
    <row r="79" spans="3:2616" ht="13.8" x14ac:dyDescent="0.25">
      <c r="C79" s="57"/>
      <c r="E79" s="16"/>
      <c r="K79" s="59"/>
      <c r="L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  <c r="FC79" s="16"/>
      <c r="FD79" s="16"/>
      <c r="FE79" s="16"/>
      <c r="FF79" s="16"/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16"/>
      <c r="FR79" s="16"/>
      <c r="FS79" s="16"/>
      <c r="FT79" s="16"/>
      <c r="FU79" s="16"/>
      <c r="FV79" s="16"/>
      <c r="FW79" s="16"/>
      <c r="FX79" s="16"/>
      <c r="FY79" s="16"/>
      <c r="FZ79" s="16"/>
      <c r="GA79" s="16"/>
      <c r="GB79" s="16"/>
      <c r="GC79" s="16"/>
      <c r="GD79" s="16"/>
      <c r="GE79" s="16"/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/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/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/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/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/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/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/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/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/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/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/>
      <c r="LT79" s="16"/>
      <c r="LU79" s="16"/>
      <c r="LV79" s="16"/>
      <c r="LW79" s="16"/>
      <c r="LX79" s="16"/>
      <c r="LY79" s="16"/>
      <c r="LZ79" s="16"/>
      <c r="MA79" s="16"/>
      <c r="MB79" s="16"/>
      <c r="MC79" s="16"/>
      <c r="MD79" s="16"/>
      <c r="ME79" s="16"/>
      <c r="MF79" s="16"/>
      <c r="MG79" s="16"/>
      <c r="MH79" s="16"/>
      <c r="MI79" s="16"/>
      <c r="MJ79" s="16"/>
      <c r="MK79" s="16"/>
      <c r="ML79" s="16"/>
      <c r="MM79" s="16"/>
      <c r="MN79" s="16"/>
      <c r="MO79" s="16"/>
      <c r="MP79" s="16"/>
      <c r="MQ79" s="16"/>
      <c r="MR79" s="16"/>
      <c r="MS79" s="16"/>
      <c r="MT79" s="16"/>
      <c r="MU79" s="16"/>
      <c r="MV79" s="16"/>
      <c r="MW79" s="16"/>
      <c r="MX79" s="16"/>
      <c r="MY79" s="16"/>
      <c r="MZ79" s="16"/>
      <c r="NA79" s="16"/>
      <c r="NB79" s="16"/>
      <c r="NC79" s="16"/>
      <c r="ND79" s="16"/>
      <c r="NE79" s="16"/>
      <c r="NF79" s="16"/>
      <c r="NG79" s="16"/>
      <c r="NH79" s="16"/>
      <c r="NI79" s="16"/>
      <c r="NJ79" s="16"/>
      <c r="NK79" s="16"/>
      <c r="NL79" s="16"/>
      <c r="NM79" s="16"/>
      <c r="NN79" s="16"/>
      <c r="NO79" s="16"/>
      <c r="NP79" s="16"/>
      <c r="NQ79" s="16"/>
      <c r="NR79" s="16"/>
      <c r="NS79" s="16"/>
      <c r="NT79" s="16"/>
      <c r="NU79" s="16"/>
      <c r="NV79" s="16"/>
      <c r="NW79" s="16"/>
      <c r="NX79" s="16"/>
      <c r="NY79" s="16"/>
      <c r="NZ79" s="16"/>
      <c r="OA79" s="16"/>
      <c r="OB79" s="16"/>
      <c r="OC79" s="16"/>
      <c r="OD79" s="16"/>
      <c r="OE79" s="16"/>
      <c r="OF79" s="16"/>
      <c r="OG79" s="16"/>
      <c r="OH79" s="16"/>
      <c r="OI79" s="16"/>
      <c r="OJ79" s="16"/>
      <c r="OK79" s="16"/>
      <c r="OL79" s="16"/>
      <c r="OM79" s="16"/>
      <c r="ON79" s="16"/>
      <c r="OO79" s="16"/>
      <c r="OP79" s="16"/>
      <c r="OQ79" s="16"/>
      <c r="OR79" s="16"/>
      <c r="OS79" s="16"/>
      <c r="OT79" s="16"/>
      <c r="OU79" s="16"/>
      <c r="OV79" s="16"/>
      <c r="OW79" s="16"/>
      <c r="OX79" s="16"/>
      <c r="OY79" s="16"/>
      <c r="OZ79" s="16"/>
      <c r="PA79" s="16"/>
      <c r="PB79" s="16"/>
      <c r="PC79" s="16"/>
      <c r="PD79" s="16"/>
      <c r="PE79" s="16"/>
      <c r="PF79" s="16"/>
      <c r="PG79" s="16"/>
      <c r="PH79" s="16"/>
      <c r="PI79" s="16"/>
      <c r="PJ79" s="16"/>
      <c r="PK79" s="16"/>
      <c r="PL79" s="16"/>
      <c r="PM79" s="16"/>
      <c r="PN79" s="16"/>
      <c r="PO79" s="16"/>
      <c r="PP79" s="16"/>
      <c r="PQ79" s="16"/>
      <c r="PR79" s="16"/>
      <c r="PS79" s="16"/>
      <c r="PT79" s="16"/>
      <c r="PU79" s="16"/>
      <c r="PV79" s="16"/>
      <c r="PW79" s="16"/>
      <c r="PX79" s="16"/>
      <c r="PY79" s="16"/>
      <c r="PZ79" s="16"/>
      <c r="QA79" s="16"/>
      <c r="QB79" s="16"/>
      <c r="QC79" s="16"/>
      <c r="QD79" s="16"/>
      <c r="QE79" s="16"/>
      <c r="QF79" s="16"/>
      <c r="QG79" s="16"/>
      <c r="QH79" s="16"/>
      <c r="QI79" s="16"/>
      <c r="QJ79" s="16"/>
      <c r="QK79" s="16"/>
      <c r="QL79" s="16"/>
      <c r="QM79" s="16"/>
      <c r="QN79" s="16"/>
      <c r="QO79" s="16"/>
      <c r="QP79" s="16"/>
      <c r="QQ79" s="16"/>
      <c r="QR79" s="16"/>
      <c r="QS79" s="16"/>
      <c r="QT79" s="16"/>
      <c r="QU79" s="16"/>
      <c r="QV79" s="16"/>
      <c r="QW79" s="16"/>
      <c r="QX79" s="16"/>
      <c r="QY79" s="16"/>
      <c r="QZ79" s="16"/>
      <c r="RA79" s="16"/>
      <c r="RB79" s="16"/>
      <c r="RC79" s="16"/>
      <c r="RD79" s="16"/>
      <c r="RE79" s="16"/>
      <c r="RF79" s="16"/>
      <c r="RG79" s="16"/>
      <c r="RH79" s="16"/>
      <c r="RI79" s="16"/>
      <c r="RJ79" s="16"/>
      <c r="RK79" s="16"/>
      <c r="RL79" s="16"/>
      <c r="RM79" s="16"/>
      <c r="RN79" s="16"/>
      <c r="RO79" s="16"/>
      <c r="RP79" s="16"/>
      <c r="RQ79" s="16"/>
      <c r="RR79" s="16"/>
      <c r="RS79" s="16"/>
      <c r="RT79" s="16"/>
      <c r="RU79" s="16"/>
      <c r="RV79" s="16"/>
      <c r="RW79" s="16"/>
      <c r="RX79" s="16"/>
      <c r="RY79" s="16"/>
      <c r="RZ79" s="16"/>
      <c r="SA79" s="16"/>
      <c r="SB79" s="16"/>
      <c r="SC79" s="16"/>
      <c r="SD79" s="16"/>
      <c r="SE79" s="16"/>
      <c r="SF79" s="16"/>
      <c r="SG79" s="16"/>
      <c r="SH79" s="16"/>
      <c r="SI79" s="16"/>
      <c r="SJ79" s="16"/>
      <c r="SK79" s="16"/>
      <c r="SL79" s="16"/>
      <c r="SM79" s="16"/>
      <c r="SN79" s="16"/>
      <c r="SO79" s="16"/>
      <c r="SP79" s="16"/>
      <c r="SQ79" s="16"/>
      <c r="SR79" s="16"/>
      <c r="SS79" s="16"/>
      <c r="ST79" s="16"/>
      <c r="SU79" s="16"/>
      <c r="SV79" s="16"/>
      <c r="SW79" s="16"/>
      <c r="SX79" s="16"/>
      <c r="SY79" s="16"/>
      <c r="SZ79" s="16"/>
      <c r="TA79" s="16"/>
      <c r="TB79" s="16"/>
      <c r="TC79" s="16"/>
      <c r="TD79" s="16"/>
      <c r="TE79" s="16"/>
      <c r="TF79" s="16"/>
      <c r="TG79" s="16"/>
      <c r="TH79" s="16"/>
      <c r="TI79" s="16"/>
      <c r="TJ79" s="16"/>
      <c r="TK79" s="16"/>
      <c r="TL79" s="16"/>
      <c r="TM79" s="16"/>
      <c r="TN79" s="16"/>
      <c r="TO79" s="16"/>
      <c r="TP79" s="16"/>
      <c r="TQ79" s="16"/>
      <c r="TR79" s="16"/>
      <c r="TS79" s="16"/>
      <c r="TT79" s="16"/>
      <c r="TU79" s="16"/>
      <c r="TV79" s="16"/>
      <c r="TW79" s="16"/>
      <c r="TX79" s="16"/>
      <c r="TY79" s="16"/>
      <c r="TZ79" s="16"/>
      <c r="UA79" s="16"/>
      <c r="UB79" s="16"/>
      <c r="UC79" s="16"/>
      <c r="UD79" s="16"/>
      <c r="UE79" s="16"/>
      <c r="UF79" s="16"/>
      <c r="UG79" s="16"/>
      <c r="UH79" s="16"/>
      <c r="UI79" s="16"/>
      <c r="UJ79" s="16"/>
      <c r="UK79" s="16"/>
      <c r="UL79" s="16"/>
      <c r="UM79" s="16"/>
      <c r="UN79" s="16"/>
      <c r="UO79" s="16"/>
      <c r="UP79" s="16"/>
      <c r="UQ79" s="16"/>
      <c r="UR79" s="16"/>
      <c r="US79" s="16"/>
      <c r="UT79" s="16"/>
      <c r="UU79" s="16"/>
      <c r="UV79" s="16"/>
      <c r="UW79" s="16"/>
      <c r="UX79" s="16"/>
      <c r="UY79" s="16"/>
      <c r="UZ79" s="16"/>
      <c r="VA79" s="16"/>
      <c r="VB79" s="16"/>
      <c r="VC79" s="16"/>
      <c r="VD79" s="16"/>
      <c r="VE79" s="16"/>
      <c r="VF79" s="16"/>
      <c r="VG79" s="16"/>
      <c r="VH79" s="16"/>
      <c r="VI79" s="16"/>
      <c r="VJ79" s="16"/>
      <c r="VK79" s="16"/>
      <c r="VL79" s="16"/>
      <c r="VM79" s="16"/>
      <c r="VN79" s="16"/>
      <c r="VO79" s="16"/>
      <c r="VP79" s="16"/>
      <c r="VQ79" s="16"/>
      <c r="VR79" s="16"/>
      <c r="VS79" s="16"/>
      <c r="VT79" s="16"/>
      <c r="VU79" s="16"/>
      <c r="VV79" s="16"/>
      <c r="VW79" s="16"/>
      <c r="VX79" s="16"/>
      <c r="VY79" s="16"/>
      <c r="VZ79" s="16"/>
      <c r="WA79" s="16"/>
      <c r="WB79" s="16"/>
      <c r="WC79" s="16"/>
      <c r="WD79" s="16"/>
      <c r="WE79" s="16"/>
      <c r="WF79" s="16"/>
      <c r="WG79" s="16"/>
      <c r="WH79" s="16"/>
      <c r="WI79" s="16"/>
      <c r="WJ79" s="16"/>
      <c r="WK79" s="16"/>
      <c r="WL79" s="16"/>
      <c r="WM79" s="16"/>
      <c r="WN79" s="16"/>
      <c r="WO79" s="16"/>
      <c r="WP79" s="16"/>
      <c r="WQ79" s="16"/>
      <c r="WR79" s="16"/>
      <c r="WS79" s="16"/>
      <c r="WT79" s="16"/>
      <c r="WU79" s="16"/>
      <c r="WV79" s="16"/>
      <c r="WW79" s="16"/>
      <c r="WX79" s="16"/>
      <c r="WY79" s="16"/>
      <c r="WZ79" s="16"/>
      <c r="XA79" s="16"/>
      <c r="XB79" s="16"/>
      <c r="XC79" s="16"/>
      <c r="XD79" s="16"/>
      <c r="XE79" s="16"/>
      <c r="XF79" s="16"/>
      <c r="XG79" s="16"/>
      <c r="XH79" s="16"/>
      <c r="XI79" s="16"/>
      <c r="XJ79" s="16"/>
      <c r="XK79" s="16"/>
      <c r="XL79" s="16"/>
      <c r="XM79" s="16"/>
      <c r="XN79" s="16"/>
      <c r="XO79" s="16"/>
      <c r="XP79" s="16"/>
      <c r="XQ79" s="16"/>
      <c r="XR79" s="16"/>
      <c r="XS79" s="16"/>
      <c r="XT79" s="16"/>
      <c r="XU79" s="16"/>
      <c r="XV79" s="16"/>
      <c r="XW79" s="16"/>
      <c r="XX79" s="16"/>
      <c r="XY79" s="16"/>
      <c r="XZ79" s="16"/>
      <c r="YA79" s="16"/>
      <c r="YB79" s="16"/>
      <c r="YC79" s="16"/>
      <c r="YD79" s="16"/>
      <c r="YE79" s="16"/>
      <c r="YF79" s="16"/>
      <c r="YG79" s="16"/>
      <c r="YH79" s="16"/>
      <c r="YI79" s="16"/>
      <c r="YJ79" s="16"/>
      <c r="YK79" s="16"/>
      <c r="YL79" s="16"/>
      <c r="YM79" s="16"/>
      <c r="YN79" s="16"/>
      <c r="YO79" s="16"/>
      <c r="YP79" s="16"/>
      <c r="YQ79" s="16"/>
      <c r="YR79" s="16"/>
      <c r="YS79" s="16"/>
      <c r="YT79" s="16"/>
      <c r="YU79" s="16"/>
      <c r="YV79" s="16"/>
      <c r="YW79" s="16"/>
      <c r="YX79" s="16"/>
      <c r="YY79" s="16"/>
      <c r="YZ79" s="16"/>
      <c r="ZA79" s="16"/>
      <c r="ZB79" s="16"/>
      <c r="ZC79" s="16"/>
      <c r="ZD79" s="16"/>
      <c r="ZE79" s="16"/>
      <c r="ZF79" s="16"/>
      <c r="ZG79" s="16"/>
      <c r="ZH79" s="16"/>
      <c r="ZI79" s="16"/>
      <c r="ZJ79" s="16"/>
      <c r="ZK79" s="16"/>
      <c r="ZL79" s="16"/>
      <c r="ZM79" s="16"/>
      <c r="ZN79" s="16"/>
      <c r="ZO79" s="16"/>
      <c r="ZP79" s="16"/>
      <c r="ZQ79" s="16"/>
      <c r="ZR79" s="16"/>
      <c r="ZS79" s="16"/>
      <c r="ZT79" s="16"/>
      <c r="ZU79" s="16"/>
      <c r="ZV79" s="16"/>
      <c r="ZW79" s="16"/>
      <c r="ZX79" s="16"/>
      <c r="ZY79" s="16"/>
      <c r="ZZ79" s="16"/>
      <c r="AAA79" s="16"/>
      <c r="AAB79" s="16"/>
      <c r="AAC79" s="16"/>
      <c r="AAD79" s="16"/>
      <c r="AAE79" s="16"/>
      <c r="AAF79" s="16"/>
      <c r="AAG79" s="16"/>
      <c r="AAH79" s="16"/>
      <c r="AAI79" s="16"/>
      <c r="AAJ79" s="16"/>
      <c r="AAK79" s="16"/>
      <c r="AAL79" s="16"/>
      <c r="AAM79" s="16"/>
      <c r="AAN79" s="16"/>
      <c r="AAO79" s="16"/>
      <c r="AAP79" s="16"/>
      <c r="AAQ79" s="16"/>
      <c r="AAR79" s="16"/>
      <c r="AAS79" s="16"/>
      <c r="AAT79" s="16"/>
      <c r="AAU79" s="16"/>
      <c r="AAV79" s="16"/>
      <c r="AAW79" s="16"/>
      <c r="AAX79" s="16"/>
      <c r="AAY79" s="16"/>
      <c r="AAZ79" s="16"/>
      <c r="ABA79" s="16"/>
      <c r="ABB79" s="16"/>
      <c r="ABC79" s="16"/>
      <c r="ABD79" s="16"/>
      <c r="ABE79" s="16"/>
      <c r="ABF79" s="16"/>
      <c r="ABG79" s="16"/>
      <c r="ABH79" s="16"/>
      <c r="ABI79" s="16"/>
      <c r="ABJ79" s="16"/>
      <c r="ABK79" s="16"/>
      <c r="ABL79" s="16"/>
      <c r="ABM79" s="16"/>
      <c r="ABN79" s="16"/>
      <c r="ABO79" s="16"/>
      <c r="ABP79" s="16"/>
      <c r="ABQ79" s="16"/>
      <c r="ABR79" s="16"/>
      <c r="ABS79" s="16"/>
      <c r="ABT79" s="16"/>
      <c r="ABU79" s="16"/>
      <c r="ABV79" s="16"/>
      <c r="ABW79" s="16"/>
      <c r="ABX79" s="16"/>
      <c r="ABY79" s="16"/>
      <c r="ABZ79" s="16"/>
      <c r="ACA79" s="16"/>
      <c r="ACB79" s="16"/>
      <c r="ACC79" s="16"/>
      <c r="ACD79" s="16"/>
      <c r="ACE79" s="16"/>
      <c r="ACF79" s="16"/>
      <c r="ACG79" s="16"/>
      <c r="ACH79" s="16"/>
      <c r="ACI79" s="16"/>
      <c r="ACJ79" s="16"/>
      <c r="ACK79" s="16"/>
      <c r="ACL79" s="16"/>
      <c r="ACM79" s="16"/>
      <c r="ACN79" s="16"/>
      <c r="ACO79" s="16"/>
      <c r="ACP79" s="16"/>
      <c r="ACQ79" s="16"/>
      <c r="ACR79" s="16"/>
      <c r="ACS79" s="16"/>
      <c r="ACT79" s="16"/>
      <c r="ACU79" s="16"/>
      <c r="ACV79" s="16"/>
      <c r="ACW79" s="16"/>
      <c r="ACX79" s="16"/>
      <c r="ACY79" s="16"/>
      <c r="ACZ79" s="16"/>
      <c r="ADA79" s="16"/>
      <c r="ADB79" s="16"/>
      <c r="ADC79" s="16"/>
      <c r="ADD79" s="16"/>
      <c r="ADE79" s="16"/>
      <c r="ADF79" s="16"/>
      <c r="ADG79" s="16"/>
      <c r="ADH79" s="16"/>
      <c r="ADI79" s="16"/>
      <c r="ADJ79" s="16"/>
      <c r="ADK79" s="16"/>
      <c r="ADL79" s="16"/>
      <c r="ADM79" s="16"/>
      <c r="ADN79" s="16"/>
      <c r="ADO79" s="16"/>
      <c r="ADP79" s="16"/>
      <c r="ADQ79" s="16"/>
      <c r="ADR79" s="16"/>
      <c r="ADS79" s="16"/>
      <c r="ADT79" s="16"/>
      <c r="ADU79" s="16"/>
      <c r="ADV79" s="16"/>
      <c r="ADW79" s="16"/>
      <c r="ADX79" s="16"/>
      <c r="ADY79" s="16"/>
      <c r="ADZ79" s="16"/>
      <c r="AEA79" s="16"/>
      <c r="AEB79" s="16"/>
      <c r="AEC79" s="16"/>
      <c r="AED79" s="16"/>
      <c r="AEE79" s="16"/>
      <c r="AEF79" s="16"/>
      <c r="AEG79" s="16"/>
      <c r="AEH79" s="16"/>
      <c r="AEI79" s="16"/>
      <c r="AEJ79" s="16"/>
      <c r="AEK79" s="16"/>
      <c r="AEL79" s="16"/>
      <c r="AEM79" s="16"/>
      <c r="AEN79" s="16"/>
      <c r="AEO79" s="16"/>
      <c r="AEP79" s="16"/>
      <c r="AEQ79" s="16"/>
      <c r="AER79" s="16"/>
      <c r="AES79" s="16"/>
      <c r="AET79" s="16"/>
      <c r="AEU79" s="16"/>
      <c r="AEV79" s="16"/>
      <c r="AEW79" s="16"/>
      <c r="AEX79" s="16"/>
      <c r="AEY79" s="16"/>
      <c r="AEZ79" s="16"/>
      <c r="AFA79" s="16"/>
      <c r="AFB79" s="16"/>
      <c r="AFC79" s="16"/>
      <c r="AFD79" s="16"/>
      <c r="AFE79" s="16"/>
      <c r="AFF79" s="16"/>
      <c r="AFG79" s="16"/>
      <c r="AFH79" s="16"/>
      <c r="AFI79" s="16"/>
      <c r="AFJ79" s="16"/>
      <c r="AFK79" s="16"/>
      <c r="AFL79" s="16"/>
      <c r="AFM79" s="16"/>
      <c r="AFN79" s="16"/>
      <c r="AFO79" s="16"/>
      <c r="AFP79" s="16"/>
      <c r="AFQ79" s="16"/>
      <c r="AFR79" s="16"/>
      <c r="AFS79" s="16"/>
      <c r="AFT79" s="16"/>
      <c r="AFU79" s="16"/>
      <c r="AFV79" s="16"/>
      <c r="AFW79" s="16"/>
      <c r="AFX79" s="16"/>
      <c r="AFY79" s="16"/>
      <c r="AFZ79" s="16"/>
      <c r="AGA79" s="16"/>
      <c r="AGB79" s="16"/>
      <c r="AGC79" s="16"/>
      <c r="AGD79" s="16"/>
      <c r="AGE79" s="16"/>
      <c r="AGF79" s="16"/>
      <c r="AGG79" s="16"/>
      <c r="AGH79" s="16"/>
      <c r="AGI79" s="16"/>
      <c r="AGJ79" s="16"/>
      <c r="AGK79" s="16"/>
      <c r="AGL79" s="16"/>
      <c r="AGM79" s="16"/>
      <c r="AGN79" s="16"/>
      <c r="AGO79" s="16"/>
      <c r="AGP79" s="16"/>
      <c r="AGQ79" s="16"/>
      <c r="AGR79" s="16"/>
      <c r="AGS79" s="16"/>
      <c r="AGT79" s="16"/>
      <c r="AGU79" s="16"/>
      <c r="AGV79" s="16"/>
      <c r="AGW79" s="16"/>
      <c r="AGX79" s="16"/>
      <c r="AGY79" s="16"/>
      <c r="AGZ79" s="16"/>
      <c r="AHA79" s="16"/>
      <c r="AHB79" s="16"/>
      <c r="AHC79" s="16"/>
      <c r="AHD79" s="16"/>
      <c r="AHE79" s="16"/>
      <c r="AHF79" s="16"/>
      <c r="AHG79" s="16"/>
      <c r="AHH79" s="16"/>
      <c r="AHI79" s="16"/>
      <c r="AHJ79" s="16"/>
      <c r="AHK79" s="16"/>
      <c r="AHL79" s="16"/>
      <c r="AHM79" s="16"/>
      <c r="AHN79" s="16"/>
      <c r="AHO79" s="16"/>
      <c r="AHP79" s="16"/>
      <c r="AHQ79" s="16"/>
      <c r="AHR79" s="16"/>
      <c r="AHS79" s="16"/>
      <c r="AHT79" s="16"/>
      <c r="AHU79" s="16"/>
      <c r="AHV79" s="16"/>
      <c r="AHW79" s="16"/>
      <c r="AHX79" s="16"/>
      <c r="AHY79" s="16"/>
      <c r="AHZ79" s="16"/>
      <c r="AIA79" s="16"/>
      <c r="AIB79" s="16"/>
      <c r="AIC79" s="16"/>
      <c r="AID79" s="16"/>
      <c r="AIE79" s="16"/>
      <c r="AIF79" s="16"/>
      <c r="AIG79" s="16"/>
      <c r="AIH79" s="16"/>
      <c r="AII79" s="16"/>
      <c r="AIJ79" s="16"/>
      <c r="AIK79" s="16"/>
      <c r="AIL79" s="16"/>
      <c r="AIM79" s="16"/>
      <c r="AIN79" s="16"/>
      <c r="AIO79" s="16"/>
      <c r="AIP79" s="16"/>
      <c r="AIQ79" s="16"/>
      <c r="AIR79" s="16"/>
      <c r="AIS79" s="16"/>
      <c r="AIT79" s="16"/>
      <c r="AIU79" s="16"/>
      <c r="AIV79" s="16"/>
      <c r="AIW79" s="16"/>
      <c r="AIX79" s="16"/>
      <c r="AIY79" s="16"/>
      <c r="AIZ79" s="16"/>
      <c r="AJA79" s="16"/>
      <c r="AJB79" s="16"/>
      <c r="AJC79" s="16"/>
      <c r="AJD79" s="16"/>
      <c r="AJE79" s="16"/>
      <c r="AJF79" s="16"/>
      <c r="AJG79" s="16"/>
      <c r="AJH79" s="16"/>
      <c r="AJI79" s="16"/>
      <c r="AJJ79" s="16"/>
      <c r="AJK79" s="16"/>
      <c r="AJL79" s="16"/>
      <c r="AJM79" s="16"/>
      <c r="AJN79" s="16"/>
      <c r="AJO79" s="16"/>
      <c r="AJP79" s="16"/>
      <c r="AJQ79" s="16"/>
      <c r="AJR79" s="16"/>
      <c r="AJS79" s="16"/>
      <c r="AJT79" s="16"/>
      <c r="AJU79" s="16"/>
      <c r="AJV79" s="16"/>
      <c r="AJW79" s="16"/>
      <c r="AJX79" s="16"/>
      <c r="AJY79" s="16"/>
      <c r="AJZ79" s="16"/>
      <c r="AKA79" s="16"/>
      <c r="AKB79" s="16"/>
      <c r="AKC79" s="16"/>
      <c r="AKD79" s="16"/>
      <c r="AKE79" s="16"/>
      <c r="AKF79" s="16"/>
      <c r="AKG79" s="16"/>
      <c r="AKH79" s="16"/>
      <c r="AKI79" s="16"/>
      <c r="AKJ79" s="16"/>
      <c r="AKK79" s="16"/>
      <c r="AKL79" s="16"/>
      <c r="AKM79" s="16"/>
      <c r="AKN79" s="16"/>
      <c r="AKO79" s="16"/>
      <c r="AKP79" s="16"/>
      <c r="AKQ79" s="16"/>
      <c r="AKR79" s="16"/>
      <c r="AKS79" s="16"/>
      <c r="AKT79" s="16"/>
      <c r="AKU79" s="16"/>
      <c r="AKV79" s="16"/>
      <c r="AKW79" s="16"/>
      <c r="AKX79" s="16"/>
      <c r="AKY79" s="16"/>
      <c r="AKZ79" s="16"/>
      <c r="ALA79" s="16"/>
      <c r="ALB79" s="16"/>
      <c r="ALC79" s="16"/>
      <c r="ALD79" s="16"/>
      <c r="ALE79" s="16"/>
      <c r="ALF79" s="16"/>
      <c r="ALG79" s="16"/>
      <c r="ALH79" s="16"/>
      <c r="ALI79" s="16"/>
      <c r="ALJ79" s="16"/>
      <c r="ALK79" s="16"/>
      <c r="ALL79" s="16"/>
      <c r="ALM79" s="16"/>
      <c r="ALN79" s="16"/>
      <c r="ALO79" s="16"/>
      <c r="ALP79" s="16"/>
      <c r="ALQ79" s="16"/>
      <c r="ALR79" s="16"/>
      <c r="ALS79" s="16"/>
      <c r="ALT79" s="16"/>
      <c r="ALU79" s="16"/>
      <c r="ALV79" s="16"/>
      <c r="ALW79" s="16"/>
      <c r="ALX79" s="16"/>
      <c r="ALY79" s="16"/>
      <c r="ALZ79" s="16"/>
      <c r="AMA79" s="16"/>
      <c r="AMB79" s="16"/>
      <c r="AMC79" s="16"/>
      <c r="AMD79" s="16"/>
      <c r="AME79" s="16"/>
      <c r="AMF79" s="16"/>
      <c r="AMG79" s="16"/>
      <c r="AMH79" s="16"/>
      <c r="AMI79" s="16"/>
      <c r="AMJ79" s="16"/>
      <c r="AMK79" s="16"/>
      <c r="AML79" s="16"/>
      <c r="AMM79" s="16"/>
      <c r="AMN79" s="16"/>
      <c r="AMO79" s="16"/>
      <c r="AMP79" s="16"/>
      <c r="AMQ79" s="16"/>
      <c r="AMR79" s="16"/>
      <c r="AMS79" s="16"/>
      <c r="AMT79" s="16"/>
      <c r="AMU79" s="16"/>
      <c r="AMV79" s="16"/>
      <c r="AMW79" s="16"/>
      <c r="AMX79" s="16"/>
      <c r="AMY79" s="16"/>
      <c r="AMZ79" s="16"/>
      <c r="ANA79" s="16"/>
      <c r="ANB79" s="16"/>
      <c r="ANC79" s="16"/>
      <c r="AND79" s="16"/>
      <c r="ANE79" s="16"/>
      <c r="ANF79" s="16"/>
      <c r="ANG79" s="16"/>
      <c r="ANH79" s="16"/>
      <c r="ANI79" s="16"/>
      <c r="ANJ79" s="16"/>
      <c r="ANK79" s="16"/>
      <c r="ANL79" s="16"/>
      <c r="ANM79" s="16"/>
      <c r="ANN79" s="16"/>
      <c r="ANO79" s="16"/>
      <c r="ANP79" s="16"/>
      <c r="ANQ79" s="16"/>
      <c r="ANR79" s="16"/>
      <c r="ANS79" s="16"/>
      <c r="ANT79" s="16"/>
      <c r="ANU79" s="16"/>
      <c r="ANV79" s="16"/>
      <c r="ANW79" s="16"/>
      <c r="ANX79" s="16"/>
      <c r="ANY79" s="16"/>
      <c r="ANZ79" s="16"/>
      <c r="AOA79" s="16"/>
      <c r="AOB79" s="16"/>
      <c r="AOC79" s="16"/>
      <c r="AOD79" s="16"/>
      <c r="AOE79" s="16"/>
      <c r="AOF79" s="16"/>
      <c r="AOG79" s="16"/>
      <c r="AOH79" s="16"/>
      <c r="AOI79" s="16"/>
      <c r="AOJ79" s="16"/>
      <c r="AOK79" s="16"/>
      <c r="AOL79" s="16"/>
      <c r="AOM79" s="16"/>
      <c r="AON79" s="16"/>
      <c r="AOO79" s="16"/>
      <c r="AOP79" s="16"/>
      <c r="AOQ79" s="16"/>
      <c r="AOR79" s="16"/>
      <c r="AOS79" s="16"/>
      <c r="AOT79" s="16"/>
      <c r="AOU79" s="16"/>
      <c r="AOV79" s="16"/>
      <c r="AOW79" s="16"/>
      <c r="AOX79" s="16"/>
      <c r="AOY79" s="16"/>
      <c r="AOZ79" s="16"/>
      <c r="APA79" s="16"/>
      <c r="APB79" s="16"/>
      <c r="APC79" s="16"/>
      <c r="APD79" s="16"/>
      <c r="APE79" s="16"/>
      <c r="APF79" s="16"/>
      <c r="APG79" s="16"/>
      <c r="APH79" s="16"/>
      <c r="API79" s="16"/>
      <c r="APJ79" s="16"/>
      <c r="APK79" s="16"/>
      <c r="APL79" s="16"/>
      <c r="APM79" s="16"/>
      <c r="APN79" s="16"/>
      <c r="APO79" s="16"/>
      <c r="APP79" s="16"/>
      <c r="APQ79" s="16"/>
      <c r="APR79" s="16"/>
      <c r="APS79" s="16"/>
      <c r="APT79" s="16"/>
      <c r="APU79" s="16"/>
      <c r="APV79" s="16"/>
      <c r="APW79" s="16"/>
      <c r="APX79" s="16"/>
      <c r="APY79" s="16"/>
      <c r="APZ79" s="16"/>
      <c r="AQA79" s="16"/>
      <c r="AQB79" s="16"/>
      <c r="AQC79" s="16"/>
      <c r="AQD79" s="16"/>
      <c r="AQE79" s="16"/>
      <c r="AQF79" s="16"/>
      <c r="AQG79" s="16"/>
      <c r="AQH79" s="16"/>
      <c r="AQI79" s="16"/>
      <c r="AQJ79" s="16"/>
      <c r="AQK79" s="16"/>
      <c r="AQL79" s="16"/>
      <c r="AQM79" s="16"/>
      <c r="AQN79" s="16"/>
      <c r="AQO79" s="16"/>
      <c r="AQP79" s="16"/>
      <c r="AQQ79" s="16"/>
      <c r="AQR79" s="16"/>
      <c r="AQS79" s="16"/>
      <c r="AQT79" s="16"/>
      <c r="AQU79" s="16"/>
      <c r="AQV79" s="16"/>
      <c r="AQW79" s="16"/>
      <c r="AQX79" s="16"/>
      <c r="AQY79" s="16"/>
      <c r="AQZ79" s="16"/>
      <c r="ARA79" s="16"/>
      <c r="ARB79" s="16"/>
      <c r="ARC79" s="16"/>
      <c r="ARD79" s="16"/>
      <c r="ARE79" s="16"/>
      <c r="ARF79" s="16"/>
      <c r="ARG79" s="16"/>
      <c r="ARH79" s="16"/>
      <c r="ARI79" s="16"/>
      <c r="ARJ79" s="16"/>
      <c r="ARK79" s="16"/>
      <c r="ARL79" s="16"/>
      <c r="ARM79" s="16"/>
      <c r="ARN79" s="16"/>
      <c r="ARO79" s="16"/>
      <c r="ARP79" s="16"/>
      <c r="ARQ79" s="16"/>
      <c r="ARR79" s="16"/>
      <c r="ARS79" s="16"/>
      <c r="ART79" s="16"/>
      <c r="ARU79" s="16"/>
      <c r="ARV79" s="16"/>
      <c r="ARW79" s="16"/>
      <c r="ARX79" s="16"/>
      <c r="ARY79" s="16"/>
      <c r="ARZ79" s="16"/>
      <c r="ASA79" s="16"/>
      <c r="ASB79" s="16"/>
      <c r="ASC79" s="16"/>
      <c r="ASD79" s="16"/>
      <c r="ASE79" s="16"/>
      <c r="ASF79" s="16"/>
      <c r="ASG79" s="16"/>
      <c r="ASH79" s="16"/>
      <c r="ASI79" s="16"/>
      <c r="ASJ79" s="16"/>
      <c r="ASK79" s="16"/>
      <c r="ASL79" s="16"/>
      <c r="ASM79" s="16"/>
      <c r="ASN79" s="16"/>
      <c r="ASO79" s="16"/>
      <c r="ASP79" s="16"/>
      <c r="ASQ79" s="16"/>
      <c r="ASR79" s="16"/>
      <c r="ASS79" s="16"/>
      <c r="AST79" s="16"/>
      <c r="ASU79" s="16"/>
      <c r="ASV79" s="16"/>
      <c r="ASW79" s="16"/>
      <c r="ASX79" s="16"/>
      <c r="ASY79" s="16"/>
      <c r="ASZ79" s="16"/>
      <c r="ATA79" s="16"/>
      <c r="ATB79" s="16"/>
      <c r="ATC79" s="16"/>
      <c r="ATD79" s="16"/>
      <c r="ATE79" s="16"/>
      <c r="ATF79" s="16"/>
      <c r="ATG79" s="16"/>
      <c r="ATH79" s="16"/>
      <c r="ATI79" s="16"/>
      <c r="ATJ79" s="16"/>
      <c r="ATK79" s="16"/>
      <c r="ATL79" s="16"/>
      <c r="ATM79" s="16"/>
      <c r="ATN79" s="16"/>
      <c r="ATO79" s="16"/>
      <c r="ATP79" s="16"/>
      <c r="ATQ79" s="16"/>
      <c r="ATR79" s="16"/>
      <c r="ATS79" s="16"/>
      <c r="ATT79" s="16"/>
      <c r="ATU79" s="16"/>
      <c r="ATV79" s="16"/>
      <c r="ATW79" s="16"/>
      <c r="ATX79" s="16"/>
      <c r="ATY79" s="16"/>
      <c r="ATZ79" s="16"/>
      <c r="AUA79" s="16"/>
      <c r="AUB79" s="16"/>
      <c r="AUC79" s="16"/>
      <c r="AUD79" s="16"/>
      <c r="AUE79" s="16"/>
      <c r="AUF79" s="16"/>
      <c r="AUG79" s="16"/>
      <c r="AUH79" s="16"/>
      <c r="AUI79" s="16"/>
      <c r="AUJ79" s="16"/>
      <c r="AUK79" s="16"/>
      <c r="AUL79" s="16"/>
      <c r="AUM79" s="16"/>
      <c r="AUN79" s="16"/>
      <c r="AUO79" s="16"/>
      <c r="AUP79" s="16"/>
      <c r="AUQ79" s="16"/>
      <c r="AUR79" s="16"/>
      <c r="AUS79" s="16"/>
      <c r="AUT79" s="16"/>
      <c r="AUU79" s="16"/>
      <c r="AUV79" s="16"/>
      <c r="AUW79" s="16"/>
      <c r="AUX79" s="16"/>
      <c r="AUY79" s="16"/>
      <c r="AUZ79" s="16"/>
      <c r="AVA79" s="16"/>
      <c r="AVB79" s="16"/>
      <c r="AVC79" s="16"/>
      <c r="AVD79" s="16"/>
      <c r="AVE79" s="16"/>
      <c r="AVF79" s="16"/>
      <c r="AVG79" s="16"/>
      <c r="AVH79" s="16"/>
      <c r="AVI79" s="16"/>
      <c r="AVJ79" s="16"/>
      <c r="AVK79" s="16"/>
      <c r="AVL79" s="16"/>
      <c r="AVM79" s="16"/>
      <c r="AVN79" s="16"/>
      <c r="AVO79" s="16"/>
      <c r="AVP79" s="16"/>
      <c r="AVQ79" s="16"/>
      <c r="AVR79" s="16"/>
      <c r="AVS79" s="16"/>
      <c r="AVT79" s="16"/>
      <c r="AVU79" s="16"/>
      <c r="AVV79" s="16"/>
      <c r="AVW79" s="16"/>
      <c r="AVX79" s="16"/>
      <c r="AVY79" s="16"/>
      <c r="AVZ79" s="16"/>
      <c r="AWA79" s="16"/>
      <c r="AWB79" s="16"/>
      <c r="AWC79" s="16"/>
      <c r="AWD79" s="16"/>
      <c r="AWE79" s="16"/>
      <c r="AWF79" s="16"/>
      <c r="AWG79" s="16"/>
      <c r="AWH79" s="16"/>
      <c r="AWI79" s="16"/>
      <c r="AWJ79" s="16"/>
      <c r="AWK79" s="16"/>
      <c r="AWL79" s="16"/>
      <c r="AWM79" s="16"/>
      <c r="AWN79" s="16"/>
      <c r="AWO79" s="16"/>
      <c r="AWP79" s="16"/>
      <c r="AWQ79" s="16"/>
      <c r="AWR79" s="16"/>
      <c r="AWS79" s="16"/>
      <c r="AWT79" s="16"/>
      <c r="AWU79" s="16"/>
      <c r="AWV79" s="16"/>
      <c r="AWW79" s="16"/>
      <c r="AWX79" s="16"/>
      <c r="AWY79" s="16"/>
      <c r="AWZ79" s="16"/>
      <c r="AXA79" s="16"/>
      <c r="AXB79" s="16"/>
      <c r="AXC79" s="16"/>
      <c r="AXD79" s="16"/>
      <c r="AXE79" s="16"/>
      <c r="AXF79" s="16"/>
      <c r="AXG79" s="16"/>
      <c r="AXH79" s="16"/>
      <c r="AXI79" s="16"/>
      <c r="AXJ79" s="16"/>
      <c r="AXK79" s="16"/>
      <c r="AXL79" s="16"/>
      <c r="AXM79" s="16"/>
      <c r="AXN79" s="16"/>
      <c r="AXO79" s="16"/>
      <c r="AXP79" s="16"/>
      <c r="AXQ79" s="16"/>
      <c r="AXR79" s="16"/>
      <c r="AXS79" s="16"/>
      <c r="AXT79" s="16"/>
      <c r="AXU79" s="16"/>
      <c r="AXV79" s="16"/>
      <c r="AXW79" s="16"/>
      <c r="AXX79" s="16"/>
      <c r="AXY79" s="16"/>
      <c r="AXZ79" s="16"/>
      <c r="AYA79" s="16"/>
      <c r="AYB79" s="16"/>
      <c r="AYC79" s="16"/>
      <c r="AYD79" s="16"/>
      <c r="AYE79" s="16"/>
      <c r="AYF79" s="16"/>
      <c r="AYG79" s="16"/>
      <c r="AYH79" s="16"/>
      <c r="AYI79" s="16"/>
      <c r="AYJ79" s="16"/>
      <c r="AYK79" s="16"/>
      <c r="AYL79" s="16"/>
      <c r="AYM79" s="16"/>
      <c r="AYN79" s="16"/>
      <c r="AYO79" s="16"/>
      <c r="AYP79" s="16"/>
      <c r="AYQ79" s="16"/>
      <c r="AYR79" s="16"/>
      <c r="AYS79" s="16"/>
      <c r="AYT79" s="16"/>
      <c r="AYU79" s="16"/>
      <c r="AYV79" s="16"/>
      <c r="AYW79" s="16"/>
      <c r="AYX79" s="16"/>
      <c r="AYY79" s="16"/>
      <c r="AYZ79" s="16"/>
      <c r="AZA79" s="16"/>
      <c r="AZB79" s="16"/>
      <c r="AZC79" s="16"/>
      <c r="AZD79" s="16"/>
      <c r="AZE79" s="16"/>
      <c r="AZF79" s="16"/>
      <c r="AZG79" s="16"/>
      <c r="AZH79" s="16"/>
      <c r="AZI79" s="16"/>
      <c r="AZJ79" s="16"/>
      <c r="AZK79" s="16"/>
      <c r="AZL79" s="16"/>
      <c r="AZM79" s="16"/>
      <c r="AZN79" s="16"/>
      <c r="AZO79" s="16"/>
      <c r="AZP79" s="16"/>
      <c r="AZQ79" s="16"/>
      <c r="AZR79" s="16"/>
      <c r="AZS79" s="16"/>
      <c r="AZT79" s="16"/>
      <c r="AZU79" s="16"/>
      <c r="AZV79" s="16"/>
      <c r="AZW79" s="16"/>
      <c r="AZX79" s="16"/>
      <c r="AZY79" s="16"/>
      <c r="AZZ79" s="16"/>
      <c r="BAA79" s="16"/>
      <c r="BAB79" s="16"/>
      <c r="BAC79" s="16"/>
      <c r="BAD79" s="16"/>
      <c r="BAE79" s="16"/>
      <c r="BAF79" s="16"/>
      <c r="BAG79" s="16"/>
      <c r="BAH79" s="16"/>
      <c r="BAI79" s="16"/>
      <c r="BAJ79" s="16"/>
      <c r="BAK79" s="16"/>
      <c r="BAL79" s="16"/>
      <c r="BAM79" s="16"/>
      <c r="BAN79" s="16"/>
      <c r="BAO79" s="16"/>
      <c r="BAP79" s="16"/>
      <c r="BAQ79" s="16"/>
      <c r="BAR79" s="16"/>
      <c r="BAS79" s="16"/>
      <c r="BAT79" s="16"/>
      <c r="BAU79" s="16"/>
      <c r="BAV79" s="16"/>
      <c r="BAW79" s="16"/>
      <c r="BAX79" s="16"/>
      <c r="BAY79" s="16"/>
      <c r="BAZ79" s="16"/>
      <c r="BBA79" s="16"/>
      <c r="BBB79" s="16"/>
      <c r="BBC79" s="16"/>
      <c r="BBD79" s="16"/>
      <c r="BBE79" s="16"/>
      <c r="BBF79" s="16"/>
      <c r="BBG79" s="16"/>
      <c r="BBH79" s="16"/>
      <c r="BBI79" s="16"/>
      <c r="BBJ79" s="16"/>
      <c r="BBK79" s="16"/>
      <c r="BBL79" s="16"/>
      <c r="BBM79" s="16"/>
      <c r="BBN79" s="16"/>
      <c r="BBO79" s="16"/>
      <c r="BBP79" s="16"/>
      <c r="BBQ79" s="16"/>
      <c r="BBR79" s="16"/>
      <c r="BBS79" s="16"/>
      <c r="BBT79" s="16"/>
      <c r="BBU79" s="16"/>
      <c r="BBV79" s="16"/>
      <c r="BBW79" s="16"/>
      <c r="BBX79" s="16"/>
      <c r="BBY79" s="16"/>
      <c r="BBZ79" s="16"/>
      <c r="BCA79" s="16"/>
      <c r="BCB79" s="16"/>
      <c r="BCC79" s="16"/>
      <c r="BCD79" s="16"/>
      <c r="BCE79" s="16"/>
      <c r="BCF79" s="16"/>
      <c r="BCG79" s="16"/>
      <c r="BCH79" s="16"/>
      <c r="BCI79" s="16"/>
      <c r="BCJ79" s="16"/>
      <c r="BCK79" s="16"/>
      <c r="BCL79" s="16"/>
      <c r="BCM79" s="16"/>
      <c r="BCN79" s="16"/>
      <c r="BCO79" s="16"/>
      <c r="BCP79" s="16"/>
      <c r="BCQ79" s="16"/>
      <c r="BCR79" s="16"/>
      <c r="BCS79" s="16"/>
      <c r="BCT79" s="16"/>
      <c r="BCU79" s="16"/>
      <c r="BCV79" s="16"/>
      <c r="BCW79" s="16"/>
      <c r="BCX79" s="16"/>
      <c r="BCY79" s="16"/>
      <c r="BCZ79" s="16"/>
      <c r="BDA79" s="16"/>
      <c r="BDB79" s="16"/>
      <c r="BDC79" s="16"/>
      <c r="BDD79" s="16"/>
      <c r="BDE79" s="16"/>
      <c r="BDF79" s="16"/>
      <c r="BDG79" s="16"/>
      <c r="BDH79" s="16"/>
      <c r="BDI79" s="16"/>
      <c r="BDJ79" s="16"/>
      <c r="BDK79" s="16"/>
      <c r="BDL79" s="16"/>
      <c r="BDM79" s="16"/>
      <c r="BDN79" s="16"/>
      <c r="BDO79" s="16"/>
      <c r="BDP79" s="16"/>
      <c r="BDQ79" s="16"/>
      <c r="BDR79" s="16"/>
      <c r="BDS79" s="16"/>
      <c r="BDT79" s="16"/>
      <c r="BDU79" s="16"/>
      <c r="BDV79" s="16"/>
      <c r="BDW79" s="16"/>
      <c r="BDX79" s="16"/>
      <c r="BDY79" s="16"/>
      <c r="BDZ79" s="16"/>
      <c r="BEA79" s="16"/>
      <c r="BEB79" s="16"/>
      <c r="BEC79" s="16"/>
      <c r="BED79" s="16"/>
      <c r="BEE79" s="16"/>
      <c r="BEF79" s="16"/>
      <c r="BEG79" s="16"/>
      <c r="BEH79" s="16"/>
      <c r="BEI79" s="16"/>
      <c r="BEJ79" s="16"/>
      <c r="BEK79" s="16"/>
      <c r="BEL79" s="16"/>
      <c r="BEM79" s="16"/>
      <c r="BEN79" s="16"/>
      <c r="BEO79" s="16"/>
      <c r="BEP79" s="16"/>
      <c r="BEQ79" s="16"/>
      <c r="BER79" s="16"/>
      <c r="BES79" s="16"/>
      <c r="BET79" s="16"/>
      <c r="BEU79" s="16"/>
      <c r="BEV79" s="16"/>
      <c r="BEW79" s="16"/>
      <c r="BEX79" s="16"/>
      <c r="BEY79" s="16"/>
      <c r="BEZ79" s="16"/>
      <c r="BFA79" s="16"/>
      <c r="BFB79" s="16"/>
      <c r="BFC79" s="16"/>
      <c r="BFD79" s="16"/>
      <c r="BFE79" s="16"/>
      <c r="BFF79" s="16"/>
      <c r="BFG79" s="16"/>
      <c r="BFH79" s="16"/>
      <c r="BFI79" s="16"/>
      <c r="BFJ79" s="16"/>
      <c r="BFK79" s="16"/>
      <c r="BFL79" s="16"/>
      <c r="BFM79" s="16"/>
      <c r="BFN79" s="16"/>
      <c r="BFO79" s="16"/>
      <c r="BFP79" s="16"/>
      <c r="BFQ79" s="16"/>
      <c r="BFR79" s="16"/>
      <c r="BFS79" s="16"/>
      <c r="BFT79" s="16"/>
      <c r="BFU79" s="16"/>
      <c r="BFV79" s="16"/>
      <c r="BFW79" s="16"/>
      <c r="BFX79" s="16"/>
      <c r="BFY79" s="16"/>
      <c r="BFZ79" s="16"/>
      <c r="BGA79" s="16"/>
      <c r="BGB79" s="16"/>
      <c r="BGC79" s="16"/>
      <c r="BGD79" s="16"/>
      <c r="BGE79" s="16"/>
      <c r="BGF79" s="16"/>
      <c r="BGG79" s="16"/>
      <c r="BGH79" s="16"/>
      <c r="BGI79" s="16"/>
      <c r="BGJ79" s="16"/>
      <c r="BGK79" s="16"/>
      <c r="BGL79" s="16"/>
      <c r="BGM79" s="16"/>
      <c r="BGN79" s="16"/>
      <c r="BGO79" s="16"/>
      <c r="BGP79" s="16"/>
      <c r="BGQ79" s="16"/>
      <c r="BGR79" s="16"/>
      <c r="BGS79" s="16"/>
      <c r="BGT79" s="16"/>
      <c r="BGU79" s="16"/>
      <c r="BGV79" s="16"/>
      <c r="BGW79" s="16"/>
      <c r="BGX79" s="16"/>
      <c r="BGY79" s="16"/>
      <c r="BGZ79" s="16"/>
      <c r="BHA79" s="16"/>
      <c r="BHB79" s="16"/>
      <c r="BHC79" s="16"/>
      <c r="BHD79" s="16"/>
      <c r="BHE79" s="16"/>
      <c r="BHF79" s="16"/>
      <c r="BHG79" s="16"/>
      <c r="BHH79" s="16"/>
      <c r="BHI79" s="16"/>
      <c r="BHJ79" s="16"/>
      <c r="BHK79" s="16"/>
      <c r="BHL79" s="16"/>
      <c r="BHM79" s="16"/>
      <c r="BHN79" s="16"/>
      <c r="BHO79" s="16"/>
      <c r="BHP79" s="16"/>
      <c r="BHQ79" s="16"/>
      <c r="BHR79" s="16"/>
      <c r="BHS79" s="16"/>
      <c r="BHT79" s="16"/>
      <c r="BHU79" s="16"/>
      <c r="BHV79" s="16"/>
      <c r="BHW79" s="16"/>
      <c r="BHX79" s="16"/>
      <c r="BHY79" s="16"/>
      <c r="BHZ79" s="16"/>
      <c r="BIA79" s="16"/>
      <c r="BIB79" s="16"/>
      <c r="BIC79" s="16"/>
      <c r="BID79" s="16"/>
      <c r="BIE79" s="16"/>
      <c r="BIF79" s="16"/>
      <c r="BIG79" s="16"/>
      <c r="BIH79" s="16"/>
      <c r="BII79" s="16"/>
      <c r="BIJ79" s="16"/>
      <c r="BIK79" s="16"/>
      <c r="BIL79" s="16"/>
      <c r="BIM79" s="16"/>
      <c r="BIN79" s="16"/>
      <c r="BIO79" s="16"/>
      <c r="BIP79" s="16"/>
      <c r="BIQ79" s="16"/>
      <c r="BIR79" s="16"/>
      <c r="BIS79" s="16"/>
      <c r="BIT79" s="16"/>
      <c r="BIU79" s="16"/>
      <c r="BIV79" s="16"/>
      <c r="BIW79" s="16"/>
      <c r="BIX79" s="16"/>
      <c r="BIY79" s="16"/>
      <c r="BIZ79" s="16"/>
      <c r="BJA79" s="16"/>
      <c r="BJB79" s="16"/>
      <c r="BJC79" s="16"/>
      <c r="BJD79" s="16"/>
      <c r="BJE79" s="16"/>
      <c r="BJF79" s="16"/>
      <c r="BJG79" s="16"/>
      <c r="BJH79" s="16"/>
      <c r="BJI79" s="16"/>
      <c r="BJJ79" s="16"/>
      <c r="BJK79" s="16"/>
      <c r="BJL79" s="16"/>
      <c r="BJM79" s="16"/>
      <c r="BJN79" s="16"/>
      <c r="BJO79" s="16"/>
      <c r="BJP79" s="16"/>
      <c r="BJQ79" s="16"/>
      <c r="BJR79" s="16"/>
      <c r="BJS79" s="16"/>
      <c r="BJT79" s="16"/>
      <c r="BJU79" s="16"/>
      <c r="BJV79" s="16"/>
      <c r="BJW79" s="16"/>
      <c r="BJX79" s="16"/>
      <c r="BJY79" s="16"/>
      <c r="BJZ79" s="16"/>
      <c r="BKA79" s="16"/>
      <c r="BKB79" s="16"/>
      <c r="BKC79" s="16"/>
      <c r="BKD79" s="16"/>
      <c r="BKE79" s="16"/>
      <c r="BKF79" s="16"/>
      <c r="BKG79" s="16"/>
      <c r="BKH79" s="16"/>
      <c r="BKI79" s="16"/>
      <c r="BKJ79" s="16"/>
      <c r="BKK79" s="16"/>
      <c r="BKL79" s="16"/>
      <c r="BKM79" s="16"/>
      <c r="BKN79" s="16"/>
      <c r="BKO79" s="16"/>
      <c r="BKP79" s="16"/>
      <c r="BKQ79" s="16"/>
      <c r="BKR79" s="16"/>
      <c r="BKS79" s="16"/>
      <c r="BKT79" s="16"/>
      <c r="BKU79" s="16"/>
      <c r="BKV79" s="16"/>
      <c r="BKW79" s="16"/>
      <c r="BKX79" s="16"/>
      <c r="BKY79" s="16"/>
      <c r="BKZ79" s="16"/>
      <c r="BLA79" s="16"/>
      <c r="BLB79" s="16"/>
      <c r="BLC79" s="16"/>
      <c r="BLD79" s="16"/>
      <c r="BLE79" s="16"/>
      <c r="BLF79" s="16"/>
      <c r="BLG79" s="16"/>
      <c r="BLH79" s="16"/>
      <c r="BLI79" s="16"/>
      <c r="BLJ79" s="16"/>
      <c r="BLK79" s="16"/>
      <c r="BLL79" s="16"/>
      <c r="BLM79" s="16"/>
      <c r="BLN79" s="16"/>
      <c r="BLO79" s="16"/>
      <c r="BLP79" s="16"/>
      <c r="BLQ79" s="16"/>
      <c r="BLR79" s="16"/>
      <c r="BLS79" s="16"/>
      <c r="BLT79" s="16"/>
      <c r="BLU79" s="16"/>
      <c r="BLV79" s="16"/>
      <c r="BLW79" s="16"/>
      <c r="BLX79" s="16"/>
      <c r="BLY79" s="16"/>
      <c r="BLZ79" s="16"/>
      <c r="BMA79" s="16"/>
      <c r="BMB79" s="16"/>
      <c r="BMC79" s="16"/>
      <c r="BMD79" s="16"/>
      <c r="BME79" s="16"/>
      <c r="BMF79" s="16"/>
      <c r="BMG79" s="16"/>
      <c r="BMH79" s="16"/>
      <c r="BMI79" s="16"/>
      <c r="BMJ79" s="16"/>
      <c r="BMK79" s="16"/>
      <c r="BML79" s="16"/>
      <c r="BMM79" s="16"/>
      <c r="BMN79" s="16"/>
      <c r="BMO79" s="16"/>
      <c r="BMP79" s="16"/>
      <c r="BMQ79" s="16"/>
      <c r="BMR79" s="16"/>
      <c r="BMS79" s="16"/>
      <c r="BMT79" s="16"/>
      <c r="BMU79" s="16"/>
      <c r="BMV79" s="16"/>
      <c r="BMW79" s="16"/>
      <c r="BMX79" s="16"/>
      <c r="BMY79" s="16"/>
      <c r="BMZ79" s="16"/>
      <c r="BNA79" s="16"/>
      <c r="BNB79" s="16"/>
      <c r="BNC79" s="16"/>
      <c r="BND79" s="16"/>
      <c r="BNE79" s="16"/>
      <c r="BNF79" s="16"/>
      <c r="BNG79" s="16"/>
      <c r="BNH79" s="16"/>
      <c r="BNI79" s="16"/>
      <c r="BNJ79" s="16"/>
      <c r="BNK79" s="16"/>
      <c r="BNL79" s="16"/>
      <c r="BNM79" s="16"/>
      <c r="BNN79" s="16"/>
      <c r="BNO79" s="16"/>
      <c r="BNP79" s="16"/>
      <c r="BNQ79" s="16"/>
      <c r="BNR79" s="16"/>
      <c r="BNS79" s="16"/>
      <c r="BNT79" s="16"/>
      <c r="BNU79" s="16"/>
      <c r="BNV79" s="16"/>
      <c r="BNW79" s="16"/>
      <c r="BNX79" s="16"/>
      <c r="BNY79" s="16"/>
      <c r="BNZ79" s="16"/>
      <c r="BOA79" s="16"/>
      <c r="BOB79" s="16"/>
      <c r="BOC79" s="16"/>
      <c r="BOD79" s="16"/>
      <c r="BOE79" s="16"/>
      <c r="BOF79" s="16"/>
      <c r="BOG79" s="16"/>
      <c r="BOH79" s="16"/>
      <c r="BOI79" s="16"/>
      <c r="BOJ79" s="16"/>
      <c r="BOK79" s="16"/>
      <c r="BOL79" s="16"/>
      <c r="BOM79" s="16"/>
      <c r="BON79" s="16"/>
      <c r="BOO79" s="16"/>
      <c r="BOP79" s="16"/>
      <c r="BOQ79" s="16"/>
      <c r="BOR79" s="16"/>
      <c r="BOS79" s="16"/>
      <c r="BOT79" s="16"/>
      <c r="BOU79" s="16"/>
      <c r="BOV79" s="16"/>
      <c r="BOW79" s="16"/>
      <c r="BOX79" s="16"/>
      <c r="BOY79" s="16"/>
      <c r="BOZ79" s="16"/>
      <c r="BPA79" s="16"/>
      <c r="BPB79" s="16"/>
      <c r="BPC79" s="16"/>
      <c r="BPD79" s="16"/>
      <c r="BPE79" s="16"/>
      <c r="BPF79" s="16"/>
      <c r="BPG79" s="16"/>
      <c r="BPH79" s="16"/>
      <c r="BPI79" s="16"/>
      <c r="BPJ79" s="16"/>
      <c r="BPK79" s="16"/>
      <c r="BPL79" s="16"/>
      <c r="BPM79" s="16"/>
      <c r="BPN79" s="16"/>
      <c r="BPO79" s="16"/>
      <c r="BPP79" s="16"/>
      <c r="BPQ79" s="16"/>
      <c r="BPR79" s="16"/>
      <c r="BPS79" s="16"/>
      <c r="BPT79" s="16"/>
      <c r="BPU79" s="16"/>
      <c r="BPV79" s="16"/>
      <c r="BPW79" s="16"/>
      <c r="BPX79" s="16"/>
      <c r="BPY79" s="16"/>
      <c r="BPZ79" s="16"/>
      <c r="BQA79" s="16"/>
      <c r="BQB79" s="16"/>
      <c r="BQC79" s="16"/>
      <c r="BQD79" s="16"/>
      <c r="BQE79" s="16"/>
      <c r="BQF79" s="16"/>
      <c r="BQG79" s="16"/>
      <c r="BQH79" s="16"/>
      <c r="BQI79" s="16"/>
      <c r="BQJ79" s="16"/>
      <c r="BQK79" s="16"/>
      <c r="BQL79" s="16"/>
      <c r="BQM79" s="16"/>
      <c r="BQN79" s="16"/>
      <c r="BQO79" s="16"/>
      <c r="BQP79" s="16"/>
      <c r="BQQ79" s="16"/>
      <c r="BQR79" s="16"/>
      <c r="BQS79" s="16"/>
      <c r="BQT79" s="16"/>
      <c r="BQU79" s="16"/>
      <c r="BQV79" s="16"/>
      <c r="BQW79" s="16"/>
      <c r="BQX79" s="16"/>
      <c r="BQY79" s="16"/>
      <c r="BQZ79" s="16"/>
      <c r="BRA79" s="16"/>
      <c r="BRB79" s="16"/>
      <c r="BRC79" s="16"/>
      <c r="BRD79" s="16"/>
      <c r="BRE79" s="16"/>
      <c r="BRF79" s="16"/>
      <c r="BRG79" s="16"/>
      <c r="BRH79" s="16"/>
      <c r="BRI79" s="16"/>
      <c r="BRJ79" s="16"/>
      <c r="BRK79" s="16"/>
      <c r="BRL79" s="16"/>
      <c r="BRM79" s="16"/>
      <c r="BRN79" s="16"/>
      <c r="BRO79" s="16"/>
      <c r="BRP79" s="16"/>
      <c r="BRQ79" s="16"/>
      <c r="BRR79" s="16"/>
      <c r="BRS79" s="16"/>
      <c r="BRT79" s="16"/>
      <c r="BRU79" s="16"/>
      <c r="BRV79" s="16"/>
      <c r="BRW79" s="16"/>
      <c r="BRX79" s="16"/>
      <c r="BRY79" s="16"/>
      <c r="BRZ79" s="16"/>
      <c r="BSA79" s="16"/>
      <c r="BSB79" s="16"/>
      <c r="BSC79" s="16"/>
      <c r="BSD79" s="16"/>
      <c r="BSE79" s="16"/>
      <c r="BSF79" s="16"/>
      <c r="BSG79" s="16"/>
      <c r="BSH79" s="16"/>
      <c r="BSI79" s="16"/>
      <c r="BSJ79" s="16"/>
      <c r="BSK79" s="16"/>
      <c r="BSL79" s="16"/>
      <c r="BSM79" s="16"/>
      <c r="BSN79" s="16"/>
      <c r="BSO79" s="16"/>
      <c r="BSP79" s="16"/>
      <c r="BSQ79" s="16"/>
      <c r="BSR79" s="16"/>
      <c r="BSS79" s="16"/>
      <c r="BST79" s="16"/>
      <c r="BSU79" s="16"/>
      <c r="BSV79" s="16"/>
      <c r="BSW79" s="16"/>
      <c r="BSX79" s="16"/>
      <c r="BSY79" s="16"/>
      <c r="BSZ79" s="16"/>
      <c r="BTA79" s="16"/>
      <c r="BTB79" s="16"/>
      <c r="BTC79" s="16"/>
      <c r="BTD79" s="16"/>
      <c r="BTE79" s="16"/>
      <c r="BTF79" s="16"/>
      <c r="BTG79" s="16"/>
      <c r="BTH79" s="16"/>
      <c r="BTI79" s="16"/>
      <c r="BTJ79" s="16"/>
      <c r="BTK79" s="16"/>
      <c r="BTL79" s="16"/>
      <c r="BTM79" s="16"/>
      <c r="BTN79" s="16"/>
      <c r="BTO79" s="16"/>
      <c r="BTP79" s="16"/>
      <c r="BTQ79" s="16"/>
      <c r="BTR79" s="16"/>
      <c r="BTS79" s="16"/>
      <c r="BTT79" s="16"/>
      <c r="BTU79" s="16"/>
      <c r="BTV79" s="16"/>
      <c r="BTW79" s="16"/>
      <c r="BTX79" s="16"/>
      <c r="BTY79" s="16"/>
      <c r="BTZ79" s="16"/>
      <c r="BUA79" s="16"/>
      <c r="BUB79" s="16"/>
      <c r="BUC79" s="16"/>
      <c r="BUD79" s="16"/>
      <c r="BUE79" s="16"/>
      <c r="BUF79" s="16"/>
      <c r="BUG79" s="16"/>
      <c r="BUH79" s="16"/>
      <c r="BUI79" s="16"/>
      <c r="BUJ79" s="16"/>
      <c r="BUK79" s="16"/>
      <c r="BUL79" s="16"/>
      <c r="BUM79" s="16"/>
      <c r="BUN79" s="16"/>
      <c r="BUO79" s="16"/>
      <c r="BUP79" s="16"/>
      <c r="BUQ79" s="16"/>
      <c r="BUR79" s="16"/>
      <c r="BUS79" s="16"/>
      <c r="BUT79" s="16"/>
      <c r="BUU79" s="16"/>
      <c r="BUV79" s="16"/>
      <c r="BUW79" s="16"/>
      <c r="BUX79" s="16"/>
      <c r="BUY79" s="16"/>
      <c r="BUZ79" s="16"/>
      <c r="BVA79" s="16"/>
      <c r="BVB79" s="16"/>
      <c r="BVC79" s="16"/>
      <c r="BVD79" s="16"/>
      <c r="BVE79" s="16"/>
      <c r="BVF79" s="16"/>
      <c r="BVG79" s="16"/>
      <c r="BVH79" s="16"/>
      <c r="BVI79" s="16"/>
      <c r="BVJ79" s="16"/>
      <c r="BVK79" s="16"/>
      <c r="BVL79" s="16"/>
      <c r="BVM79" s="16"/>
      <c r="BVN79" s="16"/>
      <c r="BVO79" s="16"/>
      <c r="BVP79" s="16"/>
      <c r="BVQ79" s="16"/>
      <c r="BVR79" s="16"/>
      <c r="BVS79" s="16"/>
      <c r="BVT79" s="16"/>
      <c r="BVU79" s="16"/>
      <c r="BVV79" s="16"/>
      <c r="BVW79" s="16"/>
      <c r="BVX79" s="16"/>
      <c r="BVY79" s="16"/>
      <c r="BVZ79" s="16"/>
      <c r="BWA79" s="16"/>
      <c r="BWB79" s="16"/>
      <c r="BWC79" s="16"/>
      <c r="BWD79" s="16"/>
      <c r="BWE79" s="16"/>
      <c r="BWF79" s="16"/>
      <c r="BWG79" s="16"/>
      <c r="BWH79" s="16"/>
      <c r="BWI79" s="16"/>
      <c r="BWJ79" s="16"/>
      <c r="BWK79" s="16"/>
      <c r="BWL79" s="16"/>
      <c r="BWM79" s="16"/>
      <c r="BWN79" s="16"/>
      <c r="BWO79" s="16"/>
      <c r="BWP79" s="16"/>
      <c r="BWQ79" s="16"/>
      <c r="BWR79" s="16"/>
      <c r="BWS79" s="16"/>
      <c r="BWT79" s="16"/>
      <c r="BWU79" s="16"/>
      <c r="BWV79" s="16"/>
      <c r="BWW79" s="16"/>
      <c r="BWX79" s="16"/>
      <c r="BWY79" s="16"/>
      <c r="BWZ79" s="16"/>
      <c r="BXA79" s="16"/>
      <c r="BXB79" s="16"/>
      <c r="BXC79" s="16"/>
      <c r="BXD79" s="16"/>
      <c r="BXE79" s="16"/>
      <c r="BXF79" s="16"/>
      <c r="BXG79" s="16"/>
      <c r="BXH79" s="16"/>
      <c r="BXI79" s="16"/>
      <c r="BXJ79" s="16"/>
      <c r="BXK79" s="16"/>
      <c r="BXL79" s="16"/>
      <c r="BXM79" s="16"/>
      <c r="BXN79" s="16"/>
      <c r="BXO79" s="16"/>
      <c r="BXP79" s="16"/>
      <c r="BXQ79" s="16"/>
      <c r="BXR79" s="16"/>
      <c r="BXS79" s="16"/>
      <c r="BXT79" s="16"/>
      <c r="BXU79" s="16"/>
      <c r="BXV79" s="16"/>
      <c r="BXW79" s="16"/>
      <c r="BXX79" s="16"/>
      <c r="BXY79" s="16"/>
      <c r="BXZ79" s="16"/>
      <c r="BYA79" s="16"/>
      <c r="BYB79" s="16"/>
      <c r="BYC79" s="16"/>
      <c r="BYD79" s="16"/>
      <c r="BYE79" s="16"/>
      <c r="BYF79" s="16"/>
      <c r="BYG79" s="16"/>
      <c r="BYH79" s="16"/>
      <c r="BYI79" s="16"/>
      <c r="BYJ79" s="16"/>
      <c r="BYK79" s="16"/>
      <c r="BYL79" s="16"/>
      <c r="BYM79" s="16"/>
      <c r="BYN79" s="16"/>
      <c r="BYO79" s="16"/>
      <c r="BYP79" s="16"/>
      <c r="BYQ79" s="16"/>
      <c r="BYR79" s="16"/>
      <c r="BYS79" s="16"/>
      <c r="BYT79" s="16"/>
      <c r="BYU79" s="16"/>
      <c r="BYV79" s="16"/>
      <c r="BYW79" s="16"/>
      <c r="BYX79" s="16"/>
      <c r="BYY79" s="16"/>
      <c r="BYZ79" s="16"/>
      <c r="BZA79" s="16"/>
      <c r="BZB79" s="16"/>
      <c r="BZC79" s="16"/>
      <c r="BZD79" s="16"/>
      <c r="BZE79" s="16"/>
      <c r="BZF79" s="16"/>
      <c r="BZG79" s="16"/>
      <c r="BZH79" s="16"/>
      <c r="BZI79" s="16"/>
      <c r="BZJ79" s="16"/>
      <c r="BZK79" s="16"/>
      <c r="BZL79" s="16"/>
      <c r="BZM79" s="16"/>
      <c r="BZN79" s="16"/>
      <c r="BZO79" s="16"/>
      <c r="BZP79" s="16"/>
      <c r="BZQ79" s="16"/>
      <c r="BZR79" s="16"/>
      <c r="BZS79" s="16"/>
      <c r="BZT79" s="16"/>
      <c r="BZU79" s="16"/>
      <c r="BZV79" s="16"/>
      <c r="BZW79" s="16"/>
      <c r="BZX79" s="16"/>
      <c r="BZY79" s="16"/>
      <c r="BZZ79" s="16"/>
      <c r="CAA79" s="16"/>
      <c r="CAB79" s="16"/>
      <c r="CAC79" s="16"/>
      <c r="CAD79" s="16"/>
      <c r="CAE79" s="16"/>
      <c r="CAF79" s="16"/>
      <c r="CAG79" s="16"/>
      <c r="CAH79" s="16"/>
      <c r="CAI79" s="16"/>
      <c r="CAJ79" s="16"/>
      <c r="CAK79" s="16"/>
      <c r="CAL79" s="16"/>
      <c r="CAM79" s="16"/>
      <c r="CAN79" s="16"/>
      <c r="CAO79" s="16"/>
      <c r="CAP79" s="16"/>
      <c r="CAQ79" s="16"/>
      <c r="CAR79" s="16"/>
      <c r="CAS79" s="16"/>
      <c r="CAT79" s="16"/>
      <c r="CAU79" s="16"/>
      <c r="CAV79" s="16"/>
      <c r="CAW79" s="16"/>
      <c r="CAX79" s="16"/>
      <c r="CAY79" s="16"/>
      <c r="CAZ79" s="16"/>
      <c r="CBA79" s="16"/>
      <c r="CBB79" s="16"/>
      <c r="CBC79" s="16"/>
      <c r="CBD79" s="16"/>
      <c r="CBE79" s="16"/>
      <c r="CBF79" s="16"/>
      <c r="CBG79" s="16"/>
      <c r="CBH79" s="16"/>
      <c r="CBI79" s="16"/>
      <c r="CBJ79" s="16"/>
      <c r="CBK79" s="16"/>
      <c r="CBL79" s="16"/>
      <c r="CBM79" s="16"/>
      <c r="CBN79" s="16"/>
      <c r="CBO79" s="16"/>
      <c r="CBP79" s="16"/>
      <c r="CBQ79" s="16"/>
      <c r="CBR79" s="16"/>
      <c r="CBS79" s="16"/>
      <c r="CBT79" s="16"/>
      <c r="CBU79" s="16"/>
      <c r="CBV79" s="16"/>
      <c r="CBW79" s="16"/>
      <c r="CBX79" s="16"/>
      <c r="CBY79" s="16"/>
      <c r="CBZ79" s="16"/>
      <c r="CCA79" s="16"/>
      <c r="CCB79" s="16"/>
      <c r="CCC79" s="16"/>
      <c r="CCD79" s="16"/>
      <c r="CCE79" s="16"/>
      <c r="CCF79" s="16"/>
      <c r="CCG79" s="16"/>
      <c r="CCH79" s="16"/>
      <c r="CCI79" s="16"/>
      <c r="CCJ79" s="16"/>
      <c r="CCK79" s="16"/>
      <c r="CCL79" s="16"/>
      <c r="CCM79" s="16"/>
      <c r="CCN79" s="16"/>
      <c r="CCO79" s="16"/>
      <c r="CCP79" s="16"/>
      <c r="CCQ79" s="16"/>
      <c r="CCR79" s="16"/>
      <c r="CCS79" s="16"/>
      <c r="CCT79" s="16"/>
      <c r="CCU79" s="16"/>
      <c r="CCV79" s="16"/>
      <c r="CCW79" s="16"/>
      <c r="CCX79" s="16"/>
      <c r="CCY79" s="16"/>
      <c r="CCZ79" s="16"/>
      <c r="CDA79" s="16"/>
      <c r="CDB79" s="16"/>
      <c r="CDC79" s="16"/>
      <c r="CDD79" s="16"/>
      <c r="CDE79" s="16"/>
      <c r="CDF79" s="16"/>
      <c r="CDG79" s="16"/>
      <c r="CDH79" s="16"/>
      <c r="CDI79" s="16"/>
      <c r="CDJ79" s="16"/>
      <c r="CDK79" s="16"/>
      <c r="CDL79" s="16"/>
      <c r="CDM79" s="16"/>
      <c r="CDN79" s="16"/>
      <c r="CDO79" s="16"/>
      <c r="CDP79" s="16"/>
      <c r="CDQ79" s="16"/>
      <c r="CDR79" s="16"/>
      <c r="CDS79" s="16"/>
      <c r="CDT79" s="16"/>
      <c r="CDU79" s="16"/>
      <c r="CDV79" s="16"/>
      <c r="CDW79" s="16"/>
      <c r="CDX79" s="16"/>
      <c r="CDY79" s="16"/>
      <c r="CDZ79" s="16"/>
      <c r="CEA79" s="16"/>
      <c r="CEB79" s="16"/>
      <c r="CEC79" s="16"/>
      <c r="CED79" s="16"/>
      <c r="CEE79" s="16"/>
      <c r="CEF79" s="16"/>
      <c r="CEG79" s="16"/>
      <c r="CEH79" s="16"/>
      <c r="CEI79" s="16"/>
      <c r="CEJ79" s="16"/>
      <c r="CEK79" s="16"/>
      <c r="CEL79" s="16"/>
      <c r="CEM79" s="16"/>
      <c r="CEN79" s="16"/>
      <c r="CEO79" s="16"/>
      <c r="CEP79" s="16"/>
      <c r="CEQ79" s="16"/>
      <c r="CER79" s="16"/>
      <c r="CES79" s="16"/>
      <c r="CET79" s="16"/>
      <c r="CEU79" s="16"/>
      <c r="CEV79" s="16"/>
      <c r="CEW79" s="16"/>
      <c r="CEX79" s="16"/>
      <c r="CEY79" s="16"/>
      <c r="CEZ79" s="16"/>
      <c r="CFA79" s="16"/>
      <c r="CFB79" s="16"/>
      <c r="CFC79" s="16"/>
      <c r="CFD79" s="16"/>
      <c r="CFE79" s="16"/>
      <c r="CFF79" s="16"/>
      <c r="CFG79" s="16"/>
      <c r="CFH79" s="16"/>
      <c r="CFI79" s="16"/>
      <c r="CFJ79" s="16"/>
      <c r="CFK79" s="16"/>
      <c r="CFL79" s="16"/>
      <c r="CFM79" s="16"/>
      <c r="CFN79" s="16"/>
      <c r="CFO79" s="16"/>
      <c r="CFP79" s="16"/>
      <c r="CFQ79" s="16"/>
      <c r="CFR79" s="16"/>
      <c r="CFS79" s="16"/>
      <c r="CFT79" s="16"/>
      <c r="CFU79" s="16"/>
      <c r="CFV79" s="16"/>
      <c r="CFW79" s="16"/>
      <c r="CFX79" s="16"/>
      <c r="CFY79" s="16"/>
      <c r="CFZ79" s="16"/>
      <c r="CGA79" s="16"/>
      <c r="CGB79" s="16"/>
      <c r="CGC79" s="16"/>
      <c r="CGD79" s="16"/>
      <c r="CGE79" s="16"/>
      <c r="CGF79" s="16"/>
      <c r="CGG79" s="16"/>
      <c r="CGH79" s="16"/>
      <c r="CGI79" s="16"/>
      <c r="CGJ79" s="16"/>
      <c r="CGK79" s="16"/>
      <c r="CGL79" s="16"/>
      <c r="CGM79" s="16"/>
      <c r="CGN79" s="16"/>
      <c r="CGO79" s="16"/>
      <c r="CGP79" s="16"/>
      <c r="CGQ79" s="16"/>
      <c r="CGR79" s="16"/>
      <c r="CGS79" s="16"/>
      <c r="CGT79" s="16"/>
      <c r="CGU79" s="16"/>
      <c r="CGV79" s="16"/>
      <c r="CGW79" s="16"/>
      <c r="CGX79" s="16"/>
      <c r="CGY79" s="16"/>
      <c r="CGZ79" s="16"/>
      <c r="CHA79" s="16"/>
      <c r="CHB79" s="16"/>
      <c r="CHC79" s="16"/>
      <c r="CHD79" s="16"/>
      <c r="CHE79" s="16"/>
      <c r="CHF79" s="16"/>
      <c r="CHG79" s="16"/>
      <c r="CHH79" s="16"/>
      <c r="CHI79" s="16"/>
      <c r="CHJ79" s="16"/>
      <c r="CHK79" s="16"/>
      <c r="CHL79" s="16"/>
      <c r="CHM79" s="16"/>
      <c r="CHN79" s="16"/>
      <c r="CHO79" s="16"/>
      <c r="CHP79" s="16"/>
      <c r="CHQ79" s="16"/>
      <c r="CHR79" s="16"/>
      <c r="CHS79" s="16"/>
      <c r="CHT79" s="16"/>
      <c r="CHU79" s="16"/>
      <c r="CHV79" s="16"/>
      <c r="CHW79" s="16"/>
      <c r="CHX79" s="16"/>
      <c r="CHY79" s="16"/>
      <c r="CHZ79" s="16"/>
      <c r="CIA79" s="16"/>
      <c r="CIB79" s="16"/>
      <c r="CIC79" s="16"/>
      <c r="CID79" s="16"/>
      <c r="CIE79" s="16"/>
      <c r="CIF79" s="16"/>
      <c r="CIG79" s="16"/>
      <c r="CIH79" s="16"/>
      <c r="CII79" s="16"/>
      <c r="CIJ79" s="16"/>
      <c r="CIK79" s="16"/>
      <c r="CIL79" s="16"/>
      <c r="CIM79" s="16"/>
      <c r="CIN79" s="16"/>
      <c r="CIO79" s="16"/>
      <c r="CIP79" s="16"/>
      <c r="CIQ79" s="16"/>
      <c r="CIR79" s="16"/>
      <c r="CIS79" s="16"/>
      <c r="CIT79" s="16"/>
      <c r="CIU79" s="16"/>
      <c r="CIV79" s="16"/>
      <c r="CIW79" s="16"/>
      <c r="CIX79" s="16"/>
      <c r="CIY79" s="16"/>
      <c r="CIZ79" s="16"/>
      <c r="CJA79" s="16"/>
      <c r="CJB79" s="16"/>
      <c r="CJC79" s="16"/>
      <c r="CJD79" s="16"/>
      <c r="CJE79" s="16"/>
      <c r="CJF79" s="16"/>
      <c r="CJG79" s="16"/>
      <c r="CJH79" s="16"/>
      <c r="CJI79" s="16"/>
      <c r="CJJ79" s="16"/>
      <c r="CJK79" s="16"/>
      <c r="CJL79" s="16"/>
      <c r="CJM79" s="16"/>
      <c r="CJN79" s="16"/>
      <c r="CJO79" s="16"/>
      <c r="CJP79" s="16"/>
      <c r="CJQ79" s="16"/>
      <c r="CJR79" s="16"/>
      <c r="CJS79" s="16"/>
      <c r="CJT79" s="16"/>
      <c r="CJU79" s="16"/>
      <c r="CJV79" s="16"/>
      <c r="CJW79" s="16"/>
      <c r="CJX79" s="16"/>
      <c r="CJY79" s="16"/>
      <c r="CJZ79" s="16"/>
      <c r="CKA79" s="16"/>
      <c r="CKB79" s="16"/>
      <c r="CKC79" s="16"/>
      <c r="CKD79" s="16"/>
      <c r="CKE79" s="16"/>
      <c r="CKF79" s="16"/>
      <c r="CKG79" s="16"/>
      <c r="CKH79" s="16"/>
      <c r="CKI79" s="16"/>
      <c r="CKJ79" s="16"/>
      <c r="CKK79" s="16"/>
      <c r="CKL79" s="16"/>
      <c r="CKM79" s="16"/>
      <c r="CKN79" s="16"/>
      <c r="CKO79" s="16"/>
      <c r="CKP79" s="16"/>
      <c r="CKQ79" s="16"/>
      <c r="CKR79" s="16"/>
      <c r="CKS79" s="16"/>
      <c r="CKT79" s="16"/>
      <c r="CKU79" s="16"/>
      <c r="CKV79" s="16"/>
      <c r="CKW79" s="16"/>
      <c r="CKX79" s="16"/>
      <c r="CKY79" s="16"/>
      <c r="CKZ79" s="16"/>
      <c r="CLA79" s="16"/>
      <c r="CLB79" s="16"/>
      <c r="CLC79" s="16"/>
      <c r="CLD79" s="16"/>
      <c r="CLE79" s="16"/>
      <c r="CLF79" s="16"/>
      <c r="CLG79" s="16"/>
      <c r="CLH79" s="16"/>
      <c r="CLI79" s="16"/>
      <c r="CLJ79" s="16"/>
      <c r="CLK79" s="16"/>
      <c r="CLL79" s="16"/>
      <c r="CLM79" s="16"/>
      <c r="CLN79" s="16"/>
      <c r="CLO79" s="16"/>
      <c r="CLP79" s="16"/>
      <c r="CLQ79" s="16"/>
      <c r="CLR79" s="16"/>
      <c r="CLS79" s="16"/>
      <c r="CLT79" s="16"/>
      <c r="CLU79" s="16"/>
      <c r="CLV79" s="16"/>
      <c r="CLW79" s="16"/>
      <c r="CLX79" s="16"/>
      <c r="CLY79" s="16"/>
      <c r="CLZ79" s="16"/>
      <c r="CMA79" s="16"/>
      <c r="CMB79" s="16"/>
      <c r="CMC79" s="16"/>
      <c r="CMD79" s="16"/>
      <c r="CME79" s="16"/>
      <c r="CMF79" s="16"/>
      <c r="CMG79" s="16"/>
      <c r="CMH79" s="16"/>
      <c r="CMI79" s="16"/>
      <c r="CMJ79" s="16"/>
      <c r="CMK79" s="16"/>
      <c r="CML79" s="16"/>
      <c r="CMM79" s="16"/>
      <c r="CMN79" s="16"/>
      <c r="CMO79" s="16"/>
      <c r="CMP79" s="16"/>
      <c r="CMQ79" s="16"/>
      <c r="CMR79" s="16"/>
      <c r="CMS79" s="16"/>
      <c r="CMT79" s="16"/>
      <c r="CMU79" s="16"/>
      <c r="CMV79" s="16"/>
      <c r="CMW79" s="16"/>
      <c r="CMX79" s="16"/>
      <c r="CMY79" s="16"/>
      <c r="CMZ79" s="16"/>
      <c r="CNA79" s="16"/>
      <c r="CNB79" s="16"/>
      <c r="CNC79" s="16"/>
      <c r="CND79" s="16"/>
      <c r="CNE79" s="16"/>
      <c r="CNF79" s="16"/>
      <c r="CNG79" s="16"/>
      <c r="CNH79" s="16"/>
      <c r="CNI79" s="16"/>
      <c r="CNJ79" s="16"/>
      <c r="CNK79" s="16"/>
      <c r="CNL79" s="16"/>
      <c r="CNM79" s="16"/>
      <c r="CNN79" s="16"/>
      <c r="CNO79" s="16"/>
      <c r="CNP79" s="16"/>
      <c r="CNQ79" s="16"/>
      <c r="CNR79" s="16"/>
      <c r="CNS79" s="16"/>
      <c r="CNT79" s="16"/>
      <c r="CNU79" s="16"/>
      <c r="CNV79" s="16"/>
      <c r="CNW79" s="16"/>
      <c r="CNX79" s="16"/>
      <c r="CNY79" s="16"/>
      <c r="CNZ79" s="16"/>
      <c r="COA79" s="16"/>
      <c r="COB79" s="16"/>
      <c r="COC79" s="16"/>
      <c r="COD79" s="16"/>
      <c r="COE79" s="16"/>
      <c r="COF79" s="16"/>
      <c r="COG79" s="16"/>
      <c r="COH79" s="16"/>
      <c r="COI79" s="16"/>
      <c r="COJ79" s="16"/>
      <c r="COK79" s="16"/>
      <c r="COL79" s="16"/>
      <c r="COM79" s="16"/>
      <c r="CON79" s="16"/>
      <c r="COO79" s="16"/>
      <c r="COP79" s="16"/>
      <c r="COQ79" s="16"/>
      <c r="COR79" s="16"/>
      <c r="COS79" s="16"/>
      <c r="COT79" s="16"/>
      <c r="COU79" s="16"/>
      <c r="COV79" s="16"/>
      <c r="COW79" s="16"/>
      <c r="COX79" s="16"/>
      <c r="COY79" s="16"/>
      <c r="COZ79" s="16"/>
      <c r="CPA79" s="16"/>
      <c r="CPB79" s="16"/>
      <c r="CPC79" s="16"/>
      <c r="CPD79" s="16"/>
      <c r="CPE79" s="16"/>
      <c r="CPF79" s="16"/>
      <c r="CPG79" s="16"/>
      <c r="CPH79" s="16"/>
      <c r="CPI79" s="16"/>
      <c r="CPJ79" s="16"/>
      <c r="CPK79" s="16"/>
      <c r="CPL79" s="16"/>
      <c r="CPM79" s="16"/>
      <c r="CPN79" s="16"/>
      <c r="CPO79" s="16"/>
      <c r="CPP79" s="16"/>
      <c r="CPQ79" s="16"/>
      <c r="CPR79" s="16"/>
      <c r="CPS79" s="16"/>
      <c r="CPT79" s="16"/>
      <c r="CPU79" s="16"/>
      <c r="CPV79" s="16"/>
      <c r="CPW79" s="16"/>
      <c r="CPX79" s="16"/>
      <c r="CPY79" s="16"/>
      <c r="CPZ79" s="16"/>
      <c r="CQA79" s="16"/>
      <c r="CQB79" s="16"/>
      <c r="CQC79" s="16"/>
      <c r="CQD79" s="16"/>
      <c r="CQE79" s="16"/>
      <c r="CQF79" s="16"/>
      <c r="CQG79" s="16"/>
      <c r="CQH79" s="16"/>
      <c r="CQI79" s="16"/>
      <c r="CQJ79" s="16"/>
      <c r="CQK79" s="16"/>
      <c r="CQL79" s="16"/>
      <c r="CQM79" s="16"/>
      <c r="CQN79" s="16"/>
      <c r="CQO79" s="16"/>
      <c r="CQP79" s="16"/>
      <c r="CQQ79" s="16"/>
      <c r="CQR79" s="16"/>
      <c r="CQS79" s="16"/>
      <c r="CQT79" s="16"/>
      <c r="CQU79" s="16"/>
      <c r="CQV79" s="16"/>
      <c r="CQW79" s="16"/>
      <c r="CQX79" s="16"/>
      <c r="CQY79" s="16"/>
      <c r="CQZ79" s="16"/>
      <c r="CRA79" s="16"/>
      <c r="CRB79" s="16"/>
      <c r="CRC79" s="16"/>
      <c r="CRD79" s="16"/>
      <c r="CRE79" s="16"/>
      <c r="CRF79" s="16"/>
      <c r="CRG79" s="16"/>
      <c r="CRH79" s="16"/>
      <c r="CRI79" s="16"/>
      <c r="CRJ79" s="16"/>
      <c r="CRK79" s="16"/>
      <c r="CRL79" s="16"/>
      <c r="CRM79" s="16"/>
      <c r="CRN79" s="16"/>
      <c r="CRO79" s="16"/>
      <c r="CRP79" s="16"/>
      <c r="CRQ79" s="16"/>
      <c r="CRR79" s="16"/>
      <c r="CRS79" s="16"/>
      <c r="CRT79" s="16"/>
      <c r="CRU79" s="16"/>
      <c r="CRV79" s="16"/>
      <c r="CRW79" s="16"/>
      <c r="CRX79" s="16"/>
      <c r="CRY79" s="16"/>
      <c r="CRZ79" s="16"/>
      <c r="CSA79" s="16"/>
      <c r="CSB79" s="16"/>
      <c r="CSC79" s="16"/>
      <c r="CSD79" s="16"/>
      <c r="CSE79" s="16"/>
      <c r="CSF79" s="16"/>
      <c r="CSG79" s="16"/>
      <c r="CSH79" s="16"/>
      <c r="CSI79" s="16"/>
      <c r="CSJ79" s="16"/>
      <c r="CSK79" s="24"/>
      <c r="CSL79" s="16"/>
      <c r="CSM79" s="16"/>
      <c r="CSN79" s="16"/>
      <c r="CSO79" s="16"/>
      <c r="CSP79" s="16"/>
      <c r="CUG79" s="16"/>
      <c r="CUH79" s="16"/>
      <c r="CUI79" s="16"/>
      <c r="CUJ79" s="16"/>
      <c r="CUK79" s="16"/>
      <c r="CUL79" s="16"/>
      <c r="CUM79" s="16"/>
      <c r="CUN79" s="16"/>
      <c r="CUO79" s="16"/>
      <c r="CUP79" s="16"/>
      <c r="CUQ79" s="16"/>
      <c r="CUR79" s="16"/>
      <c r="CUS79" s="16"/>
      <c r="CUT79" s="16"/>
      <c r="CUU79" s="16"/>
      <c r="CUV79" s="16"/>
      <c r="CUW79" s="16"/>
      <c r="CUX79" s="16"/>
      <c r="CUY79" s="16"/>
      <c r="CUZ79" s="16"/>
      <c r="CVA79" s="16"/>
      <c r="CVB79" s="16"/>
      <c r="CVC79" s="16"/>
      <c r="CVD79" s="16"/>
      <c r="CVE79" s="16"/>
      <c r="CVF79" s="16"/>
      <c r="CVG79" s="16"/>
      <c r="CVH79" s="16"/>
      <c r="CVI79" s="16"/>
      <c r="CVJ79" s="16"/>
      <c r="CVK79" s="16"/>
      <c r="CVL79" s="16"/>
      <c r="CVM79" s="16"/>
      <c r="CVN79" s="16"/>
      <c r="CVO79" s="16"/>
      <c r="CVP79" s="16"/>
    </row>
    <row r="80" spans="3:2616" ht="13.8" x14ac:dyDescent="0.25">
      <c r="C80" s="57"/>
      <c r="E80" s="16"/>
      <c r="K80" s="59"/>
      <c r="L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  <c r="ALQ80" s="16"/>
      <c r="ALR80" s="16"/>
      <c r="ALS80" s="16"/>
      <c r="ALT80" s="16"/>
      <c r="ALU80" s="16"/>
      <c r="ALV80" s="16"/>
      <c r="ALW80" s="16"/>
      <c r="ALX80" s="16"/>
      <c r="ALY80" s="16"/>
      <c r="ALZ80" s="16"/>
      <c r="AMA80" s="16"/>
      <c r="AMB80" s="16"/>
      <c r="AMC80" s="16"/>
      <c r="AMD80" s="16"/>
      <c r="AME80" s="16"/>
      <c r="AMF80" s="16"/>
      <c r="AMG80" s="16"/>
      <c r="AMH80" s="16"/>
      <c r="AMI80" s="16"/>
      <c r="AMJ80" s="16"/>
      <c r="AMK80" s="16"/>
      <c r="AML80" s="16"/>
      <c r="AMM80" s="16"/>
      <c r="AMN80" s="16"/>
      <c r="AMO80" s="16"/>
      <c r="AMP80" s="16"/>
      <c r="AMQ80" s="16"/>
      <c r="AMR80" s="16"/>
      <c r="AMS80" s="16"/>
      <c r="AMT80" s="16"/>
      <c r="AMU80" s="16"/>
      <c r="AMV80" s="16"/>
      <c r="AMW80" s="16"/>
      <c r="AMX80" s="16"/>
      <c r="AMY80" s="16"/>
      <c r="AMZ80" s="16"/>
      <c r="ANA80" s="16"/>
      <c r="ANB80" s="16"/>
      <c r="ANC80" s="16"/>
      <c r="AND80" s="16"/>
      <c r="ANE80" s="16"/>
      <c r="ANF80" s="16"/>
      <c r="ANG80" s="16"/>
      <c r="ANH80" s="16"/>
      <c r="ANI80" s="16"/>
      <c r="ANJ80" s="16"/>
      <c r="ANK80" s="16"/>
      <c r="ANL80" s="16"/>
      <c r="ANM80" s="16"/>
      <c r="ANN80" s="16"/>
      <c r="ANO80" s="16"/>
      <c r="ANP80" s="16"/>
      <c r="ANQ80" s="16"/>
      <c r="ANR80" s="16"/>
      <c r="ANS80" s="16"/>
      <c r="ANT80" s="16"/>
      <c r="ANU80" s="16"/>
      <c r="ANV80" s="16"/>
      <c r="ANW80" s="16"/>
      <c r="ANX80" s="16"/>
      <c r="ANY80" s="16"/>
      <c r="ANZ80" s="16"/>
      <c r="AOA80" s="16"/>
      <c r="AOB80" s="16"/>
      <c r="AOC80" s="16"/>
      <c r="AOD80" s="16"/>
      <c r="AOE80" s="16"/>
      <c r="AOF80" s="16"/>
      <c r="AOG80" s="16"/>
      <c r="AOH80" s="16"/>
      <c r="AOI80" s="16"/>
      <c r="AOJ80" s="16"/>
      <c r="AOK80" s="16"/>
      <c r="AOL80" s="16"/>
      <c r="AOM80" s="16"/>
      <c r="AON80" s="16"/>
      <c r="AOO80" s="16"/>
      <c r="AOP80" s="16"/>
      <c r="AOQ80" s="16"/>
      <c r="AOR80" s="16"/>
      <c r="AOS80" s="16"/>
      <c r="AOT80" s="16"/>
      <c r="AOU80" s="16"/>
      <c r="AOV80" s="16"/>
      <c r="AOW80" s="16"/>
      <c r="AOX80" s="16"/>
      <c r="AOY80" s="16"/>
      <c r="AOZ80" s="16"/>
      <c r="APA80" s="16"/>
      <c r="APB80" s="16"/>
      <c r="APC80" s="16"/>
      <c r="APD80" s="16"/>
      <c r="APE80" s="16"/>
      <c r="APF80" s="16"/>
      <c r="APG80" s="16"/>
      <c r="APH80" s="16"/>
      <c r="API80" s="16"/>
      <c r="APJ80" s="16"/>
      <c r="APK80" s="16"/>
      <c r="APL80" s="16"/>
      <c r="APM80" s="16"/>
      <c r="APN80" s="16"/>
      <c r="APO80" s="16"/>
      <c r="APP80" s="16"/>
      <c r="APQ80" s="16"/>
      <c r="APR80" s="16"/>
      <c r="APS80" s="16"/>
      <c r="APT80" s="16"/>
      <c r="APU80" s="16"/>
      <c r="APV80" s="16"/>
      <c r="APW80" s="16"/>
      <c r="APX80" s="16"/>
      <c r="APY80" s="16"/>
      <c r="APZ80" s="16"/>
      <c r="AQA80" s="16"/>
      <c r="AQB80" s="16"/>
      <c r="AQC80" s="16"/>
      <c r="AQD80" s="16"/>
      <c r="AQE80" s="16"/>
      <c r="AQF80" s="16"/>
      <c r="AQG80" s="16"/>
      <c r="AQH80" s="16"/>
      <c r="AQI80" s="16"/>
      <c r="AQJ80" s="16"/>
      <c r="AQK80" s="16"/>
      <c r="AQL80" s="16"/>
      <c r="AQM80" s="16"/>
      <c r="AQN80" s="16"/>
      <c r="AQO80" s="16"/>
      <c r="AQP80" s="16"/>
      <c r="AQQ80" s="16"/>
      <c r="AQR80" s="16"/>
      <c r="AQS80" s="16"/>
      <c r="AQT80" s="16"/>
      <c r="AQU80" s="16"/>
      <c r="AQV80" s="16"/>
      <c r="AQW80" s="16"/>
      <c r="AQX80" s="16"/>
      <c r="AQY80" s="16"/>
      <c r="AQZ80" s="16"/>
      <c r="ARA80" s="16"/>
      <c r="ARB80" s="16"/>
      <c r="ARC80" s="16"/>
      <c r="ARD80" s="16"/>
      <c r="ARE80" s="16"/>
      <c r="ARF80" s="16"/>
      <c r="ARG80" s="16"/>
      <c r="ARH80" s="16"/>
      <c r="ARI80" s="16"/>
      <c r="ARJ80" s="16"/>
      <c r="ARK80" s="16"/>
      <c r="ARL80" s="16"/>
      <c r="ARM80" s="16"/>
      <c r="ARN80" s="16"/>
      <c r="ARO80" s="16"/>
      <c r="ARP80" s="16"/>
      <c r="ARQ80" s="16"/>
      <c r="ARR80" s="16"/>
      <c r="ARS80" s="16"/>
      <c r="ART80" s="16"/>
      <c r="ARU80" s="16"/>
      <c r="ARV80" s="16"/>
      <c r="ARW80" s="16"/>
      <c r="ARX80" s="16"/>
      <c r="ARY80" s="16"/>
      <c r="ARZ80" s="16"/>
      <c r="ASA80" s="16"/>
      <c r="ASB80" s="16"/>
      <c r="ASC80" s="16"/>
      <c r="ASD80" s="16"/>
      <c r="ASE80" s="16"/>
      <c r="ASF80" s="16"/>
      <c r="ASG80" s="16"/>
      <c r="ASH80" s="16"/>
      <c r="ASI80" s="16"/>
      <c r="ASJ80" s="16"/>
      <c r="ASK80" s="16"/>
      <c r="ASL80" s="16"/>
      <c r="ASM80" s="16"/>
      <c r="ASN80" s="16"/>
      <c r="ASO80" s="16"/>
      <c r="ASP80" s="16"/>
      <c r="ASQ80" s="16"/>
      <c r="ASR80" s="16"/>
      <c r="ASS80" s="16"/>
      <c r="AST80" s="16"/>
      <c r="ASU80" s="16"/>
      <c r="ASV80" s="16"/>
      <c r="ASW80" s="16"/>
      <c r="ASX80" s="16"/>
      <c r="ASY80" s="16"/>
      <c r="ASZ80" s="16"/>
      <c r="ATA80" s="16"/>
      <c r="ATB80" s="16"/>
      <c r="ATC80" s="16"/>
      <c r="ATD80" s="16"/>
      <c r="ATE80" s="16"/>
      <c r="ATF80" s="16"/>
      <c r="ATG80" s="16"/>
      <c r="ATH80" s="16"/>
      <c r="ATI80" s="16"/>
      <c r="ATJ80" s="16"/>
      <c r="ATK80" s="16"/>
      <c r="ATL80" s="16"/>
      <c r="ATM80" s="16"/>
      <c r="ATN80" s="16"/>
      <c r="ATO80" s="16"/>
      <c r="ATP80" s="16"/>
      <c r="ATQ80" s="16"/>
      <c r="ATR80" s="16"/>
      <c r="ATS80" s="16"/>
      <c r="ATT80" s="16"/>
      <c r="ATU80" s="16"/>
      <c r="ATV80" s="16"/>
      <c r="ATW80" s="16"/>
      <c r="ATX80" s="16"/>
      <c r="ATY80" s="16"/>
      <c r="ATZ80" s="16"/>
      <c r="AUA80" s="16"/>
      <c r="AUB80" s="16"/>
      <c r="AUC80" s="16"/>
      <c r="AUD80" s="16"/>
      <c r="AUE80" s="16"/>
      <c r="AUF80" s="16"/>
      <c r="AUG80" s="16"/>
      <c r="AUH80" s="16"/>
      <c r="AUI80" s="16"/>
      <c r="AUJ80" s="16"/>
      <c r="AUK80" s="16"/>
      <c r="AUL80" s="16"/>
      <c r="AUM80" s="16"/>
      <c r="AUN80" s="16"/>
      <c r="AUO80" s="16"/>
      <c r="AUP80" s="16"/>
      <c r="AUQ80" s="16"/>
      <c r="AUR80" s="16"/>
      <c r="AUS80" s="16"/>
      <c r="AUT80" s="16"/>
      <c r="AUU80" s="16"/>
      <c r="AUV80" s="16"/>
      <c r="AUW80" s="16"/>
      <c r="AUX80" s="16"/>
      <c r="AUY80" s="16"/>
      <c r="AUZ80" s="16"/>
      <c r="AVA80" s="16"/>
      <c r="AVB80" s="16"/>
      <c r="AVC80" s="16"/>
      <c r="AVD80" s="16"/>
      <c r="AVE80" s="16"/>
      <c r="AVF80" s="16"/>
      <c r="AVG80" s="16"/>
      <c r="AVH80" s="16"/>
      <c r="AVI80" s="16"/>
      <c r="AVJ80" s="16"/>
      <c r="AVK80" s="16"/>
      <c r="AVL80" s="16"/>
      <c r="AVM80" s="16"/>
      <c r="AVN80" s="16"/>
      <c r="AVO80" s="16"/>
      <c r="AVP80" s="16"/>
      <c r="AVQ80" s="16"/>
      <c r="AVR80" s="16"/>
      <c r="AVS80" s="16"/>
      <c r="AVT80" s="16"/>
      <c r="AVU80" s="16"/>
      <c r="AVV80" s="16"/>
      <c r="AVW80" s="16"/>
      <c r="AVX80" s="16"/>
      <c r="AVY80" s="16"/>
      <c r="AVZ80" s="16"/>
      <c r="AWA80" s="16"/>
      <c r="AWB80" s="16"/>
      <c r="AWC80" s="16"/>
      <c r="AWD80" s="16"/>
      <c r="AWE80" s="16"/>
      <c r="AWF80" s="16"/>
      <c r="AWG80" s="16"/>
      <c r="AWH80" s="16"/>
      <c r="AWI80" s="16"/>
      <c r="AWJ80" s="16"/>
      <c r="AWK80" s="16"/>
      <c r="AWL80" s="16"/>
      <c r="AWM80" s="16"/>
      <c r="AWN80" s="16"/>
      <c r="AWO80" s="16"/>
      <c r="AWP80" s="16"/>
      <c r="AWQ80" s="16"/>
      <c r="AWR80" s="16"/>
      <c r="AWS80" s="16"/>
      <c r="AWT80" s="16"/>
      <c r="AWU80" s="16"/>
      <c r="AWV80" s="16"/>
      <c r="AWW80" s="16"/>
      <c r="AWX80" s="16"/>
      <c r="AWY80" s="16"/>
      <c r="AWZ80" s="16"/>
      <c r="AXA80" s="16"/>
      <c r="AXB80" s="16"/>
      <c r="AXC80" s="16"/>
      <c r="AXD80" s="16"/>
      <c r="AXE80" s="16"/>
      <c r="AXF80" s="16"/>
      <c r="AXG80" s="16"/>
      <c r="AXH80" s="16"/>
      <c r="AXI80" s="16"/>
      <c r="AXJ80" s="16"/>
      <c r="AXK80" s="16"/>
      <c r="AXL80" s="16"/>
      <c r="AXM80" s="16"/>
      <c r="AXN80" s="16"/>
      <c r="AXO80" s="16"/>
      <c r="AXP80" s="16"/>
      <c r="AXQ80" s="16"/>
      <c r="AXR80" s="16"/>
      <c r="AXS80" s="16"/>
      <c r="AXT80" s="16"/>
      <c r="AXU80" s="16"/>
      <c r="AXV80" s="16"/>
      <c r="AXW80" s="16"/>
      <c r="AXX80" s="16"/>
      <c r="AXY80" s="16"/>
      <c r="AXZ80" s="16"/>
      <c r="AYA80" s="16"/>
      <c r="AYB80" s="16"/>
      <c r="AYC80" s="16"/>
      <c r="AYD80" s="16"/>
      <c r="AYE80" s="16"/>
      <c r="AYF80" s="16"/>
      <c r="AYG80" s="16"/>
      <c r="AYH80" s="16"/>
      <c r="AYI80" s="16"/>
      <c r="AYJ80" s="16"/>
      <c r="AYK80" s="16"/>
      <c r="AYL80" s="16"/>
      <c r="AYM80" s="16"/>
      <c r="AYN80" s="16"/>
      <c r="AYO80" s="16"/>
      <c r="AYP80" s="16"/>
      <c r="AYQ80" s="16"/>
      <c r="AYR80" s="16"/>
      <c r="AYS80" s="16"/>
      <c r="AYT80" s="16"/>
      <c r="AYU80" s="16"/>
      <c r="AYV80" s="16"/>
      <c r="AYW80" s="16"/>
      <c r="AYX80" s="16"/>
      <c r="AYY80" s="16"/>
      <c r="AYZ80" s="16"/>
      <c r="AZA80" s="16"/>
      <c r="AZB80" s="16"/>
      <c r="AZC80" s="16"/>
      <c r="AZD80" s="16"/>
      <c r="AZE80" s="16"/>
      <c r="AZF80" s="16"/>
      <c r="AZG80" s="16"/>
      <c r="AZH80" s="16"/>
      <c r="AZI80" s="16"/>
      <c r="AZJ80" s="16"/>
      <c r="AZK80" s="16"/>
      <c r="AZL80" s="16"/>
      <c r="AZM80" s="16"/>
      <c r="AZN80" s="16"/>
      <c r="AZO80" s="16"/>
      <c r="AZP80" s="16"/>
      <c r="AZQ80" s="16"/>
      <c r="AZR80" s="16"/>
      <c r="AZS80" s="16"/>
      <c r="AZT80" s="16"/>
      <c r="AZU80" s="16"/>
      <c r="AZV80" s="16"/>
      <c r="AZW80" s="16"/>
      <c r="AZX80" s="16"/>
      <c r="AZY80" s="16"/>
      <c r="AZZ80" s="16"/>
      <c r="BAA80" s="16"/>
      <c r="BAB80" s="16"/>
      <c r="BAC80" s="16"/>
      <c r="BAD80" s="16"/>
      <c r="BAE80" s="16"/>
      <c r="BAF80" s="16"/>
      <c r="BAG80" s="16"/>
      <c r="BAH80" s="16"/>
      <c r="BAI80" s="16"/>
      <c r="BAJ80" s="16"/>
      <c r="BAK80" s="16"/>
      <c r="BAL80" s="16"/>
      <c r="BAM80" s="16"/>
      <c r="BAN80" s="16"/>
      <c r="BAO80" s="16"/>
      <c r="BAP80" s="16"/>
      <c r="BAQ80" s="16"/>
      <c r="BAR80" s="16"/>
      <c r="BAS80" s="16"/>
      <c r="BAT80" s="16"/>
      <c r="BAU80" s="16"/>
      <c r="BAV80" s="16"/>
      <c r="BAW80" s="16"/>
      <c r="BAX80" s="16"/>
      <c r="BAY80" s="16"/>
      <c r="BAZ80" s="16"/>
      <c r="BBA80" s="16"/>
      <c r="BBB80" s="16"/>
      <c r="BBC80" s="16"/>
      <c r="BBD80" s="16"/>
      <c r="BBE80" s="16"/>
      <c r="BBF80" s="16"/>
      <c r="BBG80" s="16"/>
      <c r="BBH80" s="16"/>
      <c r="BBI80" s="16"/>
      <c r="BBJ80" s="16"/>
      <c r="BBK80" s="16"/>
      <c r="BBL80" s="16"/>
      <c r="BBM80" s="16"/>
      <c r="BBN80" s="16"/>
      <c r="BBO80" s="16"/>
      <c r="BBP80" s="16"/>
      <c r="BBQ80" s="16"/>
      <c r="BBR80" s="16"/>
      <c r="BBS80" s="16"/>
      <c r="BBT80" s="16"/>
      <c r="BBU80" s="16"/>
      <c r="BBV80" s="16"/>
      <c r="BBW80" s="16"/>
      <c r="BBX80" s="16"/>
      <c r="BBY80" s="16"/>
      <c r="BBZ80" s="16"/>
      <c r="BCA80" s="16"/>
      <c r="BCB80" s="16"/>
      <c r="BCC80" s="16"/>
      <c r="BCD80" s="16"/>
      <c r="BCE80" s="16"/>
      <c r="BCF80" s="16"/>
      <c r="BCG80" s="16"/>
      <c r="BCH80" s="16"/>
      <c r="BCI80" s="16"/>
      <c r="BCJ80" s="16"/>
      <c r="BCK80" s="16"/>
      <c r="BCL80" s="16"/>
      <c r="BCM80" s="16"/>
      <c r="BCN80" s="16"/>
      <c r="BCO80" s="16"/>
      <c r="BCP80" s="16"/>
      <c r="BCQ80" s="16"/>
      <c r="BCR80" s="16"/>
      <c r="BCS80" s="16"/>
      <c r="BCT80" s="16"/>
      <c r="BCU80" s="16"/>
      <c r="BCV80" s="16"/>
      <c r="BCW80" s="16"/>
      <c r="BCX80" s="16"/>
      <c r="BCY80" s="16"/>
      <c r="BCZ80" s="16"/>
      <c r="BDA80" s="16"/>
      <c r="BDB80" s="16"/>
      <c r="BDC80" s="16"/>
      <c r="BDD80" s="16"/>
      <c r="BDE80" s="16"/>
      <c r="BDF80" s="16"/>
      <c r="BDG80" s="16"/>
      <c r="BDH80" s="16"/>
      <c r="BDI80" s="16"/>
      <c r="BDJ80" s="16"/>
      <c r="BDK80" s="16"/>
      <c r="BDL80" s="16"/>
      <c r="BDM80" s="16"/>
      <c r="BDN80" s="16"/>
      <c r="BDO80" s="16"/>
      <c r="BDP80" s="16"/>
      <c r="BDQ80" s="16"/>
      <c r="BDR80" s="16"/>
      <c r="BDS80" s="16"/>
      <c r="BDT80" s="16"/>
      <c r="BDU80" s="16"/>
      <c r="BDV80" s="16"/>
      <c r="BDW80" s="16"/>
      <c r="BDX80" s="16"/>
      <c r="BDY80" s="16"/>
      <c r="BDZ80" s="16"/>
      <c r="BEA80" s="16"/>
      <c r="BEB80" s="16"/>
      <c r="BEC80" s="16"/>
      <c r="BED80" s="16"/>
      <c r="BEE80" s="16"/>
      <c r="BEF80" s="16"/>
      <c r="BEG80" s="16"/>
      <c r="BEH80" s="16"/>
      <c r="BEI80" s="16"/>
      <c r="BEJ80" s="16"/>
      <c r="BEK80" s="16"/>
      <c r="BEL80" s="16"/>
      <c r="BEM80" s="16"/>
      <c r="BEN80" s="16"/>
      <c r="BEO80" s="16"/>
      <c r="BEP80" s="16"/>
      <c r="BEQ80" s="16"/>
      <c r="BER80" s="16"/>
      <c r="BES80" s="16"/>
      <c r="BET80" s="16"/>
      <c r="BEU80" s="16"/>
      <c r="BEV80" s="16"/>
      <c r="BEW80" s="16"/>
      <c r="BEX80" s="16"/>
      <c r="BEY80" s="16"/>
      <c r="BEZ80" s="16"/>
      <c r="BFA80" s="16"/>
      <c r="BFB80" s="16"/>
      <c r="BFC80" s="16"/>
      <c r="BFD80" s="16"/>
      <c r="BFE80" s="16"/>
      <c r="BFF80" s="16"/>
      <c r="BFG80" s="16"/>
      <c r="BFH80" s="16"/>
      <c r="BFI80" s="16"/>
      <c r="BFJ80" s="16"/>
      <c r="BFK80" s="16"/>
      <c r="BFL80" s="16"/>
      <c r="BFM80" s="16"/>
      <c r="BFN80" s="16"/>
      <c r="BFO80" s="16"/>
      <c r="BFP80" s="16"/>
      <c r="BFQ80" s="16"/>
      <c r="BFR80" s="16"/>
      <c r="BFS80" s="16"/>
      <c r="BFT80" s="16"/>
      <c r="BFU80" s="16"/>
      <c r="BFV80" s="16"/>
      <c r="BFW80" s="16"/>
      <c r="BFX80" s="16"/>
      <c r="BFY80" s="16"/>
      <c r="BFZ80" s="16"/>
      <c r="BGA80" s="16"/>
      <c r="BGB80" s="16"/>
      <c r="BGC80" s="16"/>
      <c r="BGD80" s="16"/>
      <c r="BGE80" s="16"/>
      <c r="BGF80" s="16"/>
      <c r="BGG80" s="16"/>
      <c r="BGH80" s="16"/>
      <c r="BGI80" s="16"/>
      <c r="BGJ80" s="16"/>
      <c r="BGK80" s="16"/>
      <c r="BGL80" s="16"/>
      <c r="BGM80" s="16"/>
      <c r="BGN80" s="16"/>
      <c r="BGO80" s="16"/>
      <c r="BGP80" s="16"/>
      <c r="BGQ80" s="16"/>
      <c r="BGR80" s="16"/>
      <c r="BGS80" s="16"/>
      <c r="BGT80" s="16"/>
      <c r="BGU80" s="16"/>
      <c r="BGV80" s="16"/>
      <c r="BGW80" s="16"/>
      <c r="BGX80" s="16"/>
      <c r="BGY80" s="16"/>
      <c r="BGZ80" s="16"/>
      <c r="BHA80" s="16"/>
      <c r="BHB80" s="16"/>
      <c r="BHC80" s="16"/>
      <c r="BHD80" s="16"/>
      <c r="BHE80" s="16"/>
      <c r="BHF80" s="16"/>
      <c r="BHG80" s="16"/>
      <c r="BHH80" s="16"/>
      <c r="BHI80" s="16"/>
      <c r="BHJ80" s="16"/>
      <c r="BHK80" s="16"/>
      <c r="BHL80" s="16"/>
      <c r="BHM80" s="16"/>
      <c r="BHN80" s="16"/>
      <c r="BHO80" s="16"/>
      <c r="BHP80" s="16"/>
      <c r="BHQ80" s="16"/>
      <c r="BHR80" s="16"/>
      <c r="BHS80" s="16"/>
      <c r="BHT80" s="16"/>
      <c r="BHU80" s="16"/>
      <c r="BHV80" s="16"/>
      <c r="BHW80" s="16"/>
      <c r="BHX80" s="16"/>
      <c r="BHY80" s="16"/>
      <c r="BHZ80" s="16"/>
      <c r="BIA80" s="16"/>
      <c r="BIB80" s="16"/>
      <c r="BIC80" s="16"/>
      <c r="BID80" s="16"/>
      <c r="BIE80" s="16"/>
      <c r="BIF80" s="16"/>
      <c r="BIG80" s="16"/>
      <c r="BIH80" s="16"/>
      <c r="BII80" s="16"/>
      <c r="BIJ80" s="16"/>
      <c r="BIK80" s="16"/>
      <c r="BIL80" s="16"/>
      <c r="BIM80" s="16"/>
      <c r="BIN80" s="16"/>
      <c r="BIO80" s="16"/>
      <c r="BIP80" s="16"/>
      <c r="BIQ80" s="16"/>
      <c r="BIR80" s="16"/>
      <c r="BIS80" s="16"/>
      <c r="BIT80" s="16"/>
      <c r="BIU80" s="16"/>
      <c r="BIV80" s="16"/>
      <c r="BIW80" s="16"/>
      <c r="BIX80" s="16"/>
      <c r="BIY80" s="16"/>
      <c r="BIZ80" s="16"/>
      <c r="BJA80" s="16"/>
      <c r="BJB80" s="16"/>
      <c r="BJC80" s="16"/>
      <c r="BJD80" s="16"/>
      <c r="BJE80" s="16"/>
      <c r="BJF80" s="16"/>
      <c r="BJG80" s="16"/>
      <c r="BJH80" s="16"/>
      <c r="BJI80" s="16"/>
      <c r="BJJ80" s="16"/>
      <c r="BJK80" s="16"/>
      <c r="BJL80" s="16"/>
      <c r="BJM80" s="16"/>
      <c r="BJN80" s="16"/>
      <c r="BJO80" s="16"/>
      <c r="BJP80" s="16"/>
      <c r="BJQ80" s="16"/>
      <c r="BJR80" s="16"/>
      <c r="BJS80" s="16"/>
      <c r="BJT80" s="16"/>
      <c r="BJU80" s="16"/>
      <c r="BJV80" s="16"/>
      <c r="BJW80" s="16"/>
      <c r="BJX80" s="16"/>
      <c r="BJY80" s="16"/>
      <c r="BJZ80" s="16"/>
      <c r="BKA80" s="16"/>
      <c r="BKB80" s="16"/>
      <c r="BKC80" s="16"/>
      <c r="BKD80" s="16"/>
      <c r="BKE80" s="16"/>
      <c r="BKF80" s="16"/>
      <c r="BKG80" s="16"/>
      <c r="BKH80" s="16"/>
      <c r="BKI80" s="16"/>
      <c r="BKJ80" s="16"/>
      <c r="BKK80" s="16"/>
      <c r="BKL80" s="16"/>
      <c r="BKM80" s="16"/>
      <c r="BKN80" s="16"/>
      <c r="BKO80" s="16"/>
      <c r="BKP80" s="16"/>
      <c r="BKQ80" s="16"/>
      <c r="BKR80" s="16"/>
      <c r="BKS80" s="16"/>
      <c r="BKT80" s="16"/>
      <c r="BKU80" s="16"/>
      <c r="BKV80" s="16"/>
      <c r="BKW80" s="16"/>
      <c r="BKX80" s="16"/>
      <c r="BKY80" s="16"/>
      <c r="BKZ80" s="16"/>
      <c r="BLA80" s="16"/>
      <c r="BLB80" s="16"/>
      <c r="BLC80" s="16"/>
      <c r="BLD80" s="16"/>
      <c r="BLE80" s="16"/>
      <c r="BLF80" s="16"/>
      <c r="BLG80" s="16"/>
      <c r="BLH80" s="16"/>
      <c r="BLI80" s="16"/>
      <c r="BLJ80" s="16"/>
      <c r="BLK80" s="16"/>
      <c r="BLL80" s="16"/>
      <c r="BLM80" s="16"/>
      <c r="BLN80" s="16"/>
      <c r="BLO80" s="16"/>
      <c r="BLP80" s="16"/>
      <c r="BLQ80" s="16"/>
      <c r="BLR80" s="16"/>
      <c r="BLS80" s="16"/>
      <c r="BLT80" s="16"/>
      <c r="BLU80" s="16"/>
      <c r="BLV80" s="16"/>
      <c r="BLW80" s="16"/>
      <c r="BLX80" s="16"/>
      <c r="BLY80" s="16"/>
      <c r="BLZ80" s="16"/>
      <c r="BMA80" s="16"/>
      <c r="BMB80" s="16"/>
      <c r="BMC80" s="16"/>
      <c r="BMD80" s="16"/>
      <c r="BME80" s="16"/>
      <c r="BMF80" s="16"/>
      <c r="BMG80" s="16"/>
      <c r="BMH80" s="16"/>
      <c r="BMI80" s="16"/>
      <c r="BMJ80" s="16"/>
      <c r="BMK80" s="16"/>
      <c r="BML80" s="16"/>
      <c r="BMM80" s="16"/>
      <c r="BMN80" s="16"/>
      <c r="BMO80" s="16"/>
      <c r="BMP80" s="16"/>
      <c r="BMQ80" s="16"/>
      <c r="BMR80" s="16"/>
      <c r="BMS80" s="16"/>
      <c r="BMT80" s="16"/>
      <c r="BMU80" s="16"/>
      <c r="BMV80" s="16"/>
      <c r="BMW80" s="16"/>
      <c r="BMX80" s="16"/>
      <c r="BMY80" s="16"/>
      <c r="BMZ80" s="16"/>
      <c r="BNA80" s="16"/>
      <c r="BNB80" s="16"/>
      <c r="BNC80" s="16"/>
      <c r="BND80" s="16"/>
      <c r="BNE80" s="16"/>
      <c r="BNF80" s="16"/>
      <c r="BNG80" s="16"/>
      <c r="BNH80" s="16"/>
      <c r="BNI80" s="16"/>
      <c r="BNJ80" s="16"/>
      <c r="BNK80" s="16"/>
      <c r="BNL80" s="16"/>
      <c r="BNM80" s="16"/>
      <c r="BNN80" s="16"/>
      <c r="BNO80" s="16"/>
      <c r="BNP80" s="16"/>
      <c r="BNQ80" s="16"/>
      <c r="BNR80" s="16"/>
      <c r="BNS80" s="16"/>
      <c r="BNT80" s="16"/>
      <c r="BNU80" s="16"/>
      <c r="BNV80" s="16"/>
      <c r="BNW80" s="16"/>
      <c r="BNX80" s="16"/>
      <c r="BNY80" s="16"/>
      <c r="BNZ80" s="16"/>
      <c r="BOA80" s="16"/>
      <c r="BOB80" s="16"/>
      <c r="BOC80" s="16"/>
      <c r="BOD80" s="16"/>
      <c r="BOE80" s="16"/>
      <c r="BOF80" s="16"/>
      <c r="BOG80" s="16"/>
      <c r="BOH80" s="16"/>
      <c r="BOI80" s="16"/>
      <c r="BOJ80" s="16"/>
      <c r="BOK80" s="16"/>
      <c r="BOL80" s="16"/>
      <c r="BOM80" s="16"/>
      <c r="BON80" s="16"/>
      <c r="BOO80" s="16"/>
      <c r="BOP80" s="16"/>
      <c r="BOQ80" s="16"/>
      <c r="BOR80" s="16"/>
      <c r="BOS80" s="16"/>
      <c r="BOT80" s="16"/>
      <c r="BOU80" s="16"/>
      <c r="BOV80" s="16"/>
      <c r="BOW80" s="16"/>
      <c r="BOX80" s="16"/>
      <c r="BOY80" s="16"/>
      <c r="BOZ80" s="16"/>
      <c r="BPA80" s="16"/>
      <c r="BPB80" s="16"/>
      <c r="BPC80" s="16"/>
      <c r="BPD80" s="16"/>
      <c r="BPE80" s="16"/>
      <c r="BPF80" s="16"/>
      <c r="BPG80" s="16"/>
      <c r="BPH80" s="16"/>
      <c r="BPI80" s="16"/>
      <c r="BPJ80" s="16"/>
      <c r="BPK80" s="16"/>
      <c r="BPL80" s="16"/>
      <c r="BPM80" s="16"/>
      <c r="BPN80" s="16"/>
      <c r="BPO80" s="16"/>
      <c r="BPP80" s="16"/>
      <c r="BPQ80" s="16"/>
      <c r="BPR80" s="16"/>
      <c r="BPS80" s="16"/>
      <c r="BPT80" s="16"/>
      <c r="BPU80" s="16"/>
      <c r="BPV80" s="16"/>
      <c r="BPW80" s="16"/>
      <c r="BPX80" s="16"/>
      <c r="BPY80" s="16"/>
      <c r="BPZ80" s="16"/>
      <c r="BQA80" s="16"/>
      <c r="BQB80" s="16"/>
      <c r="BQC80" s="16"/>
      <c r="BQD80" s="16"/>
      <c r="BQE80" s="16"/>
      <c r="BQF80" s="16"/>
      <c r="BQG80" s="16"/>
      <c r="BQH80" s="16"/>
      <c r="BQI80" s="16"/>
      <c r="BQJ80" s="16"/>
      <c r="BQK80" s="16"/>
      <c r="BQL80" s="16"/>
      <c r="BQM80" s="16"/>
      <c r="BQN80" s="16"/>
      <c r="BQO80" s="16"/>
      <c r="BQP80" s="16"/>
      <c r="BQQ80" s="16"/>
      <c r="BQR80" s="16"/>
      <c r="BQS80" s="16"/>
      <c r="BQT80" s="16"/>
      <c r="BQU80" s="16"/>
      <c r="BQV80" s="16"/>
      <c r="BQW80" s="16"/>
      <c r="BQX80" s="16"/>
      <c r="BQY80" s="16"/>
      <c r="BQZ80" s="16"/>
      <c r="BRA80" s="16"/>
      <c r="BRB80" s="16"/>
      <c r="BRC80" s="16"/>
      <c r="BRD80" s="16"/>
      <c r="BRE80" s="16"/>
      <c r="BRF80" s="16"/>
      <c r="BRG80" s="16"/>
      <c r="BRH80" s="16"/>
      <c r="BRI80" s="16"/>
      <c r="BRJ80" s="16"/>
      <c r="BRK80" s="16"/>
      <c r="BRL80" s="16"/>
      <c r="BRM80" s="16"/>
      <c r="BRN80" s="16"/>
      <c r="BRO80" s="16"/>
      <c r="BRP80" s="16"/>
      <c r="BRQ80" s="16"/>
      <c r="BRR80" s="16"/>
      <c r="BRS80" s="16"/>
      <c r="BRT80" s="16"/>
      <c r="BRU80" s="16"/>
      <c r="BRV80" s="16"/>
      <c r="BRW80" s="16"/>
      <c r="BRX80" s="16"/>
      <c r="BRY80" s="16"/>
      <c r="BRZ80" s="16"/>
      <c r="BSA80" s="16"/>
      <c r="BSB80" s="16"/>
      <c r="BSC80" s="16"/>
      <c r="BSD80" s="16"/>
      <c r="BSE80" s="16"/>
      <c r="BSF80" s="16"/>
      <c r="BSG80" s="16"/>
      <c r="BSH80" s="16"/>
      <c r="BSI80" s="16"/>
      <c r="BSJ80" s="16"/>
      <c r="BSK80" s="16"/>
      <c r="BSL80" s="16"/>
      <c r="BSM80" s="16"/>
      <c r="BSN80" s="16"/>
      <c r="BSO80" s="16"/>
      <c r="BSP80" s="16"/>
      <c r="BSQ80" s="16"/>
      <c r="BSR80" s="16"/>
      <c r="BSS80" s="16"/>
      <c r="BST80" s="16"/>
      <c r="BSU80" s="16"/>
      <c r="BSV80" s="16"/>
      <c r="BSW80" s="16"/>
      <c r="BSX80" s="16"/>
      <c r="BSY80" s="16"/>
      <c r="BSZ80" s="16"/>
      <c r="BTA80" s="16"/>
      <c r="BTB80" s="16"/>
      <c r="BTC80" s="16"/>
      <c r="BTD80" s="16"/>
      <c r="BTE80" s="16"/>
      <c r="BTF80" s="16"/>
      <c r="BTG80" s="16"/>
      <c r="BTH80" s="16"/>
      <c r="BTI80" s="16"/>
      <c r="BTJ80" s="16"/>
      <c r="BTK80" s="16"/>
      <c r="BTL80" s="16"/>
      <c r="BTM80" s="16"/>
      <c r="BTN80" s="16"/>
      <c r="BTO80" s="16"/>
      <c r="BTP80" s="16"/>
      <c r="BTQ80" s="16"/>
      <c r="BTR80" s="16"/>
      <c r="BTS80" s="16"/>
      <c r="BTT80" s="16"/>
      <c r="BTU80" s="16"/>
      <c r="BTV80" s="16"/>
      <c r="BTW80" s="16"/>
      <c r="BTX80" s="16"/>
      <c r="BTY80" s="16"/>
      <c r="BTZ80" s="16"/>
      <c r="BUA80" s="16"/>
      <c r="BUB80" s="16"/>
      <c r="BUC80" s="16"/>
      <c r="BUD80" s="16"/>
      <c r="BUE80" s="16"/>
      <c r="BUF80" s="16"/>
      <c r="BUG80" s="16"/>
      <c r="BUH80" s="16"/>
      <c r="BUI80" s="16"/>
      <c r="BUJ80" s="16"/>
      <c r="BUK80" s="16"/>
      <c r="BUL80" s="16"/>
      <c r="BUM80" s="16"/>
      <c r="BUN80" s="16"/>
      <c r="BUO80" s="16"/>
      <c r="BUP80" s="16"/>
      <c r="BUQ80" s="16"/>
      <c r="BUR80" s="16"/>
      <c r="BUS80" s="16"/>
      <c r="BUT80" s="16"/>
      <c r="BUU80" s="16"/>
      <c r="BUV80" s="16"/>
      <c r="BUW80" s="16"/>
      <c r="BUX80" s="16"/>
      <c r="BUY80" s="16"/>
      <c r="BUZ80" s="16"/>
      <c r="BVA80" s="16"/>
      <c r="BVB80" s="16"/>
      <c r="BVC80" s="16"/>
      <c r="BVD80" s="16"/>
      <c r="BVE80" s="16"/>
      <c r="BVF80" s="16"/>
      <c r="BVG80" s="16"/>
      <c r="BVH80" s="16"/>
      <c r="BVI80" s="16"/>
      <c r="BVJ80" s="16"/>
      <c r="BVK80" s="16"/>
      <c r="BVL80" s="16"/>
      <c r="BVM80" s="16"/>
      <c r="BVN80" s="16"/>
      <c r="BVO80" s="16"/>
      <c r="BVP80" s="16"/>
      <c r="BVQ80" s="16"/>
      <c r="BVR80" s="16"/>
      <c r="BVS80" s="16"/>
      <c r="BVT80" s="16"/>
      <c r="BVU80" s="16"/>
      <c r="BVV80" s="16"/>
      <c r="BVW80" s="16"/>
      <c r="BVX80" s="16"/>
      <c r="BVY80" s="16"/>
      <c r="BVZ80" s="16"/>
      <c r="BWA80" s="16"/>
      <c r="BWB80" s="16"/>
      <c r="BWC80" s="16"/>
      <c r="BWD80" s="16"/>
      <c r="BWE80" s="16"/>
      <c r="BWF80" s="16"/>
      <c r="BWG80" s="16"/>
      <c r="BWH80" s="16"/>
      <c r="BWI80" s="16"/>
      <c r="BWJ80" s="16"/>
      <c r="BWK80" s="16"/>
      <c r="BWL80" s="16"/>
      <c r="BWM80" s="16"/>
      <c r="BWN80" s="16"/>
      <c r="BWO80" s="16"/>
      <c r="BWP80" s="16"/>
      <c r="BWQ80" s="16"/>
      <c r="BWR80" s="16"/>
      <c r="BWS80" s="16"/>
      <c r="BWT80" s="16"/>
      <c r="BWU80" s="16"/>
      <c r="BWV80" s="16"/>
      <c r="BWW80" s="16"/>
      <c r="BWX80" s="16"/>
      <c r="BWY80" s="16"/>
      <c r="BWZ80" s="16"/>
      <c r="BXA80" s="16"/>
      <c r="BXB80" s="16"/>
      <c r="BXC80" s="16"/>
      <c r="BXD80" s="16"/>
      <c r="BXE80" s="16"/>
      <c r="BXF80" s="16"/>
      <c r="BXG80" s="16"/>
      <c r="BXH80" s="16"/>
      <c r="BXI80" s="16"/>
      <c r="BXJ80" s="16"/>
      <c r="BXK80" s="16"/>
      <c r="BXL80" s="16"/>
      <c r="BXM80" s="16"/>
      <c r="BXN80" s="16"/>
      <c r="BXO80" s="16"/>
      <c r="BXP80" s="16"/>
      <c r="BXQ80" s="16"/>
      <c r="BXR80" s="16"/>
      <c r="BXS80" s="16"/>
      <c r="BXT80" s="16"/>
      <c r="BXU80" s="16"/>
      <c r="BXV80" s="16"/>
      <c r="BXW80" s="16"/>
      <c r="BXX80" s="16"/>
      <c r="BXY80" s="16"/>
      <c r="BXZ80" s="16"/>
      <c r="BYA80" s="16"/>
      <c r="BYB80" s="16"/>
      <c r="BYC80" s="16"/>
      <c r="BYD80" s="16"/>
      <c r="BYE80" s="16"/>
      <c r="BYF80" s="16"/>
      <c r="BYG80" s="16"/>
      <c r="BYH80" s="16"/>
      <c r="BYI80" s="16"/>
      <c r="BYJ80" s="16"/>
      <c r="BYK80" s="16"/>
      <c r="BYL80" s="16"/>
      <c r="BYM80" s="16"/>
      <c r="BYN80" s="16"/>
      <c r="BYO80" s="16"/>
      <c r="BYP80" s="16"/>
      <c r="BYQ80" s="16"/>
      <c r="BYR80" s="16"/>
      <c r="BYS80" s="16"/>
      <c r="BYT80" s="16"/>
      <c r="BYU80" s="16"/>
      <c r="BYV80" s="16"/>
      <c r="BYW80" s="16"/>
      <c r="BYX80" s="16"/>
      <c r="BYY80" s="16"/>
      <c r="BYZ80" s="16"/>
      <c r="BZA80" s="16"/>
      <c r="BZB80" s="16"/>
      <c r="BZC80" s="16"/>
      <c r="BZD80" s="16"/>
      <c r="BZE80" s="16"/>
      <c r="BZF80" s="16"/>
      <c r="BZG80" s="16"/>
      <c r="BZH80" s="16"/>
      <c r="BZI80" s="16"/>
      <c r="BZJ80" s="16"/>
      <c r="BZK80" s="16"/>
      <c r="BZL80" s="16"/>
      <c r="BZM80" s="16"/>
      <c r="BZN80" s="16"/>
      <c r="BZO80" s="16"/>
      <c r="BZP80" s="16"/>
      <c r="BZQ80" s="16"/>
      <c r="BZR80" s="16"/>
      <c r="BZS80" s="16"/>
      <c r="BZT80" s="16"/>
      <c r="BZU80" s="16"/>
      <c r="BZV80" s="16"/>
      <c r="BZW80" s="16"/>
      <c r="BZX80" s="16"/>
      <c r="BZY80" s="16"/>
      <c r="BZZ80" s="16"/>
      <c r="CAA80" s="16"/>
      <c r="CAB80" s="16"/>
      <c r="CAC80" s="16"/>
      <c r="CAD80" s="16"/>
      <c r="CAE80" s="16"/>
      <c r="CAF80" s="16"/>
      <c r="CAG80" s="16"/>
      <c r="CAH80" s="16"/>
      <c r="CAI80" s="16"/>
      <c r="CAJ80" s="16"/>
      <c r="CAK80" s="16"/>
      <c r="CAL80" s="16"/>
      <c r="CAM80" s="16"/>
      <c r="CAN80" s="16"/>
      <c r="CAO80" s="16"/>
      <c r="CAP80" s="16"/>
      <c r="CAQ80" s="16"/>
      <c r="CAR80" s="16"/>
      <c r="CAS80" s="16"/>
      <c r="CAT80" s="16"/>
      <c r="CAU80" s="16"/>
      <c r="CAV80" s="16"/>
      <c r="CAW80" s="16"/>
      <c r="CAX80" s="16"/>
      <c r="CAY80" s="16"/>
      <c r="CAZ80" s="16"/>
      <c r="CBA80" s="16"/>
      <c r="CBB80" s="16"/>
      <c r="CBC80" s="16"/>
      <c r="CBD80" s="16"/>
      <c r="CBE80" s="16"/>
      <c r="CBF80" s="16"/>
      <c r="CBG80" s="16"/>
      <c r="CBH80" s="16"/>
      <c r="CBI80" s="16"/>
      <c r="CBJ80" s="16"/>
      <c r="CBK80" s="16"/>
      <c r="CBL80" s="16"/>
      <c r="CBM80" s="16"/>
      <c r="CBN80" s="16"/>
      <c r="CBO80" s="16"/>
      <c r="CBP80" s="16"/>
      <c r="CBQ80" s="16"/>
      <c r="CBR80" s="16"/>
      <c r="CBS80" s="16"/>
      <c r="CBT80" s="16"/>
      <c r="CBU80" s="16"/>
      <c r="CBV80" s="16"/>
      <c r="CBW80" s="16"/>
      <c r="CBX80" s="16"/>
      <c r="CBY80" s="16"/>
      <c r="CBZ80" s="16"/>
      <c r="CCA80" s="16"/>
      <c r="CCB80" s="16"/>
      <c r="CCC80" s="16"/>
      <c r="CCD80" s="16"/>
      <c r="CCE80" s="16"/>
      <c r="CCF80" s="16"/>
      <c r="CCG80" s="16"/>
      <c r="CCH80" s="16"/>
      <c r="CCI80" s="16"/>
      <c r="CCJ80" s="16"/>
      <c r="CCK80" s="16"/>
      <c r="CCL80" s="16"/>
      <c r="CCM80" s="16"/>
      <c r="CCN80" s="16"/>
      <c r="CCO80" s="16"/>
      <c r="CCP80" s="16"/>
      <c r="CCQ80" s="16"/>
      <c r="CCR80" s="16"/>
      <c r="CCS80" s="16"/>
      <c r="CCT80" s="16"/>
      <c r="CCU80" s="16"/>
      <c r="CCV80" s="16"/>
      <c r="CCW80" s="16"/>
      <c r="CCX80" s="16"/>
      <c r="CCY80" s="16"/>
      <c r="CCZ80" s="16"/>
      <c r="CDA80" s="16"/>
      <c r="CDB80" s="16"/>
      <c r="CDC80" s="16"/>
      <c r="CDD80" s="16"/>
      <c r="CDE80" s="16"/>
      <c r="CDF80" s="16"/>
      <c r="CDG80" s="16"/>
      <c r="CDH80" s="16"/>
      <c r="CDI80" s="16"/>
      <c r="CDJ80" s="16"/>
      <c r="CDK80" s="16"/>
      <c r="CDL80" s="16"/>
      <c r="CDM80" s="16"/>
      <c r="CDN80" s="16"/>
      <c r="CDO80" s="16"/>
      <c r="CDP80" s="16"/>
      <c r="CDQ80" s="16"/>
      <c r="CDR80" s="16"/>
      <c r="CDS80" s="16"/>
      <c r="CDT80" s="16"/>
      <c r="CDU80" s="16"/>
      <c r="CDV80" s="16"/>
      <c r="CDW80" s="16"/>
      <c r="CDX80" s="16"/>
      <c r="CDY80" s="16"/>
      <c r="CDZ80" s="16"/>
      <c r="CEA80" s="16"/>
      <c r="CEB80" s="16"/>
      <c r="CEC80" s="16"/>
      <c r="CED80" s="16"/>
      <c r="CEE80" s="16"/>
      <c r="CEF80" s="16"/>
      <c r="CEG80" s="16"/>
      <c r="CEH80" s="16"/>
      <c r="CEI80" s="16"/>
      <c r="CEJ80" s="16"/>
      <c r="CEK80" s="16"/>
      <c r="CEL80" s="16"/>
      <c r="CEM80" s="16"/>
      <c r="CEN80" s="16"/>
      <c r="CEO80" s="16"/>
      <c r="CEP80" s="16"/>
      <c r="CEQ80" s="16"/>
      <c r="CER80" s="16"/>
      <c r="CES80" s="16"/>
      <c r="CET80" s="16"/>
      <c r="CEU80" s="16"/>
      <c r="CEV80" s="16"/>
      <c r="CEW80" s="16"/>
      <c r="CEX80" s="16"/>
      <c r="CEY80" s="16"/>
      <c r="CEZ80" s="16"/>
      <c r="CFA80" s="16"/>
      <c r="CFB80" s="16"/>
      <c r="CFC80" s="16"/>
      <c r="CFD80" s="16"/>
      <c r="CFE80" s="16"/>
      <c r="CFF80" s="16"/>
      <c r="CFG80" s="16"/>
      <c r="CFH80" s="16"/>
      <c r="CFI80" s="16"/>
      <c r="CFJ80" s="16"/>
      <c r="CFK80" s="16"/>
      <c r="CFL80" s="16"/>
      <c r="CFM80" s="16"/>
      <c r="CFN80" s="16"/>
      <c r="CFO80" s="16"/>
      <c r="CFP80" s="16"/>
      <c r="CFQ80" s="16"/>
      <c r="CFR80" s="16"/>
      <c r="CFS80" s="16"/>
      <c r="CFT80" s="16"/>
      <c r="CFU80" s="16"/>
      <c r="CFV80" s="16"/>
      <c r="CFW80" s="16"/>
      <c r="CFX80" s="16"/>
      <c r="CFY80" s="16"/>
      <c r="CFZ80" s="16"/>
      <c r="CGA80" s="16"/>
      <c r="CGB80" s="16"/>
      <c r="CGC80" s="16"/>
      <c r="CGD80" s="16"/>
      <c r="CGE80" s="16"/>
      <c r="CGF80" s="16"/>
      <c r="CGG80" s="16"/>
      <c r="CGH80" s="16"/>
      <c r="CGI80" s="16"/>
      <c r="CGJ80" s="16"/>
      <c r="CGK80" s="16"/>
      <c r="CGL80" s="16"/>
      <c r="CGM80" s="16"/>
      <c r="CGN80" s="16"/>
      <c r="CGO80" s="16"/>
      <c r="CGP80" s="16"/>
      <c r="CGQ80" s="16"/>
      <c r="CGR80" s="16"/>
      <c r="CGS80" s="16"/>
      <c r="CGT80" s="16"/>
      <c r="CGU80" s="16"/>
      <c r="CGV80" s="16"/>
      <c r="CGW80" s="16"/>
      <c r="CGX80" s="16"/>
      <c r="CGY80" s="16"/>
      <c r="CGZ80" s="16"/>
      <c r="CHA80" s="16"/>
      <c r="CHB80" s="16"/>
      <c r="CHC80" s="16"/>
      <c r="CHD80" s="16"/>
      <c r="CHE80" s="16"/>
      <c r="CHF80" s="16"/>
      <c r="CHG80" s="16"/>
      <c r="CHH80" s="16"/>
      <c r="CHI80" s="16"/>
      <c r="CHJ80" s="16"/>
      <c r="CHK80" s="16"/>
      <c r="CHL80" s="16"/>
      <c r="CHM80" s="16"/>
      <c r="CHN80" s="16"/>
      <c r="CHO80" s="16"/>
      <c r="CHP80" s="16"/>
      <c r="CHQ80" s="16"/>
      <c r="CHR80" s="16"/>
      <c r="CHS80" s="16"/>
      <c r="CHT80" s="16"/>
      <c r="CHU80" s="16"/>
      <c r="CHV80" s="16"/>
      <c r="CHW80" s="16"/>
      <c r="CHX80" s="16"/>
      <c r="CHY80" s="16"/>
      <c r="CHZ80" s="16"/>
      <c r="CIA80" s="16"/>
      <c r="CIB80" s="16"/>
      <c r="CIC80" s="16"/>
      <c r="CID80" s="16"/>
      <c r="CIE80" s="16"/>
      <c r="CIF80" s="16"/>
      <c r="CIG80" s="16"/>
      <c r="CIH80" s="16"/>
      <c r="CII80" s="16"/>
      <c r="CIJ80" s="16"/>
      <c r="CIK80" s="16"/>
      <c r="CIL80" s="16"/>
      <c r="CIM80" s="16"/>
      <c r="CIN80" s="16"/>
      <c r="CIO80" s="16"/>
      <c r="CIP80" s="16"/>
      <c r="CIQ80" s="16"/>
      <c r="CIR80" s="16"/>
      <c r="CIS80" s="16"/>
      <c r="CIT80" s="16"/>
      <c r="CIU80" s="16"/>
      <c r="CIV80" s="16"/>
      <c r="CIW80" s="16"/>
      <c r="CIX80" s="16"/>
      <c r="CIY80" s="16"/>
      <c r="CIZ80" s="16"/>
      <c r="CJA80" s="16"/>
      <c r="CJB80" s="16"/>
      <c r="CJC80" s="16"/>
      <c r="CJD80" s="16"/>
      <c r="CJE80" s="16"/>
      <c r="CJF80" s="16"/>
      <c r="CJG80" s="16"/>
      <c r="CJH80" s="16"/>
      <c r="CJI80" s="16"/>
      <c r="CJJ80" s="16"/>
      <c r="CJK80" s="16"/>
      <c r="CJL80" s="16"/>
      <c r="CJM80" s="16"/>
      <c r="CJN80" s="16"/>
      <c r="CJO80" s="16"/>
      <c r="CJP80" s="16"/>
      <c r="CJQ80" s="16"/>
      <c r="CJR80" s="16"/>
      <c r="CJS80" s="16"/>
      <c r="CJT80" s="16"/>
      <c r="CJU80" s="16"/>
      <c r="CJV80" s="16"/>
      <c r="CJW80" s="16"/>
      <c r="CJX80" s="16"/>
      <c r="CJY80" s="16"/>
      <c r="CJZ80" s="16"/>
      <c r="CKA80" s="16"/>
      <c r="CKB80" s="16"/>
      <c r="CKC80" s="16"/>
      <c r="CKD80" s="16"/>
      <c r="CKE80" s="16"/>
      <c r="CKF80" s="16"/>
      <c r="CKG80" s="16"/>
      <c r="CKH80" s="16"/>
      <c r="CKI80" s="16"/>
      <c r="CKJ80" s="16"/>
      <c r="CKK80" s="16"/>
      <c r="CKL80" s="16"/>
      <c r="CKM80" s="16"/>
      <c r="CKN80" s="16"/>
      <c r="CKO80" s="16"/>
      <c r="CKP80" s="16"/>
      <c r="CKQ80" s="16"/>
      <c r="CKR80" s="16"/>
      <c r="CKS80" s="16"/>
      <c r="CKT80" s="16"/>
      <c r="CKU80" s="16"/>
      <c r="CKV80" s="16"/>
      <c r="CKW80" s="16"/>
      <c r="CKX80" s="16"/>
      <c r="CKY80" s="16"/>
      <c r="CKZ80" s="16"/>
      <c r="CLA80" s="16"/>
      <c r="CLB80" s="16"/>
      <c r="CLC80" s="16"/>
      <c r="CLD80" s="16"/>
      <c r="CLE80" s="16"/>
      <c r="CLF80" s="16"/>
      <c r="CLG80" s="16"/>
      <c r="CLH80" s="16"/>
      <c r="CLI80" s="16"/>
      <c r="CLJ80" s="16"/>
      <c r="CLK80" s="16"/>
      <c r="CLL80" s="16"/>
      <c r="CLM80" s="16"/>
      <c r="CLN80" s="16"/>
      <c r="CLO80" s="16"/>
      <c r="CLP80" s="16"/>
      <c r="CLQ80" s="16"/>
      <c r="CLR80" s="16"/>
      <c r="CLS80" s="16"/>
      <c r="CLT80" s="16"/>
      <c r="CLU80" s="16"/>
      <c r="CLV80" s="16"/>
      <c r="CLW80" s="16"/>
      <c r="CLX80" s="16"/>
      <c r="CLY80" s="16"/>
      <c r="CLZ80" s="16"/>
      <c r="CMA80" s="16"/>
      <c r="CMB80" s="16"/>
      <c r="CMC80" s="16"/>
      <c r="CMD80" s="16"/>
      <c r="CME80" s="16"/>
      <c r="CMF80" s="16"/>
      <c r="CMG80" s="16"/>
      <c r="CMH80" s="16"/>
      <c r="CMI80" s="16"/>
      <c r="CMJ80" s="16"/>
      <c r="CMK80" s="16"/>
      <c r="CML80" s="16"/>
      <c r="CMM80" s="16"/>
      <c r="CMN80" s="16"/>
      <c r="CMO80" s="16"/>
      <c r="CMP80" s="16"/>
      <c r="CMQ80" s="16"/>
      <c r="CMR80" s="16"/>
      <c r="CMS80" s="16"/>
      <c r="CMT80" s="16"/>
      <c r="CMU80" s="16"/>
      <c r="CMV80" s="16"/>
      <c r="CMW80" s="16"/>
      <c r="CMX80" s="16"/>
      <c r="CMY80" s="16"/>
      <c r="CMZ80" s="16"/>
      <c r="CNA80" s="16"/>
      <c r="CNB80" s="16"/>
      <c r="CNC80" s="16"/>
      <c r="CND80" s="16"/>
      <c r="CNE80" s="16"/>
      <c r="CNF80" s="16"/>
      <c r="CNG80" s="16"/>
      <c r="CNH80" s="16"/>
      <c r="CNI80" s="16"/>
      <c r="CNJ80" s="16"/>
      <c r="CNK80" s="16"/>
      <c r="CNL80" s="16"/>
      <c r="CNM80" s="16"/>
      <c r="CNN80" s="16"/>
      <c r="CNO80" s="16"/>
      <c r="CNP80" s="16"/>
      <c r="CNQ80" s="16"/>
      <c r="CNR80" s="16"/>
      <c r="CNS80" s="16"/>
      <c r="CNT80" s="16"/>
      <c r="CNU80" s="16"/>
      <c r="CNV80" s="16"/>
      <c r="CNW80" s="16"/>
      <c r="CNX80" s="16"/>
      <c r="CNY80" s="16"/>
      <c r="CNZ80" s="16"/>
      <c r="COA80" s="16"/>
      <c r="COB80" s="16"/>
      <c r="COC80" s="16"/>
      <c r="COD80" s="16"/>
      <c r="COE80" s="16"/>
      <c r="COF80" s="16"/>
      <c r="COG80" s="16"/>
      <c r="COH80" s="16"/>
      <c r="COI80" s="16"/>
      <c r="COJ80" s="16"/>
      <c r="COK80" s="16"/>
      <c r="COL80" s="16"/>
      <c r="COM80" s="16"/>
      <c r="CON80" s="16"/>
      <c r="COO80" s="16"/>
      <c r="COP80" s="16"/>
      <c r="COQ80" s="16"/>
      <c r="COR80" s="16"/>
      <c r="COS80" s="16"/>
      <c r="COT80" s="16"/>
      <c r="COU80" s="16"/>
      <c r="COV80" s="16"/>
      <c r="COW80" s="16"/>
      <c r="COX80" s="16"/>
      <c r="COY80" s="16"/>
      <c r="COZ80" s="16"/>
      <c r="CPA80" s="16"/>
      <c r="CPB80" s="16"/>
      <c r="CPC80" s="16"/>
      <c r="CPD80" s="16"/>
      <c r="CPE80" s="16"/>
      <c r="CPF80" s="16"/>
      <c r="CPG80" s="16"/>
      <c r="CPH80" s="16"/>
      <c r="CPI80" s="16"/>
      <c r="CPJ80" s="16"/>
      <c r="CPK80" s="16"/>
      <c r="CPL80" s="16"/>
      <c r="CPM80" s="16"/>
      <c r="CPN80" s="16"/>
      <c r="CPO80" s="16"/>
      <c r="CPP80" s="16"/>
      <c r="CPQ80" s="16"/>
      <c r="CPR80" s="16"/>
      <c r="CPS80" s="16"/>
      <c r="CPT80" s="16"/>
      <c r="CPU80" s="16"/>
      <c r="CPV80" s="16"/>
      <c r="CPW80" s="16"/>
      <c r="CPX80" s="16"/>
      <c r="CPY80" s="16"/>
      <c r="CPZ80" s="16"/>
      <c r="CQA80" s="16"/>
      <c r="CQB80" s="16"/>
      <c r="CQC80" s="16"/>
      <c r="CQD80" s="16"/>
      <c r="CQE80" s="16"/>
      <c r="CQF80" s="16"/>
      <c r="CQG80" s="16"/>
      <c r="CQH80" s="16"/>
      <c r="CQI80" s="16"/>
      <c r="CQJ80" s="16"/>
      <c r="CQK80" s="16"/>
      <c r="CQL80" s="16"/>
      <c r="CQM80" s="16"/>
      <c r="CQN80" s="16"/>
      <c r="CQO80" s="16"/>
      <c r="CQP80" s="16"/>
      <c r="CQQ80" s="16"/>
      <c r="CQR80" s="16"/>
      <c r="CQS80" s="16"/>
      <c r="CQT80" s="16"/>
      <c r="CQU80" s="16"/>
      <c r="CQV80" s="16"/>
      <c r="CQW80" s="16"/>
      <c r="CQX80" s="16"/>
      <c r="CQY80" s="16"/>
      <c r="CQZ80" s="16"/>
      <c r="CRA80" s="16"/>
      <c r="CRB80" s="16"/>
      <c r="CRC80" s="16"/>
      <c r="CRD80" s="16"/>
      <c r="CRE80" s="16"/>
      <c r="CRF80" s="16"/>
      <c r="CRG80" s="16"/>
      <c r="CRH80" s="16"/>
      <c r="CRI80" s="16"/>
      <c r="CRJ80" s="16"/>
      <c r="CRK80" s="16"/>
      <c r="CRL80" s="16"/>
      <c r="CRM80" s="16"/>
      <c r="CRN80" s="16"/>
      <c r="CRO80" s="16"/>
      <c r="CRP80" s="16"/>
      <c r="CRQ80" s="16"/>
      <c r="CRR80" s="16"/>
      <c r="CRS80" s="16"/>
      <c r="CRT80" s="16"/>
      <c r="CRU80" s="16"/>
      <c r="CRV80" s="16"/>
      <c r="CRW80" s="16"/>
      <c r="CRX80" s="16"/>
      <c r="CRY80" s="16"/>
      <c r="CRZ80" s="16"/>
      <c r="CSA80" s="16"/>
      <c r="CSB80" s="16"/>
      <c r="CSC80" s="16"/>
      <c r="CSD80" s="16"/>
      <c r="CSE80" s="16"/>
      <c r="CSF80" s="16"/>
      <c r="CSG80" s="16"/>
      <c r="CSH80" s="16"/>
      <c r="CSI80" s="16"/>
      <c r="CSJ80" s="16"/>
      <c r="CSK80" s="24"/>
      <c r="CSL80" s="16"/>
      <c r="CSM80" s="16"/>
      <c r="CSN80" s="16"/>
      <c r="CSO80" s="16"/>
      <c r="CSP80" s="16"/>
      <c r="CUG80" s="16"/>
      <c r="CUH80" s="16"/>
      <c r="CUI80" s="16"/>
      <c r="CUJ80" s="16"/>
      <c r="CUK80" s="16"/>
      <c r="CUL80" s="16"/>
      <c r="CUM80" s="16"/>
      <c r="CUN80" s="16"/>
      <c r="CUO80" s="16"/>
      <c r="CUP80" s="16"/>
      <c r="CUQ80" s="16"/>
      <c r="CUR80" s="16"/>
      <c r="CUS80" s="16"/>
      <c r="CUT80" s="16"/>
      <c r="CUU80" s="16"/>
      <c r="CUV80" s="16"/>
      <c r="CUW80" s="16"/>
      <c r="CUX80" s="16"/>
      <c r="CUY80" s="16"/>
      <c r="CUZ80" s="16"/>
      <c r="CVA80" s="16"/>
      <c r="CVB80" s="16"/>
      <c r="CVC80" s="16"/>
      <c r="CVD80" s="16"/>
      <c r="CVE80" s="16"/>
      <c r="CVF80" s="16"/>
      <c r="CVG80" s="16"/>
      <c r="CVH80" s="16"/>
      <c r="CVI80" s="16"/>
      <c r="CVJ80" s="16"/>
      <c r="CVK80" s="16"/>
      <c r="CVL80" s="16"/>
      <c r="CVM80" s="16"/>
      <c r="CVN80" s="16"/>
      <c r="CVO80" s="16"/>
      <c r="CVP80" s="16"/>
    </row>
    <row r="81" spans="3:2616" ht="13.8" x14ac:dyDescent="0.25">
      <c r="C81" s="57"/>
      <c r="E81" s="16"/>
      <c r="K81" s="59"/>
      <c r="L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  <c r="ALQ81" s="16"/>
      <c r="ALR81" s="16"/>
      <c r="ALS81" s="16"/>
      <c r="ALT81" s="16"/>
      <c r="ALU81" s="16"/>
      <c r="ALV81" s="16"/>
      <c r="ALW81" s="16"/>
      <c r="ALX81" s="16"/>
      <c r="ALY81" s="16"/>
      <c r="ALZ81" s="16"/>
      <c r="AMA81" s="16"/>
      <c r="AMB81" s="16"/>
      <c r="AMC81" s="16"/>
      <c r="AMD81" s="16"/>
      <c r="AME81" s="16"/>
      <c r="AMF81" s="16"/>
      <c r="AMG81" s="16"/>
      <c r="AMH81" s="16"/>
      <c r="AMI81" s="16"/>
      <c r="AMJ81" s="16"/>
      <c r="AMK81" s="16"/>
      <c r="AML81" s="16"/>
      <c r="AMM81" s="16"/>
      <c r="AMN81" s="16"/>
      <c r="AMO81" s="16"/>
      <c r="AMP81" s="16"/>
      <c r="AMQ81" s="16"/>
      <c r="AMR81" s="16"/>
      <c r="AMS81" s="16"/>
      <c r="AMT81" s="16"/>
      <c r="AMU81" s="16"/>
      <c r="AMV81" s="16"/>
      <c r="AMW81" s="16"/>
      <c r="AMX81" s="16"/>
      <c r="AMY81" s="16"/>
      <c r="AMZ81" s="16"/>
      <c r="ANA81" s="16"/>
      <c r="ANB81" s="16"/>
      <c r="ANC81" s="16"/>
      <c r="AND81" s="16"/>
      <c r="ANE81" s="16"/>
      <c r="ANF81" s="16"/>
      <c r="ANG81" s="16"/>
      <c r="ANH81" s="16"/>
      <c r="ANI81" s="16"/>
      <c r="ANJ81" s="16"/>
      <c r="ANK81" s="16"/>
      <c r="ANL81" s="16"/>
      <c r="ANM81" s="16"/>
      <c r="ANN81" s="16"/>
      <c r="ANO81" s="16"/>
      <c r="ANP81" s="16"/>
      <c r="ANQ81" s="16"/>
      <c r="ANR81" s="16"/>
      <c r="ANS81" s="16"/>
      <c r="ANT81" s="16"/>
      <c r="ANU81" s="16"/>
      <c r="ANV81" s="16"/>
      <c r="ANW81" s="16"/>
      <c r="ANX81" s="16"/>
      <c r="ANY81" s="16"/>
      <c r="ANZ81" s="16"/>
      <c r="AOA81" s="16"/>
      <c r="AOB81" s="16"/>
      <c r="AOC81" s="16"/>
      <c r="AOD81" s="16"/>
      <c r="AOE81" s="16"/>
      <c r="AOF81" s="16"/>
      <c r="AOG81" s="16"/>
      <c r="AOH81" s="16"/>
      <c r="AOI81" s="16"/>
      <c r="AOJ81" s="16"/>
      <c r="AOK81" s="16"/>
      <c r="AOL81" s="16"/>
      <c r="AOM81" s="16"/>
      <c r="AON81" s="16"/>
      <c r="AOO81" s="16"/>
      <c r="AOP81" s="16"/>
      <c r="AOQ81" s="16"/>
      <c r="AOR81" s="16"/>
      <c r="AOS81" s="16"/>
      <c r="AOT81" s="16"/>
      <c r="AOU81" s="16"/>
      <c r="AOV81" s="16"/>
      <c r="AOW81" s="16"/>
      <c r="AOX81" s="16"/>
      <c r="AOY81" s="16"/>
      <c r="AOZ81" s="16"/>
      <c r="APA81" s="16"/>
      <c r="APB81" s="16"/>
      <c r="APC81" s="16"/>
      <c r="APD81" s="16"/>
      <c r="APE81" s="16"/>
      <c r="APF81" s="16"/>
      <c r="APG81" s="16"/>
      <c r="APH81" s="16"/>
      <c r="API81" s="16"/>
      <c r="APJ81" s="16"/>
      <c r="APK81" s="16"/>
      <c r="APL81" s="16"/>
      <c r="APM81" s="16"/>
      <c r="APN81" s="16"/>
      <c r="APO81" s="16"/>
      <c r="APP81" s="16"/>
      <c r="APQ81" s="16"/>
      <c r="APR81" s="16"/>
      <c r="APS81" s="16"/>
      <c r="APT81" s="16"/>
      <c r="APU81" s="16"/>
      <c r="APV81" s="16"/>
      <c r="APW81" s="16"/>
      <c r="APX81" s="16"/>
      <c r="APY81" s="16"/>
      <c r="APZ81" s="16"/>
      <c r="AQA81" s="16"/>
      <c r="AQB81" s="16"/>
      <c r="AQC81" s="16"/>
      <c r="AQD81" s="16"/>
      <c r="AQE81" s="16"/>
      <c r="AQF81" s="16"/>
      <c r="AQG81" s="16"/>
      <c r="AQH81" s="16"/>
      <c r="AQI81" s="16"/>
      <c r="AQJ81" s="16"/>
      <c r="AQK81" s="16"/>
      <c r="AQL81" s="16"/>
      <c r="AQM81" s="16"/>
      <c r="AQN81" s="16"/>
      <c r="AQO81" s="16"/>
      <c r="AQP81" s="16"/>
      <c r="AQQ81" s="16"/>
      <c r="AQR81" s="16"/>
      <c r="AQS81" s="16"/>
      <c r="AQT81" s="16"/>
      <c r="AQU81" s="16"/>
      <c r="AQV81" s="16"/>
      <c r="AQW81" s="16"/>
      <c r="AQX81" s="16"/>
      <c r="AQY81" s="16"/>
      <c r="AQZ81" s="16"/>
      <c r="ARA81" s="16"/>
      <c r="ARB81" s="16"/>
      <c r="ARC81" s="16"/>
      <c r="ARD81" s="16"/>
      <c r="ARE81" s="16"/>
      <c r="ARF81" s="16"/>
      <c r="ARG81" s="16"/>
      <c r="ARH81" s="16"/>
      <c r="ARI81" s="16"/>
      <c r="ARJ81" s="16"/>
      <c r="ARK81" s="16"/>
      <c r="ARL81" s="16"/>
      <c r="ARM81" s="16"/>
      <c r="ARN81" s="16"/>
      <c r="ARO81" s="16"/>
      <c r="ARP81" s="16"/>
      <c r="ARQ81" s="16"/>
      <c r="ARR81" s="16"/>
      <c r="ARS81" s="16"/>
      <c r="ART81" s="16"/>
      <c r="ARU81" s="16"/>
      <c r="ARV81" s="16"/>
      <c r="ARW81" s="16"/>
      <c r="ARX81" s="16"/>
      <c r="ARY81" s="16"/>
      <c r="ARZ81" s="16"/>
      <c r="ASA81" s="16"/>
      <c r="ASB81" s="16"/>
      <c r="ASC81" s="16"/>
      <c r="ASD81" s="16"/>
      <c r="ASE81" s="16"/>
      <c r="ASF81" s="16"/>
      <c r="ASG81" s="16"/>
      <c r="ASH81" s="16"/>
      <c r="ASI81" s="16"/>
      <c r="ASJ81" s="16"/>
      <c r="ASK81" s="16"/>
      <c r="ASL81" s="16"/>
      <c r="ASM81" s="16"/>
      <c r="ASN81" s="16"/>
      <c r="ASO81" s="16"/>
      <c r="ASP81" s="16"/>
      <c r="ASQ81" s="16"/>
      <c r="ASR81" s="16"/>
      <c r="ASS81" s="16"/>
      <c r="AST81" s="16"/>
      <c r="ASU81" s="16"/>
      <c r="ASV81" s="16"/>
      <c r="ASW81" s="16"/>
      <c r="ASX81" s="16"/>
      <c r="ASY81" s="16"/>
      <c r="ASZ81" s="16"/>
      <c r="ATA81" s="16"/>
      <c r="ATB81" s="16"/>
      <c r="ATC81" s="16"/>
      <c r="ATD81" s="16"/>
      <c r="ATE81" s="16"/>
      <c r="ATF81" s="16"/>
      <c r="ATG81" s="16"/>
      <c r="ATH81" s="16"/>
      <c r="ATI81" s="16"/>
      <c r="ATJ81" s="16"/>
      <c r="ATK81" s="16"/>
      <c r="ATL81" s="16"/>
      <c r="ATM81" s="16"/>
      <c r="ATN81" s="16"/>
      <c r="ATO81" s="16"/>
      <c r="ATP81" s="16"/>
      <c r="ATQ81" s="16"/>
      <c r="ATR81" s="16"/>
      <c r="ATS81" s="16"/>
      <c r="ATT81" s="16"/>
      <c r="ATU81" s="16"/>
      <c r="ATV81" s="16"/>
      <c r="ATW81" s="16"/>
      <c r="ATX81" s="16"/>
      <c r="ATY81" s="16"/>
      <c r="ATZ81" s="16"/>
      <c r="AUA81" s="16"/>
      <c r="AUB81" s="16"/>
      <c r="AUC81" s="16"/>
      <c r="AUD81" s="16"/>
      <c r="AUE81" s="16"/>
      <c r="AUF81" s="16"/>
      <c r="AUG81" s="16"/>
      <c r="AUH81" s="16"/>
      <c r="AUI81" s="16"/>
      <c r="AUJ81" s="16"/>
      <c r="AUK81" s="16"/>
      <c r="AUL81" s="16"/>
      <c r="AUM81" s="16"/>
      <c r="AUN81" s="16"/>
      <c r="AUO81" s="16"/>
      <c r="AUP81" s="16"/>
      <c r="AUQ81" s="16"/>
      <c r="AUR81" s="16"/>
      <c r="AUS81" s="16"/>
      <c r="AUT81" s="16"/>
      <c r="AUU81" s="16"/>
      <c r="AUV81" s="16"/>
      <c r="AUW81" s="16"/>
      <c r="AUX81" s="16"/>
      <c r="AUY81" s="16"/>
      <c r="AUZ81" s="16"/>
      <c r="AVA81" s="16"/>
      <c r="AVB81" s="16"/>
      <c r="AVC81" s="16"/>
      <c r="AVD81" s="16"/>
      <c r="AVE81" s="16"/>
      <c r="AVF81" s="16"/>
      <c r="AVG81" s="16"/>
      <c r="AVH81" s="16"/>
      <c r="AVI81" s="16"/>
      <c r="AVJ81" s="16"/>
      <c r="AVK81" s="16"/>
      <c r="AVL81" s="16"/>
      <c r="AVM81" s="16"/>
      <c r="AVN81" s="16"/>
      <c r="AVO81" s="16"/>
      <c r="AVP81" s="16"/>
      <c r="AVQ81" s="16"/>
      <c r="AVR81" s="16"/>
      <c r="AVS81" s="16"/>
      <c r="AVT81" s="16"/>
      <c r="AVU81" s="16"/>
      <c r="AVV81" s="16"/>
      <c r="AVW81" s="16"/>
      <c r="AVX81" s="16"/>
      <c r="AVY81" s="16"/>
      <c r="AVZ81" s="16"/>
      <c r="AWA81" s="16"/>
      <c r="AWB81" s="16"/>
      <c r="AWC81" s="16"/>
      <c r="AWD81" s="16"/>
      <c r="AWE81" s="16"/>
      <c r="AWF81" s="16"/>
      <c r="AWG81" s="16"/>
      <c r="AWH81" s="16"/>
      <c r="AWI81" s="16"/>
      <c r="AWJ81" s="16"/>
      <c r="AWK81" s="16"/>
      <c r="AWL81" s="16"/>
      <c r="AWM81" s="16"/>
      <c r="AWN81" s="16"/>
      <c r="AWO81" s="16"/>
      <c r="AWP81" s="16"/>
      <c r="AWQ81" s="16"/>
      <c r="AWR81" s="16"/>
      <c r="AWS81" s="16"/>
      <c r="AWT81" s="16"/>
      <c r="AWU81" s="16"/>
      <c r="AWV81" s="16"/>
      <c r="AWW81" s="16"/>
      <c r="AWX81" s="16"/>
      <c r="AWY81" s="16"/>
      <c r="AWZ81" s="16"/>
      <c r="AXA81" s="16"/>
      <c r="AXB81" s="16"/>
      <c r="AXC81" s="16"/>
      <c r="AXD81" s="16"/>
      <c r="AXE81" s="16"/>
      <c r="AXF81" s="16"/>
      <c r="AXG81" s="16"/>
      <c r="AXH81" s="16"/>
      <c r="AXI81" s="16"/>
      <c r="AXJ81" s="16"/>
      <c r="AXK81" s="16"/>
      <c r="AXL81" s="16"/>
      <c r="AXM81" s="16"/>
      <c r="AXN81" s="16"/>
      <c r="AXO81" s="16"/>
      <c r="AXP81" s="16"/>
      <c r="AXQ81" s="16"/>
      <c r="AXR81" s="16"/>
      <c r="AXS81" s="16"/>
      <c r="AXT81" s="16"/>
      <c r="AXU81" s="16"/>
      <c r="AXV81" s="16"/>
      <c r="AXW81" s="16"/>
      <c r="AXX81" s="16"/>
      <c r="AXY81" s="16"/>
      <c r="AXZ81" s="16"/>
      <c r="AYA81" s="16"/>
      <c r="AYB81" s="16"/>
      <c r="AYC81" s="16"/>
      <c r="AYD81" s="16"/>
      <c r="AYE81" s="16"/>
      <c r="AYF81" s="16"/>
      <c r="AYG81" s="16"/>
      <c r="AYH81" s="16"/>
      <c r="AYI81" s="16"/>
      <c r="AYJ81" s="16"/>
      <c r="AYK81" s="16"/>
      <c r="AYL81" s="16"/>
      <c r="AYM81" s="16"/>
      <c r="AYN81" s="16"/>
      <c r="AYO81" s="16"/>
      <c r="AYP81" s="16"/>
      <c r="AYQ81" s="16"/>
      <c r="AYR81" s="16"/>
      <c r="AYS81" s="16"/>
      <c r="AYT81" s="16"/>
      <c r="AYU81" s="16"/>
      <c r="AYV81" s="16"/>
      <c r="AYW81" s="16"/>
      <c r="AYX81" s="16"/>
      <c r="AYY81" s="16"/>
      <c r="AYZ81" s="16"/>
      <c r="AZA81" s="16"/>
      <c r="AZB81" s="16"/>
      <c r="AZC81" s="16"/>
      <c r="AZD81" s="16"/>
      <c r="AZE81" s="16"/>
      <c r="AZF81" s="16"/>
      <c r="AZG81" s="16"/>
      <c r="AZH81" s="16"/>
      <c r="AZI81" s="16"/>
      <c r="AZJ81" s="16"/>
      <c r="AZK81" s="16"/>
      <c r="AZL81" s="16"/>
      <c r="AZM81" s="16"/>
      <c r="AZN81" s="16"/>
      <c r="AZO81" s="16"/>
      <c r="AZP81" s="16"/>
      <c r="AZQ81" s="16"/>
      <c r="AZR81" s="16"/>
      <c r="AZS81" s="16"/>
      <c r="AZT81" s="16"/>
      <c r="AZU81" s="16"/>
      <c r="AZV81" s="16"/>
      <c r="AZW81" s="16"/>
      <c r="AZX81" s="16"/>
      <c r="AZY81" s="16"/>
      <c r="AZZ81" s="16"/>
      <c r="BAA81" s="16"/>
      <c r="BAB81" s="16"/>
      <c r="BAC81" s="16"/>
      <c r="BAD81" s="16"/>
      <c r="BAE81" s="16"/>
      <c r="BAF81" s="16"/>
      <c r="BAG81" s="16"/>
      <c r="BAH81" s="16"/>
      <c r="BAI81" s="16"/>
      <c r="BAJ81" s="16"/>
      <c r="BAK81" s="16"/>
      <c r="BAL81" s="16"/>
      <c r="BAM81" s="16"/>
      <c r="BAN81" s="16"/>
      <c r="BAO81" s="16"/>
      <c r="BAP81" s="16"/>
      <c r="BAQ81" s="16"/>
      <c r="BAR81" s="16"/>
      <c r="BAS81" s="16"/>
      <c r="BAT81" s="16"/>
      <c r="BAU81" s="16"/>
      <c r="BAV81" s="16"/>
      <c r="BAW81" s="16"/>
      <c r="BAX81" s="16"/>
      <c r="BAY81" s="16"/>
      <c r="BAZ81" s="16"/>
      <c r="BBA81" s="16"/>
      <c r="BBB81" s="16"/>
      <c r="BBC81" s="16"/>
      <c r="BBD81" s="16"/>
      <c r="BBE81" s="16"/>
      <c r="BBF81" s="16"/>
      <c r="BBG81" s="16"/>
      <c r="BBH81" s="16"/>
      <c r="BBI81" s="16"/>
      <c r="BBJ81" s="16"/>
      <c r="BBK81" s="16"/>
      <c r="BBL81" s="16"/>
      <c r="BBM81" s="16"/>
      <c r="BBN81" s="16"/>
      <c r="BBO81" s="16"/>
      <c r="BBP81" s="16"/>
      <c r="BBQ81" s="16"/>
      <c r="BBR81" s="16"/>
      <c r="BBS81" s="16"/>
      <c r="BBT81" s="16"/>
      <c r="BBU81" s="16"/>
      <c r="BBV81" s="16"/>
      <c r="BBW81" s="16"/>
      <c r="BBX81" s="16"/>
      <c r="BBY81" s="16"/>
      <c r="BBZ81" s="16"/>
      <c r="BCA81" s="16"/>
      <c r="BCB81" s="16"/>
      <c r="BCC81" s="16"/>
      <c r="BCD81" s="16"/>
      <c r="BCE81" s="16"/>
      <c r="BCF81" s="16"/>
      <c r="BCG81" s="16"/>
      <c r="BCH81" s="16"/>
      <c r="BCI81" s="16"/>
      <c r="BCJ81" s="16"/>
      <c r="BCK81" s="16"/>
      <c r="BCL81" s="16"/>
      <c r="BCM81" s="16"/>
      <c r="BCN81" s="16"/>
      <c r="BCO81" s="16"/>
      <c r="BCP81" s="16"/>
      <c r="BCQ81" s="16"/>
      <c r="BCR81" s="16"/>
      <c r="BCS81" s="16"/>
      <c r="BCT81" s="16"/>
      <c r="BCU81" s="16"/>
      <c r="BCV81" s="16"/>
      <c r="BCW81" s="16"/>
      <c r="BCX81" s="16"/>
      <c r="BCY81" s="16"/>
      <c r="BCZ81" s="16"/>
      <c r="BDA81" s="16"/>
      <c r="BDB81" s="16"/>
      <c r="BDC81" s="16"/>
      <c r="BDD81" s="16"/>
      <c r="BDE81" s="16"/>
      <c r="BDF81" s="16"/>
      <c r="BDG81" s="16"/>
      <c r="BDH81" s="16"/>
      <c r="BDI81" s="16"/>
      <c r="BDJ81" s="16"/>
      <c r="BDK81" s="16"/>
      <c r="BDL81" s="16"/>
      <c r="BDM81" s="16"/>
      <c r="BDN81" s="16"/>
      <c r="BDO81" s="16"/>
      <c r="BDP81" s="16"/>
      <c r="BDQ81" s="16"/>
      <c r="BDR81" s="16"/>
      <c r="BDS81" s="16"/>
      <c r="BDT81" s="16"/>
      <c r="BDU81" s="16"/>
      <c r="BDV81" s="16"/>
      <c r="BDW81" s="16"/>
      <c r="BDX81" s="16"/>
      <c r="BDY81" s="16"/>
      <c r="BDZ81" s="16"/>
      <c r="BEA81" s="16"/>
      <c r="BEB81" s="16"/>
      <c r="BEC81" s="16"/>
      <c r="BED81" s="16"/>
      <c r="BEE81" s="16"/>
      <c r="BEF81" s="16"/>
      <c r="BEG81" s="16"/>
      <c r="BEH81" s="16"/>
      <c r="BEI81" s="16"/>
      <c r="BEJ81" s="16"/>
      <c r="BEK81" s="16"/>
      <c r="BEL81" s="16"/>
      <c r="BEM81" s="16"/>
      <c r="BEN81" s="16"/>
      <c r="BEO81" s="16"/>
      <c r="BEP81" s="16"/>
      <c r="BEQ81" s="16"/>
      <c r="BER81" s="16"/>
      <c r="BES81" s="16"/>
      <c r="BET81" s="16"/>
      <c r="BEU81" s="16"/>
      <c r="BEV81" s="16"/>
      <c r="BEW81" s="16"/>
      <c r="BEX81" s="16"/>
      <c r="BEY81" s="16"/>
      <c r="BEZ81" s="16"/>
      <c r="BFA81" s="16"/>
      <c r="BFB81" s="16"/>
      <c r="BFC81" s="16"/>
      <c r="BFD81" s="16"/>
      <c r="BFE81" s="16"/>
      <c r="BFF81" s="16"/>
      <c r="BFG81" s="16"/>
      <c r="BFH81" s="16"/>
      <c r="BFI81" s="16"/>
      <c r="BFJ81" s="16"/>
      <c r="BFK81" s="16"/>
      <c r="BFL81" s="16"/>
      <c r="BFM81" s="16"/>
      <c r="BFN81" s="16"/>
      <c r="BFO81" s="16"/>
      <c r="BFP81" s="16"/>
      <c r="BFQ81" s="16"/>
      <c r="BFR81" s="16"/>
      <c r="BFS81" s="16"/>
      <c r="BFT81" s="16"/>
      <c r="BFU81" s="16"/>
      <c r="BFV81" s="16"/>
      <c r="BFW81" s="16"/>
      <c r="BFX81" s="16"/>
      <c r="BFY81" s="16"/>
      <c r="BFZ81" s="16"/>
      <c r="BGA81" s="16"/>
      <c r="BGB81" s="16"/>
      <c r="BGC81" s="16"/>
      <c r="BGD81" s="16"/>
      <c r="BGE81" s="16"/>
      <c r="BGF81" s="16"/>
      <c r="BGG81" s="16"/>
      <c r="BGH81" s="16"/>
      <c r="BGI81" s="16"/>
      <c r="BGJ81" s="16"/>
      <c r="BGK81" s="16"/>
      <c r="BGL81" s="16"/>
      <c r="BGM81" s="16"/>
      <c r="BGN81" s="16"/>
      <c r="BGO81" s="16"/>
      <c r="BGP81" s="16"/>
      <c r="BGQ81" s="16"/>
      <c r="BGR81" s="16"/>
      <c r="BGS81" s="16"/>
      <c r="BGT81" s="16"/>
      <c r="BGU81" s="16"/>
      <c r="BGV81" s="16"/>
      <c r="BGW81" s="16"/>
      <c r="BGX81" s="16"/>
      <c r="BGY81" s="16"/>
      <c r="BGZ81" s="16"/>
      <c r="BHA81" s="16"/>
      <c r="BHB81" s="16"/>
      <c r="BHC81" s="16"/>
      <c r="BHD81" s="16"/>
      <c r="BHE81" s="16"/>
      <c r="BHF81" s="16"/>
      <c r="BHG81" s="16"/>
      <c r="BHH81" s="16"/>
      <c r="BHI81" s="16"/>
      <c r="BHJ81" s="16"/>
      <c r="BHK81" s="16"/>
      <c r="BHL81" s="16"/>
      <c r="BHM81" s="16"/>
      <c r="BHN81" s="16"/>
      <c r="BHO81" s="16"/>
      <c r="BHP81" s="16"/>
      <c r="BHQ81" s="16"/>
      <c r="BHR81" s="16"/>
      <c r="BHS81" s="16"/>
      <c r="BHT81" s="16"/>
      <c r="BHU81" s="16"/>
      <c r="BHV81" s="16"/>
      <c r="BHW81" s="16"/>
      <c r="BHX81" s="16"/>
      <c r="BHY81" s="16"/>
      <c r="BHZ81" s="16"/>
      <c r="BIA81" s="16"/>
      <c r="BIB81" s="16"/>
      <c r="BIC81" s="16"/>
      <c r="BID81" s="16"/>
      <c r="BIE81" s="16"/>
      <c r="BIF81" s="16"/>
      <c r="BIG81" s="16"/>
      <c r="BIH81" s="16"/>
      <c r="BII81" s="16"/>
      <c r="BIJ81" s="16"/>
      <c r="BIK81" s="16"/>
      <c r="BIL81" s="16"/>
      <c r="BIM81" s="16"/>
      <c r="BIN81" s="16"/>
      <c r="BIO81" s="16"/>
      <c r="BIP81" s="16"/>
      <c r="BIQ81" s="16"/>
      <c r="BIR81" s="16"/>
      <c r="BIS81" s="16"/>
      <c r="BIT81" s="16"/>
      <c r="BIU81" s="16"/>
      <c r="BIV81" s="16"/>
      <c r="BIW81" s="16"/>
      <c r="BIX81" s="16"/>
      <c r="BIY81" s="16"/>
      <c r="BIZ81" s="16"/>
      <c r="BJA81" s="16"/>
      <c r="BJB81" s="16"/>
      <c r="BJC81" s="16"/>
      <c r="BJD81" s="16"/>
      <c r="BJE81" s="16"/>
      <c r="BJF81" s="16"/>
      <c r="BJG81" s="16"/>
      <c r="BJH81" s="16"/>
      <c r="BJI81" s="16"/>
      <c r="BJJ81" s="16"/>
      <c r="BJK81" s="16"/>
      <c r="BJL81" s="16"/>
      <c r="BJM81" s="16"/>
      <c r="BJN81" s="16"/>
      <c r="BJO81" s="16"/>
      <c r="BJP81" s="16"/>
      <c r="BJQ81" s="16"/>
      <c r="BJR81" s="16"/>
      <c r="BJS81" s="16"/>
      <c r="BJT81" s="16"/>
      <c r="BJU81" s="16"/>
      <c r="BJV81" s="16"/>
      <c r="BJW81" s="16"/>
      <c r="BJX81" s="16"/>
      <c r="BJY81" s="16"/>
      <c r="BJZ81" s="16"/>
      <c r="BKA81" s="16"/>
      <c r="BKB81" s="16"/>
      <c r="BKC81" s="16"/>
      <c r="BKD81" s="16"/>
      <c r="BKE81" s="16"/>
      <c r="BKF81" s="16"/>
      <c r="BKG81" s="16"/>
      <c r="BKH81" s="16"/>
      <c r="BKI81" s="16"/>
      <c r="BKJ81" s="16"/>
      <c r="BKK81" s="16"/>
      <c r="BKL81" s="16"/>
      <c r="BKM81" s="16"/>
      <c r="BKN81" s="16"/>
      <c r="BKO81" s="16"/>
      <c r="BKP81" s="16"/>
      <c r="BKQ81" s="16"/>
      <c r="BKR81" s="16"/>
      <c r="BKS81" s="16"/>
      <c r="BKT81" s="16"/>
      <c r="BKU81" s="16"/>
      <c r="BKV81" s="16"/>
      <c r="BKW81" s="16"/>
      <c r="BKX81" s="16"/>
      <c r="BKY81" s="16"/>
      <c r="BKZ81" s="16"/>
      <c r="BLA81" s="16"/>
      <c r="BLB81" s="16"/>
      <c r="BLC81" s="16"/>
      <c r="BLD81" s="16"/>
      <c r="BLE81" s="16"/>
      <c r="BLF81" s="16"/>
      <c r="BLG81" s="16"/>
      <c r="BLH81" s="16"/>
      <c r="BLI81" s="16"/>
      <c r="BLJ81" s="16"/>
      <c r="BLK81" s="16"/>
      <c r="BLL81" s="16"/>
      <c r="BLM81" s="16"/>
      <c r="BLN81" s="16"/>
      <c r="BLO81" s="16"/>
      <c r="BLP81" s="16"/>
      <c r="BLQ81" s="16"/>
      <c r="BLR81" s="16"/>
      <c r="BLS81" s="16"/>
      <c r="BLT81" s="16"/>
      <c r="BLU81" s="16"/>
      <c r="BLV81" s="16"/>
      <c r="BLW81" s="16"/>
      <c r="BLX81" s="16"/>
      <c r="BLY81" s="16"/>
      <c r="BLZ81" s="16"/>
      <c r="BMA81" s="16"/>
      <c r="BMB81" s="16"/>
      <c r="BMC81" s="16"/>
      <c r="BMD81" s="16"/>
      <c r="BME81" s="16"/>
      <c r="BMF81" s="16"/>
      <c r="BMG81" s="16"/>
      <c r="BMH81" s="16"/>
      <c r="BMI81" s="16"/>
      <c r="BMJ81" s="16"/>
      <c r="BMK81" s="16"/>
      <c r="BML81" s="16"/>
      <c r="BMM81" s="16"/>
      <c r="BMN81" s="16"/>
      <c r="BMO81" s="16"/>
      <c r="BMP81" s="16"/>
      <c r="BMQ81" s="16"/>
      <c r="BMR81" s="16"/>
      <c r="BMS81" s="16"/>
      <c r="BMT81" s="16"/>
      <c r="BMU81" s="16"/>
      <c r="BMV81" s="16"/>
      <c r="BMW81" s="16"/>
      <c r="BMX81" s="16"/>
      <c r="BMY81" s="16"/>
      <c r="BMZ81" s="16"/>
      <c r="BNA81" s="16"/>
      <c r="BNB81" s="16"/>
      <c r="BNC81" s="16"/>
      <c r="BND81" s="16"/>
      <c r="BNE81" s="16"/>
      <c r="BNF81" s="16"/>
      <c r="BNG81" s="16"/>
      <c r="BNH81" s="16"/>
      <c r="BNI81" s="16"/>
      <c r="BNJ81" s="16"/>
      <c r="BNK81" s="16"/>
      <c r="BNL81" s="16"/>
      <c r="BNM81" s="16"/>
      <c r="BNN81" s="16"/>
      <c r="BNO81" s="16"/>
      <c r="BNP81" s="16"/>
      <c r="BNQ81" s="16"/>
      <c r="BNR81" s="16"/>
      <c r="BNS81" s="16"/>
      <c r="BNT81" s="16"/>
      <c r="BNU81" s="16"/>
      <c r="BNV81" s="16"/>
      <c r="BNW81" s="16"/>
      <c r="BNX81" s="16"/>
      <c r="BNY81" s="16"/>
      <c r="BNZ81" s="16"/>
      <c r="BOA81" s="16"/>
      <c r="BOB81" s="16"/>
      <c r="BOC81" s="16"/>
      <c r="BOD81" s="16"/>
      <c r="BOE81" s="16"/>
      <c r="BOF81" s="16"/>
      <c r="BOG81" s="16"/>
      <c r="BOH81" s="16"/>
      <c r="BOI81" s="16"/>
      <c r="BOJ81" s="16"/>
      <c r="BOK81" s="16"/>
      <c r="BOL81" s="16"/>
      <c r="BOM81" s="16"/>
      <c r="BON81" s="16"/>
      <c r="BOO81" s="16"/>
      <c r="BOP81" s="16"/>
      <c r="BOQ81" s="16"/>
      <c r="BOR81" s="16"/>
      <c r="BOS81" s="16"/>
      <c r="BOT81" s="16"/>
      <c r="BOU81" s="16"/>
      <c r="BOV81" s="16"/>
      <c r="BOW81" s="16"/>
      <c r="BOX81" s="16"/>
      <c r="BOY81" s="16"/>
      <c r="BOZ81" s="16"/>
      <c r="BPA81" s="16"/>
      <c r="BPB81" s="16"/>
      <c r="BPC81" s="16"/>
      <c r="BPD81" s="16"/>
      <c r="BPE81" s="16"/>
      <c r="BPF81" s="16"/>
      <c r="BPG81" s="16"/>
      <c r="BPH81" s="16"/>
      <c r="BPI81" s="16"/>
      <c r="BPJ81" s="16"/>
      <c r="BPK81" s="16"/>
      <c r="BPL81" s="16"/>
      <c r="BPM81" s="16"/>
      <c r="BPN81" s="16"/>
      <c r="BPO81" s="16"/>
      <c r="BPP81" s="16"/>
      <c r="BPQ81" s="16"/>
      <c r="BPR81" s="16"/>
      <c r="BPS81" s="16"/>
      <c r="BPT81" s="16"/>
      <c r="BPU81" s="16"/>
      <c r="BPV81" s="16"/>
      <c r="BPW81" s="16"/>
      <c r="BPX81" s="16"/>
      <c r="BPY81" s="16"/>
      <c r="BPZ81" s="16"/>
      <c r="BQA81" s="16"/>
      <c r="BQB81" s="16"/>
      <c r="BQC81" s="16"/>
      <c r="BQD81" s="16"/>
      <c r="BQE81" s="16"/>
      <c r="BQF81" s="16"/>
      <c r="BQG81" s="16"/>
      <c r="BQH81" s="16"/>
      <c r="BQI81" s="16"/>
      <c r="BQJ81" s="16"/>
      <c r="BQK81" s="16"/>
      <c r="BQL81" s="16"/>
      <c r="BQM81" s="16"/>
      <c r="BQN81" s="16"/>
      <c r="BQO81" s="16"/>
      <c r="BQP81" s="16"/>
      <c r="BQQ81" s="16"/>
      <c r="BQR81" s="16"/>
      <c r="BQS81" s="16"/>
      <c r="BQT81" s="16"/>
      <c r="BQU81" s="16"/>
      <c r="BQV81" s="16"/>
      <c r="BQW81" s="16"/>
      <c r="BQX81" s="16"/>
      <c r="BQY81" s="16"/>
      <c r="BQZ81" s="16"/>
      <c r="BRA81" s="16"/>
      <c r="BRB81" s="16"/>
      <c r="BRC81" s="16"/>
      <c r="BRD81" s="16"/>
      <c r="BRE81" s="16"/>
      <c r="BRF81" s="16"/>
      <c r="BRG81" s="16"/>
      <c r="BRH81" s="16"/>
      <c r="BRI81" s="16"/>
      <c r="BRJ81" s="16"/>
      <c r="BRK81" s="16"/>
      <c r="BRL81" s="16"/>
      <c r="BRM81" s="16"/>
      <c r="BRN81" s="16"/>
      <c r="BRO81" s="16"/>
      <c r="BRP81" s="16"/>
      <c r="BRQ81" s="16"/>
      <c r="BRR81" s="16"/>
      <c r="BRS81" s="16"/>
      <c r="BRT81" s="16"/>
      <c r="BRU81" s="16"/>
      <c r="BRV81" s="16"/>
      <c r="BRW81" s="16"/>
      <c r="BRX81" s="16"/>
      <c r="BRY81" s="16"/>
      <c r="BRZ81" s="16"/>
      <c r="BSA81" s="16"/>
      <c r="BSB81" s="16"/>
      <c r="BSC81" s="16"/>
      <c r="BSD81" s="16"/>
      <c r="BSE81" s="16"/>
      <c r="BSF81" s="16"/>
      <c r="BSG81" s="16"/>
      <c r="BSH81" s="16"/>
      <c r="BSI81" s="16"/>
      <c r="BSJ81" s="16"/>
      <c r="BSK81" s="16"/>
      <c r="BSL81" s="16"/>
      <c r="BSM81" s="16"/>
      <c r="BSN81" s="16"/>
      <c r="BSO81" s="16"/>
      <c r="BSP81" s="16"/>
      <c r="BSQ81" s="16"/>
      <c r="BSR81" s="16"/>
      <c r="BSS81" s="16"/>
      <c r="BST81" s="16"/>
      <c r="BSU81" s="16"/>
      <c r="BSV81" s="16"/>
      <c r="BSW81" s="16"/>
      <c r="BSX81" s="16"/>
      <c r="BSY81" s="16"/>
      <c r="BSZ81" s="16"/>
      <c r="BTA81" s="16"/>
      <c r="BTB81" s="16"/>
      <c r="BTC81" s="16"/>
      <c r="BTD81" s="16"/>
      <c r="BTE81" s="16"/>
      <c r="BTF81" s="16"/>
      <c r="BTG81" s="16"/>
      <c r="BTH81" s="16"/>
      <c r="BTI81" s="16"/>
      <c r="BTJ81" s="16"/>
      <c r="BTK81" s="16"/>
      <c r="BTL81" s="16"/>
      <c r="BTM81" s="16"/>
      <c r="BTN81" s="16"/>
      <c r="BTO81" s="16"/>
      <c r="BTP81" s="16"/>
      <c r="BTQ81" s="16"/>
      <c r="BTR81" s="16"/>
      <c r="BTS81" s="16"/>
      <c r="BTT81" s="16"/>
      <c r="BTU81" s="16"/>
      <c r="BTV81" s="16"/>
      <c r="BTW81" s="16"/>
      <c r="BTX81" s="16"/>
      <c r="BTY81" s="16"/>
      <c r="BTZ81" s="16"/>
      <c r="BUA81" s="16"/>
      <c r="BUB81" s="16"/>
      <c r="BUC81" s="16"/>
      <c r="BUD81" s="16"/>
      <c r="BUE81" s="16"/>
      <c r="BUF81" s="16"/>
      <c r="BUG81" s="16"/>
      <c r="BUH81" s="16"/>
      <c r="BUI81" s="16"/>
      <c r="BUJ81" s="16"/>
      <c r="BUK81" s="16"/>
      <c r="BUL81" s="16"/>
      <c r="BUM81" s="16"/>
      <c r="BUN81" s="16"/>
      <c r="BUO81" s="16"/>
      <c r="BUP81" s="16"/>
      <c r="BUQ81" s="16"/>
      <c r="BUR81" s="16"/>
      <c r="BUS81" s="16"/>
      <c r="BUT81" s="16"/>
      <c r="BUU81" s="16"/>
      <c r="BUV81" s="16"/>
      <c r="BUW81" s="16"/>
      <c r="BUX81" s="16"/>
      <c r="BUY81" s="16"/>
      <c r="BUZ81" s="16"/>
      <c r="BVA81" s="16"/>
      <c r="BVB81" s="16"/>
      <c r="BVC81" s="16"/>
      <c r="BVD81" s="16"/>
      <c r="BVE81" s="16"/>
      <c r="BVF81" s="16"/>
      <c r="BVG81" s="16"/>
      <c r="BVH81" s="16"/>
      <c r="BVI81" s="16"/>
      <c r="BVJ81" s="16"/>
      <c r="BVK81" s="16"/>
      <c r="BVL81" s="16"/>
      <c r="BVM81" s="16"/>
      <c r="BVN81" s="16"/>
      <c r="BVO81" s="16"/>
      <c r="BVP81" s="16"/>
      <c r="BVQ81" s="16"/>
      <c r="BVR81" s="16"/>
      <c r="BVS81" s="16"/>
      <c r="BVT81" s="16"/>
      <c r="BVU81" s="16"/>
      <c r="BVV81" s="16"/>
      <c r="BVW81" s="16"/>
      <c r="BVX81" s="16"/>
      <c r="BVY81" s="16"/>
      <c r="BVZ81" s="16"/>
      <c r="BWA81" s="16"/>
      <c r="BWB81" s="16"/>
      <c r="BWC81" s="16"/>
      <c r="BWD81" s="16"/>
      <c r="BWE81" s="16"/>
      <c r="BWF81" s="16"/>
      <c r="BWG81" s="16"/>
      <c r="BWH81" s="16"/>
      <c r="BWI81" s="16"/>
      <c r="BWJ81" s="16"/>
      <c r="BWK81" s="16"/>
      <c r="BWL81" s="16"/>
      <c r="BWM81" s="16"/>
      <c r="BWN81" s="16"/>
      <c r="BWO81" s="16"/>
      <c r="BWP81" s="16"/>
      <c r="BWQ81" s="16"/>
      <c r="BWR81" s="16"/>
      <c r="BWS81" s="16"/>
      <c r="BWT81" s="16"/>
      <c r="BWU81" s="16"/>
      <c r="BWV81" s="16"/>
      <c r="BWW81" s="16"/>
      <c r="BWX81" s="16"/>
      <c r="BWY81" s="16"/>
      <c r="BWZ81" s="16"/>
      <c r="BXA81" s="16"/>
      <c r="BXB81" s="16"/>
      <c r="BXC81" s="16"/>
      <c r="BXD81" s="16"/>
      <c r="BXE81" s="16"/>
      <c r="BXF81" s="16"/>
      <c r="BXG81" s="16"/>
      <c r="BXH81" s="16"/>
      <c r="BXI81" s="16"/>
      <c r="BXJ81" s="16"/>
      <c r="BXK81" s="16"/>
      <c r="BXL81" s="16"/>
      <c r="BXM81" s="16"/>
      <c r="BXN81" s="16"/>
      <c r="BXO81" s="16"/>
      <c r="BXP81" s="16"/>
      <c r="BXQ81" s="16"/>
      <c r="BXR81" s="16"/>
      <c r="BXS81" s="16"/>
      <c r="BXT81" s="16"/>
      <c r="BXU81" s="16"/>
      <c r="BXV81" s="16"/>
      <c r="BXW81" s="16"/>
      <c r="BXX81" s="16"/>
      <c r="BXY81" s="16"/>
      <c r="BXZ81" s="16"/>
      <c r="BYA81" s="16"/>
      <c r="BYB81" s="16"/>
      <c r="BYC81" s="16"/>
      <c r="BYD81" s="16"/>
      <c r="BYE81" s="16"/>
      <c r="BYF81" s="16"/>
      <c r="BYG81" s="16"/>
      <c r="BYH81" s="16"/>
      <c r="BYI81" s="16"/>
      <c r="BYJ81" s="16"/>
      <c r="BYK81" s="16"/>
      <c r="BYL81" s="16"/>
      <c r="BYM81" s="16"/>
      <c r="BYN81" s="16"/>
      <c r="BYO81" s="16"/>
      <c r="BYP81" s="16"/>
      <c r="BYQ81" s="16"/>
      <c r="BYR81" s="16"/>
      <c r="BYS81" s="16"/>
      <c r="BYT81" s="16"/>
      <c r="BYU81" s="16"/>
      <c r="BYV81" s="16"/>
      <c r="BYW81" s="16"/>
      <c r="BYX81" s="16"/>
      <c r="BYY81" s="16"/>
      <c r="BYZ81" s="16"/>
      <c r="BZA81" s="16"/>
      <c r="BZB81" s="16"/>
      <c r="BZC81" s="16"/>
      <c r="BZD81" s="16"/>
      <c r="BZE81" s="16"/>
      <c r="BZF81" s="16"/>
      <c r="BZG81" s="16"/>
      <c r="BZH81" s="16"/>
      <c r="BZI81" s="16"/>
      <c r="BZJ81" s="16"/>
      <c r="BZK81" s="16"/>
      <c r="BZL81" s="16"/>
      <c r="BZM81" s="16"/>
      <c r="BZN81" s="16"/>
      <c r="BZO81" s="16"/>
      <c r="BZP81" s="16"/>
      <c r="BZQ81" s="16"/>
      <c r="BZR81" s="16"/>
      <c r="BZS81" s="16"/>
      <c r="BZT81" s="16"/>
      <c r="BZU81" s="16"/>
      <c r="BZV81" s="16"/>
      <c r="BZW81" s="16"/>
      <c r="BZX81" s="16"/>
      <c r="BZY81" s="16"/>
      <c r="BZZ81" s="16"/>
      <c r="CAA81" s="16"/>
      <c r="CAB81" s="16"/>
      <c r="CAC81" s="16"/>
      <c r="CAD81" s="16"/>
      <c r="CAE81" s="16"/>
      <c r="CAF81" s="16"/>
      <c r="CAG81" s="16"/>
      <c r="CAH81" s="16"/>
      <c r="CAI81" s="16"/>
      <c r="CAJ81" s="16"/>
      <c r="CAK81" s="16"/>
      <c r="CAL81" s="16"/>
      <c r="CAM81" s="16"/>
      <c r="CAN81" s="16"/>
      <c r="CAO81" s="16"/>
      <c r="CAP81" s="16"/>
      <c r="CAQ81" s="16"/>
      <c r="CAR81" s="16"/>
      <c r="CAS81" s="16"/>
      <c r="CAT81" s="16"/>
      <c r="CAU81" s="16"/>
      <c r="CAV81" s="16"/>
      <c r="CAW81" s="16"/>
      <c r="CAX81" s="16"/>
      <c r="CAY81" s="16"/>
      <c r="CAZ81" s="16"/>
      <c r="CBA81" s="16"/>
      <c r="CBB81" s="16"/>
      <c r="CBC81" s="16"/>
      <c r="CBD81" s="16"/>
      <c r="CBE81" s="16"/>
      <c r="CBF81" s="16"/>
      <c r="CBG81" s="16"/>
      <c r="CBH81" s="16"/>
      <c r="CBI81" s="16"/>
      <c r="CBJ81" s="16"/>
      <c r="CBK81" s="16"/>
      <c r="CBL81" s="16"/>
      <c r="CBM81" s="16"/>
      <c r="CBN81" s="16"/>
      <c r="CBO81" s="16"/>
      <c r="CBP81" s="16"/>
      <c r="CBQ81" s="16"/>
      <c r="CBR81" s="16"/>
      <c r="CBS81" s="16"/>
      <c r="CBT81" s="16"/>
      <c r="CBU81" s="16"/>
      <c r="CBV81" s="16"/>
      <c r="CBW81" s="16"/>
      <c r="CBX81" s="16"/>
      <c r="CBY81" s="16"/>
      <c r="CBZ81" s="16"/>
      <c r="CCA81" s="16"/>
      <c r="CCB81" s="16"/>
      <c r="CCC81" s="16"/>
      <c r="CCD81" s="16"/>
      <c r="CCE81" s="16"/>
      <c r="CCF81" s="16"/>
      <c r="CCG81" s="16"/>
      <c r="CCH81" s="16"/>
      <c r="CCI81" s="16"/>
      <c r="CCJ81" s="16"/>
      <c r="CCK81" s="16"/>
      <c r="CCL81" s="16"/>
      <c r="CCM81" s="16"/>
      <c r="CCN81" s="16"/>
      <c r="CCO81" s="16"/>
      <c r="CCP81" s="16"/>
      <c r="CCQ81" s="16"/>
      <c r="CCR81" s="16"/>
      <c r="CCS81" s="16"/>
      <c r="CCT81" s="16"/>
      <c r="CCU81" s="16"/>
      <c r="CCV81" s="16"/>
      <c r="CCW81" s="16"/>
      <c r="CCX81" s="16"/>
      <c r="CCY81" s="16"/>
      <c r="CCZ81" s="16"/>
      <c r="CDA81" s="16"/>
      <c r="CDB81" s="16"/>
      <c r="CDC81" s="16"/>
      <c r="CDD81" s="16"/>
      <c r="CDE81" s="16"/>
      <c r="CDF81" s="16"/>
      <c r="CDG81" s="16"/>
      <c r="CDH81" s="16"/>
      <c r="CDI81" s="16"/>
      <c r="CDJ81" s="16"/>
      <c r="CDK81" s="16"/>
      <c r="CDL81" s="16"/>
      <c r="CDM81" s="16"/>
      <c r="CDN81" s="16"/>
      <c r="CDO81" s="16"/>
      <c r="CDP81" s="16"/>
      <c r="CDQ81" s="16"/>
      <c r="CDR81" s="16"/>
      <c r="CDS81" s="16"/>
      <c r="CDT81" s="16"/>
      <c r="CDU81" s="16"/>
      <c r="CDV81" s="16"/>
      <c r="CDW81" s="16"/>
      <c r="CDX81" s="16"/>
      <c r="CDY81" s="16"/>
      <c r="CDZ81" s="16"/>
      <c r="CEA81" s="16"/>
      <c r="CEB81" s="16"/>
      <c r="CEC81" s="16"/>
      <c r="CED81" s="16"/>
      <c r="CEE81" s="16"/>
      <c r="CEF81" s="16"/>
      <c r="CEG81" s="16"/>
      <c r="CEH81" s="16"/>
      <c r="CEI81" s="16"/>
      <c r="CEJ81" s="16"/>
      <c r="CEK81" s="16"/>
      <c r="CEL81" s="16"/>
      <c r="CEM81" s="16"/>
      <c r="CEN81" s="16"/>
      <c r="CEO81" s="16"/>
      <c r="CEP81" s="16"/>
      <c r="CEQ81" s="16"/>
      <c r="CER81" s="16"/>
      <c r="CES81" s="16"/>
      <c r="CET81" s="16"/>
      <c r="CEU81" s="16"/>
      <c r="CEV81" s="16"/>
      <c r="CEW81" s="16"/>
      <c r="CEX81" s="16"/>
      <c r="CEY81" s="16"/>
      <c r="CEZ81" s="16"/>
      <c r="CFA81" s="16"/>
      <c r="CFB81" s="16"/>
      <c r="CFC81" s="16"/>
      <c r="CFD81" s="16"/>
      <c r="CFE81" s="16"/>
      <c r="CFF81" s="16"/>
      <c r="CFG81" s="16"/>
      <c r="CFH81" s="16"/>
      <c r="CFI81" s="16"/>
      <c r="CFJ81" s="16"/>
      <c r="CFK81" s="16"/>
      <c r="CFL81" s="16"/>
      <c r="CFM81" s="16"/>
      <c r="CFN81" s="16"/>
      <c r="CFO81" s="16"/>
      <c r="CFP81" s="16"/>
      <c r="CFQ81" s="16"/>
      <c r="CFR81" s="16"/>
      <c r="CFS81" s="16"/>
      <c r="CFT81" s="16"/>
      <c r="CFU81" s="16"/>
      <c r="CFV81" s="16"/>
      <c r="CFW81" s="16"/>
      <c r="CFX81" s="16"/>
      <c r="CFY81" s="16"/>
      <c r="CFZ81" s="16"/>
      <c r="CGA81" s="16"/>
      <c r="CGB81" s="16"/>
      <c r="CGC81" s="16"/>
      <c r="CGD81" s="16"/>
      <c r="CGE81" s="16"/>
      <c r="CGF81" s="16"/>
      <c r="CGG81" s="16"/>
      <c r="CGH81" s="16"/>
      <c r="CGI81" s="16"/>
      <c r="CGJ81" s="16"/>
      <c r="CGK81" s="16"/>
      <c r="CGL81" s="16"/>
      <c r="CGM81" s="16"/>
      <c r="CGN81" s="16"/>
      <c r="CGO81" s="16"/>
      <c r="CGP81" s="16"/>
      <c r="CGQ81" s="16"/>
      <c r="CGR81" s="16"/>
      <c r="CGS81" s="16"/>
      <c r="CGT81" s="16"/>
      <c r="CGU81" s="16"/>
      <c r="CGV81" s="16"/>
      <c r="CGW81" s="16"/>
      <c r="CGX81" s="16"/>
      <c r="CGY81" s="16"/>
      <c r="CGZ81" s="16"/>
      <c r="CHA81" s="16"/>
      <c r="CHB81" s="16"/>
      <c r="CHC81" s="16"/>
      <c r="CHD81" s="16"/>
      <c r="CHE81" s="16"/>
      <c r="CHF81" s="16"/>
      <c r="CHG81" s="16"/>
      <c r="CHH81" s="16"/>
      <c r="CHI81" s="16"/>
      <c r="CHJ81" s="16"/>
      <c r="CHK81" s="16"/>
      <c r="CHL81" s="16"/>
      <c r="CHM81" s="16"/>
      <c r="CHN81" s="16"/>
      <c r="CHO81" s="16"/>
      <c r="CHP81" s="16"/>
      <c r="CHQ81" s="16"/>
      <c r="CHR81" s="16"/>
      <c r="CHS81" s="16"/>
      <c r="CHT81" s="16"/>
      <c r="CHU81" s="16"/>
      <c r="CHV81" s="16"/>
      <c r="CHW81" s="16"/>
      <c r="CHX81" s="16"/>
      <c r="CHY81" s="16"/>
      <c r="CHZ81" s="16"/>
      <c r="CIA81" s="16"/>
      <c r="CIB81" s="16"/>
      <c r="CIC81" s="16"/>
      <c r="CID81" s="16"/>
      <c r="CIE81" s="16"/>
      <c r="CIF81" s="16"/>
      <c r="CIG81" s="16"/>
      <c r="CIH81" s="16"/>
      <c r="CII81" s="16"/>
      <c r="CIJ81" s="16"/>
      <c r="CIK81" s="16"/>
      <c r="CIL81" s="16"/>
      <c r="CIM81" s="16"/>
      <c r="CIN81" s="16"/>
      <c r="CIO81" s="16"/>
      <c r="CIP81" s="16"/>
      <c r="CIQ81" s="16"/>
      <c r="CIR81" s="16"/>
      <c r="CIS81" s="16"/>
      <c r="CIT81" s="16"/>
      <c r="CIU81" s="16"/>
      <c r="CIV81" s="16"/>
      <c r="CIW81" s="16"/>
      <c r="CIX81" s="16"/>
      <c r="CIY81" s="16"/>
      <c r="CIZ81" s="16"/>
      <c r="CJA81" s="16"/>
      <c r="CJB81" s="16"/>
      <c r="CJC81" s="16"/>
      <c r="CJD81" s="16"/>
      <c r="CJE81" s="16"/>
      <c r="CJF81" s="16"/>
      <c r="CJG81" s="16"/>
      <c r="CJH81" s="16"/>
      <c r="CJI81" s="16"/>
      <c r="CJJ81" s="16"/>
      <c r="CJK81" s="16"/>
      <c r="CJL81" s="16"/>
      <c r="CJM81" s="16"/>
      <c r="CJN81" s="16"/>
      <c r="CJO81" s="16"/>
      <c r="CJP81" s="16"/>
      <c r="CJQ81" s="16"/>
      <c r="CJR81" s="16"/>
      <c r="CJS81" s="16"/>
      <c r="CJT81" s="16"/>
      <c r="CJU81" s="16"/>
      <c r="CJV81" s="16"/>
      <c r="CJW81" s="16"/>
      <c r="CJX81" s="16"/>
      <c r="CJY81" s="16"/>
      <c r="CJZ81" s="16"/>
      <c r="CKA81" s="16"/>
      <c r="CKB81" s="16"/>
      <c r="CKC81" s="16"/>
      <c r="CKD81" s="16"/>
      <c r="CKE81" s="16"/>
      <c r="CKF81" s="16"/>
      <c r="CKG81" s="16"/>
      <c r="CKH81" s="16"/>
      <c r="CKI81" s="16"/>
      <c r="CKJ81" s="16"/>
      <c r="CKK81" s="16"/>
      <c r="CKL81" s="16"/>
      <c r="CKM81" s="16"/>
      <c r="CKN81" s="16"/>
      <c r="CKO81" s="16"/>
      <c r="CKP81" s="16"/>
      <c r="CKQ81" s="16"/>
      <c r="CKR81" s="16"/>
      <c r="CKS81" s="16"/>
      <c r="CKT81" s="16"/>
      <c r="CKU81" s="16"/>
      <c r="CKV81" s="16"/>
      <c r="CKW81" s="16"/>
      <c r="CKX81" s="16"/>
      <c r="CKY81" s="16"/>
      <c r="CKZ81" s="16"/>
      <c r="CLA81" s="16"/>
      <c r="CLB81" s="16"/>
      <c r="CLC81" s="16"/>
      <c r="CLD81" s="16"/>
      <c r="CLE81" s="16"/>
      <c r="CLF81" s="16"/>
      <c r="CLG81" s="16"/>
      <c r="CLH81" s="16"/>
      <c r="CLI81" s="16"/>
      <c r="CLJ81" s="16"/>
      <c r="CLK81" s="16"/>
      <c r="CLL81" s="16"/>
      <c r="CLM81" s="16"/>
      <c r="CLN81" s="16"/>
      <c r="CLO81" s="16"/>
      <c r="CLP81" s="16"/>
      <c r="CLQ81" s="16"/>
      <c r="CLR81" s="16"/>
      <c r="CLS81" s="16"/>
      <c r="CLT81" s="16"/>
      <c r="CLU81" s="16"/>
      <c r="CLV81" s="16"/>
      <c r="CLW81" s="16"/>
      <c r="CLX81" s="16"/>
      <c r="CLY81" s="16"/>
      <c r="CLZ81" s="16"/>
      <c r="CMA81" s="16"/>
      <c r="CMB81" s="16"/>
      <c r="CMC81" s="16"/>
      <c r="CMD81" s="16"/>
      <c r="CME81" s="16"/>
      <c r="CMF81" s="16"/>
      <c r="CMG81" s="16"/>
      <c r="CMH81" s="16"/>
      <c r="CMI81" s="16"/>
      <c r="CMJ81" s="16"/>
      <c r="CMK81" s="16"/>
      <c r="CML81" s="16"/>
      <c r="CMM81" s="16"/>
      <c r="CMN81" s="16"/>
      <c r="CMO81" s="16"/>
      <c r="CMP81" s="16"/>
      <c r="CMQ81" s="16"/>
      <c r="CMR81" s="16"/>
      <c r="CMS81" s="16"/>
      <c r="CMT81" s="16"/>
      <c r="CMU81" s="16"/>
      <c r="CMV81" s="16"/>
      <c r="CMW81" s="16"/>
      <c r="CMX81" s="16"/>
      <c r="CMY81" s="16"/>
      <c r="CMZ81" s="16"/>
      <c r="CNA81" s="16"/>
      <c r="CNB81" s="16"/>
      <c r="CNC81" s="16"/>
      <c r="CND81" s="16"/>
      <c r="CNE81" s="16"/>
      <c r="CNF81" s="16"/>
      <c r="CNG81" s="16"/>
      <c r="CNH81" s="16"/>
      <c r="CNI81" s="16"/>
      <c r="CNJ81" s="16"/>
      <c r="CNK81" s="16"/>
      <c r="CNL81" s="16"/>
      <c r="CNM81" s="16"/>
      <c r="CNN81" s="16"/>
      <c r="CNO81" s="16"/>
      <c r="CNP81" s="16"/>
      <c r="CNQ81" s="16"/>
      <c r="CNR81" s="16"/>
      <c r="CNS81" s="16"/>
      <c r="CNT81" s="16"/>
      <c r="CNU81" s="16"/>
      <c r="CNV81" s="16"/>
      <c r="CNW81" s="16"/>
      <c r="CNX81" s="16"/>
      <c r="CNY81" s="16"/>
      <c r="CNZ81" s="16"/>
      <c r="COA81" s="16"/>
      <c r="COB81" s="16"/>
      <c r="COC81" s="16"/>
      <c r="COD81" s="16"/>
      <c r="COE81" s="16"/>
      <c r="COF81" s="16"/>
      <c r="COG81" s="16"/>
      <c r="COH81" s="16"/>
      <c r="COI81" s="16"/>
      <c r="COJ81" s="16"/>
      <c r="COK81" s="16"/>
      <c r="COL81" s="16"/>
      <c r="COM81" s="16"/>
      <c r="CON81" s="16"/>
      <c r="COO81" s="16"/>
      <c r="COP81" s="16"/>
      <c r="COQ81" s="16"/>
      <c r="COR81" s="16"/>
      <c r="COS81" s="16"/>
      <c r="COT81" s="16"/>
      <c r="COU81" s="16"/>
      <c r="COV81" s="16"/>
      <c r="COW81" s="16"/>
      <c r="COX81" s="16"/>
      <c r="COY81" s="16"/>
      <c r="COZ81" s="16"/>
      <c r="CPA81" s="16"/>
      <c r="CPB81" s="16"/>
      <c r="CPC81" s="16"/>
      <c r="CPD81" s="16"/>
      <c r="CPE81" s="16"/>
      <c r="CPF81" s="16"/>
      <c r="CPG81" s="16"/>
      <c r="CPH81" s="16"/>
      <c r="CPI81" s="16"/>
      <c r="CPJ81" s="16"/>
      <c r="CPK81" s="16"/>
      <c r="CPL81" s="16"/>
      <c r="CPM81" s="16"/>
      <c r="CPN81" s="16"/>
      <c r="CPO81" s="16"/>
      <c r="CPP81" s="16"/>
      <c r="CPQ81" s="16"/>
      <c r="CPR81" s="16"/>
      <c r="CPS81" s="16"/>
      <c r="CPT81" s="16"/>
      <c r="CPU81" s="16"/>
      <c r="CPV81" s="16"/>
      <c r="CPW81" s="16"/>
      <c r="CPX81" s="16"/>
      <c r="CPY81" s="16"/>
      <c r="CPZ81" s="16"/>
      <c r="CQA81" s="16"/>
      <c r="CQB81" s="16"/>
      <c r="CQC81" s="16"/>
      <c r="CQD81" s="16"/>
      <c r="CQE81" s="16"/>
      <c r="CQF81" s="16"/>
      <c r="CQG81" s="16"/>
      <c r="CQH81" s="16"/>
      <c r="CQI81" s="16"/>
      <c r="CQJ81" s="16"/>
      <c r="CQK81" s="16"/>
      <c r="CQL81" s="16"/>
      <c r="CQM81" s="16"/>
      <c r="CQN81" s="16"/>
      <c r="CQO81" s="16"/>
      <c r="CQP81" s="16"/>
      <c r="CQQ81" s="16"/>
      <c r="CQR81" s="16"/>
      <c r="CQS81" s="16"/>
      <c r="CQT81" s="16"/>
      <c r="CQU81" s="16"/>
      <c r="CQV81" s="16"/>
      <c r="CQW81" s="16"/>
      <c r="CQX81" s="16"/>
      <c r="CQY81" s="16"/>
      <c r="CQZ81" s="16"/>
      <c r="CRA81" s="16"/>
      <c r="CRB81" s="16"/>
      <c r="CRC81" s="16"/>
      <c r="CRD81" s="16"/>
      <c r="CRE81" s="16"/>
      <c r="CRF81" s="16"/>
      <c r="CRG81" s="16"/>
      <c r="CRH81" s="16"/>
      <c r="CRI81" s="16"/>
      <c r="CRJ81" s="16"/>
      <c r="CRK81" s="16"/>
      <c r="CRL81" s="16"/>
      <c r="CRM81" s="16"/>
      <c r="CRN81" s="16"/>
      <c r="CRO81" s="16"/>
      <c r="CRP81" s="16"/>
      <c r="CRQ81" s="16"/>
      <c r="CRR81" s="16"/>
      <c r="CRS81" s="16"/>
      <c r="CRT81" s="16"/>
      <c r="CRU81" s="16"/>
      <c r="CRV81" s="16"/>
      <c r="CRW81" s="16"/>
      <c r="CRX81" s="16"/>
      <c r="CRY81" s="16"/>
      <c r="CRZ81" s="16"/>
      <c r="CSA81" s="16"/>
      <c r="CSB81" s="16"/>
      <c r="CSC81" s="16"/>
      <c r="CSD81" s="16"/>
      <c r="CSE81" s="16"/>
      <c r="CSF81" s="16"/>
      <c r="CSG81" s="16"/>
      <c r="CSH81" s="16"/>
      <c r="CSI81" s="16"/>
      <c r="CSJ81" s="16"/>
      <c r="CSK81" s="24"/>
      <c r="CSL81" s="16"/>
      <c r="CSM81" s="16"/>
      <c r="CSN81" s="16"/>
      <c r="CSO81" s="16"/>
      <c r="CSP81" s="16"/>
      <c r="CUG81" s="16"/>
      <c r="CUH81" s="16"/>
      <c r="CUI81" s="16"/>
      <c r="CUJ81" s="16"/>
      <c r="CUK81" s="16"/>
      <c r="CUL81" s="16"/>
      <c r="CUM81" s="16"/>
      <c r="CUN81" s="16"/>
      <c r="CUO81" s="16"/>
      <c r="CUP81" s="16"/>
      <c r="CUQ81" s="16"/>
      <c r="CUR81" s="16"/>
      <c r="CUS81" s="16"/>
      <c r="CUT81" s="16"/>
      <c r="CUU81" s="16"/>
      <c r="CUV81" s="16"/>
      <c r="CUW81" s="16"/>
      <c r="CUX81" s="16"/>
      <c r="CUY81" s="16"/>
      <c r="CUZ81" s="16"/>
      <c r="CVA81" s="16"/>
      <c r="CVB81" s="16"/>
      <c r="CVC81" s="16"/>
      <c r="CVD81" s="16"/>
      <c r="CVE81" s="16"/>
      <c r="CVF81" s="16"/>
      <c r="CVG81" s="16"/>
      <c r="CVH81" s="16"/>
      <c r="CVI81" s="16"/>
      <c r="CVJ81" s="16"/>
      <c r="CVK81" s="16"/>
      <c r="CVL81" s="16"/>
      <c r="CVM81" s="16"/>
      <c r="CVN81" s="16"/>
      <c r="CVO81" s="16"/>
      <c r="CVP81" s="16"/>
    </row>
    <row r="82" spans="3:2616" ht="13.8" x14ac:dyDescent="0.25">
      <c r="C82" s="57"/>
      <c r="E82" s="16"/>
      <c r="K82" s="59"/>
      <c r="L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  <c r="ALQ82" s="16"/>
      <c r="ALR82" s="16"/>
      <c r="ALS82" s="16"/>
      <c r="ALT82" s="16"/>
      <c r="ALU82" s="16"/>
      <c r="ALV82" s="16"/>
      <c r="ALW82" s="16"/>
      <c r="ALX82" s="16"/>
      <c r="ALY82" s="16"/>
      <c r="ALZ82" s="16"/>
      <c r="AMA82" s="16"/>
      <c r="AMB82" s="16"/>
      <c r="AMC82" s="16"/>
      <c r="AMD82" s="16"/>
      <c r="AME82" s="16"/>
      <c r="AMF82" s="16"/>
      <c r="AMG82" s="16"/>
      <c r="AMH82" s="16"/>
      <c r="AMI82" s="16"/>
      <c r="AMJ82" s="16"/>
      <c r="AMK82" s="16"/>
      <c r="AML82" s="16"/>
      <c r="AMM82" s="16"/>
      <c r="AMN82" s="16"/>
      <c r="AMO82" s="16"/>
      <c r="AMP82" s="16"/>
      <c r="AMQ82" s="16"/>
      <c r="AMR82" s="16"/>
      <c r="AMS82" s="16"/>
      <c r="AMT82" s="16"/>
      <c r="AMU82" s="16"/>
      <c r="AMV82" s="16"/>
      <c r="AMW82" s="16"/>
      <c r="AMX82" s="16"/>
      <c r="AMY82" s="16"/>
      <c r="AMZ82" s="16"/>
      <c r="ANA82" s="16"/>
      <c r="ANB82" s="16"/>
      <c r="ANC82" s="16"/>
      <c r="AND82" s="16"/>
      <c r="ANE82" s="16"/>
      <c r="ANF82" s="16"/>
      <c r="ANG82" s="16"/>
      <c r="ANH82" s="16"/>
      <c r="ANI82" s="16"/>
      <c r="ANJ82" s="16"/>
      <c r="ANK82" s="16"/>
      <c r="ANL82" s="16"/>
      <c r="ANM82" s="16"/>
      <c r="ANN82" s="16"/>
      <c r="ANO82" s="16"/>
      <c r="ANP82" s="16"/>
      <c r="ANQ82" s="16"/>
      <c r="ANR82" s="16"/>
      <c r="ANS82" s="16"/>
      <c r="ANT82" s="16"/>
      <c r="ANU82" s="16"/>
      <c r="ANV82" s="16"/>
      <c r="ANW82" s="16"/>
      <c r="ANX82" s="16"/>
      <c r="ANY82" s="16"/>
      <c r="ANZ82" s="16"/>
      <c r="AOA82" s="16"/>
      <c r="AOB82" s="16"/>
      <c r="AOC82" s="16"/>
      <c r="AOD82" s="16"/>
      <c r="AOE82" s="16"/>
      <c r="AOF82" s="16"/>
      <c r="AOG82" s="16"/>
      <c r="AOH82" s="16"/>
      <c r="AOI82" s="16"/>
      <c r="AOJ82" s="16"/>
      <c r="AOK82" s="16"/>
      <c r="AOL82" s="16"/>
      <c r="AOM82" s="16"/>
      <c r="AON82" s="16"/>
      <c r="AOO82" s="16"/>
      <c r="AOP82" s="16"/>
      <c r="AOQ82" s="16"/>
      <c r="AOR82" s="16"/>
      <c r="AOS82" s="16"/>
      <c r="AOT82" s="16"/>
      <c r="AOU82" s="16"/>
      <c r="AOV82" s="16"/>
      <c r="AOW82" s="16"/>
      <c r="AOX82" s="16"/>
      <c r="AOY82" s="16"/>
      <c r="AOZ82" s="16"/>
      <c r="APA82" s="16"/>
      <c r="APB82" s="16"/>
      <c r="APC82" s="16"/>
      <c r="APD82" s="16"/>
      <c r="APE82" s="16"/>
      <c r="APF82" s="16"/>
      <c r="APG82" s="16"/>
      <c r="APH82" s="16"/>
      <c r="API82" s="16"/>
      <c r="APJ82" s="16"/>
      <c r="APK82" s="16"/>
      <c r="APL82" s="16"/>
      <c r="APM82" s="16"/>
      <c r="APN82" s="16"/>
      <c r="APO82" s="16"/>
      <c r="APP82" s="16"/>
      <c r="APQ82" s="16"/>
      <c r="APR82" s="16"/>
      <c r="APS82" s="16"/>
      <c r="APT82" s="16"/>
      <c r="APU82" s="16"/>
      <c r="APV82" s="16"/>
      <c r="APW82" s="16"/>
      <c r="APX82" s="16"/>
      <c r="APY82" s="16"/>
      <c r="APZ82" s="16"/>
      <c r="AQA82" s="16"/>
      <c r="AQB82" s="16"/>
      <c r="AQC82" s="16"/>
      <c r="AQD82" s="16"/>
      <c r="AQE82" s="16"/>
      <c r="AQF82" s="16"/>
      <c r="AQG82" s="16"/>
      <c r="AQH82" s="16"/>
      <c r="AQI82" s="16"/>
      <c r="AQJ82" s="16"/>
      <c r="AQK82" s="16"/>
      <c r="AQL82" s="16"/>
      <c r="AQM82" s="16"/>
      <c r="AQN82" s="16"/>
      <c r="AQO82" s="16"/>
      <c r="AQP82" s="16"/>
      <c r="AQQ82" s="16"/>
      <c r="AQR82" s="16"/>
      <c r="AQS82" s="16"/>
      <c r="AQT82" s="16"/>
      <c r="AQU82" s="16"/>
      <c r="AQV82" s="16"/>
      <c r="AQW82" s="16"/>
      <c r="AQX82" s="16"/>
      <c r="AQY82" s="16"/>
      <c r="AQZ82" s="16"/>
      <c r="ARA82" s="16"/>
      <c r="ARB82" s="16"/>
      <c r="ARC82" s="16"/>
      <c r="ARD82" s="16"/>
      <c r="ARE82" s="16"/>
      <c r="ARF82" s="16"/>
      <c r="ARG82" s="16"/>
      <c r="ARH82" s="16"/>
      <c r="ARI82" s="16"/>
      <c r="ARJ82" s="16"/>
      <c r="ARK82" s="16"/>
      <c r="ARL82" s="16"/>
      <c r="ARM82" s="16"/>
      <c r="ARN82" s="16"/>
      <c r="ARO82" s="16"/>
      <c r="ARP82" s="16"/>
      <c r="ARQ82" s="16"/>
      <c r="ARR82" s="16"/>
      <c r="ARS82" s="16"/>
      <c r="ART82" s="16"/>
      <c r="ARU82" s="16"/>
      <c r="ARV82" s="16"/>
      <c r="ARW82" s="16"/>
      <c r="ARX82" s="16"/>
      <c r="ARY82" s="16"/>
      <c r="ARZ82" s="16"/>
      <c r="ASA82" s="16"/>
      <c r="ASB82" s="16"/>
      <c r="ASC82" s="16"/>
      <c r="ASD82" s="16"/>
      <c r="ASE82" s="16"/>
      <c r="ASF82" s="16"/>
      <c r="ASG82" s="16"/>
      <c r="ASH82" s="16"/>
      <c r="ASI82" s="16"/>
      <c r="ASJ82" s="16"/>
      <c r="ASK82" s="16"/>
      <c r="ASL82" s="16"/>
      <c r="ASM82" s="16"/>
      <c r="ASN82" s="16"/>
      <c r="ASO82" s="16"/>
      <c r="ASP82" s="16"/>
      <c r="ASQ82" s="16"/>
      <c r="ASR82" s="16"/>
      <c r="ASS82" s="16"/>
      <c r="AST82" s="16"/>
      <c r="ASU82" s="16"/>
      <c r="ASV82" s="16"/>
      <c r="ASW82" s="16"/>
      <c r="ASX82" s="16"/>
      <c r="ASY82" s="16"/>
      <c r="ASZ82" s="16"/>
      <c r="ATA82" s="16"/>
      <c r="ATB82" s="16"/>
      <c r="ATC82" s="16"/>
      <c r="ATD82" s="16"/>
      <c r="ATE82" s="16"/>
      <c r="ATF82" s="16"/>
      <c r="ATG82" s="16"/>
      <c r="ATH82" s="16"/>
      <c r="ATI82" s="16"/>
      <c r="ATJ82" s="16"/>
      <c r="ATK82" s="16"/>
      <c r="ATL82" s="16"/>
      <c r="ATM82" s="16"/>
      <c r="ATN82" s="16"/>
      <c r="ATO82" s="16"/>
      <c r="ATP82" s="16"/>
      <c r="ATQ82" s="16"/>
      <c r="ATR82" s="16"/>
      <c r="ATS82" s="16"/>
      <c r="ATT82" s="16"/>
      <c r="ATU82" s="16"/>
      <c r="ATV82" s="16"/>
      <c r="ATW82" s="16"/>
      <c r="ATX82" s="16"/>
      <c r="ATY82" s="16"/>
      <c r="ATZ82" s="16"/>
      <c r="AUA82" s="16"/>
      <c r="AUB82" s="16"/>
      <c r="AUC82" s="16"/>
      <c r="AUD82" s="16"/>
      <c r="AUE82" s="16"/>
      <c r="AUF82" s="16"/>
      <c r="AUG82" s="16"/>
      <c r="AUH82" s="16"/>
      <c r="AUI82" s="16"/>
      <c r="AUJ82" s="16"/>
      <c r="AUK82" s="16"/>
      <c r="AUL82" s="16"/>
      <c r="AUM82" s="16"/>
      <c r="AUN82" s="16"/>
      <c r="AUO82" s="16"/>
      <c r="AUP82" s="16"/>
      <c r="AUQ82" s="16"/>
      <c r="AUR82" s="16"/>
      <c r="AUS82" s="16"/>
      <c r="AUT82" s="16"/>
      <c r="AUU82" s="16"/>
      <c r="AUV82" s="16"/>
      <c r="AUW82" s="16"/>
      <c r="AUX82" s="16"/>
      <c r="AUY82" s="16"/>
      <c r="AUZ82" s="16"/>
      <c r="AVA82" s="16"/>
      <c r="AVB82" s="16"/>
      <c r="AVC82" s="16"/>
      <c r="AVD82" s="16"/>
      <c r="AVE82" s="16"/>
      <c r="AVF82" s="16"/>
      <c r="AVG82" s="16"/>
      <c r="AVH82" s="16"/>
      <c r="AVI82" s="16"/>
      <c r="AVJ82" s="16"/>
      <c r="AVK82" s="16"/>
      <c r="AVL82" s="16"/>
      <c r="AVM82" s="16"/>
      <c r="AVN82" s="16"/>
      <c r="AVO82" s="16"/>
      <c r="AVP82" s="16"/>
      <c r="AVQ82" s="16"/>
      <c r="AVR82" s="16"/>
      <c r="AVS82" s="16"/>
      <c r="AVT82" s="16"/>
      <c r="AVU82" s="16"/>
      <c r="AVV82" s="16"/>
      <c r="AVW82" s="16"/>
      <c r="AVX82" s="16"/>
      <c r="AVY82" s="16"/>
      <c r="AVZ82" s="16"/>
      <c r="AWA82" s="16"/>
      <c r="AWB82" s="16"/>
      <c r="AWC82" s="16"/>
      <c r="AWD82" s="16"/>
      <c r="AWE82" s="16"/>
      <c r="AWF82" s="16"/>
      <c r="AWG82" s="16"/>
      <c r="AWH82" s="16"/>
      <c r="AWI82" s="16"/>
      <c r="AWJ82" s="16"/>
      <c r="AWK82" s="16"/>
      <c r="AWL82" s="16"/>
      <c r="AWM82" s="16"/>
      <c r="AWN82" s="16"/>
      <c r="AWO82" s="16"/>
      <c r="AWP82" s="16"/>
      <c r="AWQ82" s="16"/>
      <c r="AWR82" s="16"/>
      <c r="AWS82" s="16"/>
      <c r="AWT82" s="16"/>
      <c r="AWU82" s="16"/>
      <c r="AWV82" s="16"/>
      <c r="AWW82" s="16"/>
      <c r="AWX82" s="16"/>
      <c r="AWY82" s="16"/>
      <c r="AWZ82" s="16"/>
      <c r="AXA82" s="16"/>
      <c r="AXB82" s="16"/>
      <c r="AXC82" s="16"/>
      <c r="AXD82" s="16"/>
      <c r="AXE82" s="16"/>
      <c r="AXF82" s="16"/>
      <c r="AXG82" s="16"/>
      <c r="AXH82" s="16"/>
      <c r="AXI82" s="16"/>
      <c r="AXJ82" s="16"/>
      <c r="AXK82" s="16"/>
      <c r="AXL82" s="16"/>
      <c r="AXM82" s="16"/>
      <c r="AXN82" s="16"/>
      <c r="AXO82" s="16"/>
      <c r="AXP82" s="16"/>
      <c r="AXQ82" s="16"/>
      <c r="AXR82" s="16"/>
      <c r="AXS82" s="16"/>
      <c r="AXT82" s="16"/>
      <c r="AXU82" s="16"/>
      <c r="AXV82" s="16"/>
      <c r="AXW82" s="16"/>
      <c r="AXX82" s="16"/>
      <c r="AXY82" s="16"/>
      <c r="AXZ82" s="16"/>
      <c r="AYA82" s="16"/>
      <c r="AYB82" s="16"/>
      <c r="AYC82" s="16"/>
      <c r="AYD82" s="16"/>
      <c r="AYE82" s="16"/>
      <c r="AYF82" s="16"/>
      <c r="AYG82" s="16"/>
      <c r="AYH82" s="16"/>
      <c r="AYI82" s="16"/>
      <c r="AYJ82" s="16"/>
      <c r="AYK82" s="16"/>
      <c r="AYL82" s="16"/>
      <c r="AYM82" s="16"/>
      <c r="AYN82" s="16"/>
      <c r="AYO82" s="16"/>
      <c r="AYP82" s="16"/>
      <c r="AYQ82" s="16"/>
      <c r="AYR82" s="16"/>
      <c r="AYS82" s="16"/>
      <c r="AYT82" s="16"/>
      <c r="AYU82" s="16"/>
      <c r="AYV82" s="16"/>
      <c r="AYW82" s="16"/>
      <c r="AYX82" s="16"/>
      <c r="AYY82" s="16"/>
      <c r="AYZ82" s="16"/>
      <c r="AZA82" s="16"/>
      <c r="AZB82" s="16"/>
      <c r="AZC82" s="16"/>
      <c r="AZD82" s="16"/>
      <c r="AZE82" s="16"/>
      <c r="AZF82" s="16"/>
      <c r="AZG82" s="16"/>
      <c r="AZH82" s="16"/>
      <c r="AZI82" s="16"/>
      <c r="AZJ82" s="16"/>
      <c r="AZK82" s="16"/>
      <c r="AZL82" s="16"/>
      <c r="AZM82" s="16"/>
      <c r="AZN82" s="16"/>
      <c r="AZO82" s="16"/>
      <c r="AZP82" s="16"/>
      <c r="AZQ82" s="16"/>
      <c r="AZR82" s="16"/>
      <c r="AZS82" s="16"/>
      <c r="AZT82" s="16"/>
      <c r="AZU82" s="16"/>
      <c r="AZV82" s="16"/>
      <c r="AZW82" s="16"/>
      <c r="AZX82" s="16"/>
      <c r="AZY82" s="16"/>
      <c r="AZZ82" s="16"/>
      <c r="BAA82" s="16"/>
      <c r="BAB82" s="16"/>
      <c r="BAC82" s="16"/>
      <c r="BAD82" s="16"/>
      <c r="BAE82" s="16"/>
      <c r="BAF82" s="16"/>
      <c r="BAG82" s="16"/>
      <c r="BAH82" s="16"/>
      <c r="BAI82" s="16"/>
      <c r="BAJ82" s="16"/>
      <c r="BAK82" s="16"/>
      <c r="BAL82" s="16"/>
      <c r="BAM82" s="16"/>
      <c r="BAN82" s="16"/>
      <c r="BAO82" s="16"/>
      <c r="BAP82" s="16"/>
      <c r="BAQ82" s="16"/>
      <c r="BAR82" s="16"/>
      <c r="BAS82" s="16"/>
      <c r="BAT82" s="16"/>
      <c r="BAU82" s="16"/>
      <c r="BAV82" s="16"/>
      <c r="BAW82" s="16"/>
      <c r="BAX82" s="16"/>
      <c r="BAY82" s="16"/>
      <c r="BAZ82" s="16"/>
      <c r="BBA82" s="16"/>
      <c r="BBB82" s="16"/>
      <c r="BBC82" s="16"/>
      <c r="BBD82" s="16"/>
      <c r="BBE82" s="16"/>
      <c r="BBF82" s="16"/>
      <c r="BBG82" s="16"/>
      <c r="BBH82" s="16"/>
      <c r="BBI82" s="16"/>
      <c r="BBJ82" s="16"/>
      <c r="BBK82" s="16"/>
      <c r="BBL82" s="16"/>
      <c r="BBM82" s="16"/>
      <c r="BBN82" s="16"/>
      <c r="BBO82" s="16"/>
      <c r="BBP82" s="16"/>
      <c r="BBQ82" s="16"/>
      <c r="BBR82" s="16"/>
      <c r="BBS82" s="16"/>
      <c r="BBT82" s="16"/>
      <c r="BBU82" s="16"/>
      <c r="BBV82" s="16"/>
      <c r="BBW82" s="16"/>
      <c r="BBX82" s="16"/>
      <c r="BBY82" s="16"/>
      <c r="BBZ82" s="16"/>
      <c r="BCA82" s="16"/>
      <c r="BCB82" s="16"/>
      <c r="BCC82" s="16"/>
      <c r="BCD82" s="16"/>
      <c r="BCE82" s="16"/>
      <c r="BCF82" s="16"/>
      <c r="BCG82" s="16"/>
      <c r="BCH82" s="16"/>
      <c r="BCI82" s="16"/>
      <c r="BCJ82" s="16"/>
      <c r="BCK82" s="16"/>
      <c r="BCL82" s="16"/>
      <c r="BCM82" s="16"/>
      <c r="BCN82" s="16"/>
      <c r="BCO82" s="16"/>
      <c r="BCP82" s="16"/>
      <c r="BCQ82" s="16"/>
      <c r="BCR82" s="16"/>
      <c r="BCS82" s="16"/>
      <c r="BCT82" s="16"/>
      <c r="BCU82" s="16"/>
      <c r="BCV82" s="16"/>
      <c r="BCW82" s="16"/>
      <c r="BCX82" s="16"/>
      <c r="BCY82" s="16"/>
      <c r="BCZ82" s="16"/>
      <c r="BDA82" s="16"/>
      <c r="BDB82" s="16"/>
      <c r="BDC82" s="16"/>
      <c r="BDD82" s="16"/>
      <c r="BDE82" s="16"/>
      <c r="BDF82" s="16"/>
      <c r="BDG82" s="16"/>
      <c r="BDH82" s="16"/>
      <c r="BDI82" s="16"/>
      <c r="BDJ82" s="16"/>
      <c r="BDK82" s="16"/>
      <c r="BDL82" s="16"/>
      <c r="BDM82" s="16"/>
      <c r="BDN82" s="16"/>
      <c r="BDO82" s="16"/>
      <c r="BDP82" s="16"/>
      <c r="BDQ82" s="16"/>
      <c r="BDR82" s="16"/>
      <c r="BDS82" s="16"/>
      <c r="BDT82" s="16"/>
      <c r="BDU82" s="16"/>
      <c r="BDV82" s="16"/>
      <c r="BDW82" s="16"/>
      <c r="BDX82" s="16"/>
      <c r="BDY82" s="16"/>
      <c r="BDZ82" s="16"/>
      <c r="BEA82" s="16"/>
      <c r="BEB82" s="16"/>
      <c r="BEC82" s="16"/>
      <c r="BED82" s="16"/>
      <c r="BEE82" s="16"/>
      <c r="BEF82" s="16"/>
      <c r="BEG82" s="16"/>
      <c r="BEH82" s="16"/>
      <c r="BEI82" s="16"/>
      <c r="BEJ82" s="16"/>
      <c r="BEK82" s="16"/>
      <c r="BEL82" s="16"/>
      <c r="BEM82" s="16"/>
      <c r="BEN82" s="16"/>
      <c r="BEO82" s="16"/>
      <c r="BEP82" s="16"/>
      <c r="BEQ82" s="16"/>
      <c r="BER82" s="16"/>
      <c r="BES82" s="16"/>
      <c r="BET82" s="16"/>
      <c r="BEU82" s="16"/>
      <c r="BEV82" s="16"/>
      <c r="BEW82" s="16"/>
      <c r="BEX82" s="16"/>
      <c r="BEY82" s="16"/>
      <c r="BEZ82" s="16"/>
      <c r="BFA82" s="16"/>
      <c r="BFB82" s="16"/>
      <c r="BFC82" s="16"/>
      <c r="BFD82" s="16"/>
      <c r="BFE82" s="16"/>
      <c r="BFF82" s="16"/>
      <c r="BFG82" s="16"/>
      <c r="BFH82" s="16"/>
      <c r="BFI82" s="16"/>
      <c r="BFJ82" s="16"/>
      <c r="BFK82" s="16"/>
      <c r="BFL82" s="16"/>
      <c r="BFM82" s="16"/>
      <c r="BFN82" s="16"/>
      <c r="BFO82" s="16"/>
      <c r="BFP82" s="16"/>
      <c r="BFQ82" s="16"/>
      <c r="BFR82" s="16"/>
      <c r="BFS82" s="16"/>
      <c r="BFT82" s="16"/>
      <c r="BFU82" s="16"/>
      <c r="BFV82" s="16"/>
      <c r="BFW82" s="16"/>
      <c r="BFX82" s="16"/>
      <c r="BFY82" s="16"/>
      <c r="BFZ82" s="16"/>
      <c r="BGA82" s="16"/>
      <c r="BGB82" s="16"/>
      <c r="BGC82" s="16"/>
      <c r="BGD82" s="16"/>
      <c r="BGE82" s="16"/>
      <c r="BGF82" s="16"/>
      <c r="BGG82" s="16"/>
      <c r="BGH82" s="16"/>
      <c r="BGI82" s="16"/>
      <c r="BGJ82" s="16"/>
      <c r="BGK82" s="16"/>
      <c r="BGL82" s="16"/>
      <c r="BGM82" s="16"/>
      <c r="BGN82" s="16"/>
      <c r="BGO82" s="16"/>
      <c r="BGP82" s="16"/>
      <c r="BGQ82" s="16"/>
      <c r="BGR82" s="16"/>
      <c r="BGS82" s="16"/>
      <c r="BGT82" s="16"/>
      <c r="BGU82" s="16"/>
      <c r="BGV82" s="16"/>
      <c r="BGW82" s="16"/>
      <c r="BGX82" s="16"/>
      <c r="BGY82" s="16"/>
      <c r="BGZ82" s="16"/>
      <c r="BHA82" s="16"/>
      <c r="BHB82" s="16"/>
      <c r="BHC82" s="16"/>
      <c r="BHD82" s="16"/>
      <c r="BHE82" s="16"/>
      <c r="BHF82" s="16"/>
      <c r="BHG82" s="16"/>
      <c r="BHH82" s="16"/>
      <c r="BHI82" s="16"/>
      <c r="BHJ82" s="16"/>
      <c r="BHK82" s="16"/>
      <c r="BHL82" s="16"/>
      <c r="BHM82" s="16"/>
      <c r="BHN82" s="16"/>
      <c r="BHO82" s="16"/>
      <c r="BHP82" s="16"/>
      <c r="BHQ82" s="16"/>
      <c r="BHR82" s="16"/>
      <c r="BHS82" s="16"/>
      <c r="BHT82" s="16"/>
      <c r="BHU82" s="16"/>
      <c r="BHV82" s="16"/>
      <c r="BHW82" s="16"/>
      <c r="BHX82" s="16"/>
      <c r="BHY82" s="16"/>
      <c r="BHZ82" s="16"/>
      <c r="BIA82" s="16"/>
      <c r="BIB82" s="16"/>
      <c r="BIC82" s="16"/>
      <c r="BID82" s="16"/>
      <c r="BIE82" s="16"/>
      <c r="BIF82" s="16"/>
      <c r="BIG82" s="16"/>
      <c r="BIH82" s="16"/>
      <c r="BII82" s="16"/>
      <c r="BIJ82" s="16"/>
      <c r="BIK82" s="16"/>
      <c r="BIL82" s="16"/>
      <c r="BIM82" s="16"/>
      <c r="BIN82" s="16"/>
      <c r="BIO82" s="16"/>
      <c r="BIP82" s="16"/>
      <c r="BIQ82" s="16"/>
      <c r="BIR82" s="16"/>
      <c r="BIS82" s="16"/>
      <c r="BIT82" s="16"/>
      <c r="BIU82" s="16"/>
      <c r="BIV82" s="16"/>
      <c r="BIW82" s="16"/>
      <c r="BIX82" s="16"/>
      <c r="BIY82" s="16"/>
      <c r="BIZ82" s="16"/>
      <c r="BJA82" s="16"/>
      <c r="BJB82" s="16"/>
      <c r="BJC82" s="16"/>
      <c r="BJD82" s="16"/>
      <c r="BJE82" s="16"/>
      <c r="BJF82" s="16"/>
      <c r="BJG82" s="16"/>
      <c r="BJH82" s="16"/>
      <c r="BJI82" s="16"/>
      <c r="BJJ82" s="16"/>
      <c r="BJK82" s="16"/>
      <c r="BJL82" s="16"/>
      <c r="BJM82" s="16"/>
      <c r="BJN82" s="16"/>
      <c r="BJO82" s="16"/>
      <c r="BJP82" s="16"/>
      <c r="BJQ82" s="16"/>
      <c r="BJR82" s="16"/>
      <c r="BJS82" s="16"/>
      <c r="BJT82" s="16"/>
      <c r="BJU82" s="16"/>
      <c r="BJV82" s="16"/>
      <c r="BJW82" s="16"/>
      <c r="BJX82" s="16"/>
      <c r="BJY82" s="16"/>
      <c r="BJZ82" s="16"/>
      <c r="BKA82" s="16"/>
      <c r="BKB82" s="16"/>
      <c r="BKC82" s="16"/>
      <c r="BKD82" s="16"/>
      <c r="BKE82" s="16"/>
      <c r="BKF82" s="16"/>
      <c r="BKG82" s="16"/>
      <c r="BKH82" s="16"/>
      <c r="BKI82" s="16"/>
      <c r="BKJ82" s="16"/>
      <c r="BKK82" s="16"/>
      <c r="BKL82" s="16"/>
      <c r="BKM82" s="16"/>
      <c r="BKN82" s="16"/>
      <c r="BKO82" s="16"/>
      <c r="BKP82" s="16"/>
      <c r="BKQ82" s="16"/>
      <c r="BKR82" s="16"/>
      <c r="BKS82" s="16"/>
      <c r="BKT82" s="16"/>
      <c r="BKU82" s="16"/>
      <c r="BKV82" s="16"/>
      <c r="BKW82" s="16"/>
      <c r="BKX82" s="16"/>
      <c r="BKY82" s="16"/>
      <c r="BKZ82" s="16"/>
      <c r="BLA82" s="16"/>
      <c r="BLB82" s="16"/>
      <c r="BLC82" s="16"/>
      <c r="BLD82" s="16"/>
      <c r="BLE82" s="16"/>
      <c r="BLF82" s="16"/>
      <c r="BLG82" s="16"/>
      <c r="BLH82" s="16"/>
      <c r="BLI82" s="16"/>
      <c r="BLJ82" s="16"/>
      <c r="BLK82" s="16"/>
      <c r="BLL82" s="16"/>
      <c r="BLM82" s="16"/>
      <c r="BLN82" s="16"/>
      <c r="BLO82" s="16"/>
      <c r="BLP82" s="16"/>
      <c r="BLQ82" s="16"/>
      <c r="BLR82" s="16"/>
      <c r="BLS82" s="16"/>
      <c r="BLT82" s="16"/>
      <c r="BLU82" s="16"/>
      <c r="BLV82" s="16"/>
      <c r="BLW82" s="16"/>
      <c r="BLX82" s="16"/>
      <c r="BLY82" s="16"/>
      <c r="BLZ82" s="16"/>
      <c r="BMA82" s="16"/>
      <c r="BMB82" s="16"/>
      <c r="BMC82" s="16"/>
      <c r="BMD82" s="16"/>
      <c r="BME82" s="16"/>
      <c r="BMF82" s="16"/>
      <c r="BMG82" s="16"/>
      <c r="BMH82" s="16"/>
      <c r="BMI82" s="16"/>
      <c r="BMJ82" s="16"/>
      <c r="BMK82" s="16"/>
      <c r="BML82" s="16"/>
      <c r="BMM82" s="16"/>
      <c r="BMN82" s="16"/>
      <c r="BMO82" s="16"/>
      <c r="BMP82" s="16"/>
      <c r="BMQ82" s="16"/>
      <c r="BMR82" s="16"/>
      <c r="BMS82" s="16"/>
      <c r="BMT82" s="16"/>
      <c r="BMU82" s="16"/>
      <c r="BMV82" s="16"/>
      <c r="BMW82" s="16"/>
      <c r="BMX82" s="16"/>
      <c r="BMY82" s="16"/>
      <c r="BMZ82" s="16"/>
      <c r="BNA82" s="16"/>
      <c r="BNB82" s="16"/>
      <c r="BNC82" s="16"/>
      <c r="BND82" s="16"/>
      <c r="BNE82" s="16"/>
      <c r="BNF82" s="16"/>
      <c r="BNG82" s="16"/>
      <c r="BNH82" s="16"/>
      <c r="BNI82" s="16"/>
      <c r="BNJ82" s="16"/>
      <c r="BNK82" s="16"/>
      <c r="BNL82" s="16"/>
      <c r="BNM82" s="16"/>
      <c r="BNN82" s="16"/>
      <c r="BNO82" s="16"/>
      <c r="BNP82" s="16"/>
      <c r="BNQ82" s="16"/>
      <c r="BNR82" s="16"/>
      <c r="BNS82" s="16"/>
      <c r="BNT82" s="16"/>
      <c r="BNU82" s="16"/>
      <c r="BNV82" s="16"/>
      <c r="BNW82" s="16"/>
      <c r="BNX82" s="16"/>
      <c r="BNY82" s="16"/>
      <c r="BNZ82" s="16"/>
      <c r="BOA82" s="16"/>
      <c r="BOB82" s="16"/>
      <c r="BOC82" s="16"/>
      <c r="BOD82" s="16"/>
      <c r="BOE82" s="16"/>
      <c r="BOF82" s="16"/>
      <c r="BOG82" s="16"/>
      <c r="BOH82" s="16"/>
      <c r="BOI82" s="16"/>
      <c r="BOJ82" s="16"/>
      <c r="BOK82" s="16"/>
      <c r="BOL82" s="16"/>
      <c r="BOM82" s="16"/>
      <c r="BON82" s="16"/>
      <c r="BOO82" s="16"/>
      <c r="BOP82" s="16"/>
      <c r="BOQ82" s="16"/>
      <c r="BOR82" s="16"/>
      <c r="BOS82" s="16"/>
      <c r="BOT82" s="16"/>
      <c r="BOU82" s="16"/>
      <c r="BOV82" s="16"/>
      <c r="BOW82" s="16"/>
      <c r="BOX82" s="16"/>
      <c r="BOY82" s="16"/>
      <c r="BOZ82" s="16"/>
      <c r="BPA82" s="16"/>
      <c r="BPB82" s="16"/>
      <c r="BPC82" s="16"/>
      <c r="BPD82" s="16"/>
      <c r="BPE82" s="16"/>
      <c r="BPF82" s="16"/>
      <c r="BPG82" s="16"/>
      <c r="BPH82" s="16"/>
      <c r="BPI82" s="16"/>
      <c r="BPJ82" s="16"/>
      <c r="BPK82" s="16"/>
      <c r="BPL82" s="16"/>
      <c r="BPM82" s="16"/>
      <c r="BPN82" s="16"/>
      <c r="BPO82" s="16"/>
      <c r="BPP82" s="16"/>
      <c r="BPQ82" s="16"/>
      <c r="BPR82" s="16"/>
      <c r="BPS82" s="16"/>
      <c r="BPT82" s="16"/>
      <c r="BPU82" s="16"/>
      <c r="BPV82" s="16"/>
      <c r="BPW82" s="16"/>
      <c r="BPX82" s="16"/>
      <c r="BPY82" s="16"/>
      <c r="BPZ82" s="16"/>
      <c r="BQA82" s="16"/>
      <c r="BQB82" s="16"/>
      <c r="BQC82" s="16"/>
      <c r="BQD82" s="16"/>
      <c r="BQE82" s="16"/>
      <c r="BQF82" s="16"/>
      <c r="BQG82" s="16"/>
      <c r="BQH82" s="16"/>
      <c r="BQI82" s="16"/>
      <c r="BQJ82" s="16"/>
      <c r="BQK82" s="16"/>
      <c r="BQL82" s="16"/>
      <c r="BQM82" s="16"/>
      <c r="BQN82" s="16"/>
      <c r="BQO82" s="16"/>
      <c r="BQP82" s="16"/>
      <c r="BQQ82" s="16"/>
      <c r="BQR82" s="16"/>
      <c r="BQS82" s="16"/>
      <c r="BQT82" s="16"/>
      <c r="BQU82" s="16"/>
      <c r="BQV82" s="16"/>
      <c r="BQW82" s="16"/>
      <c r="BQX82" s="16"/>
      <c r="BQY82" s="16"/>
      <c r="BQZ82" s="16"/>
      <c r="BRA82" s="16"/>
      <c r="BRB82" s="16"/>
      <c r="BRC82" s="16"/>
      <c r="BRD82" s="16"/>
      <c r="BRE82" s="16"/>
      <c r="BRF82" s="16"/>
      <c r="BRG82" s="16"/>
      <c r="BRH82" s="16"/>
      <c r="BRI82" s="16"/>
      <c r="BRJ82" s="16"/>
      <c r="BRK82" s="16"/>
      <c r="BRL82" s="16"/>
      <c r="BRM82" s="16"/>
      <c r="BRN82" s="16"/>
      <c r="BRO82" s="16"/>
      <c r="BRP82" s="16"/>
      <c r="BRQ82" s="16"/>
      <c r="BRR82" s="16"/>
      <c r="BRS82" s="16"/>
      <c r="BRT82" s="16"/>
      <c r="BRU82" s="16"/>
      <c r="BRV82" s="16"/>
      <c r="BRW82" s="16"/>
      <c r="BRX82" s="16"/>
      <c r="BRY82" s="16"/>
      <c r="BRZ82" s="16"/>
      <c r="BSA82" s="16"/>
      <c r="BSB82" s="16"/>
      <c r="BSC82" s="16"/>
      <c r="BSD82" s="16"/>
      <c r="BSE82" s="16"/>
      <c r="BSF82" s="16"/>
      <c r="BSG82" s="16"/>
      <c r="BSH82" s="16"/>
      <c r="BSI82" s="16"/>
      <c r="BSJ82" s="16"/>
      <c r="BSK82" s="16"/>
      <c r="BSL82" s="16"/>
      <c r="BSM82" s="16"/>
      <c r="BSN82" s="16"/>
      <c r="BSO82" s="16"/>
      <c r="BSP82" s="16"/>
      <c r="BSQ82" s="16"/>
      <c r="BSR82" s="16"/>
      <c r="BSS82" s="16"/>
      <c r="BST82" s="16"/>
      <c r="BSU82" s="16"/>
      <c r="BSV82" s="16"/>
      <c r="BSW82" s="16"/>
      <c r="BSX82" s="16"/>
      <c r="BSY82" s="16"/>
      <c r="BSZ82" s="16"/>
      <c r="BTA82" s="16"/>
      <c r="BTB82" s="16"/>
      <c r="BTC82" s="16"/>
      <c r="BTD82" s="16"/>
      <c r="BTE82" s="16"/>
      <c r="BTF82" s="16"/>
      <c r="BTG82" s="16"/>
      <c r="BTH82" s="16"/>
      <c r="BTI82" s="16"/>
      <c r="BTJ82" s="16"/>
      <c r="BTK82" s="16"/>
      <c r="BTL82" s="16"/>
      <c r="BTM82" s="16"/>
      <c r="BTN82" s="16"/>
      <c r="BTO82" s="16"/>
      <c r="BTP82" s="16"/>
      <c r="BTQ82" s="16"/>
      <c r="BTR82" s="16"/>
      <c r="BTS82" s="16"/>
      <c r="BTT82" s="16"/>
      <c r="BTU82" s="16"/>
      <c r="BTV82" s="16"/>
      <c r="BTW82" s="16"/>
      <c r="BTX82" s="16"/>
      <c r="BTY82" s="16"/>
      <c r="BTZ82" s="16"/>
      <c r="BUA82" s="16"/>
      <c r="BUB82" s="16"/>
      <c r="BUC82" s="16"/>
      <c r="BUD82" s="16"/>
      <c r="BUE82" s="16"/>
      <c r="BUF82" s="16"/>
      <c r="BUG82" s="16"/>
      <c r="BUH82" s="16"/>
      <c r="BUI82" s="16"/>
      <c r="BUJ82" s="16"/>
      <c r="BUK82" s="16"/>
      <c r="BUL82" s="16"/>
      <c r="BUM82" s="16"/>
      <c r="BUN82" s="16"/>
      <c r="BUO82" s="16"/>
      <c r="BUP82" s="16"/>
      <c r="BUQ82" s="16"/>
      <c r="BUR82" s="16"/>
      <c r="BUS82" s="16"/>
      <c r="BUT82" s="16"/>
      <c r="BUU82" s="16"/>
      <c r="BUV82" s="16"/>
      <c r="BUW82" s="16"/>
      <c r="BUX82" s="16"/>
      <c r="BUY82" s="16"/>
      <c r="BUZ82" s="16"/>
      <c r="BVA82" s="16"/>
      <c r="BVB82" s="16"/>
      <c r="BVC82" s="16"/>
      <c r="BVD82" s="16"/>
      <c r="BVE82" s="16"/>
      <c r="BVF82" s="16"/>
      <c r="BVG82" s="16"/>
      <c r="BVH82" s="16"/>
      <c r="BVI82" s="16"/>
      <c r="BVJ82" s="16"/>
      <c r="BVK82" s="16"/>
      <c r="BVL82" s="16"/>
      <c r="BVM82" s="16"/>
      <c r="BVN82" s="16"/>
      <c r="BVO82" s="16"/>
      <c r="BVP82" s="16"/>
      <c r="BVQ82" s="16"/>
      <c r="BVR82" s="16"/>
      <c r="BVS82" s="16"/>
      <c r="BVT82" s="16"/>
      <c r="BVU82" s="16"/>
      <c r="BVV82" s="16"/>
      <c r="BVW82" s="16"/>
      <c r="BVX82" s="16"/>
      <c r="BVY82" s="16"/>
      <c r="BVZ82" s="16"/>
      <c r="BWA82" s="16"/>
      <c r="BWB82" s="16"/>
      <c r="BWC82" s="16"/>
      <c r="BWD82" s="16"/>
      <c r="BWE82" s="16"/>
      <c r="BWF82" s="16"/>
      <c r="BWG82" s="16"/>
      <c r="BWH82" s="16"/>
      <c r="BWI82" s="16"/>
      <c r="BWJ82" s="16"/>
      <c r="BWK82" s="16"/>
      <c r="BWL82" s="16"/>
      <c r="BWM82" s="16"/>
      <c r="BWN82" s="16"/>
      <c r="BWO82" s="16"/>
      <c r="BWP82" s="16"/>
      <c r="BWQ82" s="16"/>
      <c r="BWR82" s="16"/>
      <c r="BWS82" s="16"/>
      <c r="BWT82" s="16"/>
      <c r="BWU82" s="16"/>
      <c r="BWV82" s="16"/>
      <c r="BWW82" s="16"/>
      <c r="BWX82" s="16"/>
      <c r="BWY82" s="16"/>
      <c r="BWZ82" s="16"/>
      <c r="BXA82" s="16"/>
      <c r="BXB82" s="16"/>
      <c r="BXC82" s="16"/>
      <c r="BXD82" s="16"/>
      <c r="BXE82" s="16"/>
      <c r="BXF82" s="16"/>
      <c r="BXG82" s="16"/>
      <c r="BXH82" s="16"/>
      <c r="BXI82" s="16"/>
      <c r="BXJ82" s="16"/>
      <c r="BXK82" s="16"/>
      <c r="BXL82" s="16"/>
      <c r="BXM82" s="16"/>
      <c r="BXN82" s="16"/>
      <c r="BXO82" s="16"/>
      <c r="BXP82" s="16"/>
      <c r="BXQ82" s="16"/>
      <c r="BXR82" s="16"/>
      <c r="BXS82" s="16"/>
      <c r="BXT82" s="16"/>
      <c r="BXU82" s="16"/>
      <c r="BXV82" s="16"/>
      <c r="BXW82" s="16"/>
      <c r="BXX82" s="16"/>
      <c r="BXY82" s="16"/>
      <c r="BXZ82" s="16"/>
      <c r="BYA82" s="16"/>
      <c r="BYB82" s="16"/>
      <c r="BYC82" s="16"/>
      <c r="BYD82" s="16"/>
      <c r="BYE82" s="16"/>
      <c r="BYF82" s="16"/>
      <c r="BYG82" s="16"/>
      <c r="BYH82" s="16"/>
      <c r="BYI82" s="16"/>
      <c r="BYJ82" s="16"/>
      <c r="BYK82" s="16"/>
      <c r="BYL82" s="16"/>
      <c r="BYM82" s="16"/>
      <c r="BYN82" s="16"/>
      <c r="BYO82" s="16"/>
      <c r="BYP82" s="16"/>
      <c r="BYQ82" s="16"/>
      <c r="BYR82" s="16"/>
      <c r="BYS82" s="16"/>
      <c r="BYT82" s="16"/>
      <c r="BYU82" s="16"/>
      <c r="BYV82" s="16"/>
      <c r="BYW82" s="16"/>
      <c r="BYX82" s="16"/>
      <c r="BYY82" s="16"/>
      <c r="BYZ82" s="16"/>
      <c r="BZA82" s="16"/>
      <c r="BZB82" s="16"/>
      <c r="BZC82" s="16"/>
      <c r="BZD82" s="16"/>
      <c r="BZE82" s="16"/>
      <c r="BZF82" s="16"/>
      <c r="BZG82" s="16"/>
      <c r="BZH82" s="16"/>
      <c r="BZI82" s="16"/>
      <c r="BZJ82" s="16"/>
      <c r="BZK82" s="16"/>
      <c r="BZL82" s="16"/>
      <c r="BZM82" s="16"/>
      <c r="BZN82" s="16"/>
      <c r="BZO82" s="16"/>
      <c r="BZP82" s="16"/>
      <c r="BZQ82" s="16"/>
      <c r="BZR82" s="16"/>
      <c r="BZS82" s="16"/>
      <c r="BZT82" s="16"/>
      <c r="BZU82" s="16"/>
      <c r="BZV82" s="16"/>
      <c r="BZW82" s="16"/>
      <c r="BZX82" s="16"/>
      <c r="BZY82" s="16"/>
      <c r="BZZ82" s="16"/>
      <c r="CAA82" s="16"/>
      <c r="CAB82" s="16"/>
      <c r="CAC82" s="16"/>
      <c r="CAD82" s="16"/>
      <c r="CAE82" s="16"/>
      <c r="CAF82" s="16"/>
      <c r="CAG82" s="16"/>
      <c r="CAH82" s="16"/>
      <c r="CAI82" s="16"/>
      <c r="CAJ82" s="16"/>
      <c r="CAK82" s="16"/>
      <c r="CAL82" s="16"/>
      <c r="CAM82" s="16"/>
      <c r="CAN82" s="16"/>
      <c r="CAO82" s="16"/>
      <c r="CAP82" s="16"/>
      <c r="CAQ82" s="16"/>
      <c r="CAR82" s="16"/>
      <c r="CAS82" s="16"/>
      <c r="CAT82" s="16"/>
      <c r="CAU82" s="16"/>
      <c r="CAV82" s="16"/>
      <c r="CAW82" s="16"/>
      <c r="CAX82" s="16"/>
      <c r="CAY82" s="16"/>
      <c r="CAZ82" s="16"/>
      <c r="CBA82" s="16"/>
      <c r="CBB82" s="16"/>
      <c r="CBC82" s="16"/>
      <c r="CBD82" s="16"/>
      <c r="CBE82" s="16"/>
      <c r="CBF82" s="16"/>
      <c r="CBG82" s="16"/>
      <c r="CBH82" s="16"/>
      <c r="CBI82" s="16"/>
      <c r="CBJ82" s="16"/>
      <c r="CBK82" s="16"/>
      <c r="CBL82" s="16"/>
      <c r="CBM82" s="16"/>
      <c r="CBN82" s="16"/>
      <c r="CBO82" s="16"/>
      <c r="CBP82" s="16"/>
      <c r="CBQ82" s="16"/>
      <c r="CBR82" s="16"/>
      <c r="CBS82" s="16"/>
      <c r="CBT82" s="16"/>
      <c r="CBU82" s="16"/>
      <c r="CBV82" s="16"/>
      <c r="CBW82" s="16"/>
      <c r="CBX82" s="16"/>
      <c r="CBY82" s="16"/>
      <c r="CBZ82" s="16"/>
      <c r="CCA82" s="16"/>
      <c r="CCB82" s="16"/>
      <c r="CCC82" s="16"/>
      <c r="CCD82" s="16"/>
      <c r="CCE82" s="16"/>
      <c r="CCF82" s="16"/>
      <c r="CCG82" s="16"/>
      <c r="CCH82" s="16"/>
      <c r="CCI82" s="16"/>
      <c r="CCJ82" s="16"/>
      <c r="CCK82" s="16"/>
      <c r="CCL82" s="16"/>
      <c r="CCM82" s="16"/>
      <c r="CCN82" s="16"/>
      <c r="CCO82" s="16"/>
      <c r="CCP82" s="16"/>
      <c r="CCQ82" s="16"/>
      <c r="CCR82" s="16"/>
      <c r="CCS82" s="16"/>
      <c r="CCT82" s="16"/>
      <c r="CCU82" s="16"/>
      <c r="CCV82" s="16"/>
      <c r="CCW82" s="16"/>
      <c r="CCX82" s="16"/>
      <c r="CCY82" s="16"/>
      <c r="CCZ82" s="16"/>
      <c r="CDA82" s="16"/>
      <c r="CDB82" s="16"/>
      <c r="CDC82" s="16"/>
      <c r="CDD82" s="16"/>
      <c r="CDE82" s="16"/>
      <c r="CDF82" s="16"/>
      <c r="CDG82" s="16"/>
      <c r="CDH82" s="16"/>
      <c r="CDI82" s="16"/>
      <c r="CDJ82" s="16"/>
      <c r="CDK82" s="16"/>
      <c r="CDL82" s="16"/>
      <c r="CDM82" s="16"/>
      <c r="CDN82" s="16"/>
      <c r="CDO82" s="16"/>
      <c r="CDP82" s="16"/>
      <c r="CDQ82" s="16"/>
      <c r="CDR82" s="16"/>
      <c r="CDS82" s="16"/>
      <c r="CDT82" s="16"/>
      <c r="CDU82" s="16"/>
      <c r="CDV82" s="16"/>
      <c r="CDW82" s="16"/>
      <c r="CDX82" s="16"/>
      <c r="CDY82" s="16"/>
      <c r="CDZ82" s="16"/>
      <c r="CEA82" s="16"/>
      <c r="CEB82" s="16"/>
      <c r="CEC82" s="16"/>
      <c r="CED82" s="16"/>
      <c r="CEE82" s="16"/>
      <c r="CEF82" s="16"/>
      <c r="CEG82" s="16"/>
      <c r="CEH82" s="16"/>
      <c r="CEI82" s="16"/>
      <c r="CEJ82" s="16"/>
      <c r="CEK82" s="16"/>
      <c r="CEL82" s="16"/>
      <c r="CEM82" s="16"/>
      <c r="CEN82" s="16"/>
      <c r="CEO82" s="16"/>
      <c r="CEP82" s="16"/>
      <c r="CEQ82" s="16"/>
      <c r="CER82" s="16"/>
      <c r="CES82" s="16"/>
      <c r="CET82" s="16"/>
      <c r="CEU82" s="16"/>
      <c r="CEV82" s="16"/>
      <c r="CEW82" s="16"/>
      <c r="CEX82" s="16"/>
      <c r="CEY82" s="16"/>
      <c r="CEZ82" s="16"/>
      <c r="CFA82" s="16"/>
      <c r="CFB82" s="16"/>
      <c r="CFC82" s="16"/>
      <c r="CFD82" s="16"/>
      <c r="CFE82" s="16"/>
      <c r="CFF82" s="16"/>
      <c r="CFG82" s="16"/>
      <c r="CFH82" s="16"/>
      <c r="CFI82" s="16"/>
      <c r="CFJ82" s="16"/>
      <c r="CFK82" s="16"/>
      <c r="CFL82" s="16"/>
      <c r="CFM82" s="16"/>
      <c r="CFN82" s="16"/>
      <c r="CFO82" s="16"/>
      <c r="CFP82" s="16"/>
      <c r="CFQ82" s="16"/>
      <c r="CFR82" s="16"/>
      <c r="CFS82" s="16"/>
      <c r="CFT82" s="16"/>
      <c r="CFU82" s="16"/>
      <c r="CFV82" s="16"/>
      <c r="CFW82" s="16"/>
      <c r="CFX82" s="16"/>
      <c r="CFY82" s="16"/>
      <c r="CFZ82" s="16"/>
      <c r="CGA82" s="16"/>
      <c r="CGB82" s="16"/>
      <c r="CGC82" s="16"/>
      <c r="CGD82" s="16"/>
      <c r="CGE82" s="16"/>
      <c r="CGF82" s="16"/>
      <c r="CGG82" s="16"/>
      <c r="CGH82" s="16"/>
      <c r="CGI82" s="16"/>
      <c r="CGJ82" s="16"/>
      <c r="CGK82" s="16"/>
      <c r="CGL82" s="16"/>
      <c r="CGM82" s="16"/>
      <c r="CGN82" s="16"/>
      <c r="CGO82" s="16"/>
      <c r="CGP82" s="16"/>
      <c r="CGQ82" s="16"/>
      <c r="CGR82" s="16"/>
      <c r="CGS82" s="16"/>
      <c r="CGT82" s="16"/>
      <c r="CGU82" s="16"/>
      <c r="CGV82" s="16"/>
      <c r="CGW82" s="16"/>
      <c r="CGX82" s="16"/>
      <c r="CGY82" s="16"/>
      <c r="CGZ82" s="16"/>
      <c r="CHA82" s="16"/>
      <c r="CHB82" s="16"/>
      <c r="CHC82" s="16"/>
      <c r="CHD82" s="16"/>
      <c r="CHE82" s="16"/>
      <c r="CHF82" s="16"/>
      <c r="CHG82" s="16"/>
      <c r="CHH82" s="16"/>
      <c r="CHI82" s="16"/>
      <c r="CHJ82" s="16"/>
      <c r="CHK82" s="16"/>
      <c r="CHL82" s="16"/>
      <c r="CHM82" s="16"/>
      <c r="CHN82" s="16"/>
      <c r="CHO82" s="16"/>
      <c r="CHP82" s="16"/>
      <c r="CHQ82" s="16"/>
      <c r="CHR82" s="16"/>
      <c r="CHS82" s="16"/>
      <c r="CHT82" s="16"/>
      <c r="CHU82" s="16"/>
      <c r="CHV82" s="16"/>
      <c r="CHW82" s="16"/>
      <c r="CHX82" s="16"/>
      <c r="CHY82" s="16"/>
      <c r="CHZ82" s="16"/>
      <c r="CIA82" s="16"/>
      <c r="CIB82" s="16"/>
      <c r="CIC82" s="16"/>
      <c r="CID82" s="16"/>
      <c r="CIE82" s="16"/>
      <c r="CIF82" s="16"/>
      <c r="CIG82" s="16"/>
      <c r="CIH82" s="16"/>
      <c r="CII82" s="16"/>
      <c r="CIJ82" s="16"/>
      <c r="CIK82" s="16"/>
      <c r="CIL82" s="16"/>
      <c r="CIM82" s="16"/>
      <c r="CIN82" s="16"/>
      <c r="CIO82" s="16"/>
      <c r="CIP82" s="16"/>
      <c r="CIQ82" s="16"/>
      <c r="CIR82" s="16"/>
      <c r="CIS82" s="16"/>
      <c r="CIT82" s="16"/>
      <c r="CIU82" s="16"/>
      <c r="CIV82" s="16"/>
      <c r="CIW82" s="16"/>
      <c r="CIX82" s="16"/>
      <c r="CIY82" s="16"/>
      <c r="CIZ82" s="16"/>
      <c r="CJA82" s="16"/>
      <c r="CJB82" s="16"/>
      <c r="CJC82" s="16"/>
      <c r="CJD82" s="16"/>
      <c r="CJE82" s="16"/>
      <c r="CJF82" s="16"/>
      <c r="CJG82" s="16"/>
      <c r="CJH82" s="16"/>
      <c r="CJI82" s="16"/>
      <c r="CJJ82" s="16"/>
      <c r="CJK82" s="16"/>
      <c r="CJL82" s="16"/>
      <c r="CJM82" s="16"/>
      <c r="CJN82" s="16"/>
      <c r="CJO82" s="16"/>
      <c r="CJP82" s="16"/>
      <c r="CJQ82" s="16"/>
      <c r="CJR82" s="16"/>
      <c r="CJS82" s="16"/>
      <c r="CJT82" s="16"/>
      <c r="CJU82" s="16"/>
      <c r="CJV82" s="16"/>
      <c r="CJW82" s="16"/>
      <c r="CJX82" s="16"/>
      <c r="CJY82" s="16"/>
      <c r="CJZ82" s="16"/>
      <c r="CKA82" s="16"/>
      <c r="CKB82" s="16"/>
      <c r="CKC82" s="16"/>
      <c r="CKD82" s="16"/>
      <c r="CKE82" s="16"/>
      <c r="CKF82" s="16"/>
      <c r="CKG82" s="16"/>
      <c r="CKH82" s="16"/>
      <c r="CKI82" s="16"/>
      <c r="CKJ82" s="16"/>
      <c r="CKK82" s="16"/>
      <c r="CKL82" s="16"/>
      <c r="CKM82" s="16"/>
      <c r="CKN82" s="16"/>
      <c r="CKO82" s="16"/>
      <c r="CKP82" s="16"/>
      <c r="CKQ82" s="16"/>
      <c r="CKR82" s="16"/>
      <c r="CKS82" s="16"/>
      <c r="CKT82" s="16"/>
      <c r="CKU82" s="16"/>
      <c r="CKV82" s="16"/>
      <c r="CKW82" s="16"/>
      <c r="CKX82" s="16"/>
      <c r="CKY82" s="16"/>
      <c r="CKZ82" s="16"/>
      <c r="CLA82" s="16"/>
      <c r="CLB82" s="16"/>
      <c r="CLC82" s="16"/>
      <c r="CLD82" s="16"/>
      <c r="CLE82" s="16"/>
      <c r="CLF82" s="16"/>
      <c r="CLG82" s="16"/>
      <c r="CLH82" s="16"/>
      <c r="CLI82" s="16"/>
      <c r="CLJ82" s="16"/>
      <c r="CLK82" s="16"/>
      <c r="CLL82" s="16"/>
      <c r="CLM82" s="16"/>
      <c r="CLN82" s="16"/>
      <c r="CLO82" s="16"/>
      <c r="CLP82" s="16"/>
      <c r="CLQ82" s="16"/>
      <c r="CLR82" s="16"/>
      <c r="CLS82" s="16"/>
      <c r="CLT82" s="16"/>
      <c r="CLU82" s="16"/>
      <c r="CLV82" s="16"/>
      <c r="CLW82" s="16"/>
      <c r="CLX82" s="16"/>
      <c r="CLY82" s="16"/>
      <c r="CLZ82" s="16"/>
      <c r="CMA82" s="16"/>
      <c r="CMB82" s="16"/>
      <c r="CMC82" s="16"/>
      <c r="CMD82" s="16"/>
      <c r="CME82" s="16"/>
      <c r="CMF82" s="16"/>
      <c r="CMG82" s="16"/>
      <c r="CMH82" s="16"/>
      <c r="CMI82" s="16"/>
      <c r="CMJ82" s="16"/>
      <c r="CMK82" s="16"/>
      <c r="CML82" s="16"/>
      <c r="CMM82" s="16"/>
      <c r="CMN82" s="16"/>
      <c r="CMO82" s="16"/>
      <c r="CMP82" s="16"/>
      <c r="CMQ82" s="16"/>
      <c r="CMR82" s="16"/>
      <c r="CMS82" s="16"/>
      <c r="CMT82" s="16"/>
      <c r="CMU82" s="16"/>
      <c r="CMV82" s="16"/>
      <c r="CMW82" s="16"/>
      <c r="CMX82" s="16"/>
      <c r="CMY82" s="16"/>
      <c r="CMZ82" s="16"/>
      <c r="CNA82" s="16"/>
      <c r="CNB82" s="16"/>
      <c r="CNC82" s="16"/>
      <c r="CND82" s="16"/>
      <c r="CNE82" s="16"/>
      <c r="CNF82" s="16"/>
      <c r="CNG82" s="16"/>
      <c r="CNH82" s="16"/>
      <c r="CNI82" s="16"/>
      <c r="CNJ82" s="16"/>
      <c r="CNK82" s="16"/>
      <c r="CNL82" s="16"/>
      <c r="CNM82" s="16"/>
      <c r="CNN82" s="16"/>
      <c r="CNO82" s="16"/>
      <c r="CNP82" s="16"/>
      <c r="CNQ82" s="16"/>
      <c r="CNR82" s="16"/>
      <c r="CNS82" s="16"/>
      <c r="CNT82" s="16"/>
      <c r="CNU82" s="16"/>
      <c r="CNV82" s="16"/>
      <c r="CNW82" s="16"/>
      <c r="CNX82" s="16"/>
      <c r="CNY82" s="16"/>
      <c r="CNZ82" s="16"/>
      <c r="COA82" s="16"/>
      <c r="COB82" s="16"/>
      <c r="COC82" s="16"/>
      <c r="COD82" s="16"/>
      <c r="COE82" s="16"/>
      <c r="COF82" s="16"/>
      <c r="COG82" s="16"/>
      <c r="COH82" s="16"/>
      <c r="COI82" s="16"/>
      <c r="COJ82" s="16"/>
      <c r="COK82" s="16"/>
      <c r="COL82" s="16"/>
      <c r="COM82" s="16"/>
      <c r="CON82" s="16"/>
      <c r="COO82" s="16"/>
      <c r="COP82" s="16"/>
      <c r="COQ82" s="16"/>
      <c r="COR82" s="16"/>
      <c r="COS82" s="16"/>
      <c r="COT82" s="16"/>
      <c r="COU82" s="16"/>
      <c r="COV82" s="16"/>
      <c r="COW82" s="16"/>
      <c r="COX82" s="16"/>
      <c r="COY82" s="16"/>
      <c r="COZ82" s="16"/>
      <c r="CPA82" s="16"/>
      <c r="CPB82" s="16"/>
      <c r="CPC82" s="16"/>
      <c r="CPD82" s="16"/>
      <c r="CPE82" s="16"/>
      <c r="CPF82" s="16"/>
      <c r="CPG82" s="16"/>
      <c r="CPH82" s="16"/>
      <c r="CPI82" s="16"/>
      <c r="CPJ82" s="16"/>
      <c r="CPK82" s="16"/>
      <c r="CPL82" s="16"/>
      <c r="CPM82" s="16"/>
      <c r="CPN82" s="16"/>
      <c r="CPO82" s="16"/>
      <c r="CPP82" s="16"/>
      <c r="CPQ82" s="16"/>
      <c r="CPR82" s="16"/>
      <c r="CPS82" s="16"/>
      <c r="CPT82" s="16"/>
      <c r="CPU82" s="16"/>
      <c r="CPV82" s="16"/>
      <c r="CPW82" s="16"/>
      <c r="CPX82" s="16"/>
      <c r="CPY82" s="16"/>
      <c r="CPZ82" s="16"/>
      <c r="CQA82" s="16"/>
      <c r="CQB82" s="16"/>
      <c r="CQC82" s="16"/>
      <c r="CQD82" s="16"/>
      <c r="CQE82" s="16"/>
      <c r="CQF82" s="16"/>
      <c r="CQG82" s="16"/>
      <c r="CQH82" s="16"/>
      <c r="CQI82" s="16"/>
      <c r="CQJ82" s="16"/>
      <c r="CQK82" s="16"/>
      <c r="CQL82" s="16"/>
      <c r="CQM82" s="16"/>
      <c r="CQN82" s="16"/>
      <c r="CQO82" s="16"/>
      <c r="CQP82" s="16"/>
      <c r="CQQ82" s="16"/>
      <c r="CQR82" s="16"/>
      <c r="CQS82" s="16"/>
      <c r="CQT82" s="16"/>
      <c r="CQU82" s="16"/>
      <c r="CQV82" s="16"/>
      <c r="CQW82" s="16"/>
      <c r="CQX82" s="16"/>
      <c r="CQY82" s="16"/>
      <c r="CQZ82" s="16"/>
      <c r="CRA82" s="16"/>
      <c r="CRB82" s="16"/>
      <c r="CRC82" s="16"/>
      <c r="CRD82" s="16"/>
      <c r="CRE82" s="16"/>
      <c r="CRF82" s="16"/>
      <c r="CRG82" s="16"/>
      <c r="CRH82" s="16"/>
      <c r="CRI82" s="16"/>
      <c r="CRJ82" s="16"/>
      <c r="CRK82" s="16"/>
      <c r="CRL82" s="16"/>
      <c r="CRM82" s="16"/>
      <c r="CRN82" s="16"/>
      <c r="CRO82" s="16"/>
      <c r="CRP82" s="16"/>
      <c r="CRQ82" s="16"/>
      <c r="CRR82" s="16"/>
      <c r="CRS82" s="16"/>
      <c r="CRT82" s="16"/>
      <c r="CRU82" s="16"/>
      <c r="CRV82" s="16"/>
      <c r="CRW82" s="16"/>
      <c r="CRX82" s="16"/>
      <c r="CRY82" s="16"/>
      <c r="CRZ82" s="16"/>
      <c r="CSA82" s="16"/>
      <c r="CSB82" s="16"/>
      <c r="CSC82" s="16"/>
      <c r="CSD82" s="16"/>
      <c r="CSE82" s="16"/>
      <c r="CSF82" s="16"/>
      <c r="CSG82" s="16"/>
      <c r="CSH82" s="16"/>
      <c r="CSI82" s="16"/>
      <c r="CSJ82" s="16"/>
      <c r="CSK82" s="24"/>
      <c r="CSL82" s="16"/>
      <c r="CSM82" s="16"/>
      <c r="CSN82" s="16"/>
      <c r="CSO82" s="16"/>
      <c r="CSP82" s="16"/>
      <c r="CUG82" s="16"/>
      <c r="CUH82" s="16"/>
      <c r="CUI82" s="16"/>
      <c r="CUJ82" s="16"/>
      <c r="CUK82" s="16"/>
      <c r="CUL82" s="16"/>
      <c r="CUM82" s="16"/>
      <c r="CUN82" s="16"/>
      <c r="CUO82" s="16"/>
      <c r="CUP82" s="16"/>
      <c r="CUQ82" s="16"/>
      <c r="CUR82" s="16"/>
      <c r="CUS82" s="16"/>
      <c r="CUT82" s="16"/>
      <c r="CUU82" s="16"/>
      <c r="CUV82" s="16"/>
      <c r="CUW82" s="16"/>
      <c r="CUX82" s="16"/>
      <c r="CUY82" s="16"/>
      <c r="CUZ82" s="16"/>
      <c r="CVA82" s="16"/>
      <c r="CVB82" s="16"/>
      <c r="CVC82" s="16"/>
      <c r="CVD82" s="16"/>
      <c r="CVE82" s="16"/>
      <c r="CVF82" s="16"/>
      <c r="CVG82" s="16"/>
      <c r="CVH82" s="16"/>
      <c r="CVI82" s="16"/>
      <c r="CVJ82" s="16"/>
      <c r="CVK82" s="16"/>
      <c r="CVL82" s="16"/>
      <c r="CVM82" s="16"/>
      <c r="CVN82" s="16"/>
      <c r="CVO82" s="16"/>
      <c r="CVP82" s="16"/>
    </row>
    <row r="83" spans="3:2616" ht="13.8" x14ac:dyDescent="0.25">
      <c r="C83" s="57"/>
      <c r="E83" s="16"/>
      <c r="K83" s="59"/>
      <c r="L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  <c r="AKC83" s="16"/>
      <c r="AKD83" s="16"/>
      <c r="AKE83" s="16"/>
      <c r="AKF83" s="16"/>
      <c r="AKG83" s="16"/>
      <c r="AKH83" s="16"/>
      <c r="AKI83" s="16"/>
      <c r="AKJ83" s="16"/>
      <c r="AKK83" s="16"/>
      <c r="AKL83" s="16"/>
      <c r="AKM83" s="16"/>
      <c r="AKN83" s="16"/>
      <c r="AKO83" s="16"/>
      <c r="AKP83" s="16"/>
      <c r="AKQ83" s="16"/>
      <c r="AKR83" s="16"/>
      <c r="AKS83" s="16"/>
      <c r="AKT83" s="16"/>
      <c r="AKU83" s="16"/>
      <c r="AKV83" s="16"/>
      <c r="AKW83" s="16"/>
      <c r="AKX83" s="16"/>
      <c r="AKY83" s="16"/>
      <c r="AKZ83" s="16"/>
      <c r="ALA83" s="16"/>
      <c r="ALB83" s="16"/>
      <c r="ALC83" s="16"/>
      <c r="ALD83" s="16"/>
      <c r="ALE83" s="16"/>
      <c r="ALF83" s="16"/>
      <c r="ALG83" s="16"/>
      <c r="ALH83" s="16"/>
      <c r="ALI83" s="16"/>
      <c r="ALJ83" s="16"/>
      <c r="ALK83" s="16"/>
      <c r="ALL83" s="16"/>
      <c r="ALM83" s="16"/>
      <c r="ALN83" s="16"/>
      <c r="ALO83" s="16"/>
      <c r="ALP83" s="16"/>
      <c r="ALQ83" s="16"/>
      <c r="ALR83" s="16"/>
      <c r="ALS83" s="16"/>
      <c r="ALT83" s="16"/>
      <c r="ALU83" s="16"/>
      <c r="ALV83" s="16"/>
      <c r="ALW83" s="16"/>
      <c r="ALX83" s="16"/>
      <c r="ALY83" s="16"/>
      <c r="ALZ83" s="16"/>
      <c r="AMA83" s="16"/>
      <c r="AMB83" s="16"/>
      <c r="AMC83" s="16"/>
      <c r="AMD83" s="16"/>
      <c r="AME83" s="16"/>
      <c r="AMF83" s="16"/>
      <c r="AMG83" s="16"/>
      <c r="AMH83" s="16"/>
      <c r="AMI83" s="16"/>
      <c r="AMJ83" s="16"/>
      <c r="AMK83" s="16"/>
      <c r="AML83" s="16"/>
      <c r="AMM83" s="16"/>
      <c r="AMN83" s="16"/>
      <c r="AMO83" s="16"/>
      <c r="AMP83" s="16"/>
      <c r="AMQ83" s="16"/>
      <c r="AMR83" s="16"/>
      <c r="AMS83" s="16"/>
      <c r="AMT83" s="16"/>
      <c r="AMU83" s="16"/>
      <c r="AMV83" s="16"/>
      <c r="AMW83" s="16"/>
      <c r="AMX83" s="16"/>
      <c r="AMY83" s="16"/>
      <c r="AMZ83" s="16"/>
      <c r="ANA83" s="16"/>
      <c r="ANB83" s="16"/>
      <c r="ANC83" s="16"/>
      <c r="AND83" s="16"/>
      <c r="ANE83" s="16"/>
      <c r="ANF83" s="16"/>
      <c r="ANG83" s="16"/>
      <c r="ANH83" s="16"/>
      <c r="ANI83" s="16"/>
      <c r="ANJ83" s="16"/>
      <c r="ANK83" s="16"/>
      <c r="ANL83" s="16"/>
      <c r="ANM83" s="16"/>
      <c r="ANN83" s="16"/>
      <c r="ANO83" s="16"/>
      <c r="ANP83" s="16"/>
      <c r="ANQ83" s="16"/>
      <c r="ANR83" s="16"/>
      <c r="ANS83" s="16"/>
      <c r="ANT83" s="16"/>
      <c r="ANU83" s="16"/>
      <c r="ANV83" s="16"/>
      <c r="ANW83" s="16"/>
      <c r="ANX83" s="16"/>
      <c r="ANY83" s="16"/>
      <c r="ANZ83" s="16"/>
      <c r="AOA83" s="16"/>
      <c r="AOB83" s="16"/>
      <c r="AOC83" s="16"/>
      <c r="AOD83" s="16"/>
      <c r="AOE83" s="16"/>
      <c r="AOF83" s="16"/>
      <c r="AOG83" s="16"/>
      <c r="AOH83" s="16"/>
      <c r="AOI83" s="16"/>
      <c r="AOJ83" s="16"/>
      <c r="AOK83" s="16"/>
      <c r="AOL83" s="16"/>
      <c r="AOM83" s="16"/>
      <c r="AON83" s="16"/>
      <c r="AOO83" s="16"/>
      <c r="AOP83" s="16"/>
      <c r="AOQ83" s="16"/>
      <c r="AOR83" s="16"/>
      <c r="AOS83" s="16"/>
      <c r="AOT83" s="16"/>
      <c r="AOU83" s="16"/>
      <c r="AOV83" s="16"/>
      <c r="AOW83" s="16"/>
      <c r="AOX83" s="16"/>
      <c r="AOY83" s="16"/>
      <c r="AOZ83" s="16"/>
      <c r="APA83" s="16"/>
      <c r="APB83" s="16"/>
      <c r="APC83" s="16"/>
      <c r="APD83" s="16"/>
      <c r="APE83" s="16"/>
      <c r="APF83" s="16"/>
      <c r="APG83" s="16"/>
      <c r="APH83" s="16"/>
      <c r="API83" s="16"/>
      <c r="APJ83" s="16"/>
      <c r="APK83" s="16"/>
      <c r="APL83" s="16"/>
      <c r="APM83" s="16"/>
      <c r="APN83" s="16"/>
      <c r="APO83" s="16"/>
      <c r="APP83" s="16"/>
      <c r="APQ83" s="16"/>
      <c r="APR83" s="16"/>
      <c r="APS83" s="16"/>
      <c r="APT83" s="16"/>
      <c r="APU83" s="16"/>
      <c r="APV83" s="16"/>
      <c r="APW83" s="16"/>
      <c r="APX83" s="16"/>
      <c r="APY83" s="16"/>
      <c r="APZ83" s="16"/>
      <c r="AQA83" s="16"/>
      <c r="AQB83" s="16"/>
      <c r="AQC83" s="16"/>
      <c r="AQD83" s="16"/>
      <c r="AQE83" s="16"/>
      <c r="AQF83" s="16"/>
      <c r="AQG83" s="16"/>
      <c r="AQH83" s="16"/>
      <c r="AQI83" s="16"/>
      <c r="AQJ83" s="16"/>
      <c r="AQK83" s="16"/>
      <c r="AQL83" s="16"/>
      <c r="AQM83" s="16"/>
      <c r="AQN83" s="16"/>
      <c r="AQO83" s="16"/>
      <c r="AQP83" s="16"/>
      <c r="AQQ83" s="16"/>
      <c r="AQR83" s="16"/>
      <c r="AQS83" s="16"/>
      <c r="AQT83" s="16"/>
      <c r="AQU83" s="16"/>
      <c r="AQV83" s="16"/>
      <c r="AQW83" s="16"/>
      <c r="AQX83" s="16"/>
      <c r="AQY83" s="16"/>
      <c r="AQZ83" s="16"/>
      <c r="ARA83" s="16"/>
      <c r="ARB83" s="16"/>
      <c r="ARC83" s="16"/>
      <c r="ARD83" s="16"/>
      <c r="ARE83" s="16"/>
      <c r="ARF83" s="16"/>
      <c r="ARG83" s="16"/>
      <c r="ARH83" s="16"/>
      <c r="ARI83" s="16"/>
      <c r="ARJ83" s="16"/>
      <c r="ARK83" s="16"/>
      <c r="ARL83" s="16"/>
      <c r="ARM83" s="16"/>
      <c r="ARN83" s="16"/>
      <c r="ARO83" s="16"/>
      <c r="ARP83" s="16"/>
      <c r="ARQ83" s="16"/>
      <c r="ARR83" s="16"/>
      <c r="ARS83" s="16"/>
      <c r="ART83" s="16"/>
      <c r="ARU83" s="16"/>
      <c r="ARV83" s="16"/>
      <c r="ARW83" s="16"/>
      <c r="ARX83" s="16"/>
      <c r="ARY83" s="16"/>
      <c r="ARZ83" s="16"/>
      <c r="ASA83" s="16"/>
      <c r="ASB83" s="16"/>
      <c r="ASC83" s="16"/>
      <c r="ASD83" s="16"/>
      <c r="ASE83" s="16"/>
      <c r="ASF83" s="16"/>
      <c r="ASG83" s="16"/>
      <c r="ASH83" s="16"/>
      <c r="ASI83" s="16"/>
      <c r="ASJ83" s="16"/>
      <c r="ASK83" s="16"/>
      <c r="ASL83" s="16"/>
      <c r="ASM83" s="16"/>
      <c r="ASN83" s="16"/>
      <c r="ASO83" s="16"/>
      <c r="ASP83" s="16"/>
      <c r="ASQ83" s="16"/>
      <c r="ASR83" s="16"/>
      <c r="ASS83" s="16"/>
      <c r="AST83" s="16"/>
      <c r="ASU83" s="16"/>
      <c r="ASV83" s="16"/>
      <c r="ASW83" s="16"/>
      <c r="ASX83" s="16"/>
      <c r="ASY83" s="16"/>
      <c r="ASZ83" s="16"/>
      <c r="ATA83" s="16"/>
      <c r="ATB83" s="16"/>
      <c r="ATC83" s="16"/>
      <c r="ATD83" s="16"/>
      <c r="ATE83" s="16"/>
      <c r="ATF83" s="16"/>
      <c r="ATG83" s="16"/>
      <c r="ATH83" s="16"/>
      <c r="ATI83" s="16"/>
      <c r="ATJ83" s="16"/>
      <c r="ATK83" s="16"/>
      <c r="ATL83" s="16"/>
      <c r="ATM83" s="16"/>
      <c r="ATN83" s="16"/>
      <c r="ATO83" s="16"/>
      <c r="ATP83" s="16"/>
      <c r="ATQ83" s="16"/>
      <c r="ATR83" s="16"/>
      <c r="ATS83" s="16"/>
      <c r="ATT83" s="16"/>
      <c r="ATU83" s="16"/>
      <c r="ATV83" s="16"/>
      <c r="ATW83" s="16"/>
      <c r="ATX83" s="16"/>
      <c r="ATY83" s="16"/>
      <c r="ATZ83" s="16"/>
      <c r="AUA83" s="16"/>
      <c r="AUB83" s="16"/>
      <c r="AUC83" s="16"/>
      <c r="AUD83" s="16"/>
      <c r="AUE83" s="16"/>
      <c r="AUF83" s="16"/>
      <c r="AUG83" s="16"/>
      <c r="AUH83" s="16"/>
      <c r="AUI83" s="16"/>
      <c r="AUJ83" s="16"/>
      <c r="AUK83" s="16"/>
      <c r="AUL83" s="16"/>
      <c r="AUM83" s="16"/>
      <c r="AUN83" s="16"/>
      <c r="AUO83" s="16"/>
      <c r="AUP83" s="16"/>
      <c r="AUQ83" s="16"/>
      <c r="AUR83" s="16"/>
      <c r="AUS83" s="16"/>
      <c r="AUT83" s="16"/>
      <c r="AUU83" s="16"/>
      <c r="AUV83" s="16"/>
      <c r="AUW83" s="16"/>
      <c r="AUX83" s="16"/>
      <c r="AUY83" s="16"/>
      <c r="AUZ83" s="16"/>
      <c r="AVA83" s="16"/>
      <c r="AVB83" s="16"/>
      <c r="AVC83" s="16"/>
      <c r="AVD83" s="16"/>
      <c r="AVE83" s="16"/>
      <c r="AVF83" s="16"/>
      <c r="AVG83" s="16"/>
      <c r="AVH83" s="16"/>
      <c r="AVI83" s="16"/>
      <c r="AVJ83" s="16"/>
      <c r="AVK83" s="16"/>
      <c r="AVL83" s="16"/>
      <c r="AVM83" s="16"/>
      <c r="AVN83" s="16"/>
      <c r="AVO83" s="16"/>
      <c r="AVP83" s="16"/>
      <c r="AVQ83" s="16"/>
      <c r="AVR83" s="16"/>
      <c r="AVS83" s="16"/>
      <c r="AVT83" s="16"/>
      <c r="AVU83" s="16"/>
      <c r="AVV83" s="16"/>
      <c r="AVW83" s="16"/>
      <c r="AVX83" s="16"/>
      <c r="AVY83" s="16"/>
      <c r="AVZ83" s="16"/>
      <c r="AWA83" s="16"/>
      <c r="AWB83" s="16"/>
      <c r="AWC83" s="16"/>
      <c r="AWD83" s="16"/>
      <c r="AWE83" s="16"/>
      <c r="AWF83" s="16"/>
      <c r="AWG83" s="16"/>
      <c r="AWH83" s="16"/>
      <c r="AWI83" s="16"/>
      <c r="AWJ83" s="16"/>
      <c r="AWK83" s="16"/>
      <c r="AWL83" s="16"/>
      <c r="AWM83" s="16"/>
      <c r="AWN83" s="16"/>
      <c r="AWO83" s="16"/>
      <c r="AWP83" s="16"/>
      <c r="AWQ83" s="16"/>
      <c r="AWR83" s="16"/>
      <c r="AWS83" s="16"/>
      <c r="AWT83" s="16"/>
      <c r="AWU83" s="16"/>
      <c r="AWV83" s="16"/>
      <c r="AWW83" s="16"/>
      <c r="AWX83" s="16"/>
      <c r="AWY83" s="16"/>
      <c r="AWZ83" s="16"/>
      <c r="AXA83" s="16"/>
      <c r="AXB83" s="16"/>
      <c r="AXC83" s="16"/>
      <c r="AXD83" s="16"/>
      <c r="AXE83" s="16"/>
      <c r="AXF83" s="16"/>
      <c r="AXG83" s="16"/>
      <c r="AXH83" s="16"/>
      <c r="AXI83" s="16"/>
      <c r="AXJ83" s="16"/>
      <c r="AXK83" s="16"/>
      <c r="AXL83" s="16"/>
      <c r="AXM83" s="16"/>
      <c r="AXN83" s="16"/>
      <c r="AXO83" s="16"/>
      <c r="AXP83" s="16"/>
      <c r="AXQ83" s="16"/>
      <c r="AXR83" s="16"/>
      <c r="AXS83" s="16"/>
      <c r="AXT83" s="16"/>
      <c r="AXU83" s="16"/>
      <c r="AXV83" s="16"/>
      <c r="AXW83" s="16"/>
      <c r="AXX83" s="16"/>
      <c r="AXY83" s="16"/>
      <c r="AXZ83" s="16"/>
      <c r="AYA83" s="16"/>
      <c r="AYB83" s="16"/>
      <c r="AYC83" s="16"/>
      <c r="AYD83" s="16"/>
      <c r="AYE83" s="16"/>
      <c r="AYF83" s="16"/>
      <c r="AYG83" s="16"/>
      <c r="AYH83" s="16"/>
      <c r="AYI83" s="16"/>
      <c r="AYJ83" s="16"/>
      <c r="AYK83" s="16"/>
      <c r="AYL83" s="16"/>
      <c r="AYM83" s="16"/>
      <c r="AYN83" s="16"/>
      <c r="AYO83" s="16"/>
      <c r="AYP83" s="16"/>
      <c r="AYQ83" s="16"/>
      <c r="AYR83" s="16"/>
      <c r="AYS83" s="16"/>
      <c r="AYT83" s="16"/>
      <c r="AYU83" s="16"/>
      <c r="AYV83" s="16"/>
      <c r="AYW83" s="16"/>
      <c r="AYX83" s="16"/>
      <c r="AYY83" s="16"/>
      <c r="AYZ83" s="16"/>
      <c r="AZA83" s="16"/>
      <c r="AZB83" s="16"/>
      <c r="AZC83" s="16"/>
      <c r="AZD83" s="16"/>
      <c r="AZE83" s="16"/>
      <c r="AZF83" s="16"/>
      <c r="AZG83" s="16"/>
      <c r="AZH83" s="16"/>
      <c r="AZI83" s="16"/>
      <c r="AZJ83" s="16"/>
      <c r="AZK83" s="16"/>
      <c r="AZL83" s="16"/>
      <c r="AZM83" s="16"/>
      <c r="AZN83" s="16"/>
      <c r="AZO83" s="16"/>
      <c r="AZP83" s="16"/>
      <c r="AZQ83" s="16"/>
      <c r="AZR83" s="16"/>
      <c r="AZS83" s="16"/>
      <c r="AZT83" s="16"/>
      <c r="AZU83" s="16"/>
      <c r="AZV83" s="16"/>
      <c r="AZW83" s="16"/>
      <c r="AZX83" s="16"/>
      <c r="AZY83" s="16"/>
      <c r="AZZ83" s="16"/>
      <c r="BAA83" s="16"/>
      <c r="BAB83" s="16"/>
      <c r="BAC83" s="16"/>
      <c r="BAD83" s="16"/>
      <c r="BAE83" s="16"/>
      <c r="BAF83" s="16"/>
      <c r="BAG83" s="16"/>
      <c r="BAH83" s="16"/>
      <c r="BAI83" s="16"/>
      <c r="BAJ83" s="16"/>
      <c r="BAK83" s="16"/>
      <c r="BAL83" s="16"/>
      <c r="BAM83" s="16"/>
      <c r="BAN83" s="16"/>
      <c r="BAO83" s="16"/>
      <c r="BAP83" s="16"/>
      <c r="BAQ83" s="16"/>
      <c r="BAR83" s="16"/>
      <c r="BAS83" s="16"/>
      <c r="BAT83" s="16"/>
      <c r="BAU83" s="16"/>
      <c r="BAV83" s="16"/>
      <c r="BAW83" s="16"/>
      <c r="BAX83" s="16"/>
      <c r="BAY83" s="16"/>
      <c r="BAZ83" s="16"/>
      <c r="BBA83" s="16"/>
      <c r="BBB83" s="16"/>
      <c r="BBC83" s="16"/>
      <c r="BBD83" s="16"/>
      <c r="BBE83" s="16"/>
      <c r="BBF83" s="16"/>
      <c r="BBG83" s="16"/>
      <c r="BBH83" s="16"/>
      <c r="BBI83" s="16"/>
      <c r="BBJ83" s="16"/>
      <c r="BBK83" s="16"/>
      <c r="BBL83" s="16"/>
      <c r="BBM83" s="16"/>
      <c r="BBN83" s="16"/>
      <c r="BBO83" s="16"/>
      <c r="BBP83" s="16"/>
      <c r="BBQ83" s="16"/>
      <c r="BBR83" s="16"/>
      <c r="BBS83" s="16"/>
      <c r="BBT83" s="16"/>
      <c r="BBU83" s="16"/>
      <c r="BBV83" s="16"/>
      <c r="BBW83" s="16"/>
      <c r="BBX83" s="16"/>
      <c r="BBY83" s="16"/>
      <c r="BBZ83" s="16"/>
      <c r="BCA83" s="16"/>
      <c r="BCB83" s="16"/>
      <c r="BCC83" s="16"/>
      <c r="BCD83" s="16"/>
      <c r="BCE83" s="16"/>
      <c r="BCF83" s="16"/>
      <c r="BCG83" s="16"/>
      <c r="BCH83" s="16"/>
      <c r="BCI83" s="16"/>
      <c r="BCJ83" s="16"/>
      <c r="BCK83" s="16"/>
      <c r="BCL83" s="16"/>
      <c r="BCM83" s="16"/>
      <c r="BCN83" s="16"/>
      <c r="BCO83" s="16"/>
      <c r="BCP83" s="16"/>
      <c r="BCQ83" s="16"/>
      <c r="BCR83" s="16"/>
      <c r="BCS83" s="16"/>
      <c r="BCT83" s="16"/>
      <c r="BCU83" s="16"/>
      <c r="BCV83" s="16"/>
      <c r="BCW83" s="16"/>
      <c r="BCX83" s="16"/>
      <c r="BCY83" s="16"/>
      <c r="BCZ83" s="16"/>
      <c r="BDA83" s="16"/>
      <c r="BDB83" s="16"/>
      <c r="BDC83" s="16"/>
      <c r="BDD83" s="16"/>
      <c r="BDE83" s="16"/>
      <c r="BDF83" s="16"/>
      <c r="BDG83" s="16"/>
      <c r="BDH83" s="16"/>
      <c r="BDI83" s="16"/>
      <c r="BDJ83" s="16"/>
      <c r="BDK83" s="16"/>
      <c r="BDL83" s="16"/>
      <c r="BDM83" s="16"/>
      <c r="BDN83" s="16"/>
      <c r="BDO83" s="16"/>
      <c r="BDP83" s="16"/>
      <c r="BDQ83" s="16"/>
      <c r="BDR83" s="16"/>
      <c r="BDS83" s="16"/>
      <c r="BDT83" s="16"/>
      <c r="BDU83" s="16"/>
      <c r="BDV83" s="16"/>
      <c r="BDW83" s="16"/>
      <c r="BDX83" s="16"/>
      <c r="BDY83" s="16"/>
      <c r="BDZ83" s="16"/>
      <c r="BEA83" s="16"/>
      <c r="BEB83" s="16"/>
      <c r="BEC83" s="16"/>
      <c r="BED83" s="16"/>
      <c r="BEE83" s="16"/>
      <c r="BEF83" s="16"/>
      <c r="BEG83" s="16"/>
      <c r="BEH83" s="16"/>
      <c r="BEI83" s="16"/>
      <c r="BEJ83" s="16"/>
      <c r="BEK83" s="16"/>
      <c r="BEL83" s="16"/>
      <c r="BEM83" s="16"/>
      <c r="BEN83" s="16"/>
      <c r="BEO83" s="16"/>
      <c r="BEP83" s="16"/>
      <c r="BEQ83" s="16"/>
      <c r="BER83" s="16"/>
      <c r="BES83" s="16"/>
      <c r="BET83" s="16"/>
      <c r="BEU83" s="16"/>
      <c r="BEV83" s="16"/>
      <c r="BEW83" s="16"/>
      <c r="BEX83" s="16"/>
      <c r="BEY83" s="16"/>
      <c r="BEZ83" s="16"/>
      <c r="BFA83" s="16"/>
      <c r="BFB83" s="16"/>
      <c r="BFC83" s="16"/>
      <c r="BFD83" s="16"/>
      <c r="BFE83" s="16"/>
      <c r="BFF83" s="16"/>
      <c r="BFG83" s="16"/>
      <c r="BFH83" s="16"/>
      <c r="BFI83" s="16"/>
      <c r="BFJ83" s="16"/>
      <c r="BFK83" s="16"/>
      <c r="BFL83" s="16"/>
      <c r="BFM83" s="16"/>
      <c r="BFN83" s="16"/>
      <c r="BFO83" s="16"/>
      <c r="BFP83" s="16"/>
      <c r="BFQ83" s="16"/>
      <c r="BFR83" s="16"/>
      <c r="BFS83" s="16"/>
      <c r="BFT83" s="16"/>
      <c r="BFU83" s="16"/>
      <c r="BFV83" s="16"/>
      <c r="BFW83" s="16"/>
      <c r="BFX83" s="16"/>
      <c r="BFY83" s="16"/>
      <c r="BFZ83" s="16"/>
      <c r="BGA83" s="16"/>
      <c r="BGB83" s="16"/>
      <c r="BGC83" s="16"/>
      <c r="BGD83" s="16"/>
      <c r="BGE83" s="16"/>
      <c r="BGF83" s="16"/>
      <c r="BGG83" s="16"/>
      <c r="BGH83" s="16"/>
      <c r="BGI83" s="16"/>
      <c r="BGJ83" s="16"/>
      <c r="BGK83" s="16"/>
      <c r="BGL83" s="16"/>
      <c r="BGM83" s="16"/>
      <c r="BGN83" s="16"/>
      <c r="BGO83" s="16"/>
      <c r="BGP83" s="16"/>
      <c r="BGQ83" s="16"/>
      <c r="BGR83" s="16"/>
      <c r="BGS83" s="16"/>
      <c r="BGT83" s="16"/>
      <c r="BGU83" s="16"/>
      <c r="BGV83" s="16"/>
      <c r="BGW83" s="16"/>
      <c r="BGX83" s="16"/>
      <c r="BGY83" s="16"/>
      <c r="BGZ83" s="16"/>
      <c r="BHA83" s="16"/>
      <c r="BHB83" s="16"/>
      <c r="BHC83" s="16"/>
      <c r="BHD83" s="16"/>
      <c r="BHE83" s="16"/>
      <c r="BHF83" s="16"/>
      <c r="BHG83" s="16"/>
      <c r="BHH83" s="16"/>
      <c r="BHI83" s="16"/>
      <c r="BHJ83" s="16"/>
      <c r="BHK83" s="16"/>
      <c r="BHL83" s="16"/>
      <c r="BHM83" s="16"/>
      <c r="BHN83" s="16"/>
      <c r="BHO83" s="16"/>
      <c r="BHP83" s="16"/>
      <c r="BHQ83" s="16"/>
      <c r="BHR83" s="16"/>
      <c r="BHS83" s="16"/>
      <c r="BHT83" s="16"/>
      <c r="BHU83" s="16"/>
      <c r="BHV83" s="16"/>
      <c r="BHW83" s="16"/>
      <c r="BHX83" s="16"/>
      <c r="BHY83" s="16"/>
      <c r="BHZ83" s="16"/>
      <c r="BIA83" s="16"/>
      <c r="BIB83" s="16"/>
      <c r="BIC83" s="16"/>
      <c r="BID83" s="16"/>
      <c r="BIE83" s="16"/>
      <c r="BIF83" s="16"/>
      <c r="BIG83" s="16"/>
      <c r="BIH83" s="16"/>
      <c r="BII83" s="16"/>
      <c r="BIJ83" s="16"/>
      <c r="BIK83" s="16"/>
      <c r="BIL83" s="16"/>
      <c r="BIM83" s="16"/>
      <c r="BIN83" s="16"/>
      <c r="BIO83" s="16"/>
      <c r="BIP83" s="16"/>
      <c r="BIQ83" s="16"/>
      <c r="BIR83" s="16"/>
      <c r="BIS83" s="16"/>
      <c r="BIT83" s="16"/>
      <c r="BIU83" s="16"/>
      <c r="BIV83" s="16"/>
      <c r="BIW83" s="16"/>
      <c r="BIX83" s="16"/>
      <c r="BIY83" s="16"/>
      <c r="BIZ83" s="16"/>
      <c r="BJA83" s="16"/>
      <c r="BJB83" s="16"/>
      <c r="BJC83" s="16"/>
      <c r="BJD83" s="16"/>
      <c r="BJE83" s="16"/>
      <c r="BJF83" s="16"/>
      <c r="BJG83" s="16"/>
      <c r="BJH83" s="16"/>
      <c r="BJI83" s="16"/>
      <c r="BJJ83" s="16"/>
      <c r="BJK83" s="16"/>
      <c r="BJL83" s="16"/>
      <c r="BJM83" s="16"/>
      <c r="BJN83" s="16"/>
      <c r="BJO83" s="16"/>
      <c r="BJP83" s="16"/>
      <c r="BJQ83" s="16"/>
      <c r="BJR83" s="16"/>
      <c r="BJS83" s="16"/>
      <c r="BJT83" s="16"/>
      <c r="BJU83" s="16"/>
      <c r="BJV83" s="16"/>
      <c r="BJW83" s="16"/>
      <c r="BJX83" s="16"/>
      <c r="BJY83" s="16"/>
      <c r="BJZ83" s="16"/>
      <c r="BKA83" s="16"/>
      <c r="BKB83" s="16"/>
      <c r="BKC83" s="16"/>
      <c r="BKD83" s="16"/>
      <c r="BKE83" s="16"/>
      <c r="BKF83" s="16"/>
      <c r="BKG83" s="16"/>
      <c r="BKH83" s="16"/>
      <c r="BKI83" s="16"/>
      <c r="BKJ83" s="16"/>
      <c r="BKK83" s="16"/>
      <c r="BKL83" s="16"/>
      <c r="BKM83" s="16"/>
      <c r="BKN83" s="16"/>
      <c r="BKO83" s="16"/>
      <c r="BKP83" s="16"/>
      <c r="BKQ83" s="16"/>
      <c r="BKR83" s="16"/>
      <c r="BKS83" s="16"/>
      <c r="BKT83" s="16"/>
      <c r="BKU83" s="16"/>
      <c r="BKV83" s="16"/>
      <c r="BKW83" s="16"/>
      <c r="BKX83" s="16"/>
      <c r="BKY83" s="16"/>
      <c r="BKZ83" s="16"/>
      <c r="BLA83" s="16"/>
      <c r="BLB83" s="16"/>
      <c r="BLC83" s="16"/>
      <c r="BLD83" s="16"/>
      <c r="BLE83" s="16"/>
      <c r="BLF83" s="16"/>
      <c r="BLG83" s="16"/>
      <c r="BLH83" s="16"/>
      <c r="BLI83" s="16"/>
      <c r="BLJ83" s="16"/>
      <c r="BLK83" s="16"/>
      <c r="BLL83" s="16"/>
      <c r="BLM83" s="16"/>
      <c r="BLN83" s="16"/>
      <c r="BLO83" s="16"/>
      <c r="BLP83" s="16"/>
      <c r="BLQ83" s="16"/>
      <c r="BLR83" s="16"/>
      <c r="BLS83" s="16"/>
      <c r="BLT83" s="16"/>
      <c r="BLU83" s="16"/>
      <c r="BLV83" s="16"/>
      <c r="BLW83" s="16"/>
      <c r="BLX83" s="16"/>
      <c r="BLY83" s="16"/>
      <c r="BLZ83" s="16"/>
      <c r="BMA83" s="16"/>
      <c r="BMB83" s="16"/>
      <c r="BMC83" s="16"/>
      <c r="BMD83" s="16"/>
      <c r="BME83" s="16"/>
      <c r="BMF83" s="16"/>
      <c r="BMG83" s="16"/>
      <c r="BMH83" s="16"/>
      <c r="BMI83" s="16"/>
      <c r="BMJ83" s="16"/>
      <c r="BMK83" s="16"/>
      <c r="BML83" s="16"/>
      <c r="BMM83" s="16"/>
      <c r="BMN83" s="16"/>
      <c r="BMO83" s="16"/>
      <c r="BMP83" s="16"/>
      <c r="BMQ83" s="16"/>
      <c r="BMR83" s="16"/>
      <c r="BMS83" s="16"/>
      <c r="BMT83" s="16"/>
      <c r="BMU83" s="16"/>
      <c r="BMV83" s="16"/>
      <c r="BMW83" s="16"/>
      <c r="BMX83" s="16"/>
      <c r="BMY83" s="16"/>
      <c r="BMZ83" s="16"/>
      <c r="BNA83" s="16"/>
      <c r="BNB83" s="16"/>
      <c r="BNC83" s="16"/>
      <c r="BND83" s="16"/>
      <c r="BNE83" s="16"/>
      <c r="BNF83" s="16"/>
      <c r="BNG83" s="16"/>
      <c r="BNH83" s="16"/>
      <c r="BNI83" s="16"/>
      <c r="BNJ83" s="16"/>
      <c r="BNK83" s="16"/>
      <c r="BNL83" s="16"/>
      <c r="BNM83" s="16"/>
      <c r="BNN83" s="16"/>
      <c r="BNO83" s="16"/>
      <c r="BNP83" s="16"/>
      <c r="BNQ83" s="16"/>
      <c r="BNR83" s="16"/>
      <c r="BNS83" s="16"/>
      <c r="BNT83" s="16"/>
      <c r="BNU83" s="16"/>
      <c r="BNV83" s="16"/>
      <c r="BNW83" s="16"/>
      <c r="BNX83" s="16"/>
      <c r="BNY83" s="16"/>
      <c r="BNZ83" s="16"/>
      <c r="BOA83" s="16"/>
      <c r="BOB83" s="16"/>
      <c r="BOC83" s="16"/>
      <c r="BOD83" s="16"/>
      <c r="BOE83" s="16"/>
      <c r="BOF83" s="16"/>
      <c r="BOG83" s="16"/>
      <c r="BOH83" s="16"/>
      <c r="BOI83" s="16"/>
      <c r="BOJ83" s="16"/>
      <c r="BOK83" s="16"/>
      <c r="BOL83" s="16"/>
      <c r="BOM83" s="16"/>
      <c r="BON83" s="16"/>
      <c r="BOO83" s="16"/>
      <c r="BOP83" s="16"/>
      <c r="BOQ83" s="16"/>
      <c r="BOR83" s="16"/>
      <c r="BOS83" s="16"/>
      <c r="BOT83" s="16"/>
      <c r="BOU83" s="16"/>
      <c r="BOV83" s="16"/>
      <c r="BOW83" s="16"/>
      <c r="BOX83" s="16"/>
      <c r="BOY83" s="16"/>
      <c r="BOZ83" s="16"/>
      <c r="BPA83" s="16"/>
      <c r="BPB83" s="16"/>
      <c r="BPC83" s="16"/>
      <c r="BPD83" s="16"/>
      <c r="BPE83" s="16"/>
      <c r="BPF83" s="16"/>
      <c r="BPG83" s="16"/>
      <c r="BPH83" s="16"/>
      <c r="BPI83" s="16"/>
      <c r="BPJ83" s="16"/>
      <c r="BPK83" s="16"/>
      <c r="BPL83" s="16"/>
      <c r="BPM83" s="16"/>
      <c r="BPN83" s="16"/>
      <c r="BPO83" s="16"/>
      <c r="BPP83" s="16"/>
      <c r="BPQ83" s="16"/>
      <c r="BPR83" s="16"/>
      <c r="BPS83" s="16"/>
      <c r="BPT83" s="16"/>
      <c r="BPU83" s="16"/>
      <c r="BPV83" s="16"/>
      <c r="BPW83" s="16"/>
      <c r="BPX83" s="16"/>
      <c r="BPY83" s="16"/>
      <c r="BPZ83" s="16"/>
      <c r="BQA83" s="16"/>
      <c r="BQB83" s="16"/>
      <c r="BQC83" s="16"/>
      <c r="BQD83" s="16"/>
      <c r="BQE83" s="16"/>
      <c r="BQF83" s="16"/>
      <c r="BQG83" s="16"/>
      <c r="BQH83" s="16"/>
      <c r="BQI83" s="16"/>
      <c r="BQJ83" s="16"/>
      <c r="BQK83" s="16"/>
      <c r="BQL83" s="16"/>
      <c r="BQM83" s="16"/>
      <c r="BQN83" s="16"/>
      <c r="BQO83" s="16"/>
      <c r="BQP83" s="16"/>
      <c r="BQQ83" s="16"/>
      <c r="BQR83" s="16"/>
      <c r="BQS83" s="16"/>
      <c r="BQT83" s="16"/>
      <c r="BQU83" s="16"/>
      <c r="BQV83" s="16"/>
      <c r="BQW83" s="16"/>
      <c r="BQX83" s="16"/>
      <c r="BQY83" s="16"/>
      <c r="BQZ83" s="16"/>
      <c r="BRA83" s="16"/>
      <c r="BRB83" s="16"/>
      <c r="BRC83" s="16"/>
      <c r="BRD83" s="16"/>
      <c r="BRE83" s="16"/>
      <c r="BRF83" s="16"/>
      <c r="BRG83" s="16"/>
      <c r="BRH83" s="16"/>
      <c r="BRI83" s="16"/>
      <c r="BRJ83" s="16"/>
      <c r="BRK83" s="16"/>
      <c r="BRL83" s="16"/>
      <c r="BRM83" s="16"/>
      <c r="BRN83" s="16"/>
      <c r="BRO83" s="16"/>
      <c r="BRP83" s="16"/>
      <c r="BRQ83" s="16"/>
      <c r="BRR83" s="16"/>
      <c r="BRS83" s="16"/>
      <c r="BRT83" s="16"/>
      <c r="BRU83" s="16"/>
      <c r="BRV83" s="16"/>
      <c r="BRW83" s="16"/>
      <c r="BRX83" s="16"/>
      <c r="BRY83" s="16"/>
      <c r="BRZ83" s="16"/>
      <c r="BSA83" s="16"/>
      <c r="BSB83" s="16"/>
      <c r="BSC83" s="16"/>
      <c r="BSD83" s="16"/>
      <c r="BSE83" s="16"/>
      <c r="BSF83" s="16"/>
      <c r="BSG83" s="16"/>
      <c r="BSH83" s="16"/>
      <c r="BSI83" s="16"/>
      <c r="BSJ83" s="16"/>
      <c r="BSK83" s="16"/>
      <c r="BSL83" s="16"/>
      <c r="BSM83" s="16"/>
      <c r="BSN83" s="16"/>
      <c r="BSO83" s="16"/>
      <c r="BSP83" s="16"/>
      <c r="BSQ83" s="16"/>
      <c r="BSR83" s="16"/>
      <c r="BSS83" s="16"/>
      <c r="BST83" s="16"/>
      <c r="BSU83" s="16"/>
      <c r="BSV83" s="16"/>
      <c r="BSW83" s="16"/>
      <c r="BSX83" s="16"/>
      <c r="BSY83" s="16"/>
      <c r="BSZ83" s="16"/>
      <c r="BTA83" s="16"/>
      <c r="BTB83" s="16"/>
      <c r="BTC83" s="16"/>
      <c r="BTD83" s="16"/>
      <c r="BTE83" s="16"/>
      <c r="BTF83" s="16"/>
      <c r="BTG83" s="16"/>
      <c r="BTH83" s="16"/>
      <c r="BTI83" s="16"/>
      <c r="BTJ83" s="16"/>
      <c r="BTK83" s="16"/>
      <c r="BTL83" s="16"/>
      <c r="BTM83" s="16"/>
      <c r="BTN83" s="16"/>
      <c r="BTO83" s="16"/>
      <c r="BTP83" s="16"/>
      <c r="BTQ83" s="16"/>
      <c r="BTR83" s="16"/>
      <c r="BTS83" s="16"/>
      <c r="BTT83" s="16"/>
      <c r="BTU83" s="16"/>
      <c r="BTV83" s="16"/>
      <c r="BTW83" s="16"/>
      <c r="BTX83" s="16"/>
      <c r="BTY83" s="16"/>
      <c r="BTZ83" s="16"/>
      <c r="BUA83" s="16"/>
      <c r="BUB83" s="16"/>
      <c r="BUC83" s="16"/>
      <c r="BUD83" s="16"/>
      <c r="BUE83" s="16"/>
      <c r="BUF83" s="16"/>
      <c r="BUG83" s="16"/>
      <c r="BUH83" s="16"/>
      <c r="BUI83" s="16"/>
      <c r="BUJ83" s="16"/>
      <c r="BUK83" s="16"/>
      <c r="BUL83" s="16"/>
      <c r="BUM83" s="16"/>
      <c r="BUN83" s="16"/>
      <c r="BUO83" s="16"/>
      <c r="BUP83" s="16"/>
      <c r="BUQ83" s="16"/>
      <c r="BUR83" s="16"/>
      <c r="BUS83" s="16"/>
      <c r="BUT83" s="16"/>
      <c r="BUU83" s="16"/>
      <c r="BUV83" s="16"/>
      <c r="BUW83" s="16"/>
      <c r="BUX83" s="16"/>
      <c r="BUY83" s="16"/>
      <c r="BUZ83" s="16"/>
      <c r="BVA83" s="16"/>
      <c r="BVB83" s="16"/>
      <c r="BVC83" s="16"/>
      <c r="BVD83" s="16"/>
      <c r="BVE83" s="16"/>
      <c r="BVF83" s="16"/>
      <c r="BVG83" s="16"/>
      <c r="BVH83" s="16"/>
      <c r="BVI83" s="16"/>
      <c r="BVJ83" s="16"/>
      <c r="BVK83" s="16"/>
      <c r="BVL83" s="16"/>
      <c r="BVM83" s="16"/>
      <c r="BVN83" s="16"/>
      <c r="BVO83" s="16"/>
      <c r="BVP83" s="16"/>
      <c r="BVQ83" s="16"/>
      <c r="BVR83" s="16"/>
      <c r="BVS83" s="16"/>
      <c r="BVT83" s="16"/>
      <c r="BVU83" s="16"/>
      <c r="BVV83" s="16"/>
      <c r="BVW83" s="16"/>
      <c r="BVX83" s="16"/>
      <c r="BVY83" s="16"/>
      <c r="BVZ83" s="16"/>
      <c r="BWA83" s="16"/>
      <c r="BWB83" s="16"/>
      <c r="BWC83" s="16"/>
      <c r="BWD83" s="16"/>
      <c r="BWE83" s="16"/>
      <c r="BWF83" s="16"/>
      <c r="BWG83" s="16"/>
      <c r="BWH83" s="16"/>
      <c r="BWI83" s="16"/>
      <c r="BWJ83" s="16"/>
      <c r="BWK83" s="16"/>
      <c r="BWL83" s="16"/>
      <c r="BWM83" s="16"/>
      <c r="BWN83" s="16"/>
      <c r="BWO83" s="16"/>
      <c r="BWP83" s="16"/>
      <c r="BWQ83" s="16"/>
      <c r="BWR83" s="16"/>
      <c r="BWS83" s="16"/>
      <c r="BWT83" s="16"/>
      <c r="BWU83" s="16"/>
      <c r="BWV83" s="16"/>
      <c r="BWW83" s="16"/>
      <c r="BWX83" s="16"/>
      <c r="BWY83" s="16"/>
      <c r="BWZ83" s="16"/>
      <c r="BXA83" s="16"/>
      <c r="BXB83" s="16"/>
      <c r="BXC83" s="16"/>
      <c r="BXD83" s="16"/>
      <c r="BXE83" s="16"/>
      <c r="BXF83" s="16"/>
      <c r="BXG83" s="16"/>
      <c r="BXH83" s="16"/>
      <c r="BXI83" s="16"/>
      <c r="BXJ83" s="16"/>
      <c r="BXK83" s="16"/>
      <c r="BXL83" s="16"/>
      <c r="BXM83" s="16"/>
      <c r="BXN83" s="16"/>
      <c r="BXO83" s="16"/>
      <c r="BXP83" s="16"/>
      <c r="BXQ83" s="16"/>
      <c r="BXR83" s="16"/>
      <c r="BXS83" s="16"/>
      <c r="BXT83" s="16"/>
      <c r="BXU83" s="16"/>
      <c r="BXV83" s="16"/>
      <c r="BXW83" s="16"/>
      <c r="BXX83" s="16"/>
      <c r="BXY83" s="16"/>
      <c r="BXZ83" s="16"/>
      <c r="BYA83" s="16"/>
      <c r="BYB83" s="16"/>
      <c r="BYC83" s="16"/>
      <c r="BYD83" s="16"/>
      <c r="BYE83" s="16"/>
      <c r="BYF83" s="16"/>
      <c r="BYG83" s="16"/>
      <c r="BYH83" s="16"/>
      <c r="BYI83" s="16"/>
      <c r="BYJ83" s="16"/>
      <c r="BYK83" s="16"/>
      <c r="BYL83" s="16"/>
      <c r="BYM83" s="16"/>
      <c r="BYN83" s="16"/>
      <c r="BYO83" s="16"/>
      <c r="BYP83" s="16"/>
      <c r="BYQ83" s="16"/>
      <c r="BYR83" s="16"/>
      <c r="BYS83" s="16"/>
      <c r="BYT83" s="16"/>
      <c r="BYU83" s="16"/>
      <c r="BYV83" s="16"/>
      <c r="BYW83" s="16"/>
      <c r="BYX83" s="16"/>
      <c r="BYY83" s="16"/>
      <c r="BYZ83" s="16"/>
      <c r="BZA83" s="16"/>
      <c r="BZB83" s="16"/>
      <c r="BZC83" s="16"/>
      <c r="BZD83" s="16"/>
      <c r="BZE83" s="16"/>
      <c r="BZF83" s="16"/>
      <c r="BZG83" s="16"/>
      <c r="BZH83" s="16"/>
      <c r="BZI83" s="16"/>
      <c r="BZJ83" s="16"/>
      <c r="BZK83" s="16"/>
      <c r="BZL83" s="16"/>
      <c r="BZM83" s="16"/>
      <c r="BZN83" s="16"/>
      <c r="BZO83" s="16"/>
      <c r="BZP83" s="16"/>
      <c r="BZQ83" s="16"/>
      <c r="BZR83" s="16"/>
      <c r="BZS83" s="16"/>
      <c r="BZT83" s="16"/>
      <c r="BZU83" s="16"/>
      <c r="BZV83" s="16"/>
      <c r="BZW83" s="16"/>
      <c r="BZX83" s="16"/>
      <c r="BZY83" s="16"/>
      <c r="BZZ83" s="16"/>
      <c r="CAA83" s="16"/>
      <c r="CAB83" s="16"/>
      <c r="CAC83" s="16"/>
      <c r="CAD83" s="16"/>
      <c r="CAE83" s="16"/>
      <c r="CAF83" s="16"/>
      <c r="CAG83" s="16"/>
      <c r="CAH83" s="16"/>
      <c r="CAI83" s="16"/>
      <c r="CAJ83" s="16"/>
      <c r="CAK83" s="16"/>
      <c r="CAL83" s="16"/>
      <c r="CAM83" s="16"/>
      <c r="CAN83" s="16"/>
      <c r="CAO83" s="16"/>
      <c r="CAP83" s="16"/>
      <c r="CAQ83" s="16"/>
      <c r="CAR83" s="16"/>
      <c r="CAS83" s="16"/>
      <c r="CAT83" s="16"/>
      <c r="CAU83" s="16"/>
      <c r="CAV83" s="16"/>
      <c r="CAW83" s="16"/>
      <c r="CAX83" s="16"/>
      <c r="CAY83" s="16"/>
      <c r="CAZ83" s="16"/>
      <c r="CBA83" s="16"/>
      <c r="CBB83" s="16"/>
      <c r="CBC83" s="16"/>
      <c r="CBD83" s="16"/>
      <c r="CBE83" s="16"/>
      <c r="CBF83" s="16"/>
      <c r="CBG83" s="16"/>
      <c r="CBH83" s="16"/>
      <c r="CBI83" s="16"/>
      <c r="CBJ83" s="16"/>
      <c r="CBK83" s="16"/>
      <c r="CBL83" s="16"/>
      <c r="CBM83" s="16"/>
      <c r="CBN83" s="16"/>
      <c r="CBO83" s="16"/>
      <c r="CBP83" s="16"/>
      <c r="CBQ83" s="16"/>
      <c r="CBR83" s="16"/>
      <c r="CBS83" s="16"/>
      <c r="CBT83" s="16"/>
      <c r="CBU83" s="16"/>
      <c r="CBV83" s="16"/>
      <c r="CBW83" s="16"/>
      <c r="CBX83" s="16"/>
      <c r="CBY83" s="16"/>
      <c r="CBZ83" s="16"/>
      <c r="CCA83" s="16"/>
      <c r="CCB83" s="16"/>
      <c r="CCC83" s="16"/>
      <c r="CCD83" s="16"/>
      <c r="CCE83" s="16"/>
      <c r="CCF83" s="16"/>
      <c r="CCG83" s="16"/>
      <c r="CCH83" s="16"/>
      <c r="CCI83" s="16"/>
      <c r="CCJ83" s="16"/>
      <c r="CCK83" s="16"/>
      <c r="CCL83" s="16"/>
      <c r="CCM83" s="16"/>
      <c r="CCN83" s="16"/>
      <c r="CCO83" s="16"/>
      <c r="CCP83" s="16"/>
      <c r="CCQ83" s="16"/>
      <c r="CCR83" s="16"/>
      <c r="CCS83" s="16"/>
      <c r="CCT83" s="16"/>
      <c r="CCU83" s="16"/>
      <c r="CCV83" s="16"/>
      <c r="CCW83" s="16"/>
      <c r="CCX83" s="16"/>
      <c r="CCY83" s="16"/>
      <c r="CCZ83" s="16"/>
      <c r="CDA83" s="16"/>
      <c r="CDB83" s="16"/>
      <c r="CDC83" s="16"/>
      <c r="CDD83" s="16"/>
      <c r="CDE83" s="16"/>
      <c r="CDF83" s="16"/>
      <c r="CDG83" s="16"/>
      <c r="CDH83" s="16"/>
      <c r="CDI83" s="16"/>
      <c r="CDJ83" s="16"/>
      <c r="CDK83" s="16"/>
      <c r="CDL83" s="16"/>
      <c r="CDM83" s="16"/>
      <c r="CDN83" s="16"/>
      <c r="CDO83" s="16"/>
      <c r="CDP83" s="16"/>
      <c r="CDQ83" s="16"/>
      <c r="CDR83" s="16"/>
      <c r="CDS83" s="16"/>
      <c r="CDT83" s="16"/>
      <c r="CDU83" s="16"/>
      <c r="CDV83" s="16"/>
      <c r="CDW83" s="16"/>
      <c r="CDX83" s="16"/>
      <c r="CDY83" s="16"/>
      <c r="CDZ83" s="16"/>
      <c r="CEA83" s="16"/>
      <c r="CEB83" s="16"/>
      <c r="CEC83" s="16"/>
      <c r="CED83" s="16"/>
      <c r="CEE83" s="16"/>
      <c r="CEF83" s="16"/>
      <c r="CEG83" s="16"/>
      <c r="CEH83" s="16"/>
      <c r="CEI83" s="16"/>
      <c r="CEJ83" s="16"/>
      <c r="CEK83" s="16"/>
      <c r="CEL83" s="16"/>
      <c r="CEM83" s="16"/>
      <c r="CEN83" s="16"/>
      <c r="CEO83" s="16"/>
      <c r="CEP83" s="16"/>
      <c r="CEQ83" s="16"/>
      <c r="CER83" s="16"/>
      <c r="CES83" s="16"/>
      <c r="CET83" s="16"/>
      <c r="CEU83" s="16"/>
      <c r="CEV83" s="16"/>
      <c r="CEW83" s="16"/>
      <c r="CEX83" s="16"/>
      <c r="CEY83" s="16"/>
      <c r="CEZ83" s="16"/>
      <c r="CFA83" s="16"/>
      <c r="CFB83" s="16"/>
      <c r="CFC83" s="16"/>
      <c r="CFD83" s="16"/>
      <c r="CFE83" s="16"/>
      <c r="CFF83" s="16"/>
      <c r="CFG83" s="16"/>
      <c r="CFH83" s="16"/>
      <c r="CFI83" s="16"/>
      <c r="CFJ83" s="16"/>
      <c r="CFK83" s="16"/>
      <c r="CFL83" s="16"/>
      <c r="CFM83" s="16"/>
      <c r="CFN83" s="16"/>
      <c r="CFO83" s="16"/>
      <c r="CFP83" s="16"/>
      <c r="CFQ83" s="16"/>
      <c r="CFR83" s="16"/>
      <c r="CFS83" s="16"/>
      <c r="CFT83" s="16"/>
      <c r="CFU83" s="16"/>
      <c r="CFV83" s="16"/>
      <c r="CFW83" s="16"/>
      <c r="CFX83" s="16"/>
      <c r="CFY83" s="16"/>
      <c r="CFZ83" s="16"/>
      <c r="CGA83" s="16"/>
      <c r="CGB83" s="16"/>
      <c r="CGC83" s="16"/>
      <c r="CGD83" s="16"/>
      <c r="CGE83" s="16"/>
      <c r="CGF83" s="16"/>
      <c r="CGG83" s="16"/>
      <c r="CGH83" s="16"/>
      <c r="CGI83" s="16"/>
      <c r="CGJ83" s="16"/>
      <c r="CGK83" s="16"/>
      <c r="CGL83" s="16"/>
      <c r="CGM83" s="16"/>
      <c r="CGN83" s="16"/>
      <c r="CGO83" s="16"/>
      <c r="CGP83" s="16"/>
      <c r="CGQ83" s="16"/>
      <c r="CGR83" s="16"/>
      <c r="CGS83" s="16"/>
      <c r="CGT83" s="16"/>
      <c r="CGU83" s="16"/>
      <c r="CGV83" s="16"/>
      <c r="CGW83" s="16"/>
      <c r="CGX83" s="16"/>
      <c r="CGY83" s="16"/>
      <c r="CGZ83" s="16"/>
      <c r="CHA83" s="16"/>
      <c r="CHB83" s="16"/>
      <c r="CHC83" s="16"/>
      <c r="CHD83" s="16"/>
      <c r="CHE83" s="16"/>
      <c r="CHF83" s="16"/>
      <c r="CHG83" s="16"/>
      <c r="CHH83" s="16"/>
      <c r="CHI83" s="16"/>
      <c r="CHJ83" s="16"/>
      <c r="CHK83" s="16"/>
      <c r="CHL83" s="16"/>
      <c r="CHM83" s="16"/>
      <c r="CHN83" s="16"/>
      <c r="CHO83" s="16"/>
      <c r="CHP83" s="16"/>
      <c r="CHQ83" s="16"/>
      <c r="CHR83" s="16"/>
      <c r="CHS83" s="16"/>
      <c r="CHT83" s="16"/>
      <c r="CHU83" s="16"/>
      <c r="CHV83" s="16"/>
      <c r="CHW83" s="16"/>
      <c r="CHX83" s="16"/>
      <c r="CHY83" s="16"/>
      <c r="CHZ83" s="16"/>
      <c r="CIA83" s="16"/>
      <c r="CIB83" s="16"/>
      <c r="CIC83" s="16"/>
      <c r="CID83" s="16"/>
      <c r="CIE83" s="16"/>
      <c r="CIF83" s="16"/>
      <c r="CIG83" s="16"/>
      <c r="CIH83" s="16"/>
      <c r="CII83" s="16"/>
      <c r="CIJ83" s="16"/>
      <c r="CIK83" s="16"/>
      <c r="CIL83" s="16"/>
      <c r="CIM83" s="16"/>
      <c r="CIN83" s="16"/>
      <c r="CIO83" s="16"/>
      <c r="CIP83" s="16"/>
      <c r="CIQ83" s="16"/>
      <c r="CIR83" s="16"/>
      <c r="CIS83" s="16"/>
      <c r="CIT83" s="16"/>
      <c r="CIU83" s="16"/>
      <c r="CIV83" s="16"/>
      <c r="CIW83" s="16"/>
      <c r="CIX83" s="16"/>
      <c r="CIY83" s="16"/>
      <c r="CIZ83" s="16"/>
      <c r="CJA83" s="16"/>
      <c r="CJB83" s="16"/>
      <c r="CJC83" s="16"/>
      <c r="CJD83" s="16"/>
      <c r="CJE83" s="16"/>
      <c r="CJF83" s="16"/>
      <c r="CJG83" s="16"/>
      <c r="CJH83" s="16"/>
      <c r="CJI83" s="16"/>
      <c r="CJJ83" s="16"/>
      <c r="CJK83" s="16"/>
      <c r="CJL83" s="16"/>
      <c r="CJM83" s="16"/>
      <c r="CJN83" s="16"/>
      <c r="CJO83" s="16"/>
      <c r="CJP83" s="16"/>
      <c r="CJQ83" s="16"/>
      <c r="CJR83" s="16"/>
      <c r="CJS83" s="16"/>
      <c r="CJT83" s="16"/>
      <c r="CJU83" s="16"/>
      <c r="CJV83" s="16"/>
      <c r="CJW83" s="16"/>
      <c r="CJX83" s="16"/>
      <c r="CJY83" s="16"/>
      <c r="CJZ83" s="16"/>
      <c r="CKA83" s="16"/>
      <c r="CKB83" s="16"/>
      <c r="CKC83" s="16"/>
      <c r="CKD83" s="16"/>
      <c r="CKE83" s="16"/>
      <c r="CKF83" s="16"/>
      <c r="CKG83" s="16"/>
      <c r="CKH83" s="16"/>
      <c r="CKI83" s="16"/>
      <c r="CKJ83" s="16"/>
      <c r="CKK83" s="16"/>
      <c r="CKL83" s="16"/>
      <c r="CKM83" s="16"/>
      <c r="CKN83" s="16"/>
      <c r="CKO83" s="16"/>
      <c r="CKP83" s="16"/>
      <c r="CKQ83" s="16"/>
      <c r="CKR83" s="16"/>
      <c r="CKS83" s="16"/>
      <c r="CKT83" s="16"/>
      <c r="CKU83" s="16"/>
      <c r="CKV83" s="16"/>
      <c r="CKW83" s="16"/>
      <c r="CKX83" s="16"/>
      <c r="CKY83" s="16"/>
      <c r="CKZ83" s="16"/>
      <c r="CLA83" s="16"/>
      <c r="CLB83" s="16"/>
      <c r="CLC83" s="16"/>
      <c r="CLD83" s="16"/>
      <c r="CLE83" s="16"/>
      <c r="CLF83" s="16"/>
      <c r="CLG83" s="16"/>
      <c r="CLH83" s="16"/>
      <c r="CLI83" s="16"/>
      <c r="CLJ83" s="16"/>
      <c r="CLK83" s="16"/>
      <c r="CLL83" s="16"/>
      <c r="CLM83" s="16"/>
      <c r="CLN83" s="16"/>
      <c r="CLO83" s="16"/>
      <c r="CLP83" s="16"/>
      <c r="CLQ83" s="16"/>
      <c r="CLR83" s="16"/>
      <c r="CLS83" s="16"/>
      <c r="CLT83" s="16"/>
      <c r="CLU83" s="16"/>
      <c r="CLV83" s="16"/>
      <c r="CLW83" s="16"/>
      <c r="CLX83" s="16"/>
      <c r="CLY83" s="16"/>
      <c r="CLZ83" s="16"/>
      <c r="CMA83" s="16"/>
      <c r="CMB83" s="16"/>
      <c r="CMC83" s="16"/>
      <c r="CMD83" s="16"/>
      <c r="CME83" s="16"/>
      <c r="CMF83" s="16"/>
      <c r="CMG83" s="16"/>
      <c r="CMH83" s="16"/>
      <c r="CMI83" s="16"/>
      <c r="CMJ83" s="16"/>
      <c r="CMK83" s="16"/>
      <c r="CML83" s="16"/>
      <c r="CMM83" s="16"/>
      <c r="CMN83" s="16"/>
      <c r="CMO83" s="16"/>
      <c r="CMP83" s="16"/>
      <c r="CMQ83" s="16"/>
      <c r="CMR83" s="16"/>
      <c r="CMS83" s="16"/>
      <c r="CMT83" s="16"/>
      <c r="CMU83" s="16"/>
      <c r="CMV83" s="16"/>
      <c r="CMW83" s="16"/>
      <c r="CMX83" s="16"/>
      <c r="CMY83" s="16"/>
      <c r="CMZ83" s="16"/>
      <c r="CNA83" s="16"/>
      <c r="CNB83" s="16"/>
      <c r="CNC83" s="16"/>
      <c r="CND83" s="16"/>
      <c r="CNE83" s="16"/>
      <c r="CNF83" s="16"/>
      <c r="CNG83" s="16"/>
      <c r="CNH83" s="16"/>
      <c r="CNI83" s="16"/>
      <c r="CNJ83" s="16"/>
      <c r="CNK83" s="16"/>
      <c r="CNL83" s="16"/>
      <c r="CNM83" s="16"/>
      <c r="CNN83" s="16"/>
      <c r="CNO83" s="16"/>
      <c r="CNP83" s="16"/>
      <c r="CNQ83" s="16"/>
      <c r="CNR83" s="16"/>
      <c r="CNS83" s="16"/>
      <c r="CNT83" s="16"/>
      <c r="CNU83" s="16"/>
      <c r="CNV83" s="16"/>
      <c r="CNW83" s="16"/>
      <c r="CNX83" s="16"/>
      <c r="CNY83" s="16"/>
      <c r="CNZ83" s="16"/>
      <c r="COA83" s="16"/>
      <c r="COB83" s="16"/>
      <c r="COC83" s="16"/>
      <c r="COD83" s="16"/>
      <c r="COE83" s="16"/>
      <c r="COF83" s="16"/>
      <c r="COG83" s="16"/>
      <c r="COH83" s="16"/>
      <c r="COI83" s="16"/>
      <c r="COJ83" s="16"/>
      <c r="COK83" s="16"/>
      <c r="COL83" s="16"/>
      <c r="COM83" s="16"/>
      <c r="CON83" s="16"/>
      <c r="COO83" s="16"/>
      <c r="COP83" s="16"/>
      <c r="COQ83" s="16"/>
      <c r="COR83" s="16"/>
      <c r="COS83" s="16"/>
      <c r="COT83" s="16"/>
      <c r="COU83" s="16"/>
      <c r="COV83" s="16"/>
      <c r="COW83" s="16"/>
      <c r="COX83" s="16"/>
      <c r="COY83" s="16"/>
      <c r="COZ83" s="16"/>
      <c r="CPA83" s="16"/>
      <c r="CPB83" s="16"/>
      <c r="CPC83" s="16"/>
      <c r="CPD83" s="16"/>
      <c r="CPE83" s="16"/>
      <c r="CPF83" s="16"/>
      <c r="CPG83" s="16"/>
      <c r="CPH83" s="16"/>
      <c r="CPI83" s="16"/>
      <c r="CPJ83" s="16"/>
      <c r="CPK83" s="16"/>
      <c r="CPL83" s="16"/>
      <c r="CPM83" s="16"/>
      <c r="CPN83" s="16"/>
      <c r="CPO83" s="16"/>
      <c r="CPP83" s="16"/>
      <c r="CPQ83" s="16"/>
      <c r="CPR83" s="16"/>
      <c r="CPS83" s="16"/>
      <c r="CPT83" s="16"/>
      <c r="CPU83" s="16"/>
      <c r="CPV83" s="16"/>
      <c r="CPW83" s="16"/>
      <c r="CPX83" s="16"/>
      <c r="CPY83" s="16"/>
      <c r="CPZ83" s="16"/>
      <c r="CQA83" s="16"/>
      <c r="CQB83" s="16"/>
      <c r="CQC83" s="16"/>
      <c r="CQD83" s="16"/>
      <c r="CQE83" s="16"/>
      <c r="CQF83" s="16"/>
      <c r="CQG83" s="16"/>
      <c r="CQH83" s="16"/>
      <c r="CQI83" s="16"/>
      <c r="CQJ83" s="16"/>
      <c r="CQK83" s="16"/>
      <c r="CQL83" s="16"/>
      <c r="CQM83" s="16"/>
      <c r="CQN83" s="16"/>
      <c r="CQO83" s="16"/>
      <c r="CQP83" s="16"/>
      <c r="CQQ83" s="16"/>
      <c r="CQR83" s="16"/>
      <c r="CQS83" s="16"/>
      <c r="CQT83" s="16"/>
      <c r="CQU83" s="16"/>
      <c r="CQV83" s="16"/>
      <c r="CQW83" s="16"/>
      <c r="CQX83" s="16"/>
      <c r="CQY83" s="16"/>
      <c r="CQZ83" s="16"/>
      <c r="CRA83" s="16"/>
      <c r="CRB83" s="16"/>
      <c r="CRC83" s="16"/>
      <c r="CRD83" s="16"/>
      <c r="CRE83" s="16"/>
      <c r="CRF83" s="16"/>
      <c r="CRG83" s="16"/>
      <c r="CRH83" s="16"/>
      <c r="CRI83" s="16"/>
      <c r="CRJ83" s="16"/>
      <c r="CRK83" s="16"/>
      <c r="CRL83" s="16"/>
      <c r="CRM83" s="16"/>
      <c r="CRN83" s="16"/>
      <c r="CRO83" s="16"/>
      <c r="CRP83" s="16"/>
      <c r="CRQ83" s="16"/>
      <c r="CRR83" s="16"/>
      <c r="CRS83" s="16"/>
      <c r="CRT83" s="16"/>
      <c r="CRU83" s="16"/>
      <c r="CRV83" s="16"/>
      <c r="CRW83" s="16"/>
      <c r="CRX83" s="16"/>
      <c r="CRY83" s="16"/>
      <c r="CRZ83" s="16"/>
      <c r="CSA83" s="16"/>
      <c r="CSB83" s="16"/>
      <c r="CSC83" s="16"/>
      <c r="CSD83" s="16"/>
      <c r="CSE83" s="16"/>
      <c r="CSF83" s="16"/>
      <c r="CSG83" s="16"/>
      <c r="CSH83" s="16"/>
      <c r="CSI83" s="16"/>
      <c r="CSJ83" s="16"/>
      <c r="CSK83" s="24"/>
      <c r="CSL83" s="16"/>
      <c r="CSM83" s="16"/>
      <c r="CSN83" s="16"/>
      <c r="CSO83" s="16"/>
      <c r="CSP83" s="16"/>
      <c r="CUG83" s="16"/>
      <c r="CUH83" s="16"/>
      <c r="CUI83" s="16"/>
      <c r="CUJ83" s="16"/>
      <c r="CUK83" s="16"/>
      <c r="CUL83" s="16"/>
      <c r="CUM83" s="16"/>
      <c r="CUN83" s="16"/>
      <c r="CUO83" s="16"/>
      <c r="CUP83" s="16"/>
      <c r="CUQ83" s="16"/>
      <c r="CUR83" s="16"/>
      <c r="CUS83" s="16"/>
      <c r="CUT83" s="16"/>
      <c r="CUU83" s="16"/>
      <c r="CUV83" s="16"/>
      <c r="CUW83" s="16"/>
      <c r="CUX83" s="16"/>
      <c r="CUY83" s="16"/>
      <c r="CUZ83" s="16"/>
      <c r="CVA83" s="16"/>
      <c r="CVB83" s="16"/>
      <c r="CVC83" s="16"/>
      <c r="CVD83" s="16"/>
      <c r="CVE83" s="16"/>
      <c r="CVF83" s="16"/>
      <c r="CVG83" s="16"/>
      <c r="CVH83" s="16"/>
      <c r="CVI83" s="16"/>
      <c r="CVJ83" s="16"/>
      <c r="CVK83" s="16"/>
      <c r="CVL83" s="16"/>
      <c r="CVM83" s="16"/>
      <c r="CVN83" s="16"/>
      <c r="CVO83" s="16"/>
      <c r="CVP83" s="16"/>
    </row>
    <row r="84" spans="3:2616" ht="13.8" x14ac:dyDescent="0.25">
      <c r="C84" s="57"/>
      <c r="E84" s="16"/>
      <c r="K84" s="59"/>
      <c r="L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16"/>
      <c r="FD84" s="16"/>
      <c r="FE84" s="16"/>
      <c r="FF84" s="16"/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  <c r="HD84" s="16"/>
      <c r="HE84" s="16"/>
      <c r="HF84" s="16"/>
      <c r="HG84" s="16"/>
      <c r="HH84" s="16"/>
      <c r="HI84" s="16"/>
      <c r="HJ84" s="16"/>
      <c r="HK84" s="16"/>
      <c r="HL84" s="16"/>
      <c r="HM84" s="16"/>
      <c r="HN84" s="16"/>
      <c r="HO84" s="16"/>
      <c r="HP84" s="16"/>
      <c r="HQ84" s="16"/>
      <c r="HR84" s="16"/>
      <c r="HS84" s="16"/>
      <c r="HT84" s="16"/>
      <c r="HU84" s="16"/>
      <c r="HV84" s="16"/>
      <c r="HW84" s="16"/>
      <c r="HX84" s="16"/>
      <c r="HY84" s="16"/>
      <c r="HZ84" s="16"/>
      <c r="IA84" s="16"/>
      <c r="IB84" s="16"/>
      <c r="IC84" s="16"/>
      <c r="ID84" s="16"/>
      <c r="IE84" s="16"/>
      <c r="IF84" s="16"/>
      <c r="IG84" s="16"/>
      <c r="IH84" s="16"/>
      <c r="II84" s="16"/>
      <c r="IJ84" s="16"/>
      <c r="IK84" s="16"/>
      <c r="IL84" s="16"/>
      <c r="IM84" s="16"/>
      <c r="IN84" s="16"/>
      <c r="IO84" s="16"/>
      <c r="IP84" s="16"/>
      <c r="IQ84" s="16"/>
      <c r="IR84" s="16"/>
      <c r="IS84" s="16"/>
      <c r="IT84" s="16"/>
      <c r="IU84" s="16"/>
      <c r="IV84" s="16"/>
      <c r="IW84" s="16"/>
      <c r="IX84" s="16"/>
      <c r="IY84" s="16"/>
      <c r="IZ84" s="16"/>
      <c r="JA84" s="16"/>
      <c r="JB84" s="16"/>
      <c r="JC84" s="16"/>
      <c r="JD84" s="16"/>
      <c r="JE84" s="16"/>
      <c r="JF84" s="16"/>
      <c r="JG84" s="16"/>
      <c r="JH84" s="16"/>
      <c r="JI84" s="16"/>
      <c r="JJ84" s="16"/>
      <c r="JK84" s="16"/>
      <c r="JL84" s="16"/>
      <c r="JM84" s="16"/>
      <c r="JN84" s="16"/>
      <c r="JO84" s="16"/>
      <c r="JP84" s="16"/>
      <c r="JQ84" s="16"/>
      <c r="JR84" s="16"/>
      <c r="JS84" s="16"/>
      <c r="JT84" s="16"/>
      <c r="JU84" s="16"/>
      <c r="JV84" s="16"/>
      <c r="JW84" s="16"/>
      <c r="JX84" s="16"/>
      <c r="JY84" s="16"/>
      <c r="JZ84" s="16"/>
      <c r="KA84" s="16"/>
      <c r="KB84" s="16"/>
      <c r="KC84" s="16"/>
      <c r="KD84" s="16"/>
      <c r="KE84" s="16"/>
      <c r="KF84" s="16"/>
      <c r="KG84" s="16"/>
      <c r="KH84" s="16"/>
      <c r="KI84" s="16"/>
      <c r="KJ84" s="16"/>
      <c r="KK84" s="16"/>
      <c r="KL84" s="16"/>
      <c r="KM84" s="16"/>
      <c r="KN84" s="16"/>
      <c r="KO84" s="16"/>
      <c r="KP84" s="16"/>
      <c r="KQ84" s="16"/>
      <c r="KR84" s="16"/>
      <c r="KS84" s="16"/>
      <c r="KT84" s="16"/>
      <c r="KU84" s="16"/>
      <c r="KV84" s="16"/>
      <c r="KW84" s="16"/>
      <c r="KX84" s="16"/>
      <c r="KY84" s="16"/>
      <c r="KZ84" s="16"/>
      <c r="LA84" s="16"/>
      <c r="LB84" s="16"/>
      <c r="LC84" s="16"/>
      <c r="LD84" s="16"/>
      <c r="LE84" s="16"/>
      <c r="LF84" s="16"/>
      <c r="LG84" s="16"/>
      <c r="LH84" s="16"/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6"/>
      <c r="LV84" s="16"/>
      <c r="LW84" s="16"/>
      <c r="LX84" s="16"/>
      <c r="LY84" s="16"/>
      <c r="LZ84" s="16"/>
      <c r="MA84" s="16"/>
      <c r="MB84" s="16"/>
      <c r="MC84" s="16"/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16"/>
      <c r="MP84" s="16"/>
      <c r="MQ84" s="16"/>
      <c r="MR84" s="16"/>
      <c r="MS84" s="16"/>
      <c r="MT84" s="16"/>
      <c r="MU84" s="16"/>
      <c r="MV84" s="16"/>
      <c r="MW84" s="16"/>
      <c r="MX84" s="16"/>
      <c r="MY84" s="16"/>
      <c r="MZ84" s="16"/>
      <c r="NA84" s="16"/>
      <c r="NB84" s="16"/>
      <c r="NC84" s="16"/>
      <c r="ND84" s="16"/>
      <c r="NE84" s="16"/>
      <c r="NF84" s="16"/>
      <c r="NG84" s="16"/>
      <c r="NH84" s="16"/>
      <c r="NI84" s="16"/>
      <c r="NJ84" s="16"/>
      <c r="NK84" s="16"/>
      <c r="NL84" s="16"/>
      <c r="NM84" s="16"/>
      <c r="NN84" s="16"/>
      <c r="NO84" s="16"/>
      <c r="NP84" s="16"/>
      <c r="NQ84" s="16"/>
      <c r="NR84" s="16"/>
      <c r="NS84" s="16"/>
      <c r="NT84" s="16"/>
      <c r="NU84" s="16"/>
      <c r="NV84" s="16"/>
      <c r="NW84" s="16"/>
      <c r="NX84" s="16"/>
      <c r="NY84" s="16"/>
      <c r="NZ84" s="16"/>
      <c r="OA84" s="16"/>
      <c r="OB84" s="16"/>
      <c r="OC84" s="16"/>
      <c r="OD84" s="16"/>
      <c r="OE84" s="16"/>
      <c r="OF84" s="16"/>
      <c r="OG84" s="16"/>
      <c r="OH84" s="16"/>
      <c r="OI84" s="16"/>
      <c r="OJ84" s="16"/>
      <c r="OK84" s="16"/>
      <c r="OL84" s="16"/>
      <c r="OM84" s="16"/>
      <c r="ON84" s="16"/>
      <c r="OO84" s="16"/>
      <c r="OP84" s="16"/>
      <c r="OQ84" s="16"/>
      <c r="OR84" s="16"/>
      <c r="OS84" s="16"/>
      <c r="OT84" s="16"/>
      <c r="OU84" s="16"/>
      <c r="OV84" s="16"/>
      <c r="OW84" s="16"/>
      <c r="OX84" s="16"/>
      <c r="OY84" s="16"/>
      <c r="OZ84" s="16"/>
      <c r="PA84" s="16"/>
      <c r="PB84" s="16"/>
      <c r="PC84" s="16"/>
      <c r="PD84" s="16"/>
      <c r="PE84" s="16"/>
      <c r="PF84" s="16"/>
      <c r="PG84" s="16"/>
      <c r="PH84" s="16"/>
      <c r="PI84" s="16"/>
      <c r="PJ84" s="16"/>
      <c r="PK84" s="16"/>
      <c r="PL84" s="16"/>
      <c r="PM84" s="16"/>
      <c r="PN84" s="16"/>
      <c r="PO84" s="16"/>
      <c r="PP84" s="16"/>
      <c r="PQ84" s="16"/>
      <c r="PR84" s="16"/>
      <c r="PS84" s="16"/>
      <c r="PT84" s="16"/>
      <c r="PU84" s="16"/>
      <c r="PV84" s="16"/>
      <c r="PW84" s="16"/>
      <c r="PX84" s="16"/>
      <c r="PY84" s="16"/>
      <c r="PZ84" s="16"/>
      <c r="QA84" s="16"/>
      <c r="QB84" s="16"/>
      <c r="QC84" s="16"/>
      <c r="QD84" s="16"/>
      <c r="QE84" s="16"/>
      <c r="QF84" s="16"/>
      <c r="QG84" s="16"/>
      <c r="QH84" s="16"/>
      <c r="QI84" s="16"/>
      <c r="QJ84" s="16"/>
      <c r="QK84" s="16"/>
      <c r="QL84" s="16"/>
      <c r="QM84" s="16"/>
      <c r="QN84" s="16"/>
      <c r="QO84" s="16"/>
      <c r="QP84" s="16"/>
      <c r="QQ84" s="16"/>
      <c r="QR84" s="16"/>
      <c r="QS84" s="16"/>
      <c r="QT84" s="16"/>
      <c r="QU84" s="16"/>
      <c r="QV84" s="16"/>
      <c r="QW84" s="16"/>
      <c r="QX84" s="16"/>
      <c r="QY84" s="16"/>
      <c r="QZ84" s="16"/>
      <c r="RA84" s="16"/>
      <c r="RB84" s="16"/>
      <c r="RC84" s="16"/>
      <c r="RD84" s="16"/>
      <c r="RE84" s="16"/>
      <c r="RF84" s="16"/>
      <c r="RG84" s="16"/>
      <c r="RH84" s="16"/>
      <c r="RI84" s="16"/>
      <c r="RJ84" s="16"/>
      <c r="RK84" s="16"/>
      <c r="RL84" s="16"/>
      <c r="RM84" s="16"/>
      <c r="RN84" s="16"/>
      <c r="RO84" s="16"/>
      <c r="RP84" s="16"/>
      <c r="RQ84" s="16"/>
      <c r="RR84" s="16"/>
      <c r="RS84" s="16"/>
      <c r="RT84" s="16"/>
      <c r="RU84" s="16"/>
      <c r="RV84" s="16"/>
      <c r="RW84" s="16"/>
      <c r="RX84" s="16"/>
      <c r="RY84" s="16"/>
      <c r="RZ84" s="16"/>
      <c r="SA84" s="16"/>
      <c r="SB84" s="16"/>
      <c r="SC84" s="16"/>
      <c r="SD84" s="16"/>
      <c r="SE84" s="16"/>
      <c r="SF84" s="16"/>
      <c r="SG84" s="16"/>
      <c r="SH84" s="16"/>
      <c r="SI84" s="16"/>
      <c r="SJ84" s="16"/>
      <c r="SK84" s="16"/>
      <c r="SL84" s="16"/>
      <c r="SM84" s="16"/>
      <c r="SN84" s="16"/>
      <c r="SO84" s="16"/>
      <c r="SP84" s="16"/>
      <c r="SQ84" s="16"/>
      <c r="SR84" s="16"/>
      <c r="SS84" s="16"/>
      <c r="ST84" s="16"/>
      <c r="SU84" s="16"/>
      <c r="SV84" s="16"/>
      <c r="SW84" s="16"/>
      <c r="SX84" s="16"/>
      <c r="SY84" s="16"/>
      <c r="SZ84" s="16"/>
      <c r="TA84" s="16"/>
      <c r="TB84" s="16"/>
      <c r="TC84" s="16"/>
      <c r="TD84" s="16"/>
      <c r="TE84" s="16"/>
      <c r="TF84" s="16"/>
      <c r="TG84" s="16"/>
      <c r="TH84" s="16"/>
      <c r="TI84" s="16"/>
      <c r="TJ84" s="16"/>
      <c r="TK84" s="16"/>
      <c r="TL84" s="16"/>
      <c r="TM84" s="16"/>
      <c r="TN84" s="16"/>
      <c r="TO84" s="16"/>
      <c r="TP84" s="16"/>
      <c r="TQ84" s="16"/>
      <c r="TR84" s="16"/>
      <c r="TS84" s="16"/>
      <c r="TT84" s="16"/>
      <c r="TU84" s="16"/>
      <c r="TV84" s="16"/>
      <c r="TW84" s="16"/>
      <c r="TX84" s="16"/>
      <c r="TY84" s="16"/>
      <c r="TZ84" s="16"/>
      <c r="UA84" s="16"/>
      <c r="UB84" s="16"/>
      <c r="UC84" s="16"/>
      <c r="UD84" s="16"/>
      <c r="UE84" s="16"/>
      <c r="UF84" s="16"/>
      <c r="UG84" s="16"/>
      <c r="UH84" s="16"/>
      <c r="UI84" s="16"/>
      <c r="UJ84" s="16"/>
      <c r="UK84" s="16"/>
      <c r="UL84" s="16"/>
      <c r="UM84" s="16"/>
      <c r="UN84" s="16"/>
      <c r="UO84" s="16"/>
      <c r="UP84" s="16"/>
      <c r="UQ84" s="16"/>
      <c r="UR84" s="16"/>
      <c r="US84" s="16"/>
      <c r="UT84" s="16"/>
      <c r="UU84" s="16"/>
      <c r="UV84" s="16"/>
      <c r="UW84" s="16"/>
      <c r="UX84" s="16"/>
      <c r="UY84" s="16"/>
      <c r="UZ84" s="16"/>
      <c r="VA84" s="16"/>
      <c r="VB84" s="16"/>
      <c r="VC84" s="16"/>
      <c r="VD84" s="16"/>
      <c r="VE84" s="16"/>
      <c r="VF84" s="16"/>
      <c r="VG84" s="16"/>
      <c r="VH84" s="16"/>
      <c r="VI84" s="16"/>
      <c r="VJ84" s="16"/>
      <c r="VK84" s="16"/>
      <c r="VL84" s="16"/>
      <c r="VM84" s="16"/>
      <c r="VN84" s="16"/>
      <c r="VO84" s="16"/>
      <c r="VP84" s="16"/>
      <c r="VQ84" s="16"/>
      <c r="VR84" s="16"/>
      <c r="VS84" s="16"/>
      <c r="VT84" s="16"/>
      <c r="VU84" s="16"/>
      <c r="VV84" s="16"/>
      <c r="VW84" s="16"/>
      <c r="VX84" s="16"/>
      <c r="VY84" s="16"/>
      <c r="VZ84" s="16"/>
      <c r="WA84" s="16"/>
      <c r="WB84" s="16"/>
      <c r="WC84" s="16"/>
      <c r="WD84" s="16"/>
      <c r="WE84" s="16"/>
      <c r="WF84" s="16"/>
      <c r="WG84" s="16"/>
      <c r="WH84" s="16"/>
      <c r="WI84" s="16"/>
      <c r="WJ84" s="16"/>
      <c r="WK84" s="16"/>
      <c r="WL84" s="16"/>
      <c r="WM84" s="16"/>
      <c r="WN84" s="16"/>
      <c r="WO84" s="16"/>
      <c r="WP84" s="16"/>
      <c r="WQ84" s="16"/>
      <c r="WR84" s="16"/>
      <c r="WS84" s="16"/>
      <c r="WT84" s="16"/>
      <c r="WU84" s="16"/>
      <c r="WV84" s="16"/>
      <c r="WW84" s="16"/>
      <c r="WX84" s="16"/>
      <c r="WY84" s="16"/>
      <c r="WZ84" s="16"/>
      <c r="XA84" s="16"/>
      <c r="XB84" s="16"/>
      <c r="XC84" s="16"/>
      <c r="XD84" s="16"/>
      <c r="XE84" s="16"/>
      <c r="XF84" s="16"/>
      <c r="XG84" s="16"/>
      <c r="XH84" s="16"/>
      <c r="XI84" s="16"/>
      <c r="XJ84" s="16"/>
      <c r="XK84" s="16"/>
      <c r="XL84" s="16"/>
      <c r="XM84" s="16"/>
      <c r="XN84" s="16"/>
      <c r="XO84" s="16"/>
      <c r="XP84" s="16"/>
      <c r="XQ84" s="16"/>
      <c r="XR84" s="16"/>
      <c r="XS84" s="16"/>
      <c r="XT84" s="16"/>
      <c r="XU84" s="16"/>
      <c r="XV84" s="16"/>
      <c r="XW84" s="16"/>
      <c r="XX84" s="16"/>
      <c r="XY84" s="16"/>
      <c r="XZ84" s="16"/>
      <c r="YA84" s="16"/>
      <c r="YB84" s="16"/>
      <c r="YC84" s="16"/>
      <c r="YD84" s="16"/>
      <c r="YE84" s="16"/>
      <c r="YF84" s="16"/>
      <c r="YG84" s="16"/>
      <c r="YH84" s="16"/>
      <c r="YI84" s="16"/>
      <c r="YJ84" s="16"/>
      <c r="YK84" s="16"/>
      <c r="YL84" s="16"/>
      <c r="YM84" s="16"/>
      <c r="YN84" s="16"/>
      <c r="YO84" s="16"/>
      <c r="YP84" s="16"/>
      <c r="YQ84" s="16"/>
      <c r="YR84" s="16"/>
      <c r="YS84" s="16"/>
      <c r="YT84" s="16"/>
      <c r="YU84" s="16"/>
      <c r="YV84" s="16"/>
      <c r="YW84" s="16"/>
      <c r="YX84" s="16"/>
      <c r="YY84" s="16"/>
      <c r="YZ84" s="16"/>
      <c r="ZA84" s="16"/>
      <c r="ZB84" s="16"/>
      <c r="ZC84" s="16"/>
      <c r="ZD84" s="16"/>
      <c r="ZE84" s="16"/>
      <c r="ZF84" s="16"/>
      <c r="ZG84" s="16"/>
      <c r="ZH84" s="16"/>
      <c r="ZI84" s="16"/>
      <c r="ZJ84" s="16"/>
      <c r="ZK84" s="16"/>
      <c r="ZL84" s="16"/>
      <c r="ZM84" s="16"/>
      <c r="ZN84" s="16"/>
      <c r="ZO84" s="16"/>
      <c r="ZP84" s="16"/>
      <c r="ZQ84" s="16"/>
      <c r="ZR84" s="16"/>
      <c r="ZS84" s="16"/>
      <c r="ZT84" s="16"/>
      <c r="ZU84" s="16"/>
      <c r="ZV84" s="16"/>
      <c r="ZW84" s="16"/>
      <c r="ZX84" s="16"/>
      <c r="ZY84" s="16"/>
      <c r="ZZ84" s="16"/>
      <c r="AAA84" s="16"/>
      <c r="AAB84" s="16"/>
      <c r="AAC84" s="16"/>
      <c r="AAD84" s="16"/>
      <c r="AAE84" s="16"/>
      <c r="AAF84" s="16"/>
      <c r="AAG84" s="16"/>
      <c r="AAH84" s="16"/>
      <c r="AAI84" s="16"/>
      <c r="AAJ84" s="16"/>
      <c r="AAK84" s="16"/>
      <c r="AAL84" s="16"/>
      <c r="AAM84" s="16"/>
      <c r="AAN84" s="16"/>
      <c r="AAO84" s="16"/>
      <c r="AAP84" s="16"/>
      <c r="AAQ84" s="16"/>
      <c r="AAR84" s="16"/>
      <c r="AAS84" s="16"/>
      <c r="AAT84" s="16"/>
      <c r="AAU84" s="16"/>
      <c r="AAV84" s="16"/>
      <c r="AAW84" s="16"/>
      <c r="AAX84" s="16"/>
      <c r="AAY84" s="16"/>
      <c r="AAZ84" s="16"/>
      <c r="ABA84" s="16"/>
      <c r="ABB84" s="16"/>
      <c r="ABC84" s="16"/>
      <c r="ABD84" s="16"/>
      <c r="ABE84" s="16"/>
      <c r="ABF84" s="16"/>
      <c r="ABG84" s="16"/>
      <c r="ABH84" s="16"/>
      <c r="ABI84" s="16"/>
      <c r="ABJ84" s="16"/>
      <c r="ABK84" s="16"/>
      <c r="ABL84" s="16"/>
      <c r="ABM84" s="16"/>
      <c r="ABN84" s="16"/>
      <c r="ABO84" s="16"/>
      <c r="ABP84" s="16"/>
      <c r="ABQ84" s="16"/>
      <c r="ABR84" s="16"/>
      <c r="ABS84" s="16"/>
      <c r="ABT84" s="16"/>
      <c r="ABU84" s="16"/>
      <c r="ABV84" s="16"/>
      <c r="ABW84" s="16"/>
      <c r="ABX84" s="16"/>
      <c r="ABY84" s="16"/>
      <c r="ABZ84" s="16"/>
      <c r="ACA84" s="16"/>
      <c r="ACB84" s="16"/>
      <c r="ACC84" s="16"/>
      <c r="ACD84" s="16"/>
      <c r="ACE84" s="16"/>
      <c r="ACF84" s="16"/>
      <c r="ACG84" s="16"/>
      <c r="ACH84" s="16"/>
      <c r="ACI84" s="16"/>
      <c r="ACJ84" s="16"/>
      <c r="ACK84" s="16"/>
      <c r="ACL84" s="16"/>
      <c r="ACM84" s="16"/>
      <c r="ACN84" s="16"/>
      <c r="ACO84" s="16"/>
      <c r="ACP84" s="16"/>
      <c r="ACQ84" s="16"/>
      <c r="ACR84" s="16"/>
      <c r="ACS84" s="16"/>
      <c r="ACT84" s="16"/>
      <c r="ACU84" s="16"/>
      <c r="ACV84" s="16"/>
      <c r="ACW84" s="16"/>
      <c r="ACX84" s="16"/>
      <c r="ACY84" s="16"/>
      <c r="ACZ84" s="16"/>
      <c r="ADA84" s="16"/>
      <c r="ADB84" s="16"/>
      <c r="ADC84" s="16"/>
      <c r="ADD84" s="16"/>
      <c r="ADE84" s="16"/>
      <c r="ADF84" s="16"/>
      <c r="ADG84" s="16"/>
      <c r="ADH84" s="16"/>
      <c r="ADI84" s="16"/>
      <c r="ADJ84" s="16"/>
      <c r="ADK84" s="16"/>
      <c r="ADL84" s="16"/>
      <c r="ADM84" s="16"/>
      <c r="ADN84" s="16"/>
      <c r="ADO84" s="16"/>
      <c r="ADP84" s="16"/>
      <c r="ADQ84" s="16"/>
      <c r="ADR84" s="16"/>
      <c r="ADS84" s="16"/>
      <c r="ADT84" s="16"/>
      <c r="ADU84" s="16"/>
      <c r="ADV84" s="16"/>
      <c r="ADW84" s="16"/>
      <c r="ADX84" s="16"/>
      <c r="ADY84" s="16"/>
      <c r="ADZ84" s="16"/>
      <c r="AEA84" s="16"/>
      <c r="AEB84" s="16"/>
      <c r="AEC84" s="16"/>
      <c r="AED84" s="16"/>
      <c r="AEE84" s="16"/>
      <c r="AEF84" s="16"/>
      <c r="AEG84" s="16"/>
      <c r="AEH84" s="16"/>
      <c r="AEI84" s="16"/>
      <c r="AEJ84" s="16"/>
      <c r="AEK84" s="16"/>
      <c r="AEL84" s="16"/>
      <c r="AEM84" s="16"/>
      <c r="AEN84" s="16"/>
      <c r="AEO84" s="16"/>
      <c r="AEP84" s="16"/>
      <c r="AEQ84" s="16"/>
      <c r="AER84" s="16"/>
      <c r="AES84" s="16"/>
      <c r="AET84" s="16"/>
      <c r="AEU84" s="16"/>
      <c r="AEV84" s="16"/>
      <c r="AEW84" s="16"/>
      <c r="AEX84" s="16"/>
      <c r="AEY84" s="16"/>
      <c r="AEZ84" s="16"/>
      <c r="AFA84" s="16"/>
      <c r="AFB84" s="16"/>
      <c r="AFC84" s="16"/>
      <c r="AFD84" s="16"/>
      <c r="AFE84" s="16"/>
      <c r="AFF84" s="16"/>
      <c r="AFG84" s="16"/>
      <c r="AFH84" s="16"/>
      <c r="AFI84" s="16"/>
      <c r="AFJ84" s="16"/>
      <c r="AFK84" s="16"/>
      <c r="AFL84" s="16"/>
      <c r="AFM84" s="16"/>
      <c r="AFN84" s="16"/>
      <c r="AFO84" s="16"/>
      <c r="AFP84" s="16"/>
      <c r="AFQ84" s="16"/>
      <c r="AFR84" s="16"/>
      <c r="AFS84" s="16"/>
      <c r="AFT84" s="16"/>
      <c r="AFU84" s="16"/>
      <c r="AFV84" s="16"/>
      <c r="AFW84" s="16"/>
      <c r="AFX84" s="16"/>
      <c r="AFY84" s="16"/>
      <c r="AFZ84" s="16"/>
      <c r="AGA84" s="16"/>
      <c r="AGB84" s="16"/>
      <c r="AGC84" s="16"/>
      <c r="AGD84" s="16"/>
      <c r="AGE84" s="16"/>
      <c r="AGF84" s="16"/>
      <c r="AGG84" s="16"/>
      <c r="AGH84" s="16"/>
      <c r="AGI84" s="16"/>
      <c r="AGJ84" s="16"/>
      <c r="AGK84" s="16"/>
      <c r="AGL84" s="16"/>
      <c r="AGM84" s="16"/>
      <c r="AGN84" s="16"/>
      <c r="AGO84" s="16"/>
      <c r="AGP84" s="16"/>
      <c r="AGQ84" s="16"/>
      <c r="AGR84" s="16"/>
      <c r="AGS84" s="16"/>
      <c r="AGT84" s="16"/>
      <c r="AGU84" s="16"/>
      <c r="AGV84" s="16"/>
      <c r="AGW84" s="16"/>
      <c r="AGX84" s="16"/>
      <c r="AGY84" s="16"/>
      <c r="AGZ84" s="16"/>
      <c r="AHA84" s="16"/>
      <c r="AHB84" s="16"/>
      <c r="AHC84" s="16"/>
      <c r="AHD84" s="16"/>
      <c r="AHE84" s="16"/>
      <c r="AHF84" s="16"/>
      <c r="AHG84" s="16"/>
      <c r="AHH84" s="16"/>
      <c r="AHI84" s="16"/>
      <c r="AHJ84" s="16"/>
      <c r="AHK84" s="16"/>
      <c r="AHL84" s="16"/>
      <c r="AHM84" s="16"/>
      <c r="AHN84" s="16"/>
      <c r="AHO84" s="16"/>
      <c r="AHP84" s="16"/>
      <c r="AHQ84" s="16"/>
      <c r="AHR84" s="16"/>
      <c r="AHS84" s="16"/>
      <c r="AHT84" s="16"/>
      <c r="AHU84" s="16"/>
      <c r="AHV84" s="16"/>
      <c r="AHW84" s="16"/>
      <c r="AHX84" s="16"/>
      <c r="AHY84" s="16"/>
      <c r="AHZ84" s="16"/>
      <c r="AIA84" s="16"/>
      <c r="AIB84" s="16"/>
      <c r="AIC84" s="16"/>
      <c r="AID84" s="16"/>
      <c r="AIE84" s="16"/>
      <c r="AIF84" s="16"/>
      <c r="AIG84" s="16"/>
      <c r="AIH84" s="16"/>
      <c r="AII84" s="16"/>
      <c r="AIJ84" s="16"/>
      <c r="AIK84" s="16"/>
      <c r="AIL84" s="16"/>
      <c r="AIM84" s="16"/>
      <c r="AIN84" s="16"/>
      <c r="AIO84" s="16"/>
      <c r="AIP84" s="16"/>
      <c r="AIQ84" s="16"/>
      <c r="AIR84" s="16"/>
      <c r="AIS84" s="16"/>
      <c r="AIT84" s="16"/>
      <c r="AIU84" s="16"/>
      <c r="AIV84" s="16"/>
      <c r="AIW84" s="16"/>
      <c r="AIX84" s="16"/>
      <c r="AIY84" s="16"/>
      <c r="AIZ84" s="16"/>
      <c r="AJA84" s="16"/>
      <c r="AJB84" s="16"/>
      <c r="AJC84" s="16"/>
      <c r="AJD84" s="16"/>
      <c r="AJE84" s="16"/>
      <c r="AJF84" s="16"/>
      <c r="AJG84" s="16"/>
      <c r="AJH84" s="16"/>
      <c r="AJI84" s="16"/>
      <c r="AJJ84" s="16"/>
      <c r="AJK84" s="16"/>
      <c r="AJL84" s="16"/>
      <c r="AJM84" s="16"/>
      <c r="AJN84" s="16"/>
      <c r="AJO84" s="16"/>
      <c r="AJP84" s="16"/>
      <c r="AJQ84" s="16"/>
      <c r="AJR84" s="16"/>
      <c r="AJS84" s="16"/>
      <c r="AJT84" s="16"/>
      <c r="AJU84" s="16"/>
      <c r="AJV84" s="16"/>
      <c r="AJW84" s="16"/>
      <c r="AJX84" s="16"/>
      <c r="AJY84" s="16"/>
      <c r="AJZ84" s="16"/>
      <c r="AKA84" s="16"/>
      <c r="AKB84" s="16"/>
      <c r="AKC84" s="16"/>
      <c r="AKD84" s="16"/>
      <c r="AKE84" s="16"/>
      <c r="AKF84" s="16"/>
      <c r="AKG84" s="16"/>
      <c r="AKH84" s="16"/>
      <c r="AKI84" s="16"/>
      <c r="AKJ84" s="16"/>
      <c r="AKK84" s="16"/>
      <c r="AKL84" s="16"/>
      <c r="AKM84" s="16"/>
      <c r="AKN84" s="16"/>
      <c r="AKO84" s="16"/>
      <c r="AKP84" s="16"/>
      <c r="AKQ84" s="16"/>
      <c r="AKR84" s="16"/>
      <c r="AKS84" s="16"/>
      <c r="AKT84" s="16"/>
      <c r="AKU84" s="16"/>
      <c r="AKV84" s="16"/>
      <c r="AKW84" s="16"/>
      <c r="AKX84" s="16"/>
      <c r="AKY84" s="16"/>
      <c r="AKZ84" s="16"/>
      <c r="ALA84" s="16"/>
      <c r="ALB84" s="16"/>
      <c r="ALC84" s="16"/>
      <c r="ALD84" s="16"/>
      <c r="ALE84" s="16"/>
      <c r="ALF84" s="16"/>
      <c r="ALG84" s="16"/>
      <c r="ALH84" s="16"/>
      <c r="ALI84" s="16"/>
      <c r="ALJ84" s="16"/>
      <c r="ALK84" s="16"/>
      <c r="ALL84" s="16"/>
      <c r="ALM84" s="16"/>
      <c r="ALN84" s="16"/>
      <c r="ALO84" s="16"/>
      <c r="ALP84" s="16"/>
      <c r="ALQ84" s="16"/>
      <c r="ALR84" s="16"/>
      <c r="ALS84" s="16"/>
      <c r="ALT84" s="16"/>
      <c r="ALU84" s="16"/>
      <c r="ALV84" s="16"/>
      <c r="ALW84" s="16"/>
      <c r="ALX84" s="16"/>
      <c r="ALY84" s="16"/>
      <c r="ALZ84" s="16"/>
      <c r="AMA84" s="16"/>
      <c r="AMB84" s="16"/>
      <c r="AMC84" s="16"/>
      <c r="AMD84" s="16"/>
      <c r="AME84" s="16"/>
      <c r="AMF84" s="16"/>
      <c r="AMG84" s="16"/>
      <c r="AMH84" s="16"/>
      <c r="AMI84" s="16"/>
      <c r="AMJ84" s="16"/>
      <c r="AMK84" s="16"/>
      <c r="AML84" s="16"/>
      <c r="AMM84" s="16"/>
      <c r="AMN84" s="16"/>
      <c r="AMO84" s="16"/>
      <c r="AMP84" s="16"/>
      <c r="AMQ84" s="16"/>
      <c r="AMR84" s="16"/>
      <c r="AMS84" s="16"/>
      <c r="AMT84" s="16"/>
      <c r="AMU84" s="16"/>
      <c r="AMV84" s="16"/>
      <c r="AMW84" s="16"/>
      <c r="AMX84" s="16"/>
      <c r="AMY84" s="16"/>
      <c r="AMZ84" s="16"/>
      <c r="ANA84" s="16"/>
      <c r="ANB84" s="16"/>
      <c r="ANC84" s="16"/>
      <c r="AND84" s="16"/>
      <c r="ANE84" s="16"/>
      <c r="ANF84" s="16"/>
      <c r="ANG84" s="16"/>
      <c r="ANH84" s="16"/>
      <c r="ANI84" s="16"/>
      <c r="ANJ84" s="16"/>
      <c r="ANK84" s="16"/>
      <c r="ANL84" s="16"/>
      <c r="ANM84" s="16"/>
      <c r="ANN84" s="16"/>
      <c r="ANO84" s="16"/>
      <c r="ANP84" s="16"/>
      <c r="ANQ84" s="16"/>
      <c r="ANR84" s="16"/>
      <c r="ANS84" s="16"/>
      <c r="ANT84" s="16"/>
      <c r="ANU84" s="16"/>
      <c r="ANV84" s="16"/>
      <c r="ANW84" s="16"/>
      <c r="ANX84" s="16"/>
      <c r="ANY84" s="16"/>
      <c r="ANZ84" s="16"/>
      <c r="AOA84" s="16"/>
      <c r="AOB84" s="16"/>
      <c r="AOC84" s="16"/>
      <c r="AOD84" s="16"/>
      <c r="AOE84" s="16"/>
      <c r="AOF84" s="16"/>
      <c r="AOG84" s="16"/>
      <c r="AOH84" s="16"/>
      <c r="AOI84" s="16"/>
      <c r="AOJ84" s="16"/>
      <c r="AOK84" s="16"/>
      <c r="AOL84" s="16"/>
      <c r="AOM84" s="16"/>
      <c r="AON84" s="16"/>
      <c r="AOO84" s="16"/>
      <c r="AOP84" s="16"/>
      <c r="AOQ84" s="16"/>
      <c r="AOR84" s="16"/>
      <c r="AOS84" s="16"/>
      <c r="AOT84" s="16"/>
      <c r="AOU84" s="16"/>
      <c r="AOV84" s="16"/>
      <c r="AOW84" s="16"/>
      <c r="AOX84" s="16"/>
      <c r="AOY84" s="16"/>
      <c r="AOZ84" s="16"/>
      <c r="APA84" s="16"/>
      <c r="APB84" s="16"/>
      <c r="APC84" s="16"/>
      <c r="APD84" s="16"/>
      <c r="APE84" s="16"/>
      <c r="APF84" s="16"/>
      <c r="APG84" s="16"/>
      <c r="APH84" s="16"/>
      <c r="API84" s="16"/>
      <c r="APJ84" s="16"/>
      <c r="APK84" s="16"/>
      <c r="APL84" s="16"/>
      <c r="APM84" s="16"/>
      <c r="APN84" s="16"/>
      <c r="APO84" s="16"/>
      <c r="APP84" s="16"/>
      <c r="APQ84" s="16"/>
      <c r="APR84" s="16"/>
      <c r="APS84" s="16"/>
      <c r="APT84" s="16"/>
      <c r="APU84" s="16"/>
      <c r="APV84" s="16"/>
      <c r="APW84" s="16"/>
      <c r="APX84" s="16"/>
      <c r="APY84" s="16"/>
      <c r="APZ84" s="16"/>
      <c r="AQA84" s="16"/>
      <c r="AQB84" s="16"/>
      <c r="AQC84" s="16"/>
      <c r="AQD84" s="16"/>
      <c r="AQE84" s="16"/>
      <c r="AQF84" s="16"/>
      <c r="AQG84" s="16"/>
      <c r="AQH84" s="16"/>
      <c r="AQI84" s="16"/>
      <c r="AQJ84" s="16"/>
      <c r="AQK84" s="16"/>
      <c r="AQL84" s="16"/>
      <c r="AQM84" s="16"/>
      <c r="AQN84" s="16"/>
      <c r="AQO84" s="16"/>
      <c r="AQP84" s="16"/>
      <c r="AQQ84" s="16"/>
      <c r="AQR84" s="16"/>
      <c r="AQS84" s="16"/>
      <c r="AQT84" s="16"/>
      <c r="AQU84" s="16"/>
      <c r="AQV84" s="16"/>
      <c r="AQW84" s="16"/>
      <c r="AQX84" s="16"/>
      <c r="AQY84" s="16"/>
      <c r="AQZ84" s="16"/>
      <c r="ARA84" s="16"/>
      <c r="ARB84" s="16"/>
      <c r="ARC84" s="16"/>
      <c r="ARD84" s="16"/>
      <c r="ARE84" s="16"/>
      <c r="ARF84" s="16"/>
      <c r="ARG84" s="16"/>
      <c r="ARH84" s="16"/>
      <c r="ARI84" s="16"/>
      <c r="ARJ84" s="16"/>
      <c r="ARK84" s="16"/>
      <c r="ARL84" s="16"/>
      <c r="ARM84" s="16"/>
      <c r="ARN84" s="16"/>
      <c r="ARO84" s="16"/>
      <c r="ARP84" s="16"/>
      <c r="ARQ84" s="16"/>
      <c r="ARR84" s="16"/>
      <c r="ARS84" s="16"/>
      <c r="ART84" s="16"/>
      <c r="ARU84" s="16"/>
      <c r="ARV84" s="16"/>
      <c r="ARW84" s="16"/>
      <c r="ARX84" s="16"/>
      <c r="ARY84" s="16"/>
      <c r="ARZ84" s="16"/>
      <c r="ASA84" s="16"/>
      <c r="ASB84" s="16"/>
      <c r="ASC84" s="16"/>
      <c r="ASD84" s="16"/>
      <c r="ASE84" s="16"/>
      <c r="ASF84" s="16"/>
      <c r="ASG84" s="16"/>
      <c r="ASH84" s="16"/>
      <c r="ASI84" s="16"/>
      <c r="ASJ84" s="16"/>
      <c r="ASK84" s="16"/>
      <c r="ASL84" s="16"/>
      <c r="ASM84" s="16"/>
      <c r="ASN84" s="16"/>
      <c r="ASO84" s="16"/>
      <c r="ASP84" s="16"/>
      <c r="ASQ84" s="16"/>
      <c r="ASR84" s="16"/>
      <c r="ASS84" s="16"/>
      <c r="AST84" s="16"/>
      <c r="ASU84" s="16"/>
      <c r="ASV84" s="16"/>
      <c r="ASW84" s="16"/>
      <c r="ASX84" s="16"/>
      <c r="ASY84" s="16"/>
      <c r="ASZ84" s="16"/>
      <c r="ATA84" s="16"/>
      <c r="ATB84" s="16"/>
      <c r="ATC84" s="16"/>
      <c r="ATD84" s="16"/>
      <c r="ATE84" s="16"/>
      <c r="ATF84" s="16"/>
      <c r="ATG84" s="16"/>
      <c r="ATH84" s="16"/>
      <c r="ATI84" s="16"/>
      <c r="ATJ84" s="16"/>
      <c r="ATK84" s="16"/>
      <c r="ATL84" s="16"/>
      <c r="ATM84" s="16"/>
      <c r="ATN84" s="16"/>
      <c r="ATO84" s="16"/>
      <c r="ATP84" s="16"/>
      <c r="ATQ84" s="16"/>
      <c r="ATR84" s="16"/>
      <c r="ATS84" s="16"/>
      <c r="ATT84" s="16"/>
      <c r="ATU84" s="16"/>
      <c r="ATV84" s="16"/>
      <c r="ATW84" s="16"/>
      <c r="ATX84" s="16"/>
      <c r="ATY84" s="16"/>
      <c r="ATZ84" s="16"/>
      <c r="AUA84" s="16"/>
      <c r="AUB84" s="16"/>
      <c r="AUC84" s="16"/>
      <c r="AUD84" s="16"/>
      <c r="AUE84" s="16"/>
      <c r="AUF84" s="16"/>
      <c r="AUG84" s="16"/>
      <c r="AUH84" s="16"/>
      <c r="AUI84" s="16"/>
      <c r="AUJ84" s="16"/>
      <c r="AUK84" s="16"/>
      <c r="AUL84" s="16"/>
      <c r="AUM84" s="16"/>
      <c r="AUN84" s="16"/>
      <c r="AUO84" s="16"/>
      <c r="AUP84" s="16"/>
      <c r="AUQ84" s="16"/>
      <c r="AUR84" s="16"/>
      <c r="AUS84" s="16"/>
      <c r="AUT84" s="16"/>
      <c r="AUU84" s="16"/>
      <c r="AUV84" s="16"/>
      <c r="AUW84" s="16"/>
      <c r="AUX84" s="16"/>
      <c r="AUY84" s="16"/>
      <c r="AUZ84" s="16"/>
      <c r="AVA84" s="16"/>
      <c r="AVB84" s="16"/>
      <c r="AVC84" s="16"/>
      <c r="AVD84" s="16"/>
      <c r="AVE84" s="16"/>
      <c r="AVF84" s="16"/>
      <c r="AVG84" s="16"/>
      <c r="AVH84" s="16"/>
      <c r="AVI84" s="16"/>
      <c r="AVJ84" s="16"/>
      <c r="AVK84" s="16"/>
      <c r="AVL84" s="16"/>
      <c r="AVM84" s="16"/>
      <c r="AVN84" s="16"/>
      <c r="AVO84" s="16"/>
      <c r="AVP84" s="16"/>
      <c r="AVQ84" s="16"/>
      <c r="AVR84" s="16"/>
      <c r="AVS84" s="16"/>
      <c r="AVT84" s="16"/>
      <c r="AVU84" s="16"/>
      <c r="AVV84" s="16"/>
      <c r="AVW84" s="16"/>
      <c r="AVX84" s="16"/>
      <c r="AVY84" s="16"/>
      <c r="AVZ84" s="16"/>
      <c r="AWA84" s="16"/>
      <c r="AWB84" s="16"/>
      <c r="AWC84" s="16"/>
      <c r="AWD84" s="16"/>
      <c r="AWE84" s="16"/>
      <c r="AWF84" s="16"/>
      <c r="AWG84" s="16"/>
      <c r="AWH84" s="16"/>
      <c r="AWI84" s="16"/>
      <c r="AWJ84" s="16"/>
      <c r="AWK84" s="16"/>
      <c r="AWL84" s="16"/>
      <c r="AWM84" s="16"/>
      <c r="AWN84" s="16"/>
      <c r="AWO84" s="16"/>
      <c r="AWP84" s="16"/>
      <c r="AWQ84" s="16"/>
      <c r="AWR84" s="16"/>
      <c r="AWS84" s="16"/>
      <c r="AWT84" s="16"/>
      <c r="AWU84" s="16"/>
      <c r="AWV84" s="16"/>
      <c r="AWW84" s="16"/>
      <c r="AWX84" s="16"/>
      <c r="AWY84" s="16"/>
      <c r="AWZ84" s="16"/>
      <c r="AXA84" s="16"/>
      <c r="AXB84" s="16"/>
      <c r="AXC84" s="16"/>
      <c r="AXD84" s="16"/>
      <c r="AXE84" s="16"/>
      <c r="AXF84" s="16"/>
      <c r="AXG84" s="16"/>
      <c r="AXH84" s="16"/>
      <c r="AXI84" s="16"/>
      <c r="AXJ84" s="16"/>
      <c r="AXK84" s="16"/>
      <c r="AXL84" s="16"/>
      <c r="AXM84" s="16"/>
      <c r="AXN84" s="16"/>
      <c r="AXO84" s="16"/>
      <c r="AXP84" s="16"/>
      <c r="AXQ84" s="16"/>
      <c r="AXR84" s="16"/>
      <c r="AXS84" s="16"/>
      <c r="AXT84" s="16"/>
      <c r="AXU84" s="16"/>
      <c r="AXV84" s="16"/>
      <c r="AXW84" s="16"/>
      <c r="AXX84" s="16"/>
      <c r="AXY84" s="16"/>
      <c r="AXZ84" s="16"/>
      <c r="AYA84" s="16"/>
      <c r="AYB84" s="16"/>
      <c r="AYC84" s="16"/>
      <c r="AYD84" s="16"/>
      <c r="AYE84" s="16"/>
      <c r="AYF84" s="16"/>
      <c r="AYG84" s="16"/>
      <c r="AYH84" s="16"/>
      <c r="AYI84" s="16"/>
      <c r="AYJ84" s="16"/>
      <c r="AYK84" s="16"/>
      <c r="AYL84" s="16"/>
      <c r="AYM84" s="16"/>
      <c r="AYN84" s="16"/>
      <c r="AYO84" s="16"/>
      <c r="AYP84" s="16"/>
      <c r="AYQ84" s="16"/>
      <c r="AYR84" s="16"/>
      <c r="AYS84" s="16"/>
      <c r="AYT84" s="16"/>
      <c r="AYU84" s="16"/>
      <c r="AYV84" s="16"/>
      <c r="AYW84" s="16"/>
      <c r="AYX84" s="16"/>
      <c r="AYY84" s="16"/>
      <c r="AYZ84" s="16"/>
      <c r="AZA84" s="16"/>
      <c r="AZB84" s="16"/>
      <c r="AZC84" s="16"/>
      <c r="AZD84" s="16"/>
      <c r="AZE84" s="16"/>
      <c r="AZF84" s="16"/>
      <c r="AZG84" s="16"/>
      <c r="AZH84" s="16"/>
      <c r="AZI84" s="16"/>
      <c r="AZJ84" s="16"/>
      <c r="AZK84" s="16"/>
      <c r="AZL84" s="16"/>
      <c r="AZM84" s="16"/>
      <c r="AZN84" s="16"/>
      <c r="AZO84" s="16"/>
      <c r="AZP84" s="16"/>
      <c r="AZQ84" s="16"/>
      <c r="AZR84" s="16"/>
      <c r="AZS84" s="16"/>
      <c r="AZT84" s="16"/>
      <c r="AZU84" s="16"/>
      <c r="AZV84" s="16"/>
      <c r="AZW84" s="16"/>
      <c r="AZX84" s="16"/>
      <c r="AZY84" s="16"/>
      <c r="AZZ84" s="16"/>
      <c r="BAA84" s="16"/>
      <c r="BAB84" s="16"/>
      <c r="BAC84" s="16"/>
      <c r="BAD84" s="16"/>
      <c r="BAE84" s="16"/>
      <c r="BAF84" s="16"/>
      <c r="BAG84" s="16"/>
      <c r="BAH84" s="16"/>
      <c r="BAI84" s="16"/>
      <c r="BAJ84" s="16"/>
      <c r="BAK84" s="16"/>
      <c r="BAL84" s="16"/>
      <c r="BAM84" s="16"/>
      <c r="BAN84" s="16"/>
      <c r="BAO84" s="16"/>
      <c r="BAP84" s="16"/>
      <c r="BAQ84" s="16"/>
      <c r="BAR84" s="16"/>
      <c r="BAS84" s="16"/>
      <c r="BAT84" s="16"/>
      <c r="BAU84" s="16"/>
      <c r="BAV84" s="16"/>
      <c r="BAW84" s="16"/>
      <c r="BAX84" s="16"/>
      <c r="BAY84" s="16"/>
      <c r="BAZ84" s="16"/>
      <c r="BBA84" s="16"/>
      <c r="BBB84" s="16"/>
      <c r="BBC84" s="16"/>
      <c r="BBD84" s="16"/>
      <c r="BBE84" s="16"/>
      <c r="BBF84" s="16"/>
      <c r="BBG84" s="16"/>
      <c r="BBH84" s="16"/>
      <c r="BBI84" s="16"/>
      <c r="BBJ84" s="16"/>
      <c r="BBK84" s="16"/>
      <c r="BBL84" s="16"/>
      <c r="BBM84" s="16"/>
      <c r="BBN84" s="16"/>
      <c r="BBO84" s="16"/>
      <c r="BBP84" s="16"/>
      <c r="BBQ84" s="16"/>
      <c r="BBR84" s="16"/>
      <c r="BBS84" s="16"/>
      <c r="BBT84" s="16"/>
      <c r="BBU84" s="16"/>
      <c r="BBV84" s="16"/>
      <c r="BBW84" s="16"/>
      <c r="BBX84" s="16"/>
      <c r="BBY84" s="16"/>
      <c r="BBZ84" s="16"/>
      <c r="BCA84" s="16"/>
      <c r="BCB84" s="16"/>
      <c r="BCC84" s="16"/>
      <c r="BCD84" s="16"/>
      <c r="BCE84" s="16"/>
      <c r="BCF84" s="16"/>
      <c r="BCG84" s="16"/>
      <c r="BCH84" s="16"/>
      <c r="BCI84" s="16"/>
      <c r="BCJ84" s="16"/>
      <c r="BCK84" s="16"/>
      <c r="BCL84" s="16"/>
      <c r="BCM84" s="16"/>
      <c r="BCN84" s="16"/>
      <c r="BCO84" s="16"/>
      <c r="BCP84" s="16"/>
      <c r="BCQ84" s="16"/>
      <c r="BCR84" s="16"/>
      <c r="BCS84" s="16"/>
      <c r="BCT84" s="16"/>
      <c r="BCU84" s="16"/>
      <c r="BCV84" s="16"/>
      <c r="BCW84" s="16"/>
      <c r="BCX84" s="16"/>
      <c r="BCY84" s="16"/>
      <c r="BCZ84" s="16"/>
      <c r="BDA84" s="16"/>
      <c r="BDB84" s="16"/>
      <c r="BDC84" s="16"/>
      <c r="BDD84" s="16"/>
      <c r="BDE84" s="16"/>
      <c r="BDF84" s="16"/>
      <c r="BDG84" s="16"/>
      <c r="BDH84" s="16"/>
      <c r="BDI84" s="16"/>
      <c r="BDJ84" s="16"/>
      <c r="BDK84" s="16"/>
      <c r="BDL84" s="16"/>
      <c r="BDM84" s="16"/>
      <c r="BDN84" s="16"/>
      <c r="BDO84" s="16"/>
      <c r="BDP84" s="16"/>
      <c r="BDQ84" s="16"/>
      <c r="BDR84" s="16"/>
      <c r="BDS84" s="16"/>
      <c r="BDT84" s="16"/>
      <c r="BDU84" s="16"/>
      <c r="BDV84" s="16"/>
      <c r="BDW84" s="16"/>
      <c r="BDX84" s="16"/>
      <c r="BDY84" s="16"/>
      <c r="BDZ84" s="16"/>
      <c r="BEA84" s="16"/>
      <c r="BEB84" s="16"/>
      <c r="BEC84" s="16"/>
      <c r="BED84" s="16"/>
      <c r="BEE84" s="16"/>
      <c r="BEF84" s="16"/>
      <c r="BEG84" s="16"/>
      <c r="BEH84" s="16"/>
      <c r="BEI84" s="16"/>
      <c r="BEJ84" s="16"/>
      <c r="BEK84" s="16"/>
      <c r="BEL84" s="16"/>
      <c r="BEM84" s="16"/>
      <c r="BEN84" s="16"/>
      <c r="BEO84" s="16"/>
      <c r="BEP84" s="16"/>
      <c r="BEQ84" s="16"/>
      <c r="BER84" s="16"/>
      <c r="BES84" s="16"/>
      <c r="BET84" s="16"/>
      <c r="BEU84" s="16"/>
      <c r="BEV84" s="16"/>
      <c r="BEW84" s="16"/>
      <c r="BEX84" s="16"/>
      <c r="BEY84" s="16"/>
      <c r="BEZ84" s="16"/>
      <c r="BFA84" s="16"/>
      <c r="BFB84" s="16"/>
      <c r="BFC84" s="16"/>
      <c r="BFD84" s="16"/>
      <c r="BFE84" s="16"/>
      <c r="BFF84" s="16"/>
      <c r="BFG84" s="16"/>
      <c r="BFH84" s="16"/>
      <c r="BFI84" s="16"/>
      <c r="BFJ84" s="16"/>
      <c r="BFK84" s="16"/>
      <c r="BFL84" s="16"/>
      <c r="BFM84" s="16"/>
      <c r="BFN84" s="16"/>
      <c r="BFO84" s="16"/>
      <c r="BFP84" s="16"/>
      <c r="BFQ84" s="16"/>
      <c r="BFR84" s="16"/>
      <c r="BFS84" s="16"/>
      <c r="BFT84" s="16"/>
      <c r="BFU84" s="16"/>
      <c r="BFV84" s="16"/>
      <c r="BFW84" s="16"/>
      <c r="BFX84" s="16"/>
      <c r="BFY84" s="16"/>
      <c r="BFZ84" s="16"/>
      <c r="BGA84" s="16"/>
      <c r="BGB84" s="16"/>
      <c r="BGC84" s="16"/>
      <c r="BGD84" s="16"/>
      <c r="BGE84" s="16"/>
      <c r="BGF84" s="16"/>
      <c r="BGG84" s="16"/>
      <c r="BGH84" s="16"/>
      <c r="BGI84" s="16"/>
      <c r="BGJ84" s="16"/>
      <c r="BGK84" s="16"/>
      <c r="BGL84" s="16"/>
      <c r="BGM84" s="16"/>
      <c r="BGN84" s="16"/>
      <c r="BGO84" s="16"/>
      <c r="BGP84" s="16"/>
      <c r="BGQ84" s="16"/>
      <c r="BGR84" s="16"/>
      <c r="BGS84" s="16"/>
      <c r="BGT84" s="16"/>
      <c r="BGU84" s="16"/>
      <c r="BGV84" s="16"/>
      <c r="BGW84" s="16"/>
      <c r="BGX84" s="16"/>
      <c r="BGY84" s="16"/>
      <c r="BGZ84" s="16"/>
      <c r="BHA84" s="16"/>
      <c r="BHB84" s="16"/>
      <c r="BHC84" s="16"/>
      <c r="BHD84" s="16"/>
      <c r="BHE84" s="16"/>
      <c r="BHF84" s="16"/>
      <c r="BHG84" s="16"/>
      <c r="BHH84" s="16"/>
      <c r="BHI84" s="16"/>
      <c r="BHJ84" s="16"/>
      <c r="BHK84" s="16"/>
      <c r="BHL84" s="16"/>
      <c r="BHM84" s="16"/>
      <c r="BHN84" s="16"/>
      <c r="BHO84" s="16"/>
      <c r="BHP84" s="16"/>
      <c r="BHQ84" s="16"/>
      <c r="BHR84" s="16"/>
      <c r="BHS84" s="16"/>
      <c r="BHT84" s="16"/>
      <c r="BHU84" s="16"/>
      <c r="BHV84" s="16"/>
      <c r="BHW84" s="16"/>
      <c r="BHX84" s="16"/>
      <c r="BHY84" s="16"/>
      <c r="BHZ84" s="16"/>
      <c r="BIA84" s="16"/>
      <c r="BIB84" s="16"/>
      <c r="BIC84" s="16"/>
      <c r="BID84" s="16"/>
      <c r="BIE84" s="16"/>
      <c r="BIF84" s="16"/>
      <c r="BIG84" s="16"/>
      <c r="BIH84" s="16"/>
      <c r="BII84" s="16"/>
      <c r="BIJ84" s="16"/>
      <c r="BIK84" s="16"/>
      <c r="BIL84" s="16"/>
      <c r="BIM84" s="16"/>
      <c r="BIN84" s="16"/>
      <c r="BIO84" s="16"/>
      <c r="BIP84" s="16"/>
      <c r="BIQ84" s="16"/>
      <c r="BIR84" s="16"/>
      <c r="BIS84" s="16"/>
      <c r="BIT84" s="16"/>
      <c r="BIU84" s="16"/>
      <c r="BIV84" s="16"/>
      <c r="BIW84" s="16"/>
      <c r="BIX84" s="16"/>
      <c r="BIY84" s="16"/>
      <c r="BIZ84" s="16"/>
      <c r="BJA84" s="16"/>
      <c r="BJB84" s="16"/>
      <c r="BJC84" s="16"/>
      <c r="BJD84" s="16"/>
      <c r="BJE84" s="16"/>
      <c r="BJF84" s="16"/>
      <c r="BJG84" s="16"/>
      <c r="BJH84" s="16"/>
      <c r="BJI84" s="16"/>
      <c r="BJJ84" s="16"/>
      <c r="BJK84" s="16"/>
      <c r="BJL84" s="16"/>
      <c r="BJM84" s="16"/>
      <c r="BJN84" s="16"/>
      <c r="BJO84" s="16"/>
      <c r="BJP84" s="16"/>
      <c r="BJQ84" s="16"/>
      <c r="BJR84" s="16"/>
      <c r="BJS84" s="16"/>
      <c r="BJT84" s="16"/>
      <c r="BJU84" s="16"/>
      <c r="BJV84" s="16"/>
      <c r="BJW84" s="16"/>
      <c r="BJX84" s="16"/>
      <c r="BJY84" s="16"/>
      <c r="BJZ84" s="16"/>
      <c r="BKA84" s="16"/>
      <c r="BKB84" s="16"/>
      <c r="BKC84" s="16"/>
      <c r="BKD84" s="16"/>
      <c r="BKE84" s="16"/>
      <c r="BKF84" s="16"/>
      <c r="BKG84" s="16"/>
      <c r="BKH84" s="16"/>
      <c r="BKI84" s="16"/>
      <c r="BKJ84" s="16"/>
      <c r="BKK84" s="16"/>
      <c r="BKL84" s="16"/>
      <c r="BKM84" s="16"/>
      <c r="BKN84" s="16"/>
      <c r="BKO84" s="16"/>
      <c r="BKP84" s="16"/>
      <c r="BKQ84" s="16"/>
      <c r="BKR84" s="16"/>
      <c r="BKS84" s="16"/>
      <c r="BKT84" s="16"/>
      <c r="BKU84" s="16"/>
      <c r="BKV84" s="16"/>
      <c r="BKW84" s="16"/>
      <c r="BKX84" s="16"/>
      <c r="BKY84" s="16"/>
      <c r="BKZ84" s="16"/>
      <c r="BLA84" s="16"/>
      <c r="BLB84" s="16"/>
      <c r="BLC84" s="16"/>
      <c r="BLD84" s="16"/>
      <c r="BLE84" s="16"/>
      <c r="BLF84" s="16"/>
      <c r="BLG84" s="16"/>
      <c r="BLH84" s="16"/>
      <c r="BLI84" s="16"/>
      <c r="BLJ84" s="16"/>
      <c r="BLK84" s="16"/>
      <c r="BLL84" s="16"/>
      <c r="BLM84" s="16"/>
      <c r="BLN84" s="16"/>
      <c r="BLO84" s="16"/>
      <c r="BLP84" s="16"/>
      <c r="BLQ84" s="16"/>
      <c r="BLR84" s="16"/>
      <c r="BLS84" s="16"/>
      <c r="BLT84" s="16"/>
      <c r="BLU84" s="16"/>
      <c r="BLV84" s="16"/>
      <c r="BLW84" s="16"/>
      <c r="BLX84" s="16"/>
      <c r="BLY84" s="16"/>
      <c r="BLZ84" s="16"/>
      <c r="BMA84" s="16"/>
      <c r="BMB84" s="16"/>
      <c r="BMC84" s="16"/>
      <c r="BMD84" s="16"/>
      <c r="BME84" s="16"/>
      <c r="BMF84" s="16"/>
      <c r="BMG84" s="16"/>
      <c r="BMH84" s="16"/>
      <c r="BMI84" s="16"/>
      <c r="BMJ84" s="16"/>
      <c r="BMK84" s="16"/>
      <c r="BML84" s="16"/>
      <c r="BMM84" s="16"/>
      <c r="BMN84" s="16"/>
      <c r="BMO84" s="16"/>
      <c r="BMP84" s="16"/>
      <c r="BMQ84" s="16"/>
      <c r="BMR84" s="16"/>
      <c r="BMS84" s="16"/>
      <c r="BMT84" s="16"/>
      <c r="BMU84" s="16"/>
      <c r="BMV84" s="16"/>
      <c r="BMW84" s="16"/>
      <c r="BMX84" s="16"/>
      <c r="BMY84" s="16"/>
      <c r="BMZ84" s="16"/>
      <c r="BNA84" s="16"/>
      <c r="BNB84" s="16"/>
      <c r="BNC84" s="16"/>
      <c r="BND84" s="16"/>
      <c r="BNE84" s="16"/>
      <c r="BNF84" s="16"/>
      <c r="BNG84" s="16"/>
      <c r="BNH84" s="16"/>
      <c r="BNI84" s="16"/>
      <c r="BNJ84" s="16"/>
      <c r="BNK84" s="16"/>
      <c r="BNL84" s="16"/>
      <c r="BNM84" s="16"/>
      <c r="BNN84" s="16"/>
      <c r="BNO84" s="16"/>
      <c r="BNP84" s="16"/>
      <c r="BNQ84" s="16"/>
      <c r="BNR84" s="16"/>
      <c r="BNS84" s="16"/>
      <c r="BNT84" s="16"/>
      <c r="BNU84" s="16"/>
      <c r="BNV84" s="16"/>
      <c r="BNW84" s="16"/>
      <c r="BNX84" s="16"/>
      <c r="BNY84" s="16"/>
      <c r="BNZ84" s="16"/>
      <c r="BOA84" s="16"/>
      <c r="BOB84" s="16"/>
      <c r="BOC84" s="16"/>
      <c r="BOD84" s="16"/>
      <c r="BOE84" s="16"/>
      <c r="BOF84" s="16"/>
      <c r="BOG84" s="16"/>
      <c r="BOH84" s="16"/>
      <c r="BOI84" s="16"/>
      <c r="BOJ84" s="16"/>
      <c r="BOK84" s="16"/>
      <c r="BOL84" s="16"/>
      <c r="BOM84" s="16"/>
      <c r="BON84" s="16"/>
      <c r="BOO84" s="16"/>
      <c r="BOP84" s="16"/>
      <c r="BOQ84" s="16"/>
      <c r="BOR84" s="16"/>
      <c r="BOS84" s="16"/>
      <c r="BOT84" s="16"/>
      <c r="BOU84" s="16"/>
      <c r="BOV84" s="16"/>
      <c r="BOW84" s="16"/>
      <c r="BOX84" s="16"/>
      <c r="BOY84" s="16"/>
      <c r="BOZ84" s="16"/>
      <c r="BPA84" s="16"/>
      <c r="BPB84" s="16"/>
      <c r="BPC84" s="16"/>
      <c r="BPD84" s="16"/>
      <c r="BPE84" s="16"/>
      <c r="BPF84" s="16"/>
      <c r="BPG84" s="16"/>
      <c r="BPH84" s="16"/>
      <c r="BPI84" s="16"/>
      <c r="BPJ84" s="16"/>
      <c r="BPK84" s="16"/>
      <c r="BPL84" s="16"/>
      <c r="BPM84" s="16"/>
      <c r="BPN84" s="16"/>
      <c r="BPO84" s="16"/>
      <c r="BPP84" s="16"/>
      <c r="BPQ84" s="16"/>
      <c r="BPR84" s="16"/>
      <c r="BPS84" s="16"/>
      <c r="BPT84" s="16"/>
      <c r="BPU84" s="16"/>
      <c r="BPV84" s="16"/>
      <c r="BPW84" s="16"/>
      <c r="BPX84" s="16"/>
      <c r="BPY84" s="16"/>
      <c r="BPZ84" s="16"/>
      <c r="BQA84" s="16"/>
      <c r="BQB84" s="16"/>
      <c r="BQC84" s="16"/>
      <c r="BQD84" s="16"/>
      <c r="BQE84" s="16"/>
      <c r="BQF84" s="16"/>
      <c r="BQG84" s="16"/>
      <c r="BQH84" s="16"/>
      <c r="BQI84" s="16"/>
      <c r="BQJ84" s="16"/>
      <c r="BQK84" s="16"/>
      <c r="BQL84" s="16"/>
      <c r="BQM84" s="16"/>
      <c r="BQN84" s="16"/>
      <c r="BQO84" s="16"/>
      <c r="BQP84" s="16"/>
      <c r="BQQ84" s="16"/>
      <c r="BQR84" s="16"/>
      <c r="BQS84" s="16"/>
      <c r="BQT84" s="16"/>
      <c r="BQU84" s="16"/>
      <c r="BQV84" s="16"/>
      <c r="BQW84" s="16"/>
      <c r="BQX84" s="16"/>
      <c r="BQY84" s="16"/>
      <c r="BQZ84" s="16"/>
      <c r="BRA84" s="16"/>
      <c r="BRB84" s="16"/>
      <c r="BRC84" s="16"/>
      <c r="BRD84" s="16"/>
      <c r="BRE84" s="16"/>
      <c r="BRF84" s="16"/>
      <c r="BRG84" s="16"/>
      <c r="BRH84" s="16"/>
      <c r="BRI84" s="16"/>
      <c r="BRJ84" s="16"/>
      <c r="BRK84" s="16"/>
      <c r="BRL84" s="16"/>
      <c r="BRM84" s="16"/>
      <c r="BRN84" s="16"/>
      <c r="BRO84" s="16"/>
      <c r="BRP84" s="16"/>
      <c r="BRQ84" s="16"/>
      <c r="BRR84" s="16"/>
      <c r="BRS84" s="16"/>
      <c r="BRT84" s="16"/>
      <c r="BRU84" s="16"/>
      <c r="BRV84" s="16"/>
      <c r="BRW84" s="16"/>
      <c r="BRX84" s="16"/>
      <c r="BRY84" s="16"/>
      <c r="BRZ84" s="16"/>
      <c r="BSA84" s="16"/>
      <c r="BSB84" s="16"/>
      <c r="BSC84" s="16"/>
      <c r="BSD84" s="16"/>
      <c r="BSE84" s="16"/>
      <c r="BSF84" s="16"/>
      <c r="BSG84" s="16"/>
      <c r="BSH84" s="16"/>
      <c r="BSI84" s="16"/>
      <c r="BSJ84" s="16"/>
      <c r="BSK84" s="16"/>
      <c r="BSL84" s="16"/>
      <c r="BSM84" s="16"/>
      <c r="BSN84" s="16"/>
      <c r="BSO84" s="16"/>
      <c r="BSP84" s="16"/>
      <c r="BSQ84" s="16"/>
      <c r="BSR84" s="16"/>
      <c r="BSS84" s="16"/>
      <c r="BST84" s="16"/>
      <c r="BSU84" s="16"/>
      <c r="BSV84" s="16"/>
      <c r="BSW84" s="16"/>
      <c r="BSX84" s="16"/>
      <c r="BSY84" s="16"/>
      <c r="BSZ84" s="16"/>
      <c r="BTA84" s="16"/>
      <c r="BTB84" s="16"/>
      <c r="BTC84" s="16"/>
      <c r="BTD84" s="16"/>
      <c r="BTE84" s="16"/>
      <c r="BTF84" s="16"/>
      <c r="BTG84" s="16"/>
      <c r="BTH84" s="16"/>
      <c r="BTI84" s="16"/>
      <c r="BTJ84" s="16"/>
      <c r="BTK84" s="16"/>
      <c r="BTL84" s="16"/>
      <c r="BTM84" s="16"/>
      <c r="BTN84" s="16"/>
      <c r="BTO84" s="16"/>
      <c r="BTP84" s="16"/>
      <c r="BTQ84" s="16"/>
      <c r="BTR84" s="16"/>
      <c r="BTS84" s="16"/>
      <c r="BTT84" s="16"/>
      <c r="BTU84" s="16"/>
      <c r="BTV84" s="16"/>
      <c r="BTW84" s="16"/>
      <c r="BTX84" s="16"/>
      <c r="BTY84" s="16"/>
      <c r="BTZ84" s="16"/>
      <c r="BUA84" s="16"/>
      <c r="BUB84" s="16"/>
      <c r="BUC84" s="16"/>
      <c r="BUD84" s="16"/>
      <c r="BUE84" s="16"/>
      <c r="BUF84" s="16"/>
      <c r="BUG84" s="16"/>
      <c r="BUH84" s="16"/>
      <c r="BUI84" s="16"/>
      <c r="BUJ84" s="16"/>
      <c r="BUK84" s="16"/>
      <c r="BUL84" s="16"/>
      <c r="BUM84" s="16"/>
      <c r="BUN84" s="16"/>
      <c r="BUO84" s="16"/>
      <c r="BUP84" s="16"/>
      <c r="BUQ84" s="16"/>
      <c r="BUR84" s="16"/>
      <c r="BUS84" s="16"/>
      <c r="BUT84" s="16"/>
      <c r="BUU84" s="16"/>
      <c r="BUV84" s="16"/>
      <c r="BUW84" s="16"/>
      <c r="BUX84" s="16"/>
      <c r="BUY84" s="16"/>
      <c r="BUZ84" s="16"/>
      <c r="BVA84" s="16"/>
      <c r="BVB84" s="16"/>
      <c r="BVC84" s="16"/>
      <c r="BVD84" s="16"/>
      <c r="BVE84" s="16"/>
      <c r="BVF84" s="16"/>
      <c r="BVG84" s="16"/>
      <c r="BVH84" s="16"/>
      <c r="BVI84" s="16"/>
      <c r="BVJ84" s="16"/>
      <c r="BVK84" s="16"/>
      <c r="BVL84" s="16"/>
      <c r="BVM84" s="16"/>
      <c r="BVN84" s="16"/>
      <c r="BVO84" s="16"/>
      <c r="BVP84" s="16"/>
      <c r="BVQ84" s="16"/>
      <c r="BVR84" s="16"/>
      <c r="BVS84" s="16"/>
      <c r="BVT84" s="16"/>
      <c r="BVU84" s="16"/>
      <c r="BVV84" s="16"/>
      <c r="BVW84" s="16"/>
      <c r="BVX84" s="16"/>
      <c r="BVY84" s="16"/>
      <c r="BVZ84" s="16"/>
      <c r="BWA84" s="16"/>
      <c r="BWB84" s="16"/>
      <c r="BWC84" s="16"/>
      <c r="BWD84" s="16"/>
      <c r="BWE84" s="16"/>
      <c r="BWF84" s="16"/>
      <c r="BWG84" s="16"/>
      <c r="BWH84" s="16"/>
      <c r="BWI84" s="16"/>
      <c r="BWJ84" s="16"/>
      <c r="BWK84" s="16"/>
      <c r="BWL84" s="16"/>
      <c r="BWM84" s="16"/>
      <c r="BWN84" s="16"/>
      <c r="BWO84" s="16"/>
      <c r="BWP84" s="16"/>
      <c r="BWQ84" s="16"/>
      <c r="BWR84" s="16"/>
      <c r="BWS84" s="16"/>
      <c r="BWT84" s="16"/>
      <c r="BWU84" s="16"/>
      <c r="BWV84" s="16"/>
      <c r="BWW84" s="16"/>
      <c r="BWX84" s="16"/>
      <c r="BWY84" s="16"/>
      <c r="BWZ84" s="16"/>
      <c r="BXA84" s="16"/>
      <c r="BXB84" s="16"/>
      <c r="BXC84" s="16"/>
      <c r="BXD84" s="16"/>
      <c r="BXE84" s="16"/>
      <c r="BXF84" s="16"/>
      <c r="BXG84" s="16"/>
      <c r="BXH84" s="16"/>
      <c r="BXI84" s="16"/>
      <c r="BXJ84" s="16"/>
      <c r="BXK84" s="16"/>
      <c r="BXL84" s="16"/>
      <c r="BXM84" s="16"/>
      <c r="BXN84" s="16"/>
      <c r="BXO84" s="16"/>
      <c r="BXP84" s="16"/>
      <c r="BXQ84" s="16"/>
      <c r="BXR84" s="16"/>
      <c r="BXS84" s="16"/>
      <c r="BXT84" s="16"/>
      <c r="BXU84" s="16"/>
      <c r="BXV84" s="16"/>
      <c r="BXW84" s="16"/>
      <c r="BXX84" s="16"/>
      <c r="BXY84" s="16"/>
      <c r="BXZ84" s="16"/>
      <c r="BYA84" s="16"/>
      <c r="BYB84" s="16"/>
      <c r="BYC84" s="16"/>
      <c r="BYD84" s="16"/>
      <c r="BYE84" s="16"/>
      <c r="BYF84" s="16"/>
      <c r="BYG84" s="16"/>
      <c r="BYH84" s="16"/>
      <c r="BYI84" s="16"/>
      <c r="BYJ84" s="16"/>
      <c r="BYK84" s="16"/>
      <c r="BYL84" s="16"/>
      <c r="BYM84" s="16"/>
      <c r="BYN84" s="16"/>
      <c r="BYO84" s="16"/>
      <c r="BYP84" s="16"/>
      <c r="BYQ84" s="16"/>
      <c r="BYR84" s="16"/>
      <c r="BYS84" s="16"/>
      <c r="BYT84" s="16"/>
      <c r="BYU84" s="16"/>
      <c r="BYV84" s="16"/>
      <c r="BYW84" s="16"/>
      <c r="BYX84" s="16"/>
      <c r="BYY84" s="16"/>
      <c r="BYZ84" s="16"/>
      <c r="BZA84" s="16"/>
      <c r="BZB84" s="16"/>
      <c r="BZC84" s="16"/>
      <c r="BZD84" s="16"/>
      <c r="BZE84" s="16"/>
      <c r="BZF84" s="16"/>
      <c r="BZG84" s="16"/>
      <c r="BZH84" s="16"/>
      <c r="BZI84" s="16"/>
      <c r="BZJ84" s="16"/>
      <c r="BZK84" s="16"/>
      <c r="BZL84" s="16"/>
      <c r="BZM84" s="16"/>
      <c r="BZN84" s="16"/>
      <c r="BZO84" s="16"/>
      <c r="BZP84" s="16"/>
      <c r="BZQ84" s="16"/>
      <c r="BZR84" s="16"/>
      <c r="BZS84" s="16"/>
      <c r="BZT84" s="16"/>
      <c r="BZU84" s="16"/>
      <c r="BZV84" s="16"/>
      <c r="BZW84" s="16"/>
      <c r="BZX84" s="16"/>
      <c r="BZY84" s="16"/>
      <c r="BZZ84" s="16"/>
      <c r="CAA84" s="16"/>
      <c r="CAB84" s="16"/>
      <c r="CAC84" s="16"/>
      <c r="CAD84" s="16"/>
      <c r="CAE84" s="16"/>
      <c r="CAF84" s="16"/>
      <c r="CAG84" s="16"/>
      <c r="CAH84" s="16"/>
      <c r="CAI84" s="16"/>
      <c r="CAJ84" s="16"/>
      <c r="CAK84" s="16"/>
      <c r="CAL84" s="16"/>
      <c r="CAM84" s="16"/>
      <c r="CAN84" s="16"/>
      <c r="CAO84" s="16"/>
      <c r="CAP84" s="16"/>
      <c r="CAQ84" s="16"/>
      <c r="CAR84" s="16"/>
      <c r="CAS84" s="16"/>
      <c r="CAT84" s="16"/>
      <c r="CAU84" s="16"/>
      <c r="CAV84" s="16"/>
      <c r="CAW84" s="16"/>
      <c r="CAX84" s="16"/>
      <c r="CAY84" s="16"/>
      <c r="CAZ84" s="16"/>
      <c r="CBA84" s="16"/>
      <c r="CBB84" s="16"/>
      <c r="CBC84" s="16"/>
      <c r="CBD84" s="16"/>
      <c r="CBE84" s="16"/>
      <c r="CBF84" s="16"/>
      <c r="CBG84" s="16"/>
      <c r="CBH84" s="16"/>
      <c r="CBI84" s="16"/>
      <c r="CBJ84" s="16"/>
      <c r="CBK84" s="16"/>
      <c r="CBL84" s="16"/>
      <c r="CBM84" s="16"/>
      <c r="CBN84" s="16"/>
      <c r="CBO84" s="16"/>
      <c r="CBP84" s="16"/>
      <c r="CBQ84" s="16"/>
      <c r="CBR84" s="16"/>
      <c r="CBS84" s="16"/>
      <c r="CBT84" s="16"/>
      <c r="CBU84" s="16"/>
      <c r="CBV84" s="16"/>
      <c r="CBW84" s="16"/>
      <c r="CBX84" s="16"/>
      <c r="CBY84" s="16"/>
      <c r="CBZ84" s="16"/>
      <c r="CCA84" s="16"/>
      <c r="CCB84" s="16"/>
      <c r="CCC84" s="16"/>
      <c r="CCD84" s="16"/>
      <c r="CCE84" s="16"/>
      <c r="CCF84" s="16"/>
      <c r="CCG84" s="16"/>
      <c r="CCH84" s="16"/>
      <c r="CCI84" s="16"/>
      <c r="CCJ84" s="16"/>
      <c r="CCK84" s="16"/>
      <c r="CCL84" s="16"/>
      <c r="CCM84" s="16"/>
      <c r="CCN84" s="16"/>
      <c r="CCO84" s="16"/>
      <c r="CCP84" s="16"/>
      <c r="CCQ84" s="16"/>
      <c r="CCR84" s="16"/>
      <c r="CCS84" s="16"/>
      <c r="CCT84" s="16"/>
      <c r="CCU84" s="16"/>
      <c r="CCV84" s="16"/>
      <c r="CCW84" s="16"/>
      <c r="CCX84" s="16"/>
      <c r="CCY84" s="16"/>
      <c r="CCZ84" s="16"/>
      <c r="CDA84" s="16"/>
      <c r="CDB84" s="16"/>
      <c r="CDC84" s="16"/>
      <c r="CDD84" s="16"/>
      <c r="CDE84" s="16"/>
      <c r="CDF84" s="16"/>
      <c r="CDG84" s="16"/>
      <c r="CDH84" s="16"/>
      <c r="CDI84" s="16"/>
      <c r="CDJ84" s="16"/>
      <c r="CDK84" s="16"/>
      <c r="CDL84" s="16"/>
      <c r="CDM84" s="16"/>
      <c r="CDN84" s="16"/>
      <c r="CDO84" s="16"/>
      <c r="CDP84" s="16"/>
      <c r="CDQ84" s="16"/>
      <c r="CDR84" s="16"/>
      <c r="CDS84" s="16"/>
      <c r="CDT84" s="16"/>
      <c r="CDU84" s="16"/>
      <c r="CDV84" s="16"/>
      <c r="CDW84" s="16"/>
      <c r="CDX84" s="16"/>
      <c r="CDY84" s="16"/>
      <c r="CDZ84" s="16"/>
      <c r="CEA84" s="16"/>
      <c r="CEB84" s="16"/>
      <c r="CEC84" s="16"/>
      <c r="CED84" s="16"/>
      <c r="CEE84" s="16"/>
      <c r="CEF84" s="16"/>
      <c r="CEG84" s="16"/>
      <c r="CEH84" s="16"/>
      <c r="CEI84" s="16"/>
      <c r="CEJ84" s="16"/>
      <c r="CEK84" s="16"/>
      <c r="CEL84" s="16"/>
      <c r="CEM84" s="16"/>
      <c r="CEN84" s="16"/>
      <c r="CEO84" s="16"/>
      <c r="CEP84" s="16"/>
      <c r="CEQ84" s="16"/>
      <c r="CER84" s="16"/>
      <c r="CES84" s="16"/>
      <c r="CET84" s="16"/>
      <c r="CEU84" s="16"/>
      <c r="CEV84" s="16"/>
      <c r="CEW84" s="16"/>
      <c r="CEX84" s="16"/>
      <c r="CEY84" s="16"/>
      <c r="CEZ84" s="16"/>
      <c r="CFA84" s="16"/>
      <c r="CFB84" s="16"/>
      <c r="CFC84" s="16"/>
      <c r="CFD84" s="16"/>
      <c r="CFE84" s="16"/>
      <c r="CFF84" s="16"/>
      <c r="CFG84" s="16"/>
      <c r="CFH84" s="16"/>
      <c r="CFI84" s="16"/>
      <c r="CFJ84" s="16"/>
      <c r="CFK84" s="16"/>
      <c r="CFL84" s="16"/>
      <c r="CFM84" s="16"/>
      <c r="CFN84" s="16"/>
      <c r="CFO84" s="16"/>
      <c r="CFP84" s="16"/>
      <c r="CFQ84" s="16"/>
      <c r="CFR84" s="16"/>
      <c r="CFS84" s="16"/>
      <c r="CFT84" s="16"/>
      <c r="CFU84" s="16"/>
      <c r="CFV84" s="16"/>
      <c r="CFW84" s="16"/>
      <c r="CFX84" s="16"/>
      <c r="CFY84" s="16"/>
      <c r="CFZ84" s="16"/>
      <c r="CGA84" s="16"/>
      <c r="CGB84" s="16"/>
      <c r="CGC84" s="16"/>
      <c r="CGD84" s="16"/>
      <c r="CGE84" s="16"/>
      <c r="CGF84" s="16"/>
      <c r="CGG84" s="16"/>
      <c r="CGH84" s="16"/>
      <c r="CGI84" s="16"/>
      <c r="CGJ84" s="16"/>
      <c r="CGK84" s="16"/>
      <c r="CGL84" s="16"/>
      <c r="CGM84" s="16"/>
      <c r="CGN84" s="16"/>
      <c r="CGO84" s="16"/>
      <c r="CGP84" s="16"/>
      <c r="CGQ84" s="16"/>
      <c r="CGR84" s="16"/>
      <c r="CGS84" s="16"/>
      <c r="CGT84" s="16"/>
      <c r="CGU84" s="16"/>
      <c r="CGV84" s="16"/>
      <c r="CGW84" s="16"/>
      <c r="CGX84" s="16"/>
      <c r="CGY84" s="16"/>
      <c r="CGZ84" s="16"/>
      <c r="CHA84" s="16"/>
      <c r="CHB84" s="16"/>
      <c r="CHC84" s="16"/>
      <c r="CHD84" s="16"/>
      <c r="CHE84" s="16"/>
      <c r="CHF84" s="16"/>
      <c r="CHG84" s="16"/>
      <c r="CHH84" s="16"/>
      <c r="CHI84" s="16"/>
      <c r="CHJ84" s="16"/>
      <c r="CHK84" s="16"/>
      <c r="CHL84" s="16"/>
      <c r="CHM84" s="16"/>
      <c r="CHN84" s="16"/>
      <c r="CHO84" s="16"/>
      <c r="CHP84" s="16"/>
      <c r="CHQ84" s="16"/>
      <c r="CHR84" s="16"/>
      <c r="CHS84" s="16"/>
      <c r="CHT84" s="16"/>
      <c r="CHU84" s="16"/>
      <c r="CHV84" s="16"/>
      <c r="CHW84" s="16"/>
      <c r="CHX84" s="16"/>
      <c r="CHY84" s="16"/>
      <c r="CHZ84" s="16"/>
      <c r="CIA84" s="16"/>
      <c r="CIB84" s="16"/>
      <c r="CIC84" s="16"/>
      <c r="CID84" s="16"/>
      <c r="CIE84" s="16"/>
      <c r="CIF84" s="16"/>
      <c r="CIG84" s="16"/>
      <c r="CIH84" s="16"/>
      <c r="CII84" s="16"/>
      <c r="CIJ84" s="16"/>
      <c r="CIK84" s="16"/>
      <c r="CIL84" s="16"/>
      <c r="CIM84" s="16"/>
      <c r="CIN84" s="16"/>
      <c r="CIO84" s="16"/>
      <c r="CIP84" s="16"/>
      <c r="CIQ84" s="16"/>
      <c r="CIR84" s="16"/>
      <c r="CIS84" s="16"/>
      <c r="CIT84" s="16"/>
      <c r="CIU84" s="16"/>
      <c r="CIV84" s="16"/>
      <c r="CIW84" s="16"/>
      <c r="CIX84" s="16"/>
      <c r="CIY84" s="16"/>
      <c r="CIZ84" s="16"/>
      <c r="CJA84" s="16"/>
      <c r="CJB84" s="16"/>
      <c r="CJC84" s="16"/>
      <c r="CJD84" s="16"/>
      <c r="CJE84" s="16"/>
      <c r="CJF84" s="16"/>
      <c r="CJG84" s="16"/>
      <c r="CJH84" s="16"/>
      <c r="CJI84" s="16"/>
      <c r="CJJ84" s="16"/>
      <c r="CJK84" s="16"/>
      <c r="CJL84" s="16"/>
      <c r="CJM84" s="16"/>
      <c r="CJN84" s="16"/>
      <c r="CJO84" s="16"/>
      <c r="CJP84" s="16"/>
      <c r="CJQ84" s="16"/>
      <c r="CJR84" s="16"/>
      <c r="CJS84" s="16"/>
      <c r="CJT84" s="16"/>
      <c r="CJU84" s="16"/>
      <c r="CJV84" s="16"/>
      <c r="CJW84" s="16"/>
      <c r="CJX84" s="16"/>
      <c r="CJY84" s="16"/>
      <c r="CJZ84" s="16"/>
      <c r="CKA84" s="16"/>
      <c r="CKB84" s="16"/>
      <c r="CKC84" s="16"/>
      <c r="CKD84" s="16"/>
      <c r="CKE84" s="16"/>
      <c r="CKF84" s="16"/>
      <c r="CKG84" s="16"/>
      <c r="CKH84" s="16"/>
      <c r="CKI84" s="16"/>
      <c r="CKJ84" s="16"/>
      <c r="CKK84" s="16"/>
      <c r="CKL84" s="16"/>
      <c r="CKM84" s="16"/>
      <c r="CKN84" s="16"/>
      <c r="CKO84" s="16"/>
      <c r="CKP84" s="16"/>
      <c r="CKQ84" s="16"/>
      <c r="CKR84" s="16"/>
      <c r="CKS84" s="16"/>
      <c r="CKT84" s="16"/>
      <c r="CKU84" s="16"/>
      <c r="CKV84" s="16"/>
      <c r="CKW84" s="16"/>
      <c r="CKX84" s="16"/>
      <c r="CKY84" s="16"/>
      <c r="CKZ84" s="16"/>
      <c r="CLA84" s="16"/>
      <c r="CLB84" s="16"/>
      <c r="CLC84" s="16"/>
      <c r="CLD84" s="16"/>
      <c r="CLE84" s="16"/>
      <c r="CLF84" s="16"/>
      <c r="CLG84" s="16"/>
      <c r="CLH84" s="16"/>
      <c r="CLI84" s="16"/>
      <c r="CLJ84" s="16"/>
      <c r="CLK84" s="16"/>
      <c r="CLL84" s="16"/>
      <c r="CLM84" s="16"/>
      <c r="CLN84" s="16"/>
      <c r="CLO84" s="16"/>
      <c r="CLP84" s="16"/>
      <c r="CLQ84" s="16"/>
      <c r="CLR84" s="16"/>
      <c r="CLS84" s="16"/>
      <c r="CLT84" s="16"/>
      <c r="CLU84" s="16"/>
      <c r="CLV84" s="16"/>
      <c r="CLW84" s="16"/>
      <c r="CLX84" s="16"/>
      <c r="CLY84" s="16"/>
      <c r="CLZ84" s="16"/>
      <c r="CMA84" s="16"/>
      <c r="CMB84" s="16"/>
      <c r="CMC84" s="16"/>
      <c r="CMD84" s="16"/>
      <c r="CME84" s="16"/>
      <c r="CMF84" s="16"/>
      <c r="CMG84" s="16"/>
      <c r="CMH84" s="16"/>
      <c r="CMI84" s="16"/>
      <c r="CMJ84" s="16"/>
      <c r="CMK84" s="16"/>
      <c r="CML84" s="16"/>
      <c r="CMM84" s="16"/>
      <c r="CMN84" s="16"/>
      <c r="CMO84" s="16"/>
      <c r="CMP84" s="16"/>
      <c r="CMQ84" s="16"/>
      <c r="CMR84" s="16"/>
      <c r="CMS84" s="16"/>
      <c r="CMT84" s="16"/>
      <c r="CMU84" s="16"/>
      <c r="CMV84" s="16"/>
      <c r="CMW84" s="16"/>
      <c r="CMX84" s="16"/>
      <c r="CMY84" s="16"/>
      <c r="CMZ84" s="16"/>
      <c r="CNA84" s="16"/>
      <c r="CNB84" s="16"/>
      <c r="CNC84" s="16"/>
      <c r="CND84" s="16"/>
      <c r="CNE84" s="16"/>
      <c r="CNF84" s="16"/>
      <c r="CNG84" s="16"/>
      <c r="CNH84" s="16"/>
      <c r="CNI84" s="16"/>
      <c r="CNJ84" s="16"/>
      <c r="CNK84" s="16"/>
      <c r="CNL84" s="16"/>
      <c r="CNM84" s="16"/>
      <c r="CNN84" s="16"/>
      <c r="CNO84" s="16"/>
      <c r="CNP84" s="16"/>
      <c r="CNQ84" s="16"/>
      <c r="CNR84" s="16"/>
      <c r="CNS84" s="16"/>
      <c r="CNT84" s="16"/>
      <c r="CNU84" s="16"/>
      <c r="CNV84" s="16"/>
      <c r="CNW84" s="16"/>
      <c r="CNX84" s="16"/>
      <c r="CNY84" s="16"/>
      <c r="CNZ84" s="16"/>
      <c r="COA84" s="16"/>
      <c r="COB84" s="16"/>
      <c r="COC84" s="16"/>
      <c r="COD84" s="16"/>
      <c r="COE84" s="16"/>
      <c r="COF84" s="16"/>
      <c r="COG84" s="16"/>
      <c r="COH84" s="16"/>
      <c r="COI84" s="16"/>
      <c r="COJ84" s="16"/>
      <c r="COK84" s="16"/>
      <c r="COL84" s="16"/>
      <c r="COM84" s="16"/>
      <c r="CON84" s="16"/>
      <c r="COO84" s="16"/>
      <c r="COP84" s="16"/>
      <c r="COQ84" s="16"/>
      <c r="COR84" s="16"/>
      <c r="COS84" s="16"/>
      <c r="COT84" s="16"/>
      <c r="COU84" s="16"/>
      <c r="COV84" s="16"/>
      <c r="COW84" s="16"/>
      <c r="COX84" s="16"/>
      <c r="COY84" s="16"/>
      <c r="COZ84" s="16"/>
      <c r="CPA84" s="16"/>
      <c r="CPB84" s="16"/>
      <c r="CPC84" s="16"/>
      <c r="CPD84" s="16"/>
      <c r="CPE84" s="16"/>
      <c r="CPF84" s="16"/>
      <c r="CPG84" s="16"/>
      <c r="CPH84" s="16"/>
      <c r="CPI84" s="16"/>
      <c r="CPJ84" s="16"/>
      <c r="CPK84" s="16"/>
      <c r="CPL84" s="16"/>
      <c r="CPM84" s="16"/>
      <c r="CPN84" s="16"/>
      <c r="CPO84" s="16"/>
      <c r="CPP84" s="16"/>
      <c r="CPQ84" s="16"/>
      <c r="CPR84" s="16"/>
      <c r="CPS84" s="16"/>
      <c r="CPT84" s="16"/>
      <c r="CPU84" s="16"/>
      <c r="CPV84" s="16"/>
      <c r="CPW84" s="16"/>
      <c r="CPX84" s="16"/>
      <c r="CPY84" s="16"/>
      <c r="CPZ84" s="16"/>
      <c r="CQA84" s="16"/>
      <c r="CQB84" s="16"/>
      <c r="CQC84" s="16"/>
      <c r="CQD84" s="16"/>
      <c r="CQE84" s="16"/>
      <c r="CQF84" s="16"/>
      <c r="CQG84" s="16"/>
      <c r="CQH84" s="16"/>
      <c r="CQI84" s="16"/>
      <c r="CQJ84" s="16"/>
      <c r="CQK84" s="16"/>
      <c r="CQL84" s="16"/>
      <c r="CQM84" s="16"/>
      <c r="CQN84" s="16"/>
      <c r="CQO84" s="16"/>
      <c r="CQP84" s="16"/>
      <c r="CQQ84" s="16"/>
      <c r="CQR84" s="16"/>
      <c r="CQS84" s="16"/>
      <c r="CQT84" s="16"/>
      <c r="CQU84" s="16"/>
      <c r="CQV84" s="16"/>
      <c r="CQW84" s="16"/>
      <c r="CQX84" s="16"/>
      <c r="CQY84" s="16"/>
      <c r="CQZ84" s="16"/>
      <c r="CRA84" s="16"/>
      <c r="CRB84" s="16"/>
      <c r="CRC84" s="16"/>
      <c r="CRD84" s="16"/>
      <c r="CRE84" s="16"/>
      <c r="CRF84" s="16"/>
      <c r="CRG84" s="16"/>
      <c r="CRH84" s="16"/>
      <c r="CRI84" s="16"/>
      <c r="CRJ84" s="16"/>
      <c r="CRK84" s="16"/>
      <c r="CRL84" s="16"/>
      <c r="CRM84" s="16"/>
      <c r="CRN84" s="16"/>
      <c r="CRO84" s="16"/>
      <c r="CRP84" s="16"/>
      <c r="CRQ84" s="16"/>
      <c r="CRR84" s="16"/>
      <c r="CRS84" s="16"/>
      <c r="CRT84" s="16"/>
      <c r="CRU84" s="16"/>
      <c r="CRV84" s="16"/>
      <c r="CRW84" s="16"/>
      <c r="CRX84" s="16"/>
      <c r="CRY84" s="16"/>
      <c r="CRZ84" s="16"/>
      <c r="CSA84" s="16"/>
      <c r="CSB84" s="16"/>
      <c r="CSC84" s="16"/>
      <c r="CSD84" s="16"/>
      <c r="CSE84" s="16"/>
      <c r="CSF84" s="16"/>
      <c r="CSG84" s="16"/>
      <c r="CSH84" s="16"/>
      <c r="CSI84" s="16"/>
      <c r="CSJ84" s="16"/>
      <c r="CSK84" s="24"/>
      <c r="CSL84" s="16"/>
      <c r="CSM84" s="16"/>
      <c r="CSN84" s="16"/>
      <c r="CSO84" s="16"/>
      <c r="CSP84" s="16"/>
      <c r="CUG84" s="16"/>
      <c r="CUH84" s="16"/>
      <c r="CUI84" s="16"/>
      <c r="CUJ84" s="16"/>
      <c r="CUK84" s="16"/>
      <c r="CUL84" s="16"/>
      <c r="CUM84" s="16"/>
      <c r="CUN84" s="16"/>
      <c r="CUO84" s="16"/>
      <c r="CUP84" s="16"/>
      <c r="CUQ84" s="16"/>
      <c r="CUR84" s="16"/>
      <c r="CUS84" s="16"/>
      <c r="CUT84" s="16"/>
      <c r="CUU84" s="16"/>
      <c r="CUV84" s="16"/>
      <c r="CUW84" s="16"/>
      <c r="CUX84" s="16"/>
      <c r="CUY84" s="16"/>
      <c r="CUZ84" s="16"/>
      <c r="CVA84" s="16"/>
      <c r="CVB84" s="16"/>
      <c r="CVC84" s="16"/>
      <c r="CVD84" s="16"/>
      <c r="CVE84" s="16"/>
      <c r="CVF84" s="16"/>
      <c r="CVG84" s="16"/>
      <c r="CVH84" s="16"/>
      <c r="CVI84" s="16"/>
      <c r="CVJ84" s="16"/>
      <c r="CVK84" s="16"/>
      <c r="CVL84" s="16"/>
      <c r="CVM84" s="16"/>
      <c r="CVN84" s="16"/>
      <c r="CVO84" s="16"/>
      <c r="CVP84" s="16"/>
    </row>
    <row r="85" spans="3:2616" ht="13.8" x14ac:dyDescent="0.25">
      <c r="C85" s="57"/>
      <c r="E85" s="16"/>
      <c r="K85" s="59"/>
      <c r="L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  <c r="FC85" s="16"/>
      <c r="FD85" s="16"/>
      <c r="FE85" s="16"/>
      <c r="FF85" s="16"/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  <c r="HD85" s="16"/>
      <c r="HE85" s="16"/>
      <c r="HF85" s="16"/>
      <c r="HG85" s="16"/>
      <c r="HH85" s="16"/>
      <c r="HI85" s="16"/>
      <c r="HJ85" s="16"/>
      <c r="HK85" s="16"/>
      <c r="HL85" s="16"/>
      <c r="HM85" s="16"/>
      <c r="HN85" s="16"/>
      <c r="HO85" s="16"/>
      <c r="HP85" s="16"/>
      <c r="HQ85" s="16"/>
      <c r="HR85" s="16"/>
      <c r="HS85" s="16"/>
      <c r="HT85" s="16"/>
      <c r="HU85" s="16"/>
      <c r="HV85" s="16"/>
      <c r="HW85" s="16"/>
      <c r="HX85" s="16"/>
      <c r="HY85" s="16"/>
      <c r="HZ85" s="16"/>
      <c r="IA85" s="16"/>
      <c r="IB85" s="16"/>
      <c r="IC85" s="16"/>
      <c r="ID85" s="16"/>
      <c r="IE85" s="16"/>
      <c r="IF85" s="16"/>
      <c r="IG85" s="16"/>
      <c r="IH85" s="16"/>
      <c r="II85" s="16"/>
      <c r="IJ85" s="16"/>
      <c r="IK85" s="16"/>
      <c r="IL85" s="16"/>
      <c r="IM85" s="16"/>
      <c r="IN85" s="16"/>
      <c r="IO85" s="16"/>
      <c r="IP85" s="16"/>
      <c r="IQ85" s="16"/>
      <c r="IR85" s="16"/>
      <c r="IS85" s="16"/>
      <c r="IT85" s="16"/>
      <c r="IU85" s="16"/>
      <c r="IV85" s="16"/>
      <c r="IW85" s="16"/>
      <c r="IX85" s="16"/>
      <c r="IY85" s="16"/>
      <c r="IZ85" s="16"/>
      <c r="JA85" s="16"/>
      <c r="JB85" s="16"/>
      <c r="JC85" s="16"/>
      <c r="JD85" s="16"/>
      <c r="JE85" s="16"/>
      <c r="JF85" s="16"/>
      <c r="JG85" s="16"/>
      <c r="JH85" s="16"/>
      <c r="JI85" s="16"/>
      <c r="JJ85" s="16"/>
      <c r="JK85" s="16"/>
      <c r="JL85" s="16"/>
      <c r="JM85" s="16"/>
      <c r="JN85" s="16"/>
      <c r="JO85" s="16"/>
      <c r="JP85" s="16"/>
      <c r="JQ85" s="16"/>
      <c r="JR85" s="16"/>
      <c r="JS85" s="16"/>
      <c r="JT85" s="16"/>
      <c r="JU85" s="16"/>
      <c r="JV85" s="16"/>
      <c r="JW85" s="16"/>
      <c r="JX85" s="16"/>
      <c r="JY85" s="16"/>
      <c r="JZ85" s="16"/>
      <c r="KA85" s="16"/>
      <c r="KB85" s="16"/>
      <c r="KC85" s="16"/>
      <c r="KD85" s="16"/>
      <c r="KE85" s="16"/>
      <c r="KF85" s="16"/>
      <c r="KG85" s="16"/>
      <c r="KH85" s="16"/>
      <c r="KI85" s="16"/>
      <c r="KJ85" s="16"/>
      <c r="KK85" s="16"/>
      <c r="KL85" s="16"/>
      <c r="KM85" s="16"/>
      <c r="KN85" s="16"/>
      <c r="KO85" s="16"/>
      <c r="KP85" s="16"/>
      <c r="KQ85" s="16"/>
      <c r="KR85" s="16"/>
      <c r="KS85" s="16"/>
      <c r="KT85" s="16"/>
      <c r="KU85" s="16"/>
      <c r="KV85" s="16"/>
      <c r="KW85" s="16"/>
      <c r="KX85" s="16"/>
      <c r="KY85" s="16"/>
      <c r="KZ85" s="16"/>
      <c r="LA85" s="16"/>
      <c r="LB85" s="16"/>
      <c r="LC85" s="16"/>
      <c r="LD85" s="16"/>
      <c r="LE85" s="16"/>
      <c r="LF85" s="16"/>
      <c r="LG85" s="16"/>
      <c r="LH85" s="16"/>
      <c r="LI85" s="16"/>
      <c r="LJ85" s="16"/>
      <c r="LK85" s="16"/>
      <c r="LL85" s="16"/>
      <c r="LM85" s="16"/>
      <c r="LN85" s="16"/>
      <c r="LO85" s="16"/>
      <c r="LP85" s="16"/>
      <c r="LQ85" s="16"/>
      <c r="LR85" s="16"/>
      <c r="LS85" s="16"/>
      <c r="LT85" s="16"/>
      <c r="LU85" s="16"/>
      <c r="LV85" s="16"/>
      <c r="LW85" s="16"/>
      <c r="LX85" s="16"/>
      <c r="LY85" s="16"/>
      <c r="LZ85" s="16"/>
      <c r="MA85" s="16"/>
      <c r="MB85" s="16"/>
      <c r="MC85" s="16"/>
      <c r="MD85" s="16"/>
      <c r="ME85" s="16"/>
      <c r="MF85" s="16"/>
      <c r="MG85" s="16"/>
      <c r="MH85" s="16"/>
      <c r="MI85" s="16"/>
      <c r="MJ85" s="16"/>
      <c r="MK85" s="16"/>
      <c r="ML85" s="16"/>
      <c r="MM85" s="16"/>
      <c r="MN85" s="16"/>
      <c r="MO85" s="16"/>
      <c r="MP85" s="16"/>
      <c r="MQ85" s="16"/>
      <c r="MR85" s="16"/>
      <c r="MS85" s="16"/>
      <c r="MT85" s="16"/>
      <c r="MU85" s="16"/>
      <c r="MV85" s="16"/>
      <c r="MW85" s="16"/>
      <c r="MX85" s="16"/>
      <c r="MY85" s="16"/>
      <c r="MZ85" s="16"/>
      <c r="NA85" s="16"/>
      <c r="NB85" s="16"/>
      <c r="NC85" s="16"/>
      <c r="ND85" s="16"/>
      <c r="NE85" s="16"/>
      <c r="NF85" s="16"/>
      <c r="NG85" s="16"/>
      <c r="NH85" s="16"/>
      <c r="NI85" s="16"/>
      <c r="NJ85" s="16"/>
      <c r="NK85" s="16"/>
      <c r="NL85" s="16"/>
      <c r="NM85" s="16"/>
      <c r="NN85" s="16"/>
      <c r="NO85" s="16"/>
      <c r="NP85" s="16"/>
      <c r="NQ85" s="16"/>
      <c r="NR85" s="16"/>
      <c r="NS85" s="16"/>
      <c r="NT85" s="16"/>
      <c r="NU85" s="16"/>
      <c r="NV85" s="16"/>
      <c r="NW85" s="16"/>
      <c r="NX85" s="16"/>
      <c r="NY85" s="16"/>
      <c r="NZ85" s="16"/>
      <c r="OA85" s="16"/>
      <c r="OB85" s="16"/>
      <c r="OC85" s="16"/>
      <c r="OD85" s="16"/>
      <c r="OE85" s="16"/>
      <c r="OF85" s="16"/>
      <c r="OG85" s="16"/>
      <c r="OH85" s="16"/>
      <c r="OI85" s="16"/>
      <c r="OJ85" s="16"/>
      <c r="OK85" s="16"/>
      <c r="OL85" s="16"/>
      <c r="OM85" s="16"/>
      <c r="ON85" s="16"/>
      <c r="OO85" s="16"/>
      <c r="OP85" s="16"/>
      <c r="OQ85" s="16"/>
      <c r="OR85" s="16"/>
      <c r="OS85" s="16"/>
      <c r="OT85" s="16"/>
      <c r="OU85" s="16"/>
      <c r="OV85" s="16"/>
      <c r="OW85" s="16"/>
      <c r="OX85" s="16"/>
      <c r="OY85" s="16"/>
      <c r="OZ85" s="16"/>
      <c r="PA85" s="16"/>
      <c r="PB85" s="16"/>
      <c r="PC85" s="16"/>
      <c r="PD85" s="16"/>
      <c r="PE85" s="16"/>
      <c r="PF85" s="16"/>
      <c r="PG85" s="16"/>
      <c r="PH85" s="16"/>
      <c r="PI85" s="16"/>
      <c r="PJ85" s="16"/>
      <c r="PK85" s="16"/>
      <c r="PL85" s="16"/>
      <c r="PM85" s="16"/>
      <c r="PN85" s="16"/>
      <c r="PO85" s="16"/>
      <c r="PP85" s="16"/>
      <c r="PQ85" s="16"/>
      <c r="PR85" s="16"/>
      <c r="PS85" s="16"/>
      <c r="PT85" s="16"/>
      <c r="PU85" s="16"/>
      <c r="PV85" s="16"/>
      <c r="PW85" s="16"/>
      <c r="PX85" s="16"/>
      <c r="PY85" s="16"/>
      <c r="PZ85" s="16"/>
      <c r="QA85" s="16"/>
      <c r="QB85" s="16"/>
      <c r="QC85" s="16"/>
      <c r="QD85" s="16"/>
      <c r="QE85" s="16"/>
      <c r="QF85" s="16"/>
      <c r="QG85" s="16"/>
      <c r="QH85" s="16"/>
      <c r="QI85" s="16"/>
      <c r="QJ85" s="16"/>
      <c r="QK85" s="16"/>
      <c r="QL85" s="16"/>
      <c r="QM85" s="16"/>
      <c r="QN85" s="16"/>
      <c r="QO85" s="16"/>
      <c r="QP85" s="16"/>
      <c r="QQ85" s="16"/>
      <c r="QR85" s="16"/>
      <c r="QS85" s="16"/>
      <c r="QT85" s="16"/>
      <c r="QU85" s="16"/>
      <c r="QV85" s="16"/>
      <c r="QW85" s="16"/>
      <c r="QX85" s="16"/>
      <c r="QY85" s="16"/>
      <c r="QZ85" s="16"/>
      <c r="RA85" s="16"/>
      <c r="RB85" s="16"/>
      <c r="RC85" s="16"/>
      <c r="RD85" s="16"/>
      <c r="RE85" s="16"/>
      <c r="RF85" s="16"/>
      <c r="RG85" s="16"/>
      <c r="RH85" s="16"/>
      <c r="RI85" s="16"/>
      <c r="RJ85" s="16"/>
      <c r="RK85" s="16"/>
      <c r="RL85" s="16"/>
      <c r="RM85" s="16"/>
      <c r="RN85" s="16"/>
      <c r="RO85" s="16"/>
      <c r="RP85" s="16"/>
      <c r="RQ85" s="16"/>
      <c r="RR85" s="16"/>
      <c r="RS85" s="16"/>
      <c r="RT85" s="16"/>
      <c r="RU85" s="16"/>
      <c r="RV85" s="16"/>
      <c r="RW85" s="16"/>
      <c r="RX85" s="16"/>
      <c r="RY85" s="16"/>
      <c r="RZ85" s="16"/>
      <c r="SA85" s="16"/>
      <c r="SB85" s="16"/>
      <c r="SC85" s="16"/>
      <c r="SD85" s="16"/>
      <c r="SE85" s="16"/>
      <c r="SF85" s="16"/>
      <c r="SG85" s="16"/>
      <c r="SH85" s="16"/>
      <c r="SI85" s="16"/>
      <c r="SJ85" s="16"/>
      <c r="SK85" s="16"/>
      <c r="SL85" s="16"/>
      <c r="SM85" s="16"/>
      <c r="SN85" s="16"/>
      <c r="SO85" s="16"/>
      <c r="SP85" s="16"/>
      <c r="SQ85" s="16"/>
      <c r="SR85" s="16"/>
      <c r="SS85" s="16"/>
      <c r="ST85" s="16"/>
      <c r="SU85" s="16"/>
      <c r="SV85" s="16"/>
      <c r="SW85" s="16"/>
      <c r="SX85" s="16"/>
      <c r="SY85" s="16"/>
      <c r="SZ85" s="16"/>
      <c r="TA85" s="16"/>
      <c r="TB85" s="16"/>
      <c r="TC85" s="16"/>
      <c r="TD85" s="16"/>
      <c r="TE85" s="16"/>
      <c r="TF85" s="16"/>
      <c r="TG85" s="16"/>
      <c r="TH85" s="16"/>
      <c r="TI85" s="16"/>
      <c r="TJ85" s="16"/>
      <c r="TK85" s="16"/>
      <c r="TL85" s="16"/>
      <c r="TM85" s="16"/>
      <c r="TN85" s="16"/>
      <c r="TO85" s="16"/>
      <c r="TP85" s="16"/>
      <c r="TQ85" s="16"/>
      <c r="TR85" s="16"/>
      <c r="TS85" s="16"/>
      <c r="TT85" s="16"/>
      <c r="TU85" s="16"/>
      <c r="TV85" s="16"/>
      <c r="TW85" s="16"/>
      <c r="TX85" s="16"/>
      <c r="TY85" s="16"/>
      <c r="TZ85" s="16"/>
      <c r="UA85" s="16"/>
      <c r="UB85" s="16"/>
      <c r="UC85" s="16"/>
      <c r="UD85" s="16"/>
      <c r="UE85" s="16"/>
      <c r="UF85" s="16"/>
      <c r="UG85" s="16"/>
      <c r="UH85" s="16"/>
      <c r="UI85" s="16"/>
      <c r="UJ85" s="16"/>
      <c r="UK85" s="16"/>
      <c r="UL85" s="16"/>
      <c r="UM85" s="16"/>
      <c r="UN85" s="16"/>
      <c r="UO85" s="16"/>
      <c r="UP85" s="16"/>
      <c r="UQ85" s="16"/>
      <c r="UR85" s="16"/>
      <c r="US85" s="16"/>
      <c r="UT85" s="16"/>
      <c r="UU85" s="16"/>
      <c r="UV85" s="16"/>
      <c r="UW85" s="16"/>
      <c r="UX85" s="16"/>
      <c r="UY85" s="16"/>
      <c r="UZ85" s="16"/>
      <c r="VA85" s="16"/>
      <c r="VB85" s="16"/>
      <c r="VC85" s="16"/>
      <c r="VD85" s="16"/>
      <c r="VE85" s="16"/>
      <c r="VF85" s="16"/>
      <c r="VG85" s="16"/>
      <c r="VH85" s="16"/>
      <c r="VI85" s="16"/>
      <c r="VJ85" s="16"/>
      <c r="VK85" s="16"/>
      <c r="VL85" s="16"/>
      <c r="VM85" s="16"/>
      <c r="VN85" s="16"/>
      <c r="VO85" s="16"/>
      <c r="VP85" s="16"/>
      <c r="VQ85" s="16"/>
      <c r="VR85" s="16"/>
      <c r="VS85" s="16"/>
      <c r="VT85" s="16"/>
      <c r="VU85" s="16"/>
      <c r="VV85" s="16"/>
      <c r="VW85" s="16"/>
      <c r="VX85" s="16"/>
      <c r="VY85" s="16"/>
      <c r="VZ85" s="16"/>
      <c r="WA85" s="16"/>
      <c r="WB85" s="16"/>
      <c r="WC85" s="16"/>
      <c r="WD85" s="16"/>
      <c r="WE85" s="16"/>
      <c r="WF85" s="16"/>
      <c r="WG85" s="16"/>
      <c r="WH85" s="16"/>
      <c r="WI85" s="16"/>
      <c r="WJ85" s="16"/>
      <c r="WK85" s="16"/>
      <c r="WL85" s="16"/>
      <c r="WM85" s="16"/>
      <c r="WN85" s="16"/>
      <c r="WO85" s="16"/>
      <c r="WP85" s="16"/>
      <c r="WQ85" s="16"/>
      <c r="WR85" s="16"/>
      <c r="WS85" s="16"/>
      <c r="WT85" s="16"/>
      <c r="WU85" s="16"/>
      <c r="WV85" s="16"/>
      <c r="WW85" s="16"/>
      <c r="WX85" s="16"/>
      <c r="WY85" s="16"/>
      <c r="WZ85" s="16"/>
      <c r="XA85" s="16"/>
      <c r="XB85" s="16"/>
      <c r="XC85" s="16"/>
      <c r="XD85" s="16"/>
      <c r="XE85" s="16"/>
      <c r="XF85" s="16"/>
      <c r="XG85" s="16"/>
      <c r="XH85" s="16"/>
      <c r="XI85" s="16"/>
      <c r="XJ85" s="16"/>
      <c r="XK85" s="16"/>
      <c r="XL85" s="16"/>
      <c r="XM85" s="16"/>
      <c r="XN85" s="16"/>
      <c r="XO85" s="16"/>
      <c r="XP85" s="16"/>
      <c r="XQ85" s="16"/>
      <c r="XR85" s="16"/>
      <c r="XS85" s="16"/>
      <c r="XT85" s="16"/>
      <c r="XU85" s="16"/>
      <c r="XV85" s="16"/>
      <c r="XW85" s="16"/>
      <c r="XX85" s="16"/>
      <c r="XY85" s="16"/>
      <c r="XZ85" s="16"/>
      <c r="YA85" s="16"/>
      <c r="YB85" s="16"/>
      <c r="YC85" s="16"/>
      <c r="YD85" s="16"/>
      <c r="YE85" s="16"/>
      <c r="YF85" s="16"/>
      <c r="YG85" s="16"/>
      <c r="YH85" s="16"/>
      <c r="YI85" s="16"/>
      <c r="YJ85" s="16"/>
      <c r="YK85" s="16"/>
      <c r="YL85" s="16"/>
      <c r="YM85" s="16"/>
      <c r="YN85" s="16"/>
      <c r="YO85" s="16"/>
      <c r="YP85" s="16"/>
      <c r="YQ85" s="16"/>
      <c r="YR85" s="16"/>
      <c r="YS85" s="16"/>
      <c r="YT85" s="16"/>
      <c r="YU85" s="16"/>
      <c r="YV85" s="16"/>
      <c r="YW85" s="16"/>
      <c r="YX85" s="16"/>
      <c r="YY85" s="16"/>
      <c r="YZ85" s="16"/>
      <c r="ZA85" s="16"/>
      <c r="ZB85" s="16"/>
      <c r="ZC85" s="16"/>
      <c r="ZD85" s="16"/>
      <c r="ZE85" s="16"/>
      <c r="ZF85" s="16"/>
      <c r="ZG85" s="16"/>
      <c r="ZH85" s="16"/>
      <c r="ZI85" s="16"/>
      <c r="ZJ85" s="16"/>
      <c r="ZK85" s="16"/>
      <c r="ZL85" s="16"/>
      <c r="ZM85" s="16"/>
      <c r="ZN85" s="16"/>
      <c r="ZO85" s="16"/>
      <c r="ZP85" s="16"/>
      <c r="ZQ85" s="16"/>
      <c r="ZR85" s="16"/>
      <c r="ZS85" s="16"/>
      <c r="ZT85" s="16"/>
      <c r="ZU85" s="16"/>
      <c r="ZV85" s="16"/>
      <c r="ZW85" s="16"/>
      <c r="ZX85" s="16"/>
      <c r="ZY85" s="16"/>
      <c r="ZZ85" s="16"/>
      <c r="AAA85" s="16"/>
      <c r="AAB85" s="16"/>
      <c r="AAC85" s="16"/>
      <c r="AAD85" s="16"/>
      <c r="AAE85" s="16"/>
      <c r="AAF85" s="16"/>
      <c r="AAG85" s="16"/>
      <c r="AAH85" s="16"/>
      <c r="AAI85" s="16"/>
      <c r="AAJ85" s="16"/>
      <c r="AAK85" s="16"/>
      <c r="AAL85" s="16"/>
      <c r="AAM85" s="16"/>
      <c r="AAN85" s="16"/>
      <c r="AAO85" s="16"/>
      <c r="AAP85" s="16"/>
      <c r="AAQ85" s="16"/>
      <c r="AAR85" s="16"/>
      <c r="AAS85" s="16"/>
      <c r="AAT85" s="16"/>
      <c r="AAU85" s="16"/>
      <c r="AAV85" s="16"/>
      <c r="AAW85" s="16"/>
      <c r="AAX85" s="16"/>
      <c r="AAY85" s="16"/>
      <c r="AAZ85" s="16"/>
      <c r="ABA85" s="16"/>
      <c r="ABB85" s="16"/>
      <c r="ABC85" s="16"/>
      <c r="ABD85" s="16"/>
      <c r="ABE85" s="16"/>
      <c r="ABF85" s="16"/>
      <c r="ABG85" s="16"/>
      <c r="ABH85" s="16"/>
      <c r="ABI85" s="16"/>
      <c r="ABJ85" s="16"/>
      <c r="ABK85" s="16"/>
      <c r="ABL85" s="16"/>
      <c r="ABM85" s="16"/>
      <c r="ABN85" s="16"/>
      <c r="ABO85" s="16"/>
      <c r="ABP85" s="16"/>
      <c r="ABQ85" s="16"/>
      <c r="ABR85" s="16"/>
      <c r="ABS85" s="16"/>
      <c r="ABT85" s="16"/>
      <c r="ABU85" s="16"/>
      <c r="ABV85" s="16"/>
      <c r="ABW85" s="16"/>
      <c r="ABX85" s="16"/>
      <c r="ABY85" s="16"/>
      <c r="ABZ85" s="16"/>
      <c r="ACA85" s="16"/>
      <c r="ACB85" s="16"/>
      <c r="ACC85" s="16"/>
      <c r="ACD85" s="16"/>
      <c r="ACE85" s="16"/>
      <c r="ACF85" s="16"/>
      <c r="ACG85" s="16"/>
      <c r="ACH85" s="16"/>
      <c r="ACI85" s="16"/>
      <c r="ACJ85" s="16"/>
      <c r="ACK85" s="16"/>
      <c r="ACL85" s="16"/>
      <c r="ACM85" s="16"/>
      <c r="ACN85" s="16"/>
      <c r="ACO85" s="16"/>
      <c r="ACP85" s="16"/>
      <c r="ACQ85" s="16"/>
      <c r="ACR85" s="16"/>
      <c r="ACS85" s="16"/>
      <c r="ACT85" s="16"/>
      <c r="ACU85" s="16"/>
      <c r="ACV85" s="16"/>
      <c r="ACW85" s="16"/>
      <c r="ACX85" s="16"/>
      <c r="ACY85" s="16"/>
      <c r="ACZ85" s="16"/>
      <c r="ADA85" s="16"/>
      <c r="ADB85" s="16"/>
      <c r="ADC85" s="16"/>
      <c r="ADD85" s="16"/>
      <c r="ADE85" s="16"/>
      <c r="ADF85" s="16"/>
      <c r="ADG85" s="16"/>
      <c r="ADH85" s="16"/>
      <c r="ADI85" s="16"/>
      <c r="ADJ85" s="16"/>
      <c r="ADK85" s="16"/>
      <c r="ADL85" s="16"/>
      <c r="ADM85" s="16"/>
      <c r="ADN85" s="16"/>
      <c r="ADO85" s="16"/>
      <c r="ADP85" s="16"/>
      <c r="ADQ85" s="16"/>
      <c r="ADR85" s="16"/>
      <c r="ADS85" s="16"/>
      <c r="ADT85" s="16"/>
      <c r="ADU85" s="16"/>
      <c r="ADV85" s="16"/>
      <c r="ADW85" s="16"/>
      <c r="ADX85" s="16"/>
      <c r="ADY85" s="16"/>
      <c r="ADZ85" s="16"/>
      <c r="AEA85" s="16"/>
      <c r="AEB85" s="16"/>
      <c r="AEC85" s="16"/>
      <c r="AED85" s="16"/>
      <c r="AEE85" s="16"/>
      <c r="AEF85" s="16"/>
      <c r="AEG85" s="16"/>
      <c r="AEH85" s="16"/>
      <c r="AEI85" s="16"/>
      <c r="AEJ85" s="16"/>
      <c r="AEK85" s="16"/>
      <c r="AEL85" s="16"/>
      <c r="AEM85" s="16"/>
      <c r="AEN85" s="16"/>
      <c r="AEO85" s="16"/>
      <c r="AEP85" s="16"/>
      <c r="AEQ85" s="16"/>
      <c r="AER85" s="16"/>
      <c r="AES85" s="16"/>
      <c r="AET85" s="16"/>
      <c r="AEU85" s="16"/>
      <c r="AEV85" s="16"/>
      <c r="AEW85" s="16"/>
      <c r="AEX85" s="16"/>
      <c r="AEY85" s="16"/>
      <c r="AEZ85" s="16"/>
      <c r="AFA85" s="16"/>
      <c r="AFB85" s="16"/>
      <c r="AFC85" s="16"/>
      <c r="AFD85" s="16"/>
      <c r="AFE85" s="16"/>
      <c r="AFF85" s="16"/>
      <c r="AFG85" s="16"/>
      <c r="AFH85" s="16"/>
      <c r="AFI85" s="16"/>
      <c r="AFJ85" s="16"/>
      <c r="AFK85" s="16"/>
      <c r="AFL85" s="16"/>
      <c r="AFM85" s="16"/>
      <c r="AFN85" s="16"/>
      <c r="AFO85" s="16"/>
      <c r="AFP85" s="16"/>
      <c r="AFQ85" s="16"/>
      <c r="AFR85" s="16"/>
      <c r="AFS85" s="16"/>
      <c r="AFT85" s="16"/>
      <c r="AFU85" s="16"/>
      <c r="AFV85" s="16"/>
      <c r="AFW85" s="16"/>
      <c r="AFX85" s="16"/>
      <c r="AFY85" s="16"/>
      <c r="AFZ85" s="16"/>
      <c r="AGA85" s="16"/>
      <c r="AGB85" s="16"/>
      <c r="AGC85" s="16"/>
      <c r="AGD85" s="16"/>
      <c r="AGE85" s="16"/>
      <c r="AGF85" s="16"/>
      <c r="AGG85" s="16"/>
      <c r="AGH85" s="16"/>
      <c r="AGI85" s="16"/>
      <c r="AGJ85" s="16"/>
      <c r="AGK85" s="16"/>
      <c r="AGL85" s="16"/>
      <c r="AGM85" s="16"/>
      <c r="AGN85" s="16"/>
      <c r="AGO85" s="16"/>
      <c r="AGP85" s="16"/>
      <c r="AGQ85" s="16"/>
      <c r="AGR85" s="16"/>
      <c r="AGS85" s="16"/>
      <c r="AGT85" s="16"/>
      <c r="AGU85" s="16"/>
      <c r="AGV85" s="16"/>
      <c r="AGW85" s="16"/>
      <c r="AGX85" s="16"/>
      <c r="AGY85" s="16"/>
      <c r="AGZ85" s="16"/>
      <c r="AHA85" s="16"/>
      <c r="AHB85" s="16"/>
      <c r="AHC85" s="16"/>
      <c r="AHD85" s="16"/>
      <c r="AHE85" s="16"/>
      <c r="AHF85" s="16"/>
      <c r="AHG85" s="16"/>
      <c r="AHH85" s="16"/>
      <c r="AHI85" s="16"/>
      <c r="AHJ85" s="16"/>
      <c r="AHK85" s="16"/>
      <c r="AHL85" s="16"/>
      <c r="AHM85" s="16"/>
      <c r="AHN85" s="16"/>
      <c r="AHO85" s="16"/>
      <c r="AHP85" s="16"/>
      <c r="AHQ85" s="16"/>
      <c r="AHR85" s="16"/>
      <c r="AHS85" s="16"/>
      <c r="AHT85" s="16"/>
      <c r="AHU85" s="16"/>
      <c r="AHV85" s="16"/>
      <c r="AHW85" s="16"/>
      <c r="AHX85" s="16"/>
      <c r="AHY85" s="16"/>
      <c r="AHZ85" s="16"/>
      <c r="AIA85" s="16"/>
      <c r="AIB85" s="16"/>
      <c r="AIC85" s="16"/>
      <c r="AID85" s="16"/>
      <c r="AIE85" s="16"/>
      <c r="AIF85" s="16"/>
      <c r="AIG85" s="16"/>
      <c r="AIH85" s="16"/>
      <c r="AII85" s="16"/>
      <c r="AIJ85" s="16"/>
      <c r="AIK85" s="16"/>
      <c r="AIL85" s="16"/>
      <c r="AIM85" s="16"/>
      <c r="AIN85" s="16"/>
      <c r="AIO85" s="16"/>
      <c r="AIP85" s="16"/>
      <c r="AIQ85" s="16"/>
      <c r="AIR85" s="16"/>
      <c r="AIS85" s="16"/>
      <c r="AIT85" s="16"/>
      <c r="AIU85" s="16"/>
      <c r="AIV85" s="16"/>
      <c r="AIW85" s="16"/>
      <c r="AIX85" s="16"/>
      <c r="AIY85" s="16"/>
      <c r="AIZ85" s="16"/>
      <c r="AJA85" s="16"/>
      <c r="AJB85" s="16"/>
      <c r="AJC85" s="16"/>
      <c r="AJD85" s="16"/>
      <c r="AJE85" s="16"/>
      <c r="AJF85" s="16"/>
      <c r="AJG85" s="16"/>
      <c r="AJH85" s="16"/>
      <c r="AJI85" s="16"/>
      <c r="AJJ85" s="16"/>
      <c r="AJK85" s="16"/>
      <c r="AJL85" s="16"/>
      <c r="AJM85" s="16"/>
      <c r="AJN85" s="16"/>
      <c r="AJO85" s="16"/>
      <c r="AJP85" s="16"/>
      <c r="AJQ85" s="16"/>
      <c r="AJR85" s="16"/>
      <c r="AJS85" s="16"/>
      <c r="AJT85" s="16"/>
      <c r="AJU85" s="16"/>
      <c r="AJV85" s="16"/>
      <c r="AJW85" s="16"/>
      <c r="AJX85" s="16"/>
      <c r="AJY85" s="16"/>
      <c r="AJZ85" s="16"/>
      <c r="AKA85" s="16"/>
      <c r="AKB85" s="16"/>
      <c r="AKC85" s="16"/>
      <c r="AKD85" s="16"/>
      <c r="AKE85" s="16"/>
      <c r="AKF85" s="16"/>
      <c r="AKG85" s="16"/>
      <c r="AKH85" s="16"/>
      <c r="AKI85" s="16"/>
      <c r="AKJ85" s="16"/>
      <c r="AKK85" s="16"/>
      <c r="AKL85" s="16"/>
      <c r="AKM85" s="16"/>
      <c r="AKN85" s="16"/>
      <c r="AKO85" s="16"/>
      <c r="AKP85" s="16"/>
      <c r="AKQ85" s="16"/>
      <c r="AKR85" s="16"/>
      <c r="AKS85" s="16"/>
      <c r="AKT85" s="16"/>
      <c r="AKU85" s="16"/>
      <c r="AKV85" s="16"/>
      <c r="AKW85" s="16"/>
      <c r="AKX85" s="16"/>
      <c r="AKY85" s="16"/>
      <c r="AKZ85" s="16"/>
      <c r="ALA85" s="16"/>
      <c r="ALB85" s="16"/>
      <c r="ALC85" s="16"/>
      <c r="ALD85" s="16"/>
      <c r="ALE85" s="16"/>
      <c r="ALF85" s="16"/>
      <c r="ALG85" s="16"/>
      <c r="ALH85" s="16"/>
      <c r="ALI85" s="16"/>
      <c r="ALJ85" s="16"/>
      <c r="ALK85" s="16"/>
      <c r="ALL85" s="16"/>
      <c r="ALM85" s="16"/>
      <c r="ALN85" s="16"/>
      <c r="ALO85" s="16"/>
      <c r="ALP85" s="16"/>
      <c r="ALQ85" s="16"/>
      <c r="ALR85" s="16"/>
      <c r="ALS85" s="16"/>
      <c r="ALT85" s="16"/>
      <c r="ALU85" s="16"/>
      <c r="ALV85" s="16"/>
      <c r="ALW85" s="16"/>
      <c r="ALX85" s="16"/>
      <c r="ALY85" s="16"/>
      <c r="ALZ85" s="16"/>
      <c r="AMA85" s="16"/>
      <c r="AMB85" s="16"/>
      <c r="AMC85" s="16"/>
      <c r="AMD85" s="16"/>
      <c r="AME85" s="16"/>
      <c r="AMF85" s="16"/>
      <c r="AMG85" s="16"/>
      <c r="AMH85" s="16"/>
      <c r="AMI85" s="16"/>
      <c r="AMJ85" s="16"/>
      <c r="AMK85" s="16"/>
      <c r="AML85" s="16"/>
      <c r="AMM85" s="16"/>
      <c r="AMN85" s="16"/>
      <c r="AMO85" s="16"/>
      <c r="AMP85" s="16"/>
      <c r="AMQ85" s="16"/>
      <c r="AMR85" s="16"/>
      <c r="AMS85" s="16"/>
      <c r="AMT85" s="16"/>
      <c r="AMU85" s="16"/>
      <c r="AMV85" s="16"/>
      <c r="AMW85" s="16"/>
      <c r="AMX85" s="16"/>
      <c r="AMY85" s="16"/>
      <c r="AMZ85" s="16"/>
      <c r="ANA85" s="16"/>
      <c r="ANB85" s="16"/>
      <c r="ANC85" s="16"/>
      <c r="AND85" s="16"/>
      <c r="ANE85" s="16"/>
      <c r="ANF85" s="16"/>
      <c r="ANG85" s="16"/>
      <c r="ANH85" s="16"/>
      <c r="ANI85" s="16"/>
      <c r="ANJ85" s="16"/>
      <c r="ANK85" s="16"/>
      <c r="ANL85" s="16"/>
      <c r="ANM85" s="16"/>
      <c r="ANN85" s="16"/>
      <c r="ANO85" s="16"/>
      <c r="ANP85" s="16"/>
      <c r="ANQ85" s="16"/>
      <c r="ANR85" s="16"/>
      <c r="ANS85" s="16"/>
      <c r="ANT85" s="16"/>
      <c r="ANU85" s="16"/>
      <c r="ANV85" s="16"/>
      <c r="ANW85" s="16"/>
      <c r="ANX85" s="16"/>
      <c r="ANY85" s="16"/>
      <c r="ANZ85" s="16"/>
      <c r="AOA85" s="16"/>
      <c r="AOB85" s="16"/>
      <c r="AOC85" s="16"/>
      <c r="AOD85" s="16"/>
      <c r="AOE85" s="16"/>
      <c r="AOF85" s="16"/>
      <c r="AOG85" s="16"/>
      <c r="AOH85" s="16"/>
      <c r="AOI85" s="16"/>
      <c r="AOJ85" s="16"/>
      <c r="AOK85" s="16"/>
      <c r="AOL85" s="16"/>
      <c r="AOM85" s="16"/>
      <c r="AON85" s="16"/>
      <c r="AOO85" s="16"/>
      <c r="AOP85" s="16"/>
      <c r="AOQ85" s="16"/>
      <c r="AOR85" s="16"/>
      <c r="AOS85" s="16"/>
      <c r="AOT85" s="16"/>
      <c r="AOU85" s="16"/>
      <c r="AOV85" s="16"/>
      <c r="AOW85" s="16"/>
      <c r="AOX85" s="16"/>
      <c r="AOY85" s="16"/>
      <c r="AOZ85" s="16"/>
      <c r="APA85" s="16"/>
      <c r="APB85" s="16"/>
      <c r="APC85" s="16"/>
      <c r="APD85" s="16"/>
      <c r="APE85" s="16"/>
      <c r="APF85" s="16"/>
      <c r="APG85" s="16"/>
      <c r="APH85" s="16"/>
      <c r="API85" s="16"/>
      <c r="APJ85" s="16"/>
      <c r="APK85" s="16"/>
      <c r="APL85" s="16"/>
      <c r="APM85" s="16"/>
      <c r="APN85" s="16"/>
      <c r="APO85" s="16"/>
      <c r="APP85" s="16"/>
      <c r="APQ85" s="16"/>
      <c r="APR85" s="16"/>
      <c r="APS85" s="16"/>
      <c r="APT85" s="16"/>
      <c r="APU85" s="16"/>
      <c r="APV85" s="16"/>
      <c r="APW85" s="16"/>
      <c r="APX85" s="16"/>
      <c r="APY85" s="16"/>
      <c r="APZ85" s="16"/>
      <c r="AQA85" s="16"/>
      <c r="AQB85" s="16"/>
      <c r="AQC85" s="16"/>
      <c r="AQD85" s="16"/>
      <c r="AQE85" s="16"/>
      <c r="AQF85" s="16"/>
      <c r="AQG85" s="16"/>
      <c r="AQH85" s="16"/>
      <c r="AQI85" s="16"/>
      <c r="AQJ85" s="16"/>
      <c r="AQK85" s="16"/>
      <c r="AQL85" s="16"/>
      <c r="AQM85" s="16"/>
      <c r="AQN85" s="16"/>
      <c r="AQO85" s="16"/>
      <c r="AQP85" s="16"/>
      <c r="AQQ85" s="16"/>
      <c r="AQR85" s="16"/>
      <c r="AQS85" s="16"/>
      <c r="AQT85" s="16"/>
      <c r="AQU85" s="16"/>
      <c r="AQV85" s="16"/>
      <c r="AQW85" s="16"/>
      <c r="AQX85" s="16"/>
      <c r="AQY85" s="16"/>
      <c r="AQZ85" s="16"/>
      <c r="ARA85" s="16"/>
      <c r="ARB85" s="16"/>
      <c r="ARC85" s="16"/>
      <c r="ARD85" s="16"/>
      <c r="ARE85" s="16"/>
      <c r="ARF85" s="16"/>
      <c r="ARG85" s="16"/>
      <c r="ARH85" s="16"/>
      <c r="ARI85" s="16"/>
      <c r="ARJ85" s="16"/>
      <c r="ARK85" s="16"/>
      <c r="ARL85" s="16"/>
      <c r="ARM85" s="16"/>
      <c r="ARN85" s="16"/>
      <c r="ARO85" s="16"/>
      <c r="ARP85" s="16"/>
      <c r="ARQ85" s="16"/>
      <c r="ARR85" s="16"/>
      <c r="ARS85" s="16"/>
      <c r="ART85" s="16"/>
      <c r="ARU85" s="16"/>
      <c r="ARV85" s="16"/>
      <c r="ARW85" s="16"/>
      <c r="ARX85" s="16"/>
      <c r="ARY85" s="16"/>
      <c r="ARZ85" s="16"/>
      <c r="ASA85" s="16"/>
      <c r="ASB85" s="16"/>
      <c r="ASC85" s="16"/>
      <c r="ASD85" s="16"/>
      <c r="ASE85" s="16"/>
      <c r="ASF85" s="16"/>
      <c r="ASG85" s="16"/>
      <c r="ASH85" s="16"/>
      <c r="ASI85" s="16"/>
      <c r="ASJ85" s="16"/>
      <c r="ASK85" s="16"/>
      <c r="ASL85" s="16"/>
      <c r="ASM85" s="16"/>
      <c r="ASN85" s="16"/>
      <c r="ASO85" s="16"/>
      <c r="ASP85" s="16"/>
      <c r="ASQ85" s="16"/>
      <c r="ASR85" s="16"/>
      <c r="ASS85" s="16"/>
      <c r="AST85" s="16"/>
      <c r="ASU85" s="16"/>
      <c r="ASV85" s="16"/>
      <c r="ASW85" s="16"/>
      <c r="ASX85" s="16"/>
      <c r="ASY85" s="16"/>
      <c r="ASZ85" s="16"/>
      <c r="ATA85" s="16"/>
      <c r="ATB85" s="16"/>
      <c r="ATC85" s="16"/>
      <c r="ATD85" s="16"/>
      <c r="ATE85" s="16"/>
      <c r="ATF85" s="16"/>
      <c r="ATG85" s="16"/>
      <c r="ATH85" s="16"/>
      <c r="ATI85" s="16"/>
      <c r="ATJ85" s="16"/>
      <c r="ATK85" s="16"/>
      <c r="ATL85" s="16"/>
      <c r="ATM85" s="16"/>
      <c r="ATN85" s="16"/>
      <c r="ATO85" s="16"/>
      <c r="ATP85" s="16"/>
      <c r="ATQ85" s="16"/>
      <c r="ATR85" s="16"/>
      <c r="ATS85" s="16"/>
      <c r="ATT85" s="16"/>
      <c r="ATU85" s="16"/>
      <c r="ATV85" s="16"/>
      <c r="ATW85" s="16"/>
      <c r="ATX85" s="16"/>
      <c r="ATY85" s="16"/>
      <c r="ATZ85" s="16"/>
      <c r="AUA85" s="16"/>
      <c r="AUB85" s="16"/>
      <c r="AUC85" s="16"/>
      <c r="AUD85" s="16"/>
      <c r="AUE85" s="16"/>
      <c r="AUF85" s="16"/>
      <c r="AUG85" s="16"/>
      <c r="AUH85" s="16"/>
      <c r="AUI85" s="16"/>
      <c r="AUJ85" s="16"/>
      <c r="AUK85" s="16"/>
      <c r="AUL85" s="16"/>
      <c r="AUM85" s="16"/>
      <c r="AUN85" s="16"/>
      <c r="AUO85" s="16"/>
      <c r="AUP85" s="16"/>
      <c r="AUQ85" s="16"/>
      <c r="AUR85" s="16"/>
      <c r="AUS85" s="16"/>
      <c r="AUT85" s="16"/>
      <c r="AUU85" s="16"/>
      <c r="AUV85" s="16"/>
      <c r="AUW85" s="16"/>
      <c r="AUX85" s="16"/>
      <c r="AUY85" s="16"/>
      <c r="AUZ85" s="16"/>
      <c r="AVA85" s="16"/>
      <c r="AVB85" s="16"/>
      <c r="AVC85" s="16"/>
      <c r="AVD85" s="16"/>
      <c r="AVE85" s="16"/>
      <c r="AVF85" s="16"/>
      <c r="AVG85" s="16"/>
      <c r="AVH85" s="16"/>
      <c r="AVI85" s="16"/>
      <c r="AVJ85" s="16"/>
      <c r="AVK85" s="16"/>
      <c r="AVL85" s="16"/>
      <c r="AVM85" s="16"/>
      <c r="AVN85" s="16"/>
      <c r="AVO85" s="16"/>
      <c r="AVP85" s="16"/>
      <c r="AVQ85" s="16"/>
      <c r="AVR85" s="16"/>
      <c r="AVS85" s="16"/>
      <c r="AVT85" s="16"/>
      <c r="AVU85" s="16"/>
      <c r="AVV85" s="16"/>
      <c r="AVW85" s="16"/>
      <c r="AVX85" s="16"/>
      <c r="AVY85" s="16"/>
      <c r="AVZ85" s="16"/>
      <c r="AWA85" s="16"/>
      <c r="AWB85" s="16"/>
      <c r="AWC85" s="16"/>
      <c r="AWD85" s="16"/>
      <c r="AWE85" s="16"/>
      <c r="AWF85" s="16"/>
      <c r="AWG85" s="16"/>
      <c r="AWH85" s="16"/>
      <c r="AWI85" s="16"/>
      <c r="AWJ85" s="16"/>
      <c r="AWK85" s="16"/>
      <c r="AWL85" s="16"/>
      <c r="AWM85" s="16"/>
      <c r="AWN85" s="16"/>
      <c r="AWO85" s="16"/>
      <c r="AWP85" s="16"/>
      <c r="AWQ85" s="16"/>
      <c r="AWR85" s="16"/>
      <c r="AWS85" s="16"/>
      <c r="AWT85" s="16"/>
      <c r="AWU85" s="16"/>
      <c r="AWV85" s="16"/>
      <c r="AWW85" s="16"/>
      <c r="AWX85" s="16"/>
      <c r="AWY85" s="16"/>
      <c r="AWZ85" s="16"/>
      <c r="AXA85" s="16"/>
      <c r="AXB85" s="16"/>
      <c r="AXC85" s="16"/>
      <c r="AXD85" s="16"/>
      <c r="AXE85" s="16"/>
      <c r="AXF85" s="16"/>
      <c r="AXG85" s="16"/>
      <c r="AXH85" s="16"/>
      <c r="AXI85" s="16"/>
      <c r="AXJ85" s="16"/>
      <c r="AXK85" s="16"/>
      <c r="AXL85" s="16"/>
      <c r="AXM85" s="16"/>
      <c r="AXN85" s="16"/>
      <c r="AXO85" s="16"/>
      <c r="AXP85" s="16"/>
      <c r="AXQ85" s="16"/>
      <c r="AXR85" s="16"/>
      <c r="AXS85" s="16"/>
      <c r="AXT85" s="16"/>
      <c r="AXU85" s="16"/>
      <c r="AXV85" s="16"/>
      <c r="AXW85" s="16"/>
      <c r="AXX85" s="16"/>
      <c r="AXY85" s="16"/>
      <c r="AXZ85" s="16"/>
      <c r="AYA85" s="16"/>
      <c r="AYB85" s="16"/>
      <c r="AYC85" s="16"/>
      <c r="AYD85" s="16"/>
      <c r="AYE85" s="16"/>
      <c r="AYF85" s="16"/>
      <c r="AYG85" s="16"/>
      <c r="AYH85" s="16"/>
      <c r="AYI85" s="16"/>
      <c r="AYJ85" s="16"/>
      <c r="AYK85" s="16"/>
      <c r="AYL85" s="16"/>
      <c r="AYM85" s="16"/>
      <c r="AYN85" s="16"/>
      <c r="AYO85" s="16"/>
      <c r="AYP85" s="16"/>
      <c r="AYQ85" s="16"/>
      <c r="AYR85" s="16"/>
      <c r="AYS85" s="16"/>
      <c r="AYT85" s="16"/>
      <c r="AYU85" s="16"/>
      <c r="AYV85" s="16"/>
      <c r="AYW85" s="16"/>
      <c r="AYX85" s="16"/>
      <c r="AYY85" s="16"/>
      <c r="AYZ85" s="16"/>
      <c r="AZA85" s="16"/>
      <c r="AZB85" s="16"/>
      <c r="AZC85" s="16"/>
      <c r="AZD85" s="16"/>
      <c r="AZE85" s="16"/>
      <c r="AZF85" s="16"/>
      <c r="AZG85" s="16"/>
      <c r="AZH85" s="16"/>
      <c r="AZI85" s="16"/>
      <c r="AZJ85" s="16"/>
      <c r="AZK85" s="16"/>
      <c r="AZL85" s="16"/>
      <c r="AZM85" s="16"/>
      <c r="AZN85" s="16"/>
      <c r="AZO85" s="16"/>
      <c r="AZP85" s="16"/>
      <c r="AZQ85" s="16"/>
      <c r="AZR85" s="16"/>
      <c r="AZS85" s="16"/>
      <c r="AZT85" s="16"/>
      <c r="AZU85" s="16"/>
      <c r="AZV85" s="16"/>
      <c r="AZW85" s="16"/>
      <c r="AZX85" s="16"/>
      <c r="AZY85" s="16"/>
      <c r="AZZ85" s="16"/>
      <c r="BAA85" s="16"/>
      <c r="BAB85" s="16"/>
      <c r="BAC85" s="16"/>
      <c r="BAD85" s="16"/>
      <c r="BAE85" s="16"/>
      <c r="BAF85" s="16"/>
      <c r="BAG85" s="16"/>
      <c r="BAH85" s="16"/>
      <c r="BAI85" s="16"/>
      <c r="BAJ85" s="16"/>
      <c r="BAK85" s="16"/>
      <c r="BAL85" s="16"/>
      <c r="BAM85" s="16"/>
      <c r="BAN85" s="16"/>
      <c r="BAO85" s="16"/>
      <c r="BAP85" s="16"/>
      <c r="BAQ85" s="16"/>
      <c r="BAR85" s="16"/>
      <c r="BAS85" s="16"/>
      <c r="BAT85" s="16"/>
      <c r="BAU85" s="16"/>
      <c r="BAV85" s="16"/>
      <c r="BAW85" s="16"/>
      <c r="BAX85" s="16"/>
      <c r="BAY85" s="16"/>
      <c r="BAZ85" s="16"/>
      <c r="BBA85" s="16"/>
      <c r="BBB85" s="16"/>
      <c r="BBC85" s="16"/>
      <c r="BBD85" s="16"/>
      <c r="BBE85" s="16"/>
      <c r="BBF85" s="16"/>
      <c r="BBG85" s="16"/>
      <c r="BBH85" s="16"/>
      <c r="BBI85" s="16"/>
      <c r="BBJ85" s="16"/>
      <c r="BBK85" s="16"/>
      <c r="BBL85" s="16"/>
      <c r="BBM85" s="16"/>
      <c r="BBN85" s="16"/>
      <c r="BBO85" s="16"/>
      <c r="BBP85" s="16"/>
      <c r="BBQ85" s="16"/>
      <c r="BBR85" s="16"/>
      <c r="BBS85" s="16"/>
      <c r="BBT85" s="16"/>
      <c r="BBU85" s="16"/>
      <c r="BBV85" s="16"/>
      <c r="BBW85" s="16"/>
      <c r="BBX85" s="16"/>
      <c r="BBY85" s="16"/>
      <c r="BBZ85" s="16"/>
      <c r="BCA85" s="16"/>
      <c r="BCB85" s="16"/>
      <c r="BCC85" s="16"/>
      <c r="BCD85" s="16"/>
      <c r="BCE85" s="16"/>
      <c r="BCF85" s="16"/>
      <c r="BCG85" s="16"/>
      <c r="BCH85" s="16"/>
      <c r="BCI85" s="16"/>
      <c r="BCJ85" s="16"/>
      <c r="BCK85" s="16"/>
      <c r="BCL85" s="16"/>
      <c r="BCM85" s="16"/>
      <c r="BCN85" s="16"/>
      <c r="BCO85" s="16"/>
      <c r="BCP85" s="16"/>
      <c r="BCQ85" s="16"/>
      <c r="BCR85" s="16"/>
      <c r="BCS85" s="16"/>
      <c r="BCT85" s="16"/>
      <c r="BCU85" s="16"/>
      <c r="BCV85" s="16"/>
      <c r="BCW85" s="16"/>
      <c r="BCX85" s="16"/>
      <c r="BCY85" s="16"/>
      <c r="BCZ85" s="16"/>
      <c r="BDA85" s="16"/>
      <c r="BDB85" s="16"/>
      <c r="BDC85" s="16"/>
      <c r="BDD85" s="16"/>
      <c r="BDE85" s="16"/>
      <c r="BDF85" s="16"/>
      <c r="BDG85" s="16"/>
      <c r="BDH85" s="16"/>
      <c r="BDI85" s="16"/>
      <c r="BDJ85" s="16"/>
      <c r="BDK85" s="16"/>
      <c r="BDL85" s="16"/>
      <c r="BDM85" s="16"/>
      <c r="BDN85" s="16"/>
      <c r="BDO85" s="16"/>
      <c r="BDP85" s="16"/>
      <c r="BDQ85" s="16"/>
      <c r="BDR85" s="16"/>
      <c r="BDS85" s="16"/>
      <c r="BDT85" s="16"/>
      <c r="BDU85" s="16"/>
      <c r="BDV85" s="16"/>
      <c r="BDW85" s="16"/>
      <c r="BDX85" s="16"/>
      <c r="BDY85" s="16"/>
      <c r="BDZ85" s="16"/>
      <c r="BEA85" s="16"/>
      <c r="BEB85" s="16"/>
      <c r="BEC85" s="16"/>
      <c r="BED85" s="16"/>
      <c r="BEE85" s="16"/>
      <c r="BEF85" s="16"/>
      <c r="BEG85" s="16"/>
      <c r="BEH85" s="16"/>
      <c r="BEI85" s="16"/>
      <c r="BEJ85" s="16"/>
      <c r="BEK85" s="16"/>
      <c r="BEL85" s="16"/>
      <c r="BEM85" s="16"/>
      <c r="BEN85" s="16"/>
      <c r="BEO85" s="16"/>
      <c r="BEP85" s="16"/>
      <c r="BEQ85" s="16"/>
      <c r="BER85" s="16"/>
      <c r="BES85" s="16"/>
      <c r="BET85" s="16"/>
      <c r="BEU85" s="16"/>
      <c r="BEV85" s="16"/>
      <c r="BEW85" s="16"/>
      <c r="BEX85" s="16"/>
      <c r="BEY85" s="16"/>
      <c r="BEZ85" s="16"/>
      <c r="BFA85" s="16"/>
      <c r="BFB85" s="16"/>
      <c r="BFC85" s="16"/>
      <c r="BFD85" s="16"/>
      <c r="BFE85" s="16"/>
      <c r="BFF85" s="16"/>
      <c r="BFG85" s="16"/>
      <c r="BFH85" s="16"/>
      <c r="BFI85" s="16"/>
      <c r="BFJ85" s="16"/>
      <c r="BFK85" s="16"/>
      <c r="BFL85" s="16"/>
      <c r="BFM85" s="16"/>
      <c r="BFN85" s="16"/>
      <c r="BFO85" s="16"/>
      <c r="BFP85" s="16"/>
      <c r="BFQ85" s="16"/>
      <c r="BFR85" s="16"/>
      <c r="BFS85" s="16"/>
      <c r="BFT85" s="16"/>
      <c r="BFU85" s="16"/>
      <c r="BFV85" s="16"/>
      <c r="BFW85" s="16"/>
      <c r="BFX85" s="16"/>
      <c r="BFY85" s="16"/>
      <c r="BFZ85" s="16"/>
      <c r="BGA85" s="16"/>
      <c r="BGB85" s="16"/>
      <c r="BGC85" s="16"/>
      <c r="BGD85" s="16"/>
      <c r="BGE85" s="16"/>
      <c r="BGF85" s="16"/>
      <c r="BGG85" s="16"/>
      <c r="BGH85" s="16"/>
      <c r="BGI85" s="16"/>
      <c r="BGJ85" s="16"/>
      <c r="BGK85" s="16"/>
      <c r="BGL85" s="16"/>
      <c r="BGM85" s="16"/>
      <c r="BGN85" s="16"/>
      <c r="BGO85" s="16"/>
      <c r="BGP85" s="16"/>
      <c r="BGQ85" s="16"/>
      <c r="BGR85" s="16"/>
      <c r="BGS85" s="16"/>
      <c r="BGT85" s="16"/>
      <c r="BGU85" s="16"/>
      <c r="BGV85" s="16"/>
      <c r="BGW85" s="16"/>
      <c r="BGX85" s="16"/>
      <c r="BGY85" s="16"/>
      <c r="BGZ85" s="16"/>
      <c r="BHA85" s="16"/>
      <c r="BHB85" s="16"/>
      <c r="BHC85" s="16"/>
      <c r="BHD85" s="16"/>
      <c r="BHE85" s="16"/>
      <c r="BHF85" s="16"/>
      <c r="BHG85" s="16"/>
      <c r="BHH85" s="16"/>
      <c r="BHI85" s="16"/>
      <c r="BHJ85" s="16"/>
      <c r="BHK85" s="16"/>
      <c r="BHL85" s="16"/>
      <c r="BHM85" s="16"/>
      <c r="BHN85" s="16"/>
      <c r="BHO85" s="16"/>
      <c r="BHP85" s="16"/>
      <c r="BHQ85" s="16"/>
      <c r="BHR85" s="16"/>
      <c r="BHS85" s="16"/>
      <c r="BHT85" s="16"/>
      <c r="BHU85" s="16"/>
      <c r="BHV85" s="16"/>
      <c r="BHW85" s="16"/>
      <c r="BHX85" s="16"/>
      <c r="BHY85" s="16"/>
      <c r="BHZ85" s="16"/>
      <c r="BIA85" s="16"/>
      <c r="BIB85" s="16"/>
      <c r="BIC85" s="16"/>
      <c r="BID85" s="16"/>
      <c r="BIE85" s="16"/>
      <c r="BIF85" s="16"/>
      <c r="BIG85" s="16"/>
      <c r="BIH85" s="16"/>
      <c r="BII85" s="16"/>
      <c r="BIJ85" s="16"/>
      <c r="BIK85" s="16"/>
      <c r="BIL85" s="16"/>
      <c r="BIM85" s="16"/>
      <c r="BIN85" s="16"/>
      <c r="BIO85" s="16"/>
      <c r="BIP85" s="16"/>
      <c r="BIQ85" s="16"/>
      <c r="BIR85" s="16"/>
      <c r="BIS85" s="16"/>
      <c r="BIT85" s="16"/>
      <c r="BIU85" s="16"/>
      <c r="BIV85" s="16"/>
      <c r="BIW85" s="16"/>
      <c r="BIX85" s="16"/>
      <c r="BIY85" s="16"/>
      <c r="BIZ85" s="16"/>
      <c r="BJA85" s="16"/>
      <c r="BJB85" s="16"/>
      <c r="BJC85" s="16"/>
      <c r="BJD85" s="16"/>
      <c r="BJE85" s="16"/>
      <c r="BJF85" s="16"/>
      <c r="BJG85" s="16"/>
      <c r="BJH85" s="16"/>
      <c r="BJI85" s="16"/>
      <c r="BJJ85" s="16"/>
      <c r="BJK85" s="16"/>
      <c r="BJL85" s="16"/>
      <c r="BJM85" s="16"/>
      <c r="BJN85" s="16"/>
      <c r="BJO85" s="16"/>
      <c r="BJP85" s="16"/>
      <c r="BJQ85" s="16"/>
      <c r="BJR85" s="16"/>
      <c r="BJS85" s="16"/>
      <c r="BJT85" s="16"/>
      <c r="BJU85" s="16"/>
      <c r="BJV85" s="16"/>
      <c r="BJW85" s="16"/>
      <c r="BJX85" s="16"/>
      <c r="BJY85" s="16"/>
      <c r="BJZ85" s="16"/>
      <c r="BKA85" s="16"/>
      <c r="BKB85" s="16"/>
      <c r="BKC85" s="16"/>
      <c r="BKD85" s="16"/>
      <c r="BKE85" s="16"/>
      <c r="BKF85" s="16"/>
      <c r="BKG85" s="16"/>
      <c r="BKH85" s="16"/>
      <c r="BKI85" s="16"/>
      <c r="BKJ85" s="16"/>
      <c r="BKK85" s="16"/>
      <c r="BKL85" s="16"/>
      <c r="BKM85" s="16"/>
      <c r="BKN85" s="16"/>
      <c r="BKO85" s="16"/>
      <c r="BKP85" s="16"/>
      <c r="BKQ85" s="16"/>
      <c r="BKR85" s="16"/>
      <c r="BKS85" s="16"/>
      <c r="BKT85" s="16"/>
      <c r="BKU85" s="16"/>
      <c r="BKV85" s="16"/>
      <c r="BKW85" s="16"/>
      <c r="BKX85" s="16"/>
      <c r="BKY85" s="16"/>
      <c r="BKZ85" s="16"/>
      <c r="BLA85" s="16"/>
      <c r="BLB85" s="16"/>
      <c r="BLC85" s="16"/>
      <c r="BLD85" s="16"/>
      <c r="BLE85" s="16"/>
      <c r="BLF85" s="16"/>
      <c r="BLG85" s="16"/>
      <c r="BLH85" s="16"/>
      <c r="BLI85" s="16"/>
      <c r="BLJ85" s="16"/>
      <c r="BLK85" s="16"/>
      <c r="BLL85" s="16"/>
      <c r="BLM85" s="16"/>
      <c r="BLN85" s="16"/>
      <c r="BLO85" s="16"/>
      <c r="BLP85" s="16"/>
      <c r="BLQ85" s="16"/>
      <c r="BLR85" s="16"/>
      <c r="BLS85" s="16"/>
      <c r="BLT85" s="16"/>
      <c r="BLU85" s="16"/>
      <c r="BLV85" s="16"/>
      <c r="BLW85" s="16"/>
      <c r="BLX85" s="16"/>
      <c r="BLY85" s="16"/>
      <c r="BLZ85" s="16"/>
      <c r="BMA85" s="16"/>
      <c r="BMB85" s="16"/>
      <c r="BMC85" s="16"/>
      <c r="BMD85" s="16"/>
      <c r="BME85" s="16"/>
      <c r="BMF85" s="16"/>
      <c r="BMG85" s="16"/>
      <c r="BMH85" s="16"/>
      <c r="BMI85" s="16"/>
      <c r="BMJ85" s="16"/>
      <c r="BMK85" s="16"/>
      <c r="BML85" s="16"/>
      <c r="BMM85" s="16"/>
      <c r="BMN85" s="16"/>
      <c r="BMO85" s="16"/>
      <c r="BMP85" s="16"/>
      <c r="BMQ85" s="16"/>
      <c r="BMR85" s="16"/>
      <c r="BMS85" s="16"/>
      <c r="BMT85" s="16"/>
      <c r="BMU85" s="16"/>
      <c r="BMV85" s="16"/>
      <c r="BMW85" s="16"/>
      <c r="BMX85" s="16"/>
      <c r="BMY85" s="16"/>
      <c r="BMZ85" s="16"/>
      <c r="BNA85" s="16"/>
      <c r="BNB85" s="16"/>
      <c r="BNC85" s="16"/>
      <c r="BND85" s="16"/>
      <c r="BNE85" s="16"/>
      <c r="BNF85" s="16"/>
      <c r="BNG85" s="16"/>
      <c r="BNH85" s="16"/>
      <c r="BNI85" s="16"/>
      <c r="BNJ85" s="16"/>
      <c r="BNK85" s="16"/>
      <c r="BNL85" s="16"/>
      <c r="BNM85" s="16"/>
      <c r="BNN85" s="16"/>
      <c r="BNO85" s="16"/>
      <c r="BNP85" s="16"/>
      <c r="BNQ85" s="16"/>
      <c r="BNR85" s="16"/>
      <c r="BNS85" s="16"/>
      <c r="BNT85" s="16"/>
      <c r="BNU85" s="16"/>
      <c r="BNV85" s="16"/>
      <c r="BNW85" s="16"/>
      <c r="BNX85" s="16"/>
      <c r="BNY85" s="16"/>
      <c r="BNZ85" s="16"/>
      <c r="BOA85" s="16"/>
      <c r="BOB85" s="16"/>
      <c r="BOC85" s="16"/>
      <c r="BOD85" s="16"/>
      <c r="BOE85" s="16"/>
      <c r="BOF85" s="16"/>
      <c r="BOG85" s="16"/>
      <c r="BOH85" s="16"/>
      <c r="BOI85" s="16"/>
      <c r="BOJ85" s="16"/>
      <c r="BOK85" s="16"/>
      <c r="BOL85" s="16"/>
      <c r="BOM85" s="16"/>
      <c r="BON85" s="16"/>
      <c r="BOO85" s="16"/>
      <c r="BOP85" s="16"/>
      <c r="BOQ85" s="16"/>
      <c r="BOR85" s="16"/>
      <c r="BOS85" s="16"/>
      <c r="BOT85" s="16"/>
      <c r="BOU85" s="16"/>
      <c r="BOV85" s="16"/>
      <c r="BOW85" s="16"/>
      <c r="BOX85" s="16"/>
      <c r="BOY85" s="16"/>
      <c r="BOZ85" s="16"/>
      <c r="BPA85" s="16"/>
      <c r="BPB85" s="16"/>
      <c r="BPC85" s="16"/>
      <c r="BPD85" s="16"/>
      <c r="BPE85" s="16"/>
      <c r="BPF85" s="16"/>
      <c r="BPG85" s="16"/>
      <c r="BPH85" s="16"/>
      <c r="BPI85" s="16"/>
      <c r="BPJ85" s="16"/>
      <c r="BPK85" s="16"/>
      <c r="BPL85" s="16"/>
      <c r="BPM85" s="16"/>
      <c r="BPN85" s="16"/>
      <c r="BPO85" s="16"/>
      <c r="BPP85" s="16"/>
      <c r="BPQ85" s="16"/>
      <c r="BPR85" s="16"/>
      <c r="BPS85" s="16"/>
      <c r="BPT85" s="16"/>
      <c r="BPU85" s="16"/>
      <c r="BPV85" s="16"/>
      <c r="BPW85" s="16"/>
      <c r="BPX85" s="16"/>
      <c r="BPY85" s="16"/>
      <c r="BPZ85" s="16"/>
      <c r="BQA85" s="16"/>
      <c r="BQB85" s="16"/>
      <c r="BQC85" s="16"/>
      <c r="BQD85" s="16"/>
      <c r="BQE85" s="16"/>
      <c r="BQF85" s="16"/>
      <c r="BQG85" s="16"/>
      <c r="BQH85" s="16"/>
      <c r="BQI85" s="16"/>
      <c r="BQJ85" s="16"/>
      <c r="BQK85" s="16"/>
      <c r="BQL85" s="16"/>
      <c r="BQM85" s="16"/>
      <c r="BQN85" s="16"/>
      <c r="BQO85" s="16"/>
      <c r="BQP85" s="16"/>
      <c r="BQQ85" s="16"/>
      <c r="BQR85" s="16"/>
      <c r="BQS85" s="16"/>
      <c r="BQT85" s="16"/>
      <c r="BQU85" s="16"/>
      <c r="BQV85" s="16"/>
      <c r="BQW85" s="16"/>
      <c r="BQX85" s="16"/>
      <c r="BQY85" s="16"/>
      <c r="BQZ85" s="16"/>
      <c r="BRA85" s="16"/>
      <c r="BRB85" s="16"/>
      <c r="BRC85" s="16"/>
      <c r="BRD85" s="16"/>
      <c r="BRE85" s="16"/>
      <c r="BRF85" s="16"/>
      <c r="BRG85" s="16"/>
      <c r="BRH85" s="16"/>
      <c r="BRI85" s="16"/>
      <c r="BRJ85" s="16"/>
      <c r="BRK85" s="16"/>
      <c r="BRL85" s="16"/>
      <c r="BRM85" s="16"/>
      <c r="BRN85" s="16"/>
      <c r="BRO85" s="16"/>
      <c r="BRP85" s="16"/>
      <c r="BRQ85" s="16"/>
      <c r="BRR85" s="16"/>
      <c r="BRS85" s="16"/>
      <c r="BRT85" s="16"/>
      <c r="BRU85" s="16"/>
      <c r="BRV85" s="16"/>
      <c r="BRW85" s="16"/>
      <c r="BRX85" s="16"/>
      <c r="BRY85" s="16"/>
      <c r="BRZ85" s="16"/>
      <c r="BSA85" s="16"/>
      <c r="BSB85" s="16"/>
      <c r="BSC85" s="16"/>
      <c r="BSD85" s="16"/>
      <c r="BSE85" s="16"/>
      <c r="BSF85" s="16"/>
      <c r="BSG85" s="16"/>
      <c r="BSH85" s="16"/>
      <c r="BSI85" s="16"/>
      <c r="BSJ85" s="16"/>
      <c r="BSK85" s="16"/>
      <c r="BSL85" s="16"/>
      <c r="BSM85" s="16"/>
      <c r="BSN85" s="16"/>
      <c r="BSO85" s="16"/>
      <c r="BSP85" s="16"/>
      <c r="BSQ85" s="16"/>
      <c r="BSR85" s="16"/>
      <c r="BSS85" s="16"/>
      <c r="BST85" s="16"/>
      <c r="BSU85" s="16"/>
      <c r="BSV85" s="16"/>
      <c r="BSW85" s="16"/>
      <c r="BSX85" s="16"/>
      <c r="BSY85" s="16"/>
      <c r="BSZ85" s="16"/>
      <c r="BTA85" s="16"/>
      <c r="BTB85" s="16"/>
      <c r="BTC85" s="16"/>
      <c r="BTD85" s="16"/>
      <c r="BTE85" s="16"/>
      <c r="BTF85" s="16"/>
      <c r="BTG85" s="16"/>
      <c r="BTH85" s="16"/>
      <c r="BTI85" s="16"/>
      <c r="BTJ85" s="16"/>
      <c r="BTK85" s="16"/>
      <c r="BTL85" s="16"/>
      <c r="BTM85" s="16"/>
      <c r="BTN85" s="16"/>
      <c r="BTO85" s="16"/>
      <c r="BTP85" s="16"/>
      <c r="BTQ85" s="16"/>
      <c r="BTR85" s="16"/>
      <c r="BTS85" s="16"/>
      <c r="BTT85" s="16"/>
      <c r="BTU85" s="16"/>
      <c r="BTV85" s="16"/>
      <c r="BTW85" s="16"/>
      <c r="BTX85" s="16"/>
      <c r="BTY85" s="16"/>
      <c r="BTZ85" s="16"/>
      <c r="BUA85" s="16"/>
      <c r="BUB85" s="16"/>
      <c r="BUC85" s="16"/>
      <c r="BUD85" s="16"/>
      <c r="BUE85" s="16"/>
      <c r="BUF85" s="16"/>
      <c r="BUG85" s="16"/>
      <c r="BUH85" s="16"/>
      <c r="BUI85" s="16"/>
      <c r="BUJ85" s="16"/>
      <c r="BUK85" s="16"/>
      <c r="BUL85" s="16"/>
      <c r="BUM85" s="16"/>
      <c r="BUN85" s="16"/>
      <c r="BUO85" s="16"/>
      <c r="BUP85" s="16"/>
      <c r="BUQ85" s="16"/>
      <c r="BUR85" s="16"/>
      <c r="BUS85" s="16"/>
      <c r="BUT85" s="16"/>
      <c r="BUU85" s="16"/>
      <c r="BUV85" s="16"/>
      <c r="BUW85" s="16"/>
      <c r="BUX85" s="16"/>
      <c r="BUY85" s="16"/>
      <c r="BUZ85" s="16"/>
      <c r="BVA85" s="16"/>
      <c r="BVB85" s="16"/>
      <c r="BVC85" s="16"/>
      <c r="BVD85" s="16"/>
      <c r="BVE85" s="16"/>
      <c r="BVF85" s="16"/>
      <c r="BVG85" s="16"/>
      <c r="BVH85" s="16"/>
      <c r="BVI85" s="16"/>
      <c r="BVJ85" s="16"/>
      <c r="BVK85" s="16"/>
      <c r="BVL85" s="16"/>
      <c r="BVM85" s="16"/>
      <c r="BVN85" s="16"/>
      <c r="BVO85" s="16"/>
      <c r="BVP85" s="16"/>
      <c r="BVQ85" s="16"/>
      <c r="BVR85" s="16"/>
      <c r="BVS85" s="16"/>
      <c r="BVT85" s="16"/>
      <c r="BVU85" s="16"/>
      <c r="BVV85" s="16"/>
      <c r="BVW85" s="16"/>
      <c r="BVX85" s="16"/>
      <c r="BVY85" s="16"/>
      <c r="BVZ85" s="16"/>
      <c r="BWA85" s="16"/>
      <c r="BWB85" s="16"/>
      <c r="BWC85" s="16"/>
      <c r="BWD85" s="16"/>
      <c r="BWE85" s="16"/>
      <c r="BWF85" s="16"/>
      <c r="BWG85" s="16"/>
      <c r="BWH85" s="16"/>
      <c r="BWI85" s="16"/>
      <c r="BWJ85" s="16"/>
      <c r="BWK85" s="16"/>
      <c r="BWL85" s="16"/>
      <c r="BWM85" s="16"/>
      <c r="BWN85" s="16"/>
      <c r="BWO85" s="16"/>
      <c r="BWP85" s="16"/>
      <c r="BWQ85" s="16"/>
      <c r="BWR85" s="16"/>
      <c r="BWS85" s="16"/>
      <c r="BWT85" s="16"/>
      <c r="BWU85" s="16"/>
      <c r="BWV85" s="16"/>
      <c r="BWW85" s="16"/>
      <c r="BWX85" s="16"/>
      <c r="BWY85" s="16"/>
      <c r="BWZ85" s="16"/>
      <c r="BXA85" s="16"/>
      <c r="BXB85" s="16"/>
      <c r="BXC85" s="16"/>
      <c r="BXD85" s="16"/>
      <c r="BXE85" s="16"/>
      <c r="BXF85" s="16"/>
      <c r="BXG85" s="16"/>
      <c r="BXH85" s="16"/>
      <c r="BXI85" s="16"/>
      <c r="BXJ85" s="16"/>
      <c r="BXK85" s="16"/>
      <c r="BXL85" s="16"/>
      <c r="BXM85" s="16"/>
      <c r="BXN85" s="16"/>
      <c r="BXO85" s="16"/>
      <c r="BXP85" s="16"/>
      <c r="BXQ85" s="16"/>
      <c r="BXR85" s="16"/>
      <c r="BXS85" s="16"/>
      <c r="BXT85" s="16"/>
      <c r="BXU85" s="16"/>
      <c r="BXV85" s="16"/>
      <c r="BXW85" s="16"/>
      <c r="BXX85" s="16"/>
      <c r="BXY85" s="16"/>
      <c r="BXZ85" s="16"/>
      <c r="BYA85" s="16"/>
      <c r="BYB85" s="16"/>
      <c r="BYC85" s="16"/>
      <c r="BYD85" s="16"/>
      <c r="BYE85" s="16"/>
      <c r="BYF85" s="16"/>
      <c r="BYG85" s="16"/>
      <c r="BYH85" s="16"/>
      <c r="BYI85" s="16"/>
      <c r="BYJ85" s="16"/>
      <c r="BYK85" s="16"/>
      <c r="BYL85" s="16"/>
      <c r="BYM85" s="16"/>
      <c r="BYN85" s="16"/>
      <c r="BYO85" s="16"/>
      <c r="BYP85" s="16"/>
      <c r="BYQ85" s="16"/>
      <c r="BYR85" s="16"/>
      <c r="BYS85" s="16"/>
      <c r="BYT85" s="16"/>
      <c r="BYU85" s="16"/>
      <c r="BYV85" s="16"/>
      <c r="BYW85" s="16"/>
      <c r="BYX85" s="16"/>
      <c r="BYY85" s="16"/>
      <c r="BYZ85" s="16"/>
      <c r="BZA85" s="16"/>
      <c r="BZB85" s="16"/>
      <c r="BZC85" s="16"/>
      <c r="BZD85" s="16"/>
      <c r="BZE85" s="16"/>
      <c r="BZF85" s="16"/>
      <c r="BZG85" s="16"/>
      <c r="BZH85" s="16"/>
      <c r="BZI85" s="16"/>
      <c r="BZJ85" s="16"/>
      <c r="BZK85" s="16"/>
      <c r="BZL85" s="16"/>
      <c r="BZM85" s="16"/>
      <c r="BZN85" s="16"/>
      <c r="BZO85" s="16"/>
      <c r="BZP85" s="16"/>
      <c r="BZQ85" s="16"/>
      <c r="BZR85" s="16"/>
      <c r="BZS85" s="16"/>
      <c r="BZT85" s="16"/>
      <c r="BZU85" s="16"/>
      <c r="BZV85" s="16"/>
      <c r="BZW85" s="16"/>
      <c r="BZX85" s="16"/>
      <c r="BZY85" s="16"/>
      <c r="BZZ85" s="16"/>
      <c r="CAA85" s="16"/>
      <c r="CAB85" s="16"/>
      <c r="CAC85" s="16"/>
      <c r="CAD85" s="16"/>
      <c r="CAE85" s="16"/>
      <c r="CAF85" s="16"/>
      <c r="CAG85" s="16"/>
      <c r="CAH85" s="16"/>
      <c r="CAI85" s="16"/>
      <c r="CAJ85" s="16"/>
      <c r="CAK85" s="16"/>
      <c r="CAL85" s="16"/>
      <c r="CAM85" s="16"/>
      <c r="CAN85" s="16"/>
      <c r="CAO85" s="16"/>
      <c r="CAP85" s="16"/>
      <c r="CAQ85" s="16"/>
      <c r="CAR85" s="16"/>
      <c r="CAS85" s="16"/>
      <c r="CAT85" s="16"/>
      <c r="CAU85" s="16"/>
      <c r="CAV85" s="16"/>
      <c r="CAW85" s="16"/>
      <c r="CAX85" s="16"/>
      <c r="CAY85" s="16"/>
      <c r="CAZ85" s="16"/>
      <c r="CBA85" s="16"/>
      <c r="CBB85" s="16"/>
      <c r="CBC85" s="16"/>
      <c r="CBD85" s="16"/>
      <c r="CBE85" s="16"/>
      <c r="CBF85" s="16"/>
      <c r="CBG85" s="16"/>
      <c r="CBH85" s="16"/>
      <c r="CBI85" s="16"/>
      <c r="CBJ85" s="16"/>
      <c r="CBK85" s="16"/>
      <c r="CBL85" s="16"/>
      <c r="CBM85" s="16"/>
      <c r="CBN85" s="16"/>
      <c r="CBO85" s="16"/>
      <c r="CBP85" s="16"/>
      <c r="CBQ85" s="16"/>
      <c r="CBR85" s="16"/>
      <c r="CBS85" s="16"/>
      <c r="CBT85" s="16"/>
      <c r="CBU85" s="16"/>
      <c r="CBV85" s="16"/>
      <c r="CBW85" s="16"/>
      <c r="CBX85" s="16"/>
      <c r="CBY85" s="16"/>
      <c r="CBZ85" s="16"/>
      <c r="CCA85" s="16"/>
      <c r="CCB85" s="16"/>
      <c r="CCC85" s="16"/>
      <c r="CCD85" s="16"/>
      <c r="CCE85" s="16"/>
      <c r="CCF85" s="16"/>
      <c r="CCG85" s="16"/>
      <c r="CCH85" s="16"/>
      <c r="CCI85" s="16"/>
      <c r="CCJ85" s="16"/>
      <c r="CCK85" s="16"/>
      <c r="CCL85" s="16"/>
      <c r="CCM85" s="16"/>
      <c r="CCN85" s="16"/>
      <c r="CCO85" s="16"/>
      <c r="CCP85" s="16"/>
      <c r="CCQ85" s="16"/>
      <c r="CCR85" s="16"/>
      <c r="CCS85" s="16"/>
      <c r="CCT85" s="16"/>
      <c r="CCU85" s="16"/>
      <c r="CCV85" s="16"/>
      <c r="CCW85" s="16"/>
      <c r="CCX85" s="16"/>
      <c r="CCY85" s="16"/>
      <c r="CCZ85" s="16"/>
      <c r="CDA85" s="16"/>
      <c r="CDB85" s="16"/>
      <c r="CDC85" s="16"/>
      <c r="CDD85" s="16"/>
      <c r="CDE85" s="16"/>
      <c r="CDF85" s="16"/>
      <c r="CDG85" s="16"/>
      <c r="CDH85" s="16"/>
      <c r="CDI85" s="16"/>
      <c r="CDJ85" s="16"/>
      <c r="CDK85" s="16"/>
      <c r="CDL85" s="16"/>
      <c r="CDM85" s="16"/>
      <c r="CDN85" s="16"/>
      <c r="CDO85" s="16"/>
      <c r="CDP85" s="16"/>
      <c r="CDQ85" s="16"/>
      <c r="CDR85" s="16"/>
      <c r="CDS85" s="16"/>
      <c r="CDT85" s="16"/>
      <c r="CDU85" s="16"/>
      <c r="CDV85" s="16"/>
      <c r="CDW85" s="16"/>
      <c r="CDX85" s="16"/>
      <c r="CDY85" s="16"/>
      <c r="CDZ85" s="16"/>
      <c r="CEA85" s="16"/>
      <c r="CEB85" s="16"/>
      <c r="CEC85" s="16"/>
      <c r="CED85" s="16"/>
      <c r="CEE85" s="16"/>
      <c r="CEF85" s="16"/>
      <c r="CEG85" s="16"/>
      <c r="CEH85" s="16"/>
      <c r="CEI85" s="16"/>
      <c r="CEJ85" s="16"/>
      <c r="CEK85" s="16"/>
      <c r="CEL85" s="16"/>
      <c r="CEM85" s="16"/>
      <c r="CEN85" s="16"/>
      <c r="CEO85" s="16"/>
      <c r="CEP85" s="16"/>
      <c r="CEQ85" s="16"/>
      <c r="CER85" s="16"/>
      <c r="CES85" s="16"/>
      <c r="CET85" s="16"/>
      <c r="CEU85" s="16"/>
      <c r="CEV85" s="16"/>
      <c r="CEW85" s="16"/>
      <c r="CEX85" s="16"/>
      <c r="CEY85" s="16"/>
      <c r="CEZ85" s="16"/>
      <c r="CFA85" s="16"/>
      <c r="CFB85" s="16"/>
      <c r="CFC85" s="16"/>
      <c r="CFD85" s="16"/>
      <c r="CFE85" s="16"/>
      <c r="CFF85" s="16"/>
      <c r="CFG85" s="16"/>
      <c r="CFH85" s="16"/>
      <c r="CFI85" s="16"/>
      <c r="CFJ85" s="16"/>
      <c r="CFK85" s="16"/>
      <c r="CFL85" s="16"/>
      <c r="CFM85" s="16"/>
      <c r="CFN85" s="16"/>
      <c r="CFO85" s="16"/>
      <c r="CFP85" s="16"/>
      <c r="CFQ85" s="16"/>
      <c r="CFR85" s="16"/>
      <c r="CFS85" s="16"/>
      <c r="CFT85" s="16"/>
      <c r="CFU85" s="16"/>
      <c r="CFV85" s="16"/>
      <c r="CFW85" s="16"/>
      <c r="CFX85" s="16"/>
      <c r="CFY85" s="16"/>
      <c r="CFZ85" s="16"/>
      <c r="CGA85" s="16"/>
      <c r="CGB85" s="16"/>
      <c r="CGC85" s="16"/>
      <c r="CGD85" s="16"/>
      <c r="CGE85" s="16"/>
      <c r="CGF85" s="16"/>
      <c r="CGG85" s="16"/>
      <c r="CGH85" s="16"/>
      <c r="CGI85" s="16"/>
      <c r="CGJ85" s="16"/>
      <c r="CGK85" s="16"/>
      <c r="CGL85" s="16"/>
      <c r="CGM85" s="16"/>
      <c r="CGN85" s="16"/>
      <c r="CGO85" s="16"/>
      <c r="CGP85" s="16"/>
      <c r="CGQ85" s="16"/>
      <c r="CGR85" s="16"/>
      <c r="CGS85" s="16"/>
      <c r="CGT85" s="16"/>
      <c r="CGU85" s="16"/>
      <c r="CGV85" s="16"/>
      <c r="CGW85" s="16"/>
      <c r="CGX85" s="16"/>
      <c r="CGY85" s="16"/>
      <c r="CGZ85" s="16"/>
      <c r="CHA85" s="16"/>
      <c r="CHB85" s="16"/>
      <c r="CHC85" s="16"/>
      <c r="CHD85" s="16"/>
      <c r="CHE85" s="16"/>
      <c r="CHF85" s="16"/>
      <c r="CHG85" s="16"/>
      <c r="CHH85" s="16"/>
      <c r="CHI85" s="16"/>
      <c r="CHJ85" s="16"/>
      <c r="CHK85" s="16"/>
      <c r="CHL85" s="16"/>
      <c r="CHM85" s="16"/>
      <c r="CHN85" s="16"/>
      <c r="CHO85" s="16"/>
      <c r="CHP85" s="16"/>
      <c r="CHQ85" s="16"/>
      <c r="CHR85" s="16"/>
      <c r="CHS85" s="16"/>
      <c r="CHT85" s="16"/>
      <c r="CHU85" s="16"/>
      <c r="CHV85" s="16"/>
      <c r="CHW85" s="16"/>
      <c r="CHX85" s="16"/>
      <c r="CHY85" s="16"/>
      <c r="CHZ85" s="16"/>
      <c r="CIA85" s="16"/>
      <c r="CIB85" s="16"/>
      <c r="CIC85" s="16"/>
      <c r="CID85" s="16"/>
      <c r="CIE85" s="16"/>
      <c r="CIF85" s="16"/>
      <c r="CIG85" s="16"/>
      <c r="CIH85" s="16"/>
      <c r="CII85" s="16"/>
      <c r="CIJ85" s="16"/>
      <c r="CIK85" s="16"/>
      <c r="CIL85" s="16"/>
      <c r="CIM85" s="16"/>
      <c r="CIN85" s="16"/>
      <c r="CIO85" s="16"/>
      <c r="CIP85" s="16"/>
      <c r="CIQ85" s="16"/>
      <c r="CIR85" s="16"/>
      <c r="CIS85" s="16"/>
      <c r="CIT85" s="16"/>
      <c r="CIU85" s="16"/>
      <c r="CIV85" s="16"/>
      <c r="CIW85" s="16"/>
      <c r="CIX85" s="16"/>
      <c r="CIY85" s="16"/>
      <c r="CIZ85" s="16"/>
      <c r="CJA85" s="16"/>
      <c r="CJB85" s="16"/>
      <c r="CJC85" s="16"/>
      <c r="CJD85" s="16"/>
      <c r="CJE85" s="16"/>
      <c r="CJF85" s="16"/>
      <c r="CJG85" s="16"/>
      <c r="CJH85" s="16"/>
      <c r="CJI85" s="16"/>
      <c r="CJJ85" s="16"/>
      <c r="CJK85" s="16"/>
      <c r="CJL85" s="16"/>
      <c r="CJM85" s="16"/>
      <c r="CJN85" s="16"/>
      <c r="CJO85" s="16"/>
      <c r="CJP85" s="16"/>
      <c r="CJQ85" s="16"/>
      <c r="CJR85" s="16"/>
      <c r="CJS85" s="16"/>
      <c r="CJT85" s="16"/>
      <c r="CJU85" s="16"/>
      <c r="CJV85" s="16"/>
      <c r="CJW85" s="16"/>
      <c r="CJX85" s="16"/>
      <c r="CJY85" s="16"/>
      <c r="CJZ85" s="16"/>
      <c r="CKA85" s="16"/>
      <c r="CKB85" s="16"/>
      <c r="CKC85" s="16"/>
      <c r="CKD85" s="16"/>
      <c r="CKE85" s="16"/>
      <c r="CKF85" s="16"/>
      <c r="CKG85" s="16"/>
      <c r="CKH85" s="16"/>
      <c r="CKI85" s="16"/>
      <c r="CKJ85" s="16"/>
      <c r="CKK85" s="16"/>
      <c r="CKL85" s="16"/>
      <c r="CKM85" s="16"/>
      <c r="CKN85" s="16"/>
      <c r="CKO85" s="16"/>
      <c r="CKP85" s="16"/>
      <c r="CKQ85" s="16"/>
      <c r="CKR85" s="16"/>
      <c r="CKS85" s="16"/>
      <c r="CKT85" s="16"/>
      <c r="CKU85" s="16"/>
      <c r="CKV85" s="16"/>
      <c r="CKW85" s="16"/>
      <c r="CKX85" s="16"/>
      <c r="CKY85" s="16"/>
      <c r="CKZ85" s="16"/>
      <c r="CLA85" s="16"/>
      <c r="CLB85" s="16"/>
      <c r="CLC85" s="16"/>
      <c r="CLD85" s="16"/>
      <c r="CLE85" s="16"/>
      <c r="CLF85" s="16"/>
      <c r="CLG85" s="16"/>
      <c r="CLH85" s="16"/>
      <c r="CLI85" s="16"/>
      <c r="CLJ85" s="16"/>
      <c r="CLK85" s="16"/>
      <c r="CLL85" s="16"/>
      <c r="CLM85" s="16"/>
      <c r="CLN85" s="16"/>
      <c r="CLO85" s="16"/>
      <c r="CLP85" s="16"/>
      <c r="CLQ85" s="16"/>
      <c r="CLR85" s="16"/>
      <c r="CLS85" s="16"/>
      <c r="CLT85" s="16"/>
      <c r="CLU85" s="16"/>
      <c r="CLV85" s="16"/>
      <c r="CLW85" s="16"/>
      <c r="CLX85" s="16"/>
      <c r="CLY85" s="16"/>
      <c r="CLZ85" s="16"/>
      <c r="CMA85" s="16"/>
      <c r="CMB85" s="16"/>
      <c r="CMC85" s="16"/>
      <c r="CMD85" s="16"/>
      <c r="CME85" s="16"/>
      <c r="CMF85" s="16"/>
      <c r="CMG85" s="16"/>
      <c r="CMH85" s="16"/>
      <c r="CMI85" s="16"/>
      <c r="CMJ85" s="16"/>
      <c r="CMK85" s="16"/>
      <c r="CML85" s="16"/>
      <c r="CMM85" s="16"/>
      <c r="CMN85" s="16"/>
      <c r="CMO85" s="16"/>
      <c r="CMP85" s="16"/>
      <c r="CMQ85" s="16"/>
      <c r="CMR85" s="16"/>
      <c r="CMS85" s="16"/>
      <c r="CMT85" s="16"/>
      <c r="CMU85" s="16"/>
      <c r="CMV85" s="16"/>
      <c r="CMW85" s="16"/>
      <c r="CMX85" s="16"/>
      <c r="CMY85" s="16"/>
      <c r="CMZ85" s="16"/>
      <c r="CNA85" s="16"/>
      <c r="CNB85" s="16"/>
      <c r="CNC85" s="16"/>
      <c r="CND85" s="16"/>
      <c r="CNE85" s="16"/>
      <c r="CNF85" s="16"/>
      <c r="CNG85" s="16"/>
      <c r="CNH85" s="16"/>
      <c r="CNI85" s="16"/>
      <c r="CNJ85" s="16"/>
      <c r="CNK85" s="16"/>
      <c r="CNL85" s="16"/>
      <c r="CNM85" s="16"/>
      <c r="CNN85" s="16"/>
      <c r="CNO85" s="16"/>
      <c r="CNP85" s="16"/>
      <c r="CNQ85" s="16"/>
      <c r="CNR85" s="16"/>
      <c r="CNS85" s="16"/>
      <c r="CNT85" s="16"/>
      <c r="CNU85" s="16"/>
      <c r="CNV85" s="16"/>
      <c r="CNW85" s="16"/>
      <c r="CNX85" s="16"/>
      <c r="CNY85" s="16"/>
      <c r="CNZ85" s="16"/>
      <c r="COA85" s="16"/>
      <c r="COB85" s="16"/>
      <c r="COC85" s="16"/>
      <c r="COD85" s="16"/>
      <c r="COE85" s="16"/>
      <c r="COF85" s="16"/>
      <c r="COG85" s="16"/>
      <c r="COH85" s="16"/>
      <c r="COI85" s="16"/>
      <c r="COJ85" s="16"/>
      <c r="COK85" s="16"/>
      <c r="COL85" s="16"/>
      <c r="COM85" s="16"/>
      <c r="CON85" s="16"/>
      <c r="COO85" s="16"/>
      <c r="COP85" s="16"/>
      <c r="COQ85" s="16"/>
      <c r="COR85" s="16"/>
      <c r="COS85" s="16"/>
      <c r="COT85" s="16"/>
      <c r="COU85" s="16"/>
      <c r="COV85" s="16"/>
      <c r="COW85" s="16"/>
      <c r="COX85" s="16"/>
      <c r="COY85" s="16"/>
      <c r="COZ85" s="16"/>
      <c r="CPA85" s="16"/>
      <c r="CPB85" s="16"/>
      <c r="CPC85" s="16"/>
      <c r="CPD85" s="16"/>
      <c r="CPE85" s="16"/>
      <c r="CPF85" s="16"/>
      <c r="CPG85" s="16"/>
      <c r="CPH85" s="16"/>
      <c r="CPI85" s="16"/>
      <c r="CPJ85" s="16"/>
      <c r="CPK85" s="16"/>
      <c r="CPL85" s="16"/>
      <c r="CPM85" s="16"/>
      <c r="CPN85" s="16"/>
      <c r="CPO85" s="16"/>
      <c r="CPP85" s="16"/>
      <c r="CPQ85" s="16"/>
      <c r="CPR85" s="16"/>
      <c r="CPS85" s="16"/>
      <c r="CPT85" s="16"/>
      <c r="CPU85" s="16"/>
      <c r="CPV85" s="16"/>
      <c r="CPW85" s="16"/>
      <c r="CPX85" s="16"/>
      <c r="CPY85" s="16"/>
      <c r="CPZ85" s="16"/>
      <c r="CQA85" s="16"/>
      <c r="CQB85" s="16"/>
      <c r="CQC85" s="16"/>
      <c r="CQD85" s="16"/>
      <c r="CQE85" s="16"/>
      <c r="CQF85" s="16"/>
      <c r="CQG85" s="16"/>
      <c r="CQH85" s="16"/>
      <c r="CQI85" s="16"/>
      <c r="CQJ85" s="16"/>
      <c r="CQK85" s="16"/>
      <c r="CQL85" s="16"/>
      <c r="CQM85" s="16"/>
      <c r="CQN85" s="16"/>
      <c r="CQO85" s="16"/>
      <c r="CQP85" s="16"/>
      <c r="CQQ85" s="16"/>
      <c r="CQR85" s="16"/>
      <c r="CQS85" s="16"/>
      <c r="CQT85" s="16"/>
      <c r="CQU85" s="16"/>
      <c r="CQV85" s="16"/>
      <c r="CQW85" s="16"/>
      <c r="CQX85" s="16"/>
      <c r="CQY85" s="16"/>
      <c r="CQZ85" s="16"/>
      <c r="CRA85" s="16"/>
      <c r="CRB85" s="16"/>
      <c r="CRC85" s="16"/>
      <c r="CRD85" s="16"/>
      <c r="CRE85" s="16"/>
      <c r="CRF85" s="16"/>
      <c r="CRG85" s="16"/>
      <c r="CRH85" s="16"/>
      <c r="CRI85" s="16"/>
      <c r="CRJ85" s="16"/>
      <c r="CRK85" s="16"/>
      <c r="CRL85" s="16"/>
      <c r="CRM85" s="16"/>
      <c r="CRN85" s="16"/>
      <c r="CRO85" s="16"/>
      <c r="CRP85" s="16"/>
      <c r="CRQ85" s="16"/>
      <c r="CRR85" s="16"/>
      <c r="CRS85" s="16"/>
      <c r="CRT85" s="16"/>
      <c r="CRU85" s="16"/>
      <c r="CRV85" s="16"/>
      <c r="CRW85" s="16"/>
      <c r="CRX85" s="16"/>
      <c r="CRY85" s="16"/>
      <c r="CRZ85" s="16"/>
      <c r="CSA85" s="16"/>
      <c r="CSB85" s="16"/>
      <c r="CSC85" s="16"/>
      <c r="CSD85" s="16"/>
      <c r="CSE85" s="16"/>
      <c r="CSF85" s="16"/>
      <c r="CSG85" s="16"/>
      <c r="CSH85" s="16"/>
      <c r="CSI85" s="16"/>
      <c r="CSJ85" s="16"/>
      <c r="CSK85" s="24"/>
      <c r="CSL85" s="16"/>
      <c r="CSM85" s="16"/>
      <c r="CSN85" s="16"/>
      <c r="CSO85" s="16"/>
      <c r="CSP85" s="16"/>
      <c r="CUG85" s="16"/>
      <c r="CUH85" s="16"/>
      <c r="CUI85" s="16"/>
      <c r="CUJ85" s="16"/>
      <c r="CUK85" s="16"/>
      <c r="CUL85" s="16"/>
      <c r="CUM85" s="16"/>
      <c r="CUN85" s="16"/>
      <c r="CUO85" s="16"/>
      <c r="CUP85" s="16"/>
      <c r="CUQ85" s="16"/>
      <c r="CUR85" s="16"/>
      <c r="CUS85" s="16"/>
      <c r="CUT85" s="16"/>
      <c r="CUU85" s="16"/>
      <c r="CUV85" s="16"/>
      <c r="CUW85" s="16"/>
      <c r="CUX85" s="16"/>
      <c r="CUY85" s="16"/>
      <c r="CUZ85" s="16"/>
      <c r="CVA85" s="16"/>
      <c r="CVB85" s="16"/>
      <c r="CVC85" s="16"/>
      <c r="CVD85" s="16"/>
      <c r="CVE85" s="16"/>
      <c r="CVF85" s="16"/>
      <c r="CVG85" s="16"/>
      <c r="CVH85" s="16"/>
      <c r="CVI85" s="16"/>
      <c r="CVJ85" s="16"/>
      <c r="CVK85" s="16"/>
      <c r="CVL85" s="16"/>
      <c r="CVM85" s="16"/>
      <c r="CVN85" s="16"/>
      <c r="CVO85" s="16"/>
      <c r="CVP85" s="16"/>
    </row>
    <row r="86" spans="3:2616" ht="13.8" x14ac:dyDescent="0.25">
      <c r="C86" s="57"/>
      <c r="E86" s="16"/>
      <c r="K86" s="59"/>
      <c r="L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C86" s="16"/>
      <c r="FD86" s="16"/>
      <c r="FE86" s="16"/>
      <c r="FF86" s="16"/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  <c r="HD86" s="16"/>
      <c r="HE86" s="16"/>
      <c r="HF86" s="16"/>
      <c r="HG86" s="16"/>
      <c r="HH86" s="16"/>
      <c r="HI86" s="16"/>
      <c r="HJ86" s="16"/>
      <c r="HK86" s="16"/>
      <c r="HL86" s="16"/>
      <c r="HM86" s="16"/>
      <c r="HN86" s="16"/>
      <c r="HO86" s="16"/>
      <c r="HP86" s="16"/>
      <c r="HQ86" s="16"/>
      <c r="HR86" s="16"/>
      <c r="HS86" s="16"/>
      <c r="HT86" s="16"/>
      <c r="HU86" s="16"/>
      <c r="HV86" s="16"/>
      <c r="HW86" s="16"/>
      <c r="HX86" s="16"/>
      <c r="HY86" s="16"/>
      <c r="HZ86" s="16"/>
      <c r="IA86" s="16"/>
      <c r="IB86" s="16"/>
      <c r="IC86" s="16"/>
      <c r="ID86" s="16"/>
      <c r="IE86" s="16"/>
      <c r="IF86" s="16"/>
      <c r="IG86" s="16"/>
      <c r="IH86" s="16"/>
      <c r="II86" s="16"/>
      <c r="IJ86" s="16"/>
      <c r="IK86" s="16"/>
      <c r="IL86" s="16"/>
      <c r="IM86" s="16"/>
      <c r="IN86" s="16"/>
      <c r="IO86" s="16"/>
      <c r="IP86" s="16"/>
      <c r="IQ86" s="16"/>
      <c r="IR86" s="16"/>
      <c r="IS86" s="16"/>
      <c r="IT86" s="16"/>
      <c r="IU86" s="16"/>
      <c r="IV86" s="16"/>
      <c r="IW86" s="16"/>
      <c r="IX86" s="16"/>
      <c r="IY86" s="16"/>
      <c r="IZ86" s="16"/>
      <c r="JA86" s="16"/>
      <c r="JB86" s="16"/>
      <c r="JC86" s="16"/>
      <c r="JD86" s="16"/>
      <c r="JE86" s="16"/>
      <c r="JF86" s="16"/>
      <c r="JG86" s="16"/>
      <c r="JH86" s="16"/>
      <c r="JI86" s="16"/>
      <c r="JJ86" s="16"/>
      <c r="JK86" s="16"/>
      <c r="JL86" s="16"/>
      <c r="JM86" s="16"/>
      <c r="JN86" s="16"/>
      <c r="JO86" s="16"/>
      <c r="JP86" s="16"/>
      <c r="JQ86" s="16"/>
      <c r="JR86" s="16"/>
      <c r="JS86" s="16"/>
      <c r="JT86" s="16"/>
      <c r="JU86" s="16"/>
      <c r="JV86" s="16"/>
      <c r="JW86" s="16"/>
      <c r="JX86" s="16"/>
      <c r="JY86" s="16"/>
      <c r="JZ86" s="16"/>
      <c r="KA86" s="16"/>
      <c r="KB86" s="16"/>
      <c r="KC86" s="16"/>
      <c r="KD86" s="16"/>
      <c r="KE86" s="16"/>
      <c r="KF86" s="16"/>
      <c r="KG86" s="16"/>
      <c r="KH86" s="16"/>
      <c r="KI86" s="16"/>
      <c r="KJ86" s="16"/>
      <c r="KK86" s="16"/>
      <c r="KL86" s="16"/>
      <c r="KM86" s="16"/>
      <c r="KN86" s="16"/>
      <c r="KO86" s="16"/>
      <c r="KP86" s="16"/>
      <c r="KQ86" s="16"/>
      <c r="KR86" s="16"/>
      <c r="KS86" s="16"/>
      <c r="KT86" s="16"/>
      <c r="KU86" s="16"/>
      <c r="KV86" s="16"/>
      <c r="KW86" s="16"/>
      <c r="KX86" s="16"/>
      <c r="KY86" s="16"/>
      <c r="KZ86" s="16"/>
      <c r="LA86" s="16"/>
      <c r="LB86" s="16"/>
      <c r="LC86" s="16"/>
      <c r="LD86" s="16"/>
      <c r="LE86" s="16"/>
      <c r="LF86" s="16"/>
      <c r="LG86" s="16"/>
      <c r="LH86" s="16"/>
      <c r="LI86" s="16"/>
      <c r="LJ86" s="16"/>
      <c r="LK86" s="16"/>
      <c r="LL86" s="16"/>
      <c r="LM86" s="16"/>
      <c r="LN86" s="16"/>
      <c r="LO86" s="16"/>
      <c r="LP86" s="16"/>
      <c r="LQ86" s="16"/>
      <c r="LR86" s="16"/>
      <c r="LS86" s="16"/>
      <c r="LT86" s="16"/>
      <c r="LU86" s="16"/>
      <c r="LV86" s="16"/>
      <c r="LW86" s="16"/>
      <c r="LX86" s="16"/>
      <c r="LY86" s="16"/>
      <c r="LZ86" s="16"/>
      <c r="MA86" s="16"/>
      <c r="MB86" s="16"/>
      <c r="MC86" s="16"/>
      <c r="MD86" s="16"/>
      <c r="ME86" s="16"/>
      <c r="MF86" s="16"/>
      <c r="MG86" s="16"/>
      <c r="MH86" s="16"/>
      <c r="MI86" s="16"/>
      <c r="MJ86" s="16"/>
      <c r="MK86" s="16"/>
      <c r="ML86" s="16"/>
      <c r="MM86" s="16"/>
      <c r="MN86" s="16"/>
      <c r="MO86" s="16"/>
      <c r="MP86" s="16"/>
      <c r="MQ86" s="16"/>
      <c r="MR86" s="16"/>
      <c r="MS86" s="16"/>
      <c r="MT86" s="16"/>
      <c r="MU86" s="16"/>
      <c r="MV86" s="16"/>
      <c r="MW86" s="16"/>
      <c r="MX86" s="16"/>
      <c r="MY86" s="16"/>
      <c r="MZ86" s="16"/>
      <c r="NA86" s="16"/>
      <c r="NB86" s="16"/>
      <c r="NC86" s="16"/>
      <c r="ND86" s="16"/>
      <c r="NE86" s="16"/>
      <c r="NF86" s="16"/>
      <c r="NG86" s="16"/>
      <c r="NH86" s="16"/>
      <c r="NI86" s="16"/>
      <c r="NJ86" s="16"/>
      <c r="NK86" s="16"/>
      <c r="NL86" s="16"/>
      <c r="NM86" s="16"/>
      <c r="NN86" s="16"/>
      <c r="NO86" s="16"/>
      <c r="NP86" s="16"/>
      <c r="NQ86" s="16"/>
      <c r="NR86" s="16"/>
      <c r="NS86" s="16"/>
      <c r="NT86" s="16"/>
      <c r="NU86" s="16"/>
      <c r="NV86" s="16"/>
      <c r="NW86" s="16"/>
      <c r="NX86" s="16"/>
      <c r="NY86" s="16"/>
      <c r="NZ86" s="16"/>
      <c r="OA86" s="16"/>
      <c r="OB86" s="16"/>
      <c r="OC86" s="16"/>
      <c r="OD86" s="16"/>
      <c r="OE86" s="16"/>
      <c r="OF86" s="16"/>
      <c r="OG86" s="16"/>
      <c r="OH86" s="16"/>
      <c r="OI86" s="16"/>
      <c r="OJ86" s="16"/>
      <c r="OK86" s="16"/>
      <c r="OL86" s="16"/>
      <c r="OM86" s="16"/>
      <c r="ON86" s="16"/>
      <c r="OO86" s="16"/>
      <c r="OP86" s="16"/>
      <c r="OQ86" s="16"/>
      <c r="OR86" s="16"/>
      <c r="OS86" s="16"/>
      <c r="OT86" s="16"/>
      <c r="OU86" s="16"/>
      <c r="OV86" s="16"/>
      <c r="OW86" s="16"/>
      <c r="OX86" s="16"/>
      <c r="OY86" s="16"/>
      <c r="OZ86" s="16"/>
      <c r="PA86" s="16"/>
      <c r="PB86" s="16"/>
      <c r="PC86" s="16"/>
      <c r="PD86" s="16"/>
      <c r="PE86" s="16"/>
      <c r="PF86" s="16"/>
      <c r="PG86" s="16"/>
      <c r="PH86" s="16"/>
      <c r="PI86" s="16"/>
      <c r="PJ86" s="16"/>
      <c r="PK86" s="16"/>
      <c r="PL86" s="16"/>
      <c r="PM86" s="16"/>
      <c r="PN86" s="16"/>
      <c r="PO86" s="16"/>
      <c r="PP86" s="16"/>
      <c r="PQ86" s="16"/>
      <c r="PR86" s="16"/>
      <c r="PS86" s="16"/>
      <c r="PT86" s="16"/>
      <c r="PU86" s="16"/>
      <c r="PV86" s="16"/>
      <c r="PW86" s="16"/>
      <c r="PX86" s="16"/>
      <c r="PY86" s="16"/>
      <c r="PZ86" s="16"/>
      <c r="QA86" s="16"/>
      <c r="QB86" s="16"/>
      <c r="QC86" s="16"/>
      <c r="QD86" s="16"/>
      <c r="QE86" s="16"/>
      <c r="QF86" s="16"/>
      <c r="QG86" s="16"/>
      <c r="QH86" s="16"/>
      <c r="QI86" s="16"/>
      <c r="QJ86" s="16"/>
      <c r="QK86" s="16"/>
      <c r="QL86" s="16"/>
      <c r="QM86" s="16"/>
      <c r="QN86" s="16"/>
      <c r="QO86" s="16"/>
      <c r="QP86" s="16"/>
      <c r="QQ86" s="16"/>
      <c r="QR86" s="16"/>
      <c r="QS86" s="16"/>
      <c r="QT86" s="16"/>
      <c r="QU86" s="16"/>
      <c r="QV86" s="16"/>
      <c r="QW86" s="16"/>
      <c r="QX86" s="16"/>
      <c r="QY86" s="16"/>
      <c r="QZ86" s="16"/>
      <c r="RA86" s="16"/>
      <c r="RB86" s="16"/>
      <c r="RC86" s="16"/>
      <c r="RD86" s="16"/>
      <c r="RE86" s="16"/>
      <c r="RF86" s="16"/>
      <c r="RG86" s="16"/>
      <c r="RH86" s="16"/>
      <c r="RI86" s="16"/>
      <c r="RJ86" s="16"/>
      <c r="RK86" s="16"/>
      <c r="RL86" s="16"/>
      <c r="RM86" s="16"/>
      <c r="RN86" s="16"/>
      <c r="RO86" s="16"/>
      <c r="RP86" s="16"/>
      <c r="RQ86" s="16"/>
      <c r="RR86" s="16"/>
      <c r="RS86" s="16"/>
      <c r="RT86" s="16"/>
      <c r="RU86" s="16"/>
      <c r="RV86" s="16"/>
      <c r="RW86" s="16"/>
      <c r="RX86" s="16"/>
      <c r="RY86" s="16"/>
      <c r="RZ86" s="16"/>
      <c r="SA86" s="16"/>
      <c r="SB86" s="16"/>
      <c r="SC86" s="16"/>
      <c r="SD86" s="16"/>
      <c r="SE86" s="16"/>
      <c r="SF86" s="16"/>
      <c r="SG86" s="16"/>
      <c r="SH86" s="16"/>
      <c r="SI86" s="16"/>
      <c r="SJ86" s="16"/>
      <c r="SK86" s="16"/>
      <c r="SL86" s="16"/>
      <c r="SM86" s="16"/>
      <c r="SN86" s="16"/>
      <c r="SO86" s="16"/>
      <c r="SP86" s="16"/>
      <c r="SQ86" s="16"/>
      <c r="SR86" s="16"/>
      <c r="SS86" s="16"/>
      <c r="ST86" s="16"/>
      <c r="SU86" s="16"/>
      <c r="SV86" s="16"/>
      <c r="SW86" s="16"/>
      <c r="SX86" s="16"/>
      <c r="SY86" s="16"/>
      <c r="SZ86" s="16"/>
      <c r="TA86" s="16"/>
      <c r="TB86" s="16"/>
      <c r="TC86" s="16"/>
      <c r="TD86" s="16"/>
      <c r="TE86" s="16"/>
      <c r="TF86" s="16"/>
      <c r="TG86" s="16"/>
      <c r="TH86" s="16"/>
      <c r="TI86" s="16"/>
      <c r="TJ86" s="16"/>
      <c r="TK86" s="16"/>
      <c r="TL86" s="16"/>
      <c r="TM86" s="16"/>
      <c r="TN86" s="16"/>
      <c r="TO86" s="16"/>
      <c r="TP86" s="16"/>
      <c r="TQ86" s="16"/>
      <c r="TR86" s="16"/>
      <c r="TS86" s="16"/>
      <c r="TT86" s="16"/>
      <c r="TU86" s="16"/>
      <c r="TV86" s="16"/>
      <c r="TW86" s="16"/>
      <c r="TX86" s="16"/>
      <c r="TY86" s="16"/>
      <c r="TZ86" s="16"/>
      <c r="UA86" s="16"/>
      <c r="UB86" s="16"/>
      <c r="UC86" s="16"/>
      <c r="UD86" s="16"/>
      <c r="UE86" s="16"/>
      <c r="UF86" s="16"/>
      <c r="UG86" s="16"/>
      <c r="UH86" s="16"/>
      <c r="UI86" s="16"/>
      <c r="UJ86" s="16"/>
      <c r="UK86" s="16"/>
      <c r="UL86" s="16"/>
      <c r="UM86" s="16"/>
      <c r="UN86" s="16"/>
      <c r="UO86" s="16"/>
      <c r="UP86" s="16"/>
      <c r="UQ86" s="16"/>
      <c r="UR86" s="16"/>
      <c r="US86" s="16"/>
      <c r="UT86" s="16"/>
      <c r="UU86" s="16"/>
      <c r="UV86" s="16"/>
      <c r="UW86" s="16"/>
      <c r="UX86" s="16"/>
      <c r="UY86" s="16"/>
      <c r="UZ86" s="16"/>
      <c r="VA86" s="16"/>
      <c r="VB86" s="16"/>
      <c r="VC86" s="16"/>
      <c r="VD86" s="16"/>
      <c r="VE86" s="16"/>
      <c r="VF86" s="16"/>
      <c r="VG86" s="16"/>
      <c r="VH86" s="16"/>
      <c r="VI86" s="16"/>
      <c r="VJ86" s="16"/>
      <c r="VK86" s="16"/>
      <c r="VL86" s="16"/>
      <c r="VM86" s="16"/>
      <c r="VN86" s="16"/>
      <c r="VO86" s="16"/>
      <c r="VP86" s="16"/>
      <c r="VQ86" s="16"/>
      <c r="VR86" s="16"/>
      <c r="VS86" s="16"/>
      <c r="VT86" s="16"/>
      <c r="VU86" s="16"/>
      <c r="VV86" s="16"/>
      <c r="VW86" s="16"/>
      <c r="VX86" s="16"/>
      <c r="VY86" s="16"/>
      <c r="VZ86" s="16"/>
      <c r="WA86" s="16"/>
      <c r="WB86" s="16"/>
      <c r="WC86" s="16"/>
      <c r="WD86" s="16"/>
      <c r="WE86" s="16"/>
      <c r="WF86" s="16"/>
      <c r="WG86" s="16"/>
      <c r="WH86" s="16"/>
      <c r="WI86" s="16"/>
      <c r="WJ86" s="16"/>
      <c r="WK86" s="16"/>
      <c r="WL86" s="16"/>
      <c r="WM86" s="16"/>
      <c r="WN86" s="16"/>
      <c r="WO86" s="16"/>
      <c r="WP86" s="16"/>
      <c r="WQ86" s="16"/>
      <c r="WR86" s="16"/>
      <c r="WS86" s="16"/>
      <c r="WT86" s="16"/>
      <c r="WU86" s="16"/>
      <c r="WV86" s="16"/>
      <c r="WW86" s="16"/>
      <c r="WX86" s="16"/>
      <c r="WY86" s="16"/>
      <c r="WZ86" s="16"/>
      <c r="XA86" s="16"/>
      <c r="XB86" s="16"/>
      <c r="XC86" s="16"/>
      <c r="XD86" s="16"/>
      <c r="XE86" s="16"/>
      <c r="XF86" s="16"/>
      <c r="XG86" s="16"/>
      <c r="XH86" s="16"/>
      <c r="XI86" s="16"/>
      <c r="XJ86" s="16"/>
      <c r="XK86" s="16"/>
      <c r="XL86" s="16"/>
      <c r="XM86" s="16"/>
      <c r="XN86" s="16"/>
      <c r="XO86" s="16"/>
      <c r="XP86" s="16"/>
      <c r="XQ86" s="16"/>
      <c r="XR86" s="16"/>
      <c r="XS86" s="16"/>
      <c r="XT86" s="16"/>
      <c r="XU86" s="16"/>
      <c r="XV86" s="16"/>
      <c r="XW86" s="16"/>
      <c r="XX86" s="16"/>
      <c r="XY86" s="16"/>
      <c r="XZ86" s="16"/>
      <c r="YA86" s="16"/>
      <c r="YB86" s="16"/>
      <c r="YC86" s="16"/>
      <c r="YD86" s="16"/>
      <c r="YE86" s="16"/>
      <c r="YF86" s="16"/>
      <c r="YG86" s="16"/>
      <c r="YH86" s="16"/>
      <c r="YI86" s="16"/>
      <c r="YJ86" s="16"/>
      <c r="YK86" s="16"/>
      <c r="YL86" s="16"/>
      <c r="YM86" s="16"/>
      <c r="YN86" s="16"/>
      <c r="YO86" s="16"/>
      <c r="YP86" s="16"/>
      <c r="YQ86" s="16"/>
      <c r="YR86" s="16"/>
      <c r="YS86" s="16"/>
      <c r="YT86" s="16"/>
      <c r="YU86" s="16"/>
      <c r="YV86" s="16"/>
      <c r="YW86" s="16"/>
      <c r="YX86" s="16"/>
      <c r="YY86" s="16"/>
      <c r="YZ86" s="16"/>
      <c r="ZA86" s="16"/>
      <c r="ZB86" s="16"/>
      <c r="ZC86" s="16"/>
      <c r="ZD86" s="16"/>
      <c r="ZE86" s="16"/>
      <c r="ZF86" s="16"/>
      <c r="ZG86" s="16"/>
      <c r="ZH86" s="16"/>
      <c r="ZI86" s="16"/>
      <c r="ZJ86" s="16"/>
      <c r="ZK86" s="16"/>
      <c r="ZL86" s="16"/>
      <c r="ZM86" s="16"/>
      <c r="ZN86" s="16"/>
      <c r="ZO86" s="16"/>
      <c r="ZP86" s="16"/>
      <c r="ZQ86" s="16"/>
      <c r="ZR86" s="16"/>
      <c r="ZS86" s="16"/>
      <c r="ZT86" s="16"/>
      <c r="ZU86" s="16"/>
      <c r="ZV86" s="16"/>
      <c r="ZW86" s="16"/>
      <c r="ZX86" s="16"/>
      <c r="ZY86" s="16"/>
      <c r="ZZ86" s="16"/>
      <c r="AAA86" s="16"/>
      <c r="AAB86" s="16"/>
      <c r="AAC86" s="16"/>
      <c r="AAD86" s="16"/>
      <c r="AAE86" s="16"/>
      <c r="AAF86" s="16"/>
      <c r="AAG86" s="16"/>
      <c r="AAH86" s="16"/>
      <c r="AAI86" s="16"/>
      <c r="AAJ86" s="16"/>
      <c r="AAK86" s="16"/>
      <c r="AAL86" s="16"/>
      <c r="AAM86" s="16"/>
      <c r="AAN86" s="16"/>
      <c r="AAO86" s="16"/>
      <c r="AAP86" s="16"/>
      <c r="AAQ86" s="16"/>
      <c r="AAR86" s="16"/>
      <c r="AAS86" s="16"/>
      <c r="AAT86" s="16"/>
      <c r="AAU86" s="16"/>
      <c r="AAV86" s="16"/>
      <c r="AAW86" s="16"/>
      <c r="AAX86" s="16"/>
      <c r="AAY86" s="16"/>
      <c r="AAZ86" s="16"/>
      <c r="ABA86" s="16"/>
      <c r="ABB86" s="16"/>
      <c r="ABC86" s="16"/>
      <c r="ABD86" s="16"/>
      <c r="ABE86" s="16"/>
      <c r="ABF86" s="16"/>
      <c r="ABG86" s="16"/>
      <c r="ABH86" s="16"/>
      <c r="ABI86" s="16"/>
      <c r="ABJ86" s="16"/>
      <c r="ABK86" s="16"/>
      <c r="ABL86" s="16"/>
      <c r="ABM86" s="16"/>
      <c r="ABN86" s="16"/>
      <c r="ABO86" s="16"/>
      <c r="ABP86" s="16"/>
      <c r="ABQ86" s="16"/>
      <c r="ABR86" s="16"/>
      <c r="ABS86" s="16"/>
      <c r="ABT86" s="16"/>
      <c r="ABU86" s="16"/>
      <c r="ABV86" s="16"/>
      <c r="ABW86" s="16"/>
      <c r="ABX86" s="16"/>
      <c r="ABY86" s="16"/>
      <c r="ABZ86" s="16"/>
      <c r="ACA86" s="16"/>
      <c r="ACB86" s="16"/>
      <c r="ACC86" s="16"/>
      <c r="ACD86" s="16"/>
      <c r="ACE86" s="16"/>
      <c r="ACF86" s="16"/>
      <c r="ACG86" s="16"/>
      <c r="ACH86" s="16"/>
      <c r="ACI86" s="16"/>
      <c r="ACJ86" s="16"/>
      <c r="ACK86" s="16"/>
      <c r="ACL86" s="16"/>
      <c r="ACM86" s="16"/>
      <c r="ACN86" s="16"/>
      <c r="ACO86" s="16"/>
      <c r="ACP86" s="16"/>
      <c r="ACQ86" s="16"/>
      <c r="ACR86" s="16"/>
      <c r="ACS86" s="16"/>
      <c r="ACT86" s="16"/>
      <c r="ACU86" s="16"/>
      <c r="ACV86" s="16"/>
      <c r="ACW86" s="16"/>
      <c r="ACX86" s="16"/>
      <c r="ACY86" s="16"/>
      <c r="ACZ86" s="16"/>
      <c r="ADA86" s="16"/>
      <c r="ADB86" s="16"/>
      <c r="ADC86" s="16"/>
      <c r="ADD86" s="16"/>
      <c r="ADE86" s="16"/>
      <c r="ADF86" s="16"/>
      <c r="ADG86" s="16"/>
      <c r="ADH86" s="16"/>
      <c r="ADI86" s="16"/>
      <c r="ADJ86" s="16"/>
      <c r="ADK86" s="16"/>
      <c r="ADL86" s="16"/>
      <c r="ADM86" s="16"/>
      <c r="ADN86" s="16"/>
      <c r="ADO86" s="16"/>
      <c r="ADP86" s="16"/>
      <c r="ADQ86" s="16"/>
      <c r="ADR86" s="16"/>
      <c r="ADS86" s="16"/>
      <c r="ADT86" s="16"/>
      <c r="ADU86" s="16"/>
      <c r="ADV86" s="16"/>
      <c r="ADW86" s="16"/>
      <c r="ADX86" s="16"/>
      <c r="ADY86" s="16"/>
      <c r="ADZ86" s="16"/>
      <c r="AEA86" s="16"/>
      <c r="AEB86" s="16"/>
      <c r="AEC86" s="16"/>
      <c r="AED86" s="16"/>
      <c r="AEE86" s="16"/>
      <c r="AEF86" s="16"/>
      <c r="AEG86" s="16"/>
      <c r="AEH86" s="16"/>
      <c r="AEI86" s="16"/>
      <c r="AEJ86" s="16"/>
      <c r="AEK86" s="16"/>
      <c r="AEL86" s="16"/>
      <c r="AEM86" s="16"/>
      <c r="AEN86" s="16"/>
      <c r="AEO86" s="16"/>
      <c r="AEP86" s="16"/>
      <c r="AEQ86" s="16"/>
      <c r="AER86" s="16"/>
      <c r="AES86" s="16"/>
      <c r="AET86" s="16"/>
      <c r="AEU86" s="16"/>
      <c r="AEV86" s="16"/>
      <c r="AEW86" s="16"/>
      <c r="AEX86" s="16"/>
      <c r="AEY86" s="16"/>
      <c r="AEZ86" s="16"/>
      <c r="AFA86" s="16"/>
      <c r="AFB86" s="16"/>
      <c r="AFC86" s="16"/>
      <c r="AFD86" s="16"/>
      <c r="AFE86" s="16"/>
      <c r="AFF86" s="16"/>
      <c r="AFG86" s="16"/>
      <c r="AFH86" s="16"/>
      <c r="AFI86" s="16"/>
      <c r="AFJ86" s="16"/>
      <c r="AFK86" s="16"/>
      <c r="AFL86" s="16"/>
      <c r="AFM86" s="16"/>
      <c r="AFN86" s="16"/>
      <c r="AFO86" s="16"/>
      <c r="AFP86" s="16"/>
      <c r="AFQ86" s="16"/>
      <c r="AFR86" s="16"/>
      <c r="AFS86" s="16"/>
      <c r="AFT86" s="16"/>
      <c r="AFU86" s="16"/>
      <c r="AFV86" s="16"/>
      <c r="AFW86" s="16"/>
      <c r="AFX86" s="16"/>
      <c r="AFY86" s="16"/>
      <c r="AFZ86" s="16"/>
      <c r="AGA86" s="16"/>
      <c r="AGB86" s="16"/>
      <c r="AGC86" s="16"/>
      <c r="AGD86" s="16"/>
      <c r="AGE86" s="16"/>
      <c r="AGF86" s="16"/>
      <c r="AGG86" s="16"/>
      <c r="AGH86" s="16"/>
      <c r="AGI86" s="16"/>
      <c r="AGJ86" s="16"/>
      <c r="AGK86" s="16"/>
      <c r="AGL86" s="16"/>
      <c r="AGM86" s="16"/>
      <c r="AGN86" s="16"/>
      <c r="AGO86" s="16"/>
      <c r="AGP86" s="16"/>
      <c r="AGQ86" s="16"/>
      <c r="AGR86" s="16"/>
      <c r="AGS86" s="16"/>
      <c r="AGT86" s="16"/>
      <c r="AGU86" s="16"/>
      <c r="AGV86" s="16"/>
      <c r="AGW86" s="16"/>
      <c r="AGX86" s="16"/>
      <c r="AGY86" s="16"/>
      <c r="AGZ86" s="16"/>
      <c r="AHA86" s="16"/>
      <c r="AHB86" s="16"/>
      <c r="AHC86" s="16"/>
      <c r="AHD86" s="16"/>
      <c r="AHE86" s="16"/>
      <c r="AHF86" s="16"/>
      <c r="AHG86" s="16"/>
      <c r="AHH86" s="16"/>
      <c r="AHI86" s="16"/>
      <c r="AHJ86" s="16"/>
      <c r="AHK86" s="16"/>
      <c r="AHL86" s="16"/>
      <c r="AHM86" s="16"/>
      <c r="AHN86" s="16"/>
      <c r="AHO86" s="16"/>
      <c r="AHP86" s="16"/>
      <c r="AHQ86" s="16"/>
      <c r="AHR86" s="16"/>
      <c r="AHS86" s="16"/>
      <c r="AHT86" s="16"/>
      <c r="AHU86" s="16"/>
      <c r="AHV86" s="16"/>
      <c r="AHW86" s="16"/>
      <c r="AHX86" s="16"/>
      <c r="AHY86" s="16"/>
      <c r="AHZ86" s="16"/>
      <c r="AIA86" s="16"/>
      <c r="AIB86" s="16"/>
      <c r="AIC86" s="16"/>
      <c r="AID86" s="16"/>
      <c r="AIE86" s="16"/>
      <c r="AIF86" s="16"/>
      <c r="AIG86" s="16"/>
      <c r="AIH86" s="16"/>
      <c r="AII86" s="16"/>
      <c r="AIJ86" s="16"/>
      <c r="AIK86" s="16"/>
      <c r="AIL86" s="16"/>
      <c r="AIM86" s="16"/>
      <c r="AIN86" s="16"/>
      <c r="AIO86" s="16"/>
      <c r="AIP86" s="16"/>
      <c r="AIQ86" s="16"/>
      <c r="AIR86" s="16"/>
      <c r="AIS86" s="16"/>
      <c r="AIT86" s="16"/>
      <c r="AIU86" s="16"/>
      <c r="AIV86" s="16"/>
      <c r="AIW86" s="16"/>
      <c r="AIX86" s="16"/>
      <c r="AIY86" s="16"/>
      <c r="AIZ86" s="16"/>
      <c r="AJA86" s="16"/>
      <c r="AJB86" s="16"/>
      <c r="AJC86" s="16"/>
      <c r="AJD86" s="16"/>
      <c r="AJE86" s="16"/>
      <c r="AJF86" s="16"/>
      <c r="AJG86" s="16"/>
      <c r="AJH86" s="16"/>
      <c r="AJI86" s="16"/>
      <c r="AJJ86" s="16"/>
      <c r="AJK86" s="16"/>
      <c r="AJL86" s="16"/>
      <c r="AJM86" s="16"/>
      <c r="AJN86" s="16"/>
      <c r="AJO86" s="16"/>
      <c r="AJP86" s="16"/>
      <c r="AJQ86" s="16"/>
      <c r="AJR86" s="16"/>
      <c r="AJS86" s="16"/>
      <c r="AJT86" s="16"/>
      <c r="AJU86" s="16"/>
      <c r="AJV86" s="16"/>
      <c r="AJW86" s="16"/>
      <c r="AJX86" s="16"/>
      <c r="AJY86" s="16"/>
      <c r="AJZ86" s="16"/>
      <c r="AKA86" s="16"/>
      <c r="AKB86" s="16"/>
      <c r="AKC86" s="16"/>
      <c r="AKD86" s="16"/>
      <c r="AKE86" s="16"/>
      <c r="AKF86" s="16"/>
      <c r="AKG86" s="16"/>
      <c r="AKH86" s="16"/>
      <c r="AKI86" s="16"/>
      <c r="AKJ86" s="16"/>
      <c r="AKK86" s="16"/>
      <c r="AKL86" s="16"/>
      <c r="AKM86" s="16"/>
      <c r="AKN86" s="16"/>
      <c r="AKO86" s="16"/>
      <c r="AKP86" s="16"/>
      <c r="AKQ86" s="16"/>
      <c r="AKR86" s="16"/>
      <c r="AKS86" s="16"/>
      <c r="AKT86" s="16"/>
      <c r="AKU86" s="16"/>
      <c r="AKV86" s="16"/>
      <c r="AKW86" s="16"/>
      <c r="AKX86" s="16"/>
      <c r="AKY86" s="16"/>
      <c r="AKZ86" s="16"/>
      <c r="ALA86" s="16"/>
      <c r="ALB86" s="16"/>
      <c r="ALC86" s="16"/>
      <c r="ALD86" s="16"/>
      <c r="ALE86" s="16"/>
      <c r="ALF86" s="16"/>
      <c r="ALG86" s="16"/>
      <c r="ALH86" s="16"/>
      <c r="ALI86" s="16"/>
      <c r="ALJ86" s="16"/>
      <c r="ALK86" s="16"/>
      <c r="ALL86" s="16"/>
      <c r="ALM86" s="16"/>
      <c r="ALN86" s="16"/>
      <c r="ALO86" s="16"/>
      <c r="ALP86" s="16"/>
      <c r="ALQ86" s="16"/>
      <c r="ALR86" s="16"/>
      <c r="ALS86" s="16"/>
      <c r="ALT86" s="16"/>
      <c r="ALU86" s="16"/>
      <c r="ALV86" s="16"/>
      <c r="ALW86" s="16"/>
      <c r="ALX86" s="16"/>
      <c r="ALY86" s="16"/>
      <c r="ALZ86" s="16"/>
      <c r="AMA86" s="16"/>
      <c r="AMB86" s="16"/>
      <c r="AMC86" s="16"/>
      <c r="AMD86" s="16"/>
      <c r="AME86" s="16"/>
      <c r="AMF86" s="16"/>
      <c r="AMG86" s="16"/>
      <c r="AMH86" s="16"/>
      <c r="AMI86" s="16"/>
      <c r="AMJ86" s="16"/>
      <c r="AMK86" s="16"/>
      <c r="AML86" s="16"/>
      <c r="AMM86" s="16"/>
      <c r="AMN86" s="16"/>
      <c r="AMO86" s="16"/>
      <c r="AMP86" s="16"/>
      <c r="AMQ86" s="16"/>
      <c r="AMR86" s="16"/>
      <c r="AMS86" s="16"/>
      <c r="AMT86" s="16"/>
      <c r="AMU86" s="16"/>
      <c r="AMV86" s="16"/>
      <c r="AMW86" s="16"/>
      <c r="AMX86" s="16"/>
      <c r="AMY86" s="16"/>
      <c r="AMZ86" s="16"/>
      <c r="ANA86" s="16"/>
      <c r="ANB86" s="16"/>
      <c r="ANC86" s="16"/>
      <c r="AND86" s="16"/>
      <c r="ANE86" s="16"/>
      <c r="ANF86" s="16"/>
      <c r="ANG86" s="16"/>
      <c r="ANH86" s="16"/>
      <c r="ANI86" s="16"/>
      <c r="ANJ86" s="16"/>
      <c r="ANK86" s="16"/>
      <c r="ANL86" s="16"/>
      <c r="ANM86" s="16"/>
      <c r="ANN86" s="16"/>
      <c r="ANO86" s="16"/>
      <c r="ANP86" s="16"/>
      <c r="ANQ86" s="16"/>
      <c r="ANR86" s="16"/>
      <c r="ANS86" s="16"/>
      <c r="ANT86" s="16"/>
      <c r="ANU86" s="16"/>
      <c r="ANV86" s="16"/>
      <c r="ANW86" s="16"/>
      <c r="ANX86" s="16"/>
      <c r="ANY86" s="16"/>
      <c r="ANZ86" s="16"/>
      <c r="AOA86" s="16"/>
      <c r="AOB86" s="16"/>
      <c r="AOC86" s="16"/>
      <c r="AOD86" s="16"/>
      <c r="AOE86" s="16"/>
      <c r="AOF86" s="16"/>
      <c r="AOG86" s="16"/>
      <c r="AOH86" s="16"/>
      <c r="AOI86" s="16"/>
      <c r="AOJ86" s="16"/>
      <c r="AOK86" s="16"/>
      <c r="AOL86" s="16"/>
      <c r="AOM86" s="16"/>
      <c r="AON86" s="16"/>
      <c r="AOO86" s="16"/>
      <c r="AOP86" s="16"/>
      <c r="AOQ86" s="16"/>
      <c r="AOR86" s="16"/>
      <c r="AOS86" s="16"/>
      <c r="AOT86" s="16"/>
      <c r="AOU86" s="16"/>
      <c r="AOV86" s="16"/>
      <c r="AOW86" s="16"/>
      <c r="AOX86" s="16"/>
      <c r="AOY86" s="16"/>
      <c r="AOZ86" s="16"/>
      <c r="APA86" s="16"/>
      <c r="APB86" s="16"/>
      <c r="APC86" s="16"/>
      <c r="APD86" s="16"/>
      <c r="APE86" s="16"/>
      <c r="APF86" s="16"/>
      <c r="APG86" s="16"/>
      <c r="APH86" s="16"/>
      <c r="API86" s="16"/>
      <c r="APJ86" s="16"/>
      <c r="APK86" s="16"/>
      <c r="APL86" s="16"/>
      <c r="APM86" s="16"/>
      <c r="APN86" s="16"/>
      <c r="APO86" s="16"/>
      <c r="APP86" s="16"/>
      <c r="APQ86" s="16"/>
      <c r="APR86" s="16"/>
      <c r="APS86" s="16"/>
      <c r="APT86" s="16"/>
      <c r="APU86" s="16"/>
      <c r="APV86" s="16"/>
      <c r="APW86" s="16"/>
      <c r="APX86" s="16"/>
      <c r="APY86" s="16"/>
      <c r="APZ86" s="16"/>
      <c r="AQA86" s="16"/>
      <c r="AQB86" s="16"/>
      <c r="AQC86" s="16"/>
      <c r="AQD86" s="16"/>
      <c r="AQE86" s="16"/>
      <c r="AQF86" s="16"/>
      <c r="AQG86" s="16"/>
      <c r="AQH86" s="16"/>
      <c r="AQI86" s="16"/>
      <c r="AQJ86" s="16"/>
      <c r="AQK86" s="16"/>
      <c r="AQL86" s="16"/>
      <c r="AQM86" s="16"/>
      <c r="AQN86" s="16"/>
      <c r="AQO86" s="16"/>
      <c r="AQP86" s="16"/>
      <c r="AQQ86" s="16"/>
      <c r="AQR86" s="16"/>
      <c r="AQS86" s="16"/>
      <c r="AQT86" s="16"/>
      <c r="AQU86" s="16"/>
      <c r="AQV86" s="16"/>
      <c r="AQW86" s="16"/>
      <c r="AQX86" s="16"/>
      <c r="AQY86" s="16"/>
      <c r="AQZ86" s="16"/>
      <c r="ARA86" s="16"/>
      <c r="ARB86" s="16"/>
      <c r="ARC86" s="16"/>
      <c r="ARD86" s="16"/>
      <c r="ARE86" s="16"/>
      <c r="ARF86" s="16"/>
      <c r="ARG86" s="16"/>
      <c r="ARH86" s="16"/>
      <c r="ARI86" s="16"/>
      <c r="ARJ86" s="16"/>
      <c r="ARK86" s="16"/>
      <c r="ARL86" s="16"/>
      <c r="ARM86" s="16"/>
      <c r="ARN86" s="16"/>
      <c r="ARO86" s="16"/>
      <c r="ARP86" s="16"/>
      <c r="ARQ86" s="16"/>
      <c r="ARR86" s="16"/>
      <c r="ARS86" s="16"/>
      <c r="ART86" s="16"/>
      <c r="ARU86" s="16"/>
      <c r="ARV86" s="16"/>
      <c r="ARW86" s="16"/>
      <c r="ARX86" s="16"/>
      <c r="ARY86" s="16"/>
      <c r="ARZ86" s="16"/>
      <c r="ASA86" s="16"/>
      <c r="ASB86" s="16"/>
      <c r="ASC86" s="16"/>
      <c r="ASD86" s="16"/>
      <c r="ASE86" s="16"/>
      <c r="ASF86" s="16"/>
      <c r="ASG86" s="16"/>
      <c r="ASH86" s="16"/>
      <c r="ASI86" s="16"/>
      <c r="ASJ86" s="16"/>
      <c r="ASK86" s="16"/>
      <c r="ASL86" s="16"/>
      <c r="ASM86" s="16"/>
      <c r="ASN86" s="16"/>
      <c r="ASO86" s="16"/>
      <c r="ASP86" s="16"/>
      <c r="ASQ86" s="16"/>
      <c r="ASR86" s="16"/>
      <c r="ASS86" s="16"/>
      <c r="AST86" s="16"/>
      <c r="ASU86" s="16"/>
      <c r="ASV86" s="16"/>
      <c r="ASW86" s="16"/>
      <c r="ASX86" s="16"/>
      <c r="ASY86" s="16"/>
      <c r="ASZ86" s="16"/>
      <c r="ATA86" s="16"/>
      <c r="ATB86" s="16"/>
      <c r="ATC86" s="16"/>
      <c r="ATD86" s="16"/>
      <c r="ATE86" s="16"/>
      <c r="ATF86" s="16"/>
      <c r="ATG86" s="16"/>
      <c r="ATH86" s="16"/>
      <c r="ATI86" s="16"/>
      <c r="ATJ86" s="16"/>
      <c r="ATK86" s="16"/>
      <c r="ATL86" s="16"/>
      <c r="ATM86" s="16"/>
      <c r="ATN86" s="16"/>
      <c r="ATO86" s="16"/>
      <c r="ATP86" s="16"/>
      <c r="ATQ86" s="16"/>
      <c r="ATR86" s="16"/>
      <c r="ATS86" s="16"/>
      <c r="ATT86" s="16"/>
      <c r="ATU86" s="16"/>
      <c r="ATV86" s="16"/>
      <c r="ATW86" s="16"/>
      <c r="ATX86" s="16"/>
      <c r="ATY86" s="16"/>
      <c r="ATZ86" s="16"/>
      <c r="AUA86" s="16"/>
      <c r="AUB86" s="16"/>
      <c r="AUC86" s="16"/>
      <c r="AUD86" s="16"/>
      <c r="AUE86" s="16"/>
      <c r="AUF86" s="16"/>
      <c r="AUG86" s="16"/>
      <c r="AUH86" s="16"/>
      <c r="AUI86" s="16"/>
      <c r="AUJ86" s="16"/>
      <c r="AUK86" s="16"/>
      <c r="AUL86" s="16"/>
      <c r="AUM86" s="16"/>
      <c r="AUN86" s="16"/>
      <c r="AUO86" s="16"/>
      <c r="AUP86" s="16"/>
      <c r="AUQ86" s="16"/>
      <c r="AUR86" s="16"/>
      <c r="AUS86" s="16"/>
      <c r="AUT86" s="16"/>
      <c r="AUU86" s="16"/>
      <c r="AUV86" s="16"/>
      <c r="AUW86" s="16"/>
      <c r="AUX86" s="16"/>
      <c r="AUY86" s="16"/>
      <c r="AUZ86" s="16"/>
      <c r="AVA86" s="16"/>
      <c r="AVB86" s="16"/>
      <c r="AVC86" s="16"/>
      <c r="AVD86" s="16"/>
      <c r="AVE86" s="16"/>
      <c r="AVF86" s="16"/>
      <c r="AVG86" s="16"/>
      <c r="AVH86" s="16"/>
      <c r="AVI86" s="16"/>
      <c r="AVJ86" s="16"/>
      <c r="AVK86" s="16"/>
      <c r="AVL86" s="16"/>
      <c r="AVM86" s="16"/>
      <c r="AVN86" s="16"/>
      <c r="AVO86" s="16"/>
      <c r="AVP86" s="16"/>
      <c r="AVQ86" s="16"/>
      <c r="AVR86" s="16"/>
      <c r="AVS86" s="16"/>
      <c r="AVT86" s="16"/>
      <c r="AVU86" s="16"/>
      <c r="AVV86" s="16"/>
      <c r="AVW86" s="16"/>
      <c r="AVX86" s="16"/>
      <c r="AVY86" s="16"/>
      <c r="AVZ86" s="16"/>
      <c r="AWA86" s="16"/>
      <c r="AWB86" s="16"/>
      <c r="AWC86" s="16"/>
      <c r="AWD86" s="16"/>
      <c r="AWE86" s="16"/>
      <c r="AWF86" s="16"/>
      <c r="AWG86" s="16"/>
      <c r="AWH86" s="16"/>
      <c r="AWI86" s="16"/>
      <c r="AWJ86" s="16"/>
      <c r="AWK86" s="16"/>
      <c r="AWL86" s="16"/>
      <c r="AWM86" s="16"/>
      <c r="AWN86" s="16"/>
      <c r="AWO86" s="16"/>
      <c r="AWP86" s="16"/>
      <c r="AWQ86" s="16"/>
      <c r="AWR86" s="16"/>
      <c r="AWS86" s="16"/>
      <c r="AWT86" s="16"/>
      <c r="AWU86" s="16"/>
      <c r="AWV86" s="16"/>
      <c r="AWW86" s="16"/>
      <c r="AWX86" s="16"/>
      <c r="AWY86" s="16"/>
      <c r="AWZ86" s="16"/>
      <c r="AXA86" s="16"/>
      <c r="AXB86" s="16"/>
      <c r="AXC86" s="16"/>
      <c r="AXD86" s="16"/>
      <c r="AXE86" s="16"/>
      <c r="AXF86" s="16"/>
      <c r="AXG86" s="16"/>
      <c r="AXH86" s="16"/>
      <c r="AXI86" s="16"/>
      <c r="AXJ86" s="16"/>
      <c r="AXK86" s="16"/>
      <c r="AXL86" s="16"/>
      <c r="AXM86" s="16"/>
      <c r="AXN86" s="16"/>
      <c r="AXO86" s="16"/>
      <c r="AXP86" s="16"/>
      <c r="AXQ86" s="16"/>
      <c r="AXR86" s="16"/>
      <c r="AXS86" s="16"/>
      <c r="AXT86" s="16"/>
      <c r="AXU86" s="16"/>
      <c r="AXV86" s="16"/>
      <c r="AXW86" s="16"/>
      <c r="AXX86" s="16"/>
      <c r="AXY86" s="16"/>
      <c r="AXZ86" s="16"/>
      <c r="AYA86" s="16"/>
      <c r="AYB86" s="16"/>
      <c r="AYC86" s="16"/>
      <c r="AYD86" s="16"/>
      <c r="AYE86" s="16"/>
      <c r="AYF86" s="16"/>
      <c r="AYG86" s="16"/>
      <c r="AYH86" s="16"/>
      <c r="AYI86" s="16"/>
      <c r="AYJ86" s="16"/>
      <c r="AYK86" s="16"/>
      <c r="AYL86" s="16"/>
      <c r="AYM86" s="16"/>
      <c r="AYN86" s="16"/>
      <c r="AYO86" s="16"/>
      <c r="AYP86" s="16"/>
      <c r="AYQ86" s="16"/>
      <c r="AYR86" s="16"/>
      <c r="AYS86" s="16"/>
      <c r="AYT86" s="16"/>
      <c r="AYU86" s="16"/>
      <c r="AYV86" s="16"/>
      <c r="AYW86" s="16"/>
      <c r="AYX86" s="16"/>
      <c r="AYY86" s="16"/>
      <c r="AYZ86" s="16"/>
      <c r="AZA86" s="16"/>
      <c r="AZB86" s="16"/>
      <c r="AZC86" s="16"/>
      <c r="AZD86" s="16"/>
      <c r="AZE86" s="16"/>
      <c r="AZF86" s="16"/>
      <c r="AZG86" s="16"/>
      <c r="AZH86" s="16"/>
      <c r="AZI86" s="16"/>
      <c r="AZJ86" s="16"/>
      <c r="AZK86" s="16"/>
      <c r="AZL86" s="16"/>
      <c r="AZM86" s="16"/>
      <c r="AZN86" s="16"/>
      <c r="AZO86" s="16"/>
      <c r="AZP86" s="16"/>
      <c r="AZQ86" s="16"/>
      <c r="AZR86" s="16"/>
      <c r="AZS86" s="16"/>
      <c r="AZT86" s="16"/>
      <c r="AZU86" s="16"/>
      <c r="AZV86" s="16"/>
      <c r="AZW86" s="16"/>
      <c r="AZX86" s="16"/>
      <c r="AZY86" s="16"/>
      <c r="AZZ86" s="16"/>
      <c r="BAA86" s="16"/>
      <c r="BAB86" s="16"/>
      <c r="BAC86" s="16"/>
      <c r="BAD86" s="16"/>
      <c r="BAE86" s="16"/>
      <c r="BAF86" s="16"/>
      <c r="BAG86" s="16"/>
      <c r="BAH86" s="16"/>
      <c r="BAI86" s="16"/>
      <c r="BAJ86" s="16"/>
      <c r="BAK86" s="16"/>
      <c r="BAL86" s="16"/>
      <c r="BAM86" s="16"/>
      <c r="BAN86" s="16"/>
      <c r="BAO86" s="16"/>
      <c r="BAP86" s="16"/>
      <c r="BAQ86" s="16"/>
      <c r="BAR86" s="16"/>
      <c r="BAS86" s="16"/>
      <c r="BAT86" s="16"/>
      <c r="BAU86" s="16"/>
      <c r="BAV86" s="16"/>
      <c r="BAW86" s="16"/>
      <c r="BAX86" s="16"/>
      <c r="BAY86" s="16"/>
      <c r="BAZ86" s="16"/>
      <c r="BBA86" s="16"/>
      <c r="BBB86" s="16"/>
      <c r="BBC86" s="16"/>
      <c r="BBD86" s="16"/>
      <c r="BBE86" s="16"/>
      <c r="BBF86" s="16"/>
      <c r="BBG86" s="16"/>
      <c r="BBH86" s="16"/>
      <c r="BBI86" s="16"/>
      <c r="BBJ86" s="16"/>
      <c r="BBK86" s="16"/>
      <c r="BBL86" s="16"/>
      <c r="BBM86" s="16"/>
      <c r="BBN86" s="16"/>
      <c r="BBO86" s="16"/>
      <c r="BBP86" s="16"/>
      <c r="BBQ86" s="16"/>
      <c r="BBR86" s="16"/>
      <c r="BBS86" s="16"/>
      <c r="BBT86" s="16"/>
      <c r="BBU86" s="16"/>
      <c r="BBV86" s="16"/>
      <c r="BBW86" s="16"/>
      <c r="BBX86" s="16"/>
      <c r="BBY86" s="16"/>
      <c r="BBZ86" s="16"/>
      <c r="BCA86" s="16"/>
      <c r="BCB86" s="16"/>
      <c r="BCC86" s="16"/>
      <c r="BCD86" s="16"/>
      <c r="BCE86" s="16"/>
      <c r="BCF86" s="16"/>
      <c r="BCG86" s="16"/>
      <c r="BCH86" s="16"/>
      <c r="BCI86" s="16"/>
      <c r="BCJ86" s="16"/>
      <c r="BCK86" s="16"/>
      <c r="BCL86" s="16"/>
      <c r="BCM86" s="16"/>
      <c r="BCN86" s="16"/>
      <c r="BCO86" s="16"/>
      <c r="BCP86" s="16"/>
      <c r="BCQ86" s="16"/>
      <c r="BCR86" s="16"/>
      <c r="BCS86" s="16"/>
      <c r="BCT86" s="16"/>
      <c r="BCU86" s="16"/>
      <c r="BCV86" s="16"/>
      <c r="BCW86" s="16"/>
      <c r="BCX86" s="16"/>
      <c r="BCY86" s="16"/>
      <c r="BCZ86" s="16"/>
      <c r="BDA86" s="16"/>
      <c r="BDB86" s="16"/>
      <c r="BDC86" s="16"/>
      <c r="BDD86" s="16"/>
      <c r="BDE86" s="16"/>
      <c r="BDF86" s="16"/>
      <c r="BDG86" s="16"/>
      <c r="BDH86" s="16"/>
      <c r="BDI86" s="16"/>
      <c r="BDJ86" s="16"/>
      <c r="BDK86" s="16"/>
      <c r="BDL86" s="16"/>
      <c r="BDM86" s="16"/>
      <c r="BDN86" s="16"/>
      <c r="BDO86" s="16"/>
      <c r="BDP86" s="16"/>
      <c r="BDQ86" s="16"/>
      <c r="BDR86" s="16"/>
      <c r="BDS86" s="16"/>
      <c r="BDT86" s="16"/>
      <c r="BDU86" s="16"/>
      <c r="BDV86" s="16"/>
      <c r="BDW86" s="16"/>
      <c r="BDX86" s="16"/>
      <c r="BDY86" s="16"/>
      <c r="BDZ86" s="16"/>
      <c r="BEA86" s="16"/>
      <c r="BEB86" s="16"/>
      <c r="BEC86" s="16"/>
      <c r="BED86" s="16"/>
      <c r="BEE86" s="16"/>
      <c r="BEF86" s="16"/>
      <c r="BEG86" s="16"/>
      <c r="BEH86" s="16"/>
      <c r="BEI86" s="16"/>
      <c r="BEJ86" s="16"/>
      <c r="BEK86" s="16"/>
      <c r="BEL86" s="16"/>
      <c r="BEM86" s="16"/>
      <c r="BEN86" s="16"/>
      <c r="BEO86" s="16"/>
      <c r="BEP86" s="16"/>
      <c r="BEQ86" s="16"/>
      <c r="BER86" s="16"/>
      <c r="BES86" s="16"/>
      <c r="BET86" s="16"/>
      <c r="BEU86" s="16"/>
      <c r="BEV86" s="16"/>
      <c r="BEW86" s="16"/>
      <c r="BEX86" s="16"/>
      <c r="BEY86" s="16"/>
      <c r="BEZ86" s="16"/>
      <c r="BFA86" s="16"/>
      <c r="BFB86" s="16"/>
      <c r="BFC86" s="16"/>
      <c r="BFD86" s="16"/>
      <c r="BFE86" s="16"/>
      <c r="BFF86" s="16"/>
      <c r="BFG86" s="16"/>
      <c r="BFH86" s="16"/>
      <c r="BFI86" s="16"/>
      <c r="BFJ86" s="16"/>
      <c r="BFK86" s="16"/>
      <c r="BFL86" s="16"/>
      <c r="BFM86" s="16"/>
      <c r="BFN86" s="16"/>
      <c r="BFO86" s="16"/>
      <c r="BFP86" s="16"/>
      <c r="BFQ86" s="16"/>
      <c r="BFR86" s="16"/>
      <c r="BFS86" s="16"/>
      <c r="BFT86" s="16"/>
      <c r="BFU86" s="16"/>
      <c r="BFV86" s="16"/>
      <c r="BFW86" s="16"/>
      <c r="BFX86" s="16"/>
      <c r="BFY86" s="16"/>
      <c r="BFZ86" s="16"/>
      <c r="BGA86" s="16"/>
      <c r="BGB86" s="16"/>
      <c r="BGC86" s="16"/>
      <c r="BGD86" s="16"/>
      <c r="BGE86" s="16"/>
      <c r="BGF86" s="16"/>
      <c r="BGG86" s="16"/>
      <c r="BGH86" s="16"/>
      <c r="BGI86" s="16"/>
      <c r="BGJ86" s="16"/>
      <c r="BGK86" s="16"/>
      <c r="BGL86" s="16"/>
      <c r="BGM86" s="16"/>
      <c r="BGN86" s="16"/>
      <c r="BGO86" s="16"/>
      <c r="BGP86" s="16"/>
      <c r="BGQ86" s="16"/>
      <c r="BGR86" s="16"/>
      <c r="BGS86" s="16"/>
      <c r="BGT86" s="16"/>
      <c r="BGU86" s="16"/>
      <c r="BGV86" s="16"/>
      <c r="BGW86" s="16"/>
      <c r="BGX86" s="16"/>
      <c r="BGY86" s="16"/>
      <c r="BGZ86" s="16"/>
      <c r="BHA86" s="16"/>
      <c r="BHB86" s="16"/>
      <c r="BHC86" s="16"/>
      <c r="BHD86" s="16"/>
      <c r="BHE86" s="16"/>
      <c r="BHF86" s="16"/>
      <c r="BHG86" s="16"/>
      <c r="BHH86" s="16"/>
      <c r="BHI86" s="16"/>
      <c r="BHJ86" s="16"/>
      <c r="BHK86" s="16"/>
      <c r="BHL86" s="16"/>
      <c r="BHM86" s="16"/>
      <c r="BHN86" s="16"/>
      <c r="BHO86" s="16"/>
      <c r="BHP86" s="16"/>
      <c r="BHQ86" s="16"/>
      <c r="BHR86" s="16"/>
      <c r="BHS86" s="16"/>
      <c r="BHT86" s="16"/>
      <c r="BHU86" s="16"/>
      <c r="BHV86" s="16"/>
      <c r="BHW86" s="16"/>
      <c r="BHX86" s="16"/>
      <c r="BHY86" s="16"/>
      <c r="BHZ86" s="16"/>
      <c r="BIA86" s="16"/>
      <c r="BIB86" s="16"/>
      <c r="BIC86" s="16"/>
      <c r="BID86" s="16"/>
      <c r="BIE86" s="16"/>
      <c r="BIF86" s="16"/>
      <c r="BIG86" s="16"/>
      <c r="BIH86" s="16"/>
      <c r="BII86" s="16"/>
      <c r="BIJ86" s="16"/>
      <c r="BIK86" s="16"/>
      <c r="BIL86" s="16"/>
      <c r="BIM86" s="16"/>
      <c r="BIN86" s="16"/>
      <c r="BIO86" s="16"/>
      <c r="BIP86" s="16"/>
      <c r="BIQ86" s="16"/>
      <c r="BIR86" s="16"/>
      <c r="BIS86" s="16"/>
      <c r="BIT86" s="16"/>
      <c r="BIU86" s="16"/>
      <c r="BIV86" s="16"/>
      <c r="BIW86" s="16"/>
      <c r="BIX86" s="16"/>
      <c r="BIY86" s="16"/>
      <c r="BIZ86" s="16"/>
      <c r="BJA86" s="16"/>
      <c r="BJB86" s="16"/>
      <c r="BJC86" s="16"/>
      <c r="BJD86" s="16"/>
      <c r="BJE86" s="16"/>
      <c r="BJF86" s="16"/>
      <c r="BJG86" s="16"/>
      <c r="BJH86" s="16"/>
      <c r="BJI86" s="16"/>
      <c r="BJJ86" s="16"/>
      <c r="BJK86" s="16"/>
      <c r="BJL86" s="16"/>
      <c r="BJM86" s="16"/>
      <c r="BJN86" s="16"/>
      <c r="BJO86" s="16"/>
      <c r="BJP86" s="16"/>
      <c r="BJQ86" s="16"/>
      <c r="BJR86" s="16"/>
      <c r="BJS86" s="16"/>
      <c r="BJT86" s="16"/>
      <c r="BJU86" s="16"/>
      <c r="BJV86" s="16"/>
      <c r="BJW86" s="16"/>
      <c r="BJX86" s="16"/>
      <c r="BJY86" s="16"/>
      <c r="BJZ86" s="16"/>
      <c r="BKA86" s="16"/>
      <c r="BKB86" s="16"/>
      <c r="BKC86" s="16"/>
      <c r="BKD86" s="16"/>
      <c r="BKE86" s="16"/>
      <c r="BKF86" s="16"/>
      <c r="BKG86" s="16"/>
      <c r="BKH86" s="16"/>
      <c r="BKI86" s="16"/>
      <c r="BKJ86" s="16"/>
      <c r="BKK86" s="16"/>
      <c r="BKL86" s="16"/>
      <c r="BKM86" s="16"/>
      <c r="BKN86" s="16"/>
      <c r="BKO86" s="16"/>
      <c r="BKP86" s="16"/>
      <c r="BKQ86" s="16"/>
      <c r="BKR86" s="16"/>
      <c r="BKS86" s="16"/>
      <c r="BKT86" s="16"/>
      <c r="BKU86" s="16"/>
      <c r="BKV86" s="16"/>
      <c r="BKW86" s="16"/>
      <c r="BKX86" s="16"/>
      <c r="BKY86" s="16"/>
      <c r="BKZ86" s="16"/>
      <c r="BLA86" s="16"/>
      <c r="BLB86" s="16"/>
      <c r="BLC86" s="16"/>
      <c r="BLD86" s="16"/>
      <c r="BLE86" s="16"/>
      <c r="BLF86" s="16"/>
      <c r="BLG86" s="16"/>
      <c r="BLH86" s="16"/>
      <c r="BLI86" s="16"/>
      <c r="BLJ86" s="16"/>
      <c r="BLK86" s="16"/>
      <c r="BLL86" s="16"/>
      <c r="BLM86" s="16"/>
      <c r="BLN86" s="16"/>
      <c r="BLO86" s="16"/>
      <c r="BLP86" s="16"/>
      <c r="BLQ86" s="16"/>
      <c r="BLR86" s="16"/>
      <c r="BLS86" s="16"/>
      <c r="BLT86" s="16"/>
      <c r="BLU86" s="16"/>
      <c r="BLV86" s="16"/>
      <c r="BLW86" s="16"/>
      <c r="BLX86" s="16"/>
      <c r="BLY86" s="16"/>
      <c r="BLZ86" s="16"/>
      <c r="BMA86" s="16"/>
      <c r="BMB86" s="16"/>
      <c r="BMC86" s="16"/>
      <c r="BMD86" s="16"/>
      <c r="BME86" s="16"/>
      <c r="BMF86" s="16"/>
      <c r="BMG86" s="16"/>
      <c r="BMH86" s="16"/>
      <c r="BMI86" s="16"/>
      <c r="BMJ86" s="16"/>
      <c r="BMK86" s="16"/>
      <c r="BML86" s="16"/>
      <c r="BMM86" s="16"/>
      <c r="BMN86" s="16"/>
      <c r="BMO86" s="16"/>
      <c r="BMP86" s="16"/>
      <c r="BMQ86" s="16"/>
      <c r="BMR86" s="16"/>
      <c r="BMS86" s="16"/>
      <c r="BMT86" s="16"/>
      <c r="BMU86" s="16"/>
      <c r="BMV86" s="16"/>
      <c r="BMW86" s="16"/>
      <c r="BMX86" s="16"/>
      <c r="BMY86" s="16"/>
      <c r="BMZ86" s="16"/>
      <c r="BNA86" s="16"/>
      <c r="BNB86" s="16"/>
      <c r="BNC86" s="16"/>
      <c r="BND86" s="16"/>
      <c r="BNE86" s="16"/>
      <c r="BNF86" s="16"/>
      <c r="BNG86" s="16"/>
      <c r="BNH86" s="16"/>
      <c r="BNI86" s="16"/>
      <c r="BNJ86" s="16"/>
      <c r="BNK86" s="16"/>
      <c r="BNL86" s="16"/>
      <c r="BNM86" s="16"/>
      <c r="BNN86" s="16"/>
      <c r="BNO86" s="16"/>
      <c r="BNP86" s="16"/>
      <c r="BNQ86" s="16"/>
      <c r="BNR86" s="16"/>
      <c r="BNS86" s="16"/>
      <c r="BNT86" s="16"/>
      <c r="BNU86" s="16"/>
      <c r="BNV86" s="16"/>
      <c r="BNW86" s="16"/>
      <c r="BNX86" s="16"/>
      <c r="BNY86" s="16"/>
      <c r="BNZ86" s="16"/>
      <c r="BOA86" s="16"/>
      <c r="BOB86" s="16"/>
      <c r="BOC86" s="16"/>
      <c r="BOD86" s="16"/>
      <c r="BOE86" s="16"/>
      <c r="BOF86" s="16"/>
      <c r="BOG86" s="16"/>
      <c r="BOH86" s="16"/>
      <c r="BOI86" s="16"/>
      <c r="BOJ86" s="16"/>
      <c r="BOK86" s="16"/>
      <c r="BOL86" s="16"/>
      <c r="BOM86" s="16"/>
      <c r="BON86" s="16"/>
      <c r="BOO86" s="16"/>
      <c r="BOP86" s="16"/>
      <c r="BOQ86" s="16"/>
      <c r="BOR86" s="16"/>
      <c r="BOS86" s="16"/>
      <c r="BOT86" s="16"/>
      <c r="BOU86" s="16"/>
      <c r="BOV86" s="16"/>
      <c r="BOW86" s="16"/>
      <c r="BOX86" s="16"/>
      <c r="BOY86" s="16"/>
      <c r="BOZ86" s="16"/>
      <c r="BPA86" s="16"/>
      <c r="BPB86" s="16"/>
      <c r="BPC86" s="16"/>
      <c r="BPD86" s="16"/>
      <c r="BPE86" s="16"/>
      <c r="BPF86" s="16"/>
      <c r="BPG86" s="16"/>
      <c r="BPH86" s="16"/>
      <c r="BPI86" s="16"/>
      <c r="BPJ86" s="16"/>
      <c r="BPK86" s="16"/>
      <c r="BPL86" s="16"/>
      <c r="BPM86" s="16"/>
      <c r="BPN86" s="16"/>
      <c r="BPO86" s="16"/>
      <c r="BPP86" s="16"/>
      <c r="BPQ86" s="16"/>
      <c r="BPR86" s="16"/>
      <c r="BPS86" s="16"/>
      <c r="BPT86" s="16"/>
      <c r="BPU86" s="16"/>
      <c r="BPV86" s="16"/>
      <c r="BPW86" s="16"/>
      <c r="BPX86" s="16"/>
      <c r="BPY86" s="16"/>
      <c r="BPZ86" s="16"/>
      <c r="BQA86" s="16"/>
      <c r="BQB86" s="16"/>
      <c r="BQC86" s="16"/>
      <c r="BQD86" s="16"/>
      <c r="BQE86" s="16"/>
      <c r="BQF86" s="16"/>
      <c r="BQG86" s="16"/>
      <c r="BQH86" s="16"/>
      <c r="BQI86" s="16"/>
      <c r="BQJ86" s="16"/>
      <c r="BQK86" s="16"/>
      <c r="BQL86" s="16"/>
      <c r="BQM86" s="16"/>
      <c r="BQN86" s="16"/>
      <c r="BQO86" s="16"/>
      <c r="BQP86" s="16"/>
      <c r="BQQ86" s="16"/>
      <c r="BQR86" s="16"/>
      <c r="BQS86" s="16"/>
      <c r="BQT86" s="16"/>
      <c r="BQU86" s="16"/>
      <c r="BQV86" s="16"/>
      <c r="BQW86" s="16"/>
      <c r="BQX86" s="16"/>
      <c r="BQY86" s="16"/>
      <c r="BQZ86" s="16"/>
      <c r="BRA86" s="16"/>
      <c r="BRB86" s="16"/>
      <c r="BRC86" s="16"/>
      <c r="BRD86" s="16"/>
      <c r="BRE86" s="16"/>
      <c r="BRF86" s="16"/>
      <c r="BRG86" s="16"/>
      <c r="BRH86" s="16"/>
      <c r="BRI86" s="16"/>
      <c r="BRJ86" s="16"/>
      <c r="BRK86" s="16"/>
      <c r="BRL86" s="16"/>
      <c r="BRM86" s="16"/>
      <c r="BRN86" s="16"/>
      <c r="BRO86" s="16"/>
      <c r="BRP86" s="16"/>
      <c r="BRQ86" s="16"/>
      <c r="BRR86" s="16"/>
      <c r="BRS86" s="16"/>
      <c r="BRT86" s="16"/>
      <c r="BRU86" s="16"/>
      <c r="BRV86" s="16"/>
      <c r="BRW86" s="16"/>
      <c r="BRX86" s="16"/>
      <c r="BRY86" s="16"/>
      <c r="BRZ86" s="16"/>
      <c r="BSA86" s="16"/>
      <c r="BSB86" s="16"/>
      <c r="BSC86" s="16"/>
      <c r="BSD86" s="16"/>
      <c r="BSE86" s="16"/>
      <c r="BSF86" s="16"/>
      <c r="BSG86" s="16"/>
      <c r="BSH86" s="16"/>
      <c r="BSI86" s="16"/>
      <c r="BSJ86" s="16"/>
      <c r="BSK86" s="16"/>
      <c r="BSL86" s="16"/>
      <c r="BSM86" s="16"/>
      <c r="BSN86" s="16"/>
      <c r="BSO86" s="16"/>
      <c r="BSP86" s="16"/>
      <c r="BSQ86" s="16"/>
      <c r="BSR86" s="16"/>
      <c r="BSS86" s="16"/>
      <c r="BST86" s="16"/>
      <c r="BSU86" s="16"/>
      <c r="BSV86" s="16"/>
      <c r="BSW86" s="16"/>
      <c r="BSX86" s="16"/>
      <c r="BSY86" s="16"/>
      <c r="BSZ86" s="16"/>
      <c r="BTA86" s="16"/>
      <c r="BTB86" s="16"/>
      <c r="BTC86" s="16"/>
      <c r="BTD86" s="16"/>
      <c r="BTE86" s="16"/>
      <c r="BTF86" s="16"/>
      <c r="BTG86" s="16"/>
      <c r="BTH86" s="16"/>
      <c r="BTI86" s="16"/>
      <c r="BTJ86" s="16"/>
      <c r="BTK86" s="16"/>
      <c r="BTL86" s="16"/>
      <c r="BTM86" s="16"/>
      <c r="BTN86" s="16"/>
      <c r="BTO86" s="16"/>
      <c r="BTP86" s="16"/>
      <c r="BTQ86" s="16"/>
      <c r="BTR86" s="16"/>
      <c r="BTS86" s="16"/>
      <c r="BTT86" s="16"/>
      <c r="BTU86" s="16"/>
      <c r="BTV86" s="16"/>
      <c r="BTW86" s="16"/>
      <c r="BTX86" s="16"/>
      <c r="BTY86" s="16"/>
      <c r="BTZ86" s="16"/>
      <c r="BUA86" s="16"/>
      <c r="BUB86" s="16"/>
      <c r="BUC86" s="16"/>
      <c r="BUD86" s="16"/>
      <c r="BUE86" s="16"/>
      <c r="BUF86" s="16"/>
      <c r="BUG86" s="16"/>
      <c r="BUH86" s="16"/>
      <c r="BUI86" s="16"/>
      <c r="BUJ86" s="16"/>
      <c r="BUK86" s="16"/>
      <c r="BUL86" s="16"/>
      <c r="BUM86" s="16"/>
      <c r="BUN86" s="16"/>
      <c r="BUO86" s="16"/>
      <c r="BUP86" s="16"/>
      <c r="BUQ86" s="16"/>
      <c r="BUR86" s="16"/>
      <c r="BUS86" s="16"/>
      <c r="BUT86" s="16"/>
      <c r="BUU86" s="16"/>
      <c r="BUV86" s="16"/>
      <c r="BUW86" s="16"/>
      <c r="BUX86" s="16"/>
      <c r="BUY86" s="16"/>
      <c r="BUZ86" s="16"/>
      <c r="BVA86" s="16"/>
      <c r="BVB86" s="16"/>
      <c r="BVC86" s="16"/>
      <c r="BVD86" s="16"/>
      <c r="BVE86" s="16"/>
      <c r="BVF86" s="16"/>
      <c r="BVG86" s="16"/>
      <c r="BVH86" s="16"/>
      <c r="BVI86" s="16"/>
      <c r="BVJ86" s="16"/>
      <c r="BVK86" s="16"/>
      <c r="BVL86" s="16"/>
      <c r="BVM86" s="16"/>
      <c r="BVN86" s="16"/>
      <c r="BVO86" s="16"/>
      <c r="BVP86" s="16"/>
      <c r="BVQ86" s="16"/>
      <c r="BVR86" s="16"/>
      <c r="BVS86" s="16"/>
      <c r="BVT86" s="16"/>
      <c r="BVU86" s="16"/>
      <c r="BVV86" s="16"/>
      <c r="BVW86" s="16"/>
      <c r="BVX86" s="16"/>
      <c r="BVY86" s="16"/>
      <c r="BVZ86" s="16"/>
      <c r="BWA86" s="16"/>
      <c r="BWB86" s="16"/>
      <c r="BWC86" s="16"/>
      <c r="BWD86" s="16"/>
      <c r="BWE86" s="16"/>
      <c r="BWF86" s="16"/>
      <c r="BWG86" s="16"/>
      <c r="BWH86" s="16"/>
      <c r="BWI86" s="16"/>
      <c r="BWJ86" s="16"/>
      <c r="BWK86" s="16"/>
      <c r="BWL86" s="16"/>
      <c r="BWM86" s="16"/>
      <c r="BWN86" s="16"/>
      <c r="BWO86" s="16"/>
      <c r="BWP86" s="16"/>
      <c r="BWQ86" s="16"/>
      <c r="BWR86" s="16"/>
      <c r="BWS86" s="16"/>
      <c r="BWT86" s="16"/>
      <c r="BWU86" s="16"/>
      <c r="BWV86" s="16"/>
      <c r="BWW86" s="16"/>
      <c r="BWX86" s="16"/>
      <c r="BWY86" s="16"/>
      <c r="BWZ86" s="16"/>
      <c r="BXA86" s="16"/>
      <c r="BXB86" s="16"/>
      <c r="BXC86" s="16"/>
      <c r="BXD86" s="16"/>
      <c r="BXE86" s="16"/>
      <c r="BXF86" s="16"/>
      <c r="BXG86" s="16"/>
      <c r="BXH86" s="16"/>
      <c r="BXI86" s="16"/>
      <c r="BXJ86" s="16"/>
      <c r="BXK86" s="16"/>
      <c r="BXL86" s="16"/>
      <c r="BXM86" s="16"/>
      <c r="BXN86" s="16"/>
      <c r="BXO86" s="16"/>
      <c r="BXP86" s="16"/>
      <c r="BXQ86" s="16"/>
      <c r="BXR86" s="16"/>
      <c r="BXS86" s="16"/>
      <c r="BXT86" s="16"/>
      <c r="BXU86" s="16"/>
      <c r="BXV86" s="16"/>
      <c r="BXW86" s="16"/>
      <c r="BXX86" s="16"/>
      <c r="BXY86" s="16"/>
      <c r="BXZ86" s="16"/>
      <c r="BYA86" s="16"/>
      <c r="BYB86" s="16"/>
      <c r="BYC86" s="16"/>
      <c r="BYD86" s="16"/>
      <c r="BYE86" s="16"/>
      <c r="BYF86" s="16"/>
      <c r="BYG86" s="16"/>
      <c r="BYH86" s="16"/>
      <c r="BYI86" s="16"/>
      <c r="BYJ86" s="16"/>
      <c r="BYK86" s="16"/>
      <c r="BYL86" s="16"/>
      <c r="BYM86" s="16"/>
      <c r="BYN86" s="16"/>
      <c r="BYO86" s="16"/>
      <c r="BYP86" s="16"/>
      <c r="BYQ86" s="16"/>
      <c r="BYR86" s="16"/>
      <c r="BYS86" s="16"/>
      <c r="BYT86" s="16"/>
      <c r="BYU86" s="16"/>
      <c r="BYV86" s="16"/>
      <c r="BYW86" s="16"/>
      <c r="BYX86" s="16"/>
      <c r="BYY86" s="16"/>
      <c r="BYZ86" s="16"/>
      <c r="BZA86" s="16"/>
      <c r="BZB86" s="16"/>
      <c r="BZC86" s="16"/>
      <c r="BZD86" s="16"/>
      <c r="BZE86" s="16"/>
      <c r="BZF86" s="16"/>
      <c r="BZG86" s="16"/>
      <c r="BZH86" s="16"/>
      <c r="BZI86" s="16"/>
      <c r="BZJ86" s="16"/>
      <c r="BZK86" s="16"/>
      <c r="BZL86" s="16"/>
      <c r="BZM86" s="16"/>
      <c r="BZN86" s="16"/>
      <c r="BZO86" s="16"/>
      <c r="BZP86" s="16"/>
      <c r="BZQ86" s="16"/>
      <c r="BZR86" s="16"/>
      <c r="BZS86" s="16"/>
      <c r="BZT86" s="16"/>
      <c r="BZU86" s="16"/>
      <c r="BZV86" s="16"/>
      <c r="BZW86" s="16"/>
      <c r="BZX86" s="16"/>
      <c r="BZY86" s="16"/>
      <c r="BZZ86" s="16"/>
      <c r="CAA86" s="16"/>
      <c r="CAB86" s="16"/>
      <c r="CAC86" s="16"/>
      <c r="CAD86" s="16"/>
      <c r="CAE86" s="16"/>
      <c r="CAF86" s="16"/>
      <c r="CAG86" s="16"/>
      <c r="CAH86" s="16"/>
      <c r="CAI86" s="16"/>
      <c r="CAJ86" s="16"/>
      <c r="CAK86" s="16"/>
      <c r="CAL86" s="16"/>
      <c r="CAM86" s="16"/>
      <c r="CAN86" s="16"/>
      <c r="CAO86" s="16"/>
      <c r="CAP86" s="16"/>
      <c r="CAQ86" s="16"/>
      <c r="CAR86" s="16"/>
      <c r="CAS86" s="16"/>
      <c r="CAT86" s="16"/>
      <c r="CAU86" s="16"/>
      <c r="CAV86" s="16"/>
      <c r="CAW86" s="16"/>
      <c r="CAX86" s="16"/>
      <c r="CAY86" s="16"/>
      <c r="CAZ86" s="16"/>
      <c r="CBA86" s="16"/>
      <c r="CBB86" s="16"/>
      <c r="CBC86" s="16"/>
      <c r="CBD86" s="16"/>
      <c r="CBE86" s="16"/>
      <c r="CBF86" s="16"/>
      <c r="CBG86" s="16"/>
      <c r="CBH86" s="16"/>
      <c r="CBI86" s="16"/>
      <c r="CBJ86" s="16"/>
      <c r="CBK86" s="16"/>
      <c r="CBL86" s="16"/>
      <c r="CBM86" s="16"/>
      <c r="CBN86" s="16"/>
      <c r="CBO86" s="16"/>
      <c r="CBP86" s="16"/>
      <c r="CBQ86" s="16"/>
      <c r="CBR86" s="16"/>
      <c r="CBS86" s="16"/>
      <c r="CBT86" s="16"/>
      <c r="CBU86" s="16"/>
      <c r="CBV86" s="16"/>
      <c r="CBW86" s="16"/>
      <c r="CBX86" s="16"/>
      <c r="CBY86" s="16"/>
      <c r="CBZ86" s="16"/>
      <c r="CCA86" s="16"/>
      <c r="CCB86" s="16"/>
      <c r="CCC86" s="16"/>
      <c r="CCD86" s="16"/>
      <c r="CCE86" s="16"/>
      <c r="CCF86" s="16"/>
      <c r="CCG86" s="16"/>
      <c r="CCH86" s="16"/>
      <c r="CCI86" s="16"/>
      <c r="CCJ86" s="16"/>
      <c r="CCK86" s="16"/>
      <c r="CCL86" s="16"/>
      <c r="CCM86" s="16"/>
      <c r="CCN86" s="16"/>
      <c r="CCO86" s="16"/>
      <c r="CCP86" s="16"/>
      <c r="CCQ86" s="16"/>
      <c r="CCR86" s="16"/>
      <c r="CCS86" s="16"/>
      <c r="CCT86" s="16"/>
      <c r="CCU86" s="16"/>
      <c r="CCV86" s="16"/>
      <c r="CCW86" s="16"/>
      <c r="CCX86" s="16"/>
      <c r="CCY86" s="16"/>
      <c r="CCZ86" s="16"/>
      <c r="CDA86" s="16"/>
      <c r="CDB86" s="16"/>
      <c r="CDC86" s="16"/>
      <c r="CDD86" s="16"/>
      <c r="CDE86" s="16"/>
      <c r="CDF86" s="16"/>
      <c r="CDG86" s="16"/>
      <c r="CDH86" s="16"/>
      <c r="CDI86" s="16"/>
      <c r="CDJ86" s="16"/>
      <c r="CDK86" s="16"/>
      <c r="CDL86" s="16"/>
      <c r="CDM86" s="16"/>
      <c r="CDN86" s="16"/>
      <c r="CDO86" s="16"/>
      <c r="CDP86" s="16"/>
      <c r="CDQ86" s="16"/>
      <c r="CDR86" s="16"/>
      <c r="CDS86" s="16"/>
      <c r="CDT86" s="16"/>
      <c r="CDU86" s="16"/>
      <c r="CDV86" s="16"/>
      <c r="CDW86" s="16"/>
      <c r="CDX86" s="16"/>
      <c r="CDY86" s="16"/>
      <c r="CDZ86" s="16"/>
      <c r="CEA86" s="16"/>
      <c r="CEB86" s="16"/>
      <c r="CEC86" s="16"/>
      <c r="CED86" s="16"/>
      <c r="CEE86" s="16"/>
      <c r="CEF86" s="16"/>
      <c r="CEG86" s="16"/>
      <c r="CEH86" s="16"/>
      <c r="CEI86" s="16"/>
      <c r="CEJ86" s="16"/>
      <c r="CEK86" s="16"/>
      <c r="CEL86" s="16"/>
      <c r="CEM86" s="16"/>
      <c r="CEN86" s="16"/>
      <c r="CEO86" s="16"/>
      <c r="CEP86" s="16"/>
      <c r="CEQ86" s="16"/>
      <c r="CER86" s="16"/>
      <c r="CES86" s="16"/>
      <c r="CET86" s="16"/>
      <c r="CEU86" s="16"/>
      <c r="CEV86" s="16"/>
      <c r="CEW86" s="16"/>
      <c r="CEX86" s="16"/>
      <c r="CEY86" s="16"/>
      <c r="CEZ86" s="16"/>
      <c r="CFA86" s="16"/>
      <c r="CFB86" s="16"/>
      <c r="CFC86" s="16"/>
      <c r="CFD86" s="16"/>
      <c r="CFE86" s="16"/>
      <c r="CFF86" s="16"/>
      <c r="CFG86" s="16"/>
      <c r="CFH86" s="16"/>
      <c r="CFI86" s="16"/>
      <c r="CFJ86" s="16"/>
      <c r="CFK86" s="16"/>
      <c r="CFL86" s="16"/>
      <c r="CFM86" s="16"/>
      <c r="CFN86" s="16"/>
      <c r="CFO86" s="16"/>
      <c r="CFP86" s="16"/>
      <c r="CFQ86" s="16"/>
      <c r="CFR86" s="16"/>
      <c r="CFS86" s="16"/>
      <c r="CFT86" s="16"/>
      <c r="CFU86" s="16"/>
      <c r="CFV86" s="16"/>
      <c r="CFW86" s="16"/>
      <c r="CFX86" s="16"/>
      <c r="CFY86" s="16"/>
      <c r="CFZ86" s="16"/>
      <c r="CGA86" s="16"/>
      <c r="CGB86" s="16"/>
      <c r="CGC86" s="16"/>
      <c r="CGD86" s="16"/>
      <c r="CGE86" s="16"/>
      <c r="CGF86" s="16"/>
      <c r="CGG86" s="16"/>
      <c r="CGH86" s="16"/>
      <c r="CGI86" s="16"/>
      <c r="CGJ86" s="16"/>
      <c r="CGK86" s="16"/>
      <c r="CGL86" s="16"/>
      <c r="CGM86" s="16"/>
      <c r="CGN86" s="16"/>
      <c r="CGO86" s="16"/>
      <c r="CGP86" s="16"/>
      <c r="CGQ86" s="16"/>
      <c r="CGR86" s="16"/>
      <c r="CGS86" s="16"/>
      <c r="CGT86" s="16"/>
      <c r="CGU86" s="16"/>
      <c r="CGV86" s="16"/>
      <c r="CGW86" s="16"/>
      <c r="CGX86" s="16"/>
      <c r="CGY86" s="16"/>
      <c r="CGZ86" s="16"/>
      <c r="CHA86" s="16"/>
      <c r="CHB86" s="16"/>
      <c r="CHC86" s="16"/>
      <c r="CHD86" s="16"/>
      <c r="CHE86" s="16"/>
      <c r="CHF86" s="16"/>
      <c r="CHG86" s="16"/>
      <c r="CHH86" s="16"/>
      <c r="CHI86" s="16"/>
      <c r="CHJ86" s="16"/>
      <c r="CHK86" s="16"/>
      <c r="CHL86" s="16"/>
      <c r="CHM86" s="16"/>
      <c r="CHN86" s="16"/>
      <c r="CHO86" s="16"/>
      <c r="CHP86" s="16"/>
      <c r="CHQ86" s="16"/>
      <c r="CHR86" s="16"/>
      <c r="CHS86" s="16"/>
      <c r="CHT86" s="16"/>
      <c r="CHU86" s="16"/>
      <c r="CHV86" s="16"/>
      <c r="CHW86" s="16"/>
      <c r="CHX86" s="16"/>
      <c r="CHY86" s="16"/>
      <c r="CHZ86" s="16"/>
      <c r="CIA86" s="16"/>
      <c r="CIB86" s="16"/>
      <c r="CIC86" s="16"/>
      <c r="CID86" s="16"/>
      <c r="CIE86" s="16"/>
      <c r="CIF86" s="16"/>
      <c r="CIG86" s="16"/>
      <c r="CIH86" s="16"/>
      <c r="CII86" s="16"/>
      <c r="CIJ86" s="16"/>
      <c r="CIK86" s="16"/>
      <c r="CIL86" s="16"/>
      <c r="CIM86" s="16"/>
      <c r="CIN86" s="16"/>
      <c r="CIO86" s="16"/>
      <c r="CIP86" s="16"/>
      <c r="CIQ86" s="16"/>
      <c r="CIR86" s="16"/>
      <c r="CIS86" s="16"/>
      <c r="CIT86" s="16"/>
      <c r="CIU86" s="16"/>
      <c r="CIV86" s="16"/>
      <c r="CIW86" s="16"/>
      <c r="CIX86" s="16"/>
      <c r="CIY86" s="16"/>
      <c r="CIZ86" s="16"/>
      <c r="CJA86" s="16"/>
      <c r="CJB86" s="16"/>
      <c r="CJC86" s="16"/>
      <c r="CJD86" s="16"/>
      <c r="CJE86" s="16"/>
      <c r="CJF86" s="16"/>
      <c r="CJG86" s="16"/>
      <c r="CJH86" s="16"/>
      <c r="CJI86" s="16"/>
      <c r="CJJ86" s="16"/>
      <c r="CJK86" s="16"/>
      <c r="CJL86" s="16"/>
      <c r="CJM86" s="16"/>
      <c r="CJN86" s="16"/>
      <c r="CJO86" s="16"/>
      <c r="CJP86" s="16"/>
      <c r="CJQ86" s="16"/>
      <c r="CJR86" s="16"/>
      <c r="CJS86" s="16"/>
      <c r="CJT86" s="16"/>
      <c r="CJU86" s="16"/>
      <c r="CJV86" s="16"/>
      <c r="CJW86" s="16"/>
      <c r="CJX86" s="16"/>
      <c r="CJY86" s="16"/>
      <c r="CJZ86" s="16"/>
      <c r="CKA86" s="16"/>
      <c r="CKB86" s="16"/>
      <c r="CKC86" s="16"/>
      <c r="CKD86" s="16"/>
      <c r="CKE86" s="16"/>
      <c r="CKF86" s="16"/>
      <c r="CKG86" s="16"/>
      <c r="CKH86" s="16"/>
      <c r="CKI86" s="16"/>
      <c r="CKJ86" s="16"/>
      <c r="CKK86" s="16"/>
      <c r="CKL86" s="16"/>
      <c r="CKM86" s="16"/>
      <c r="CKN86" s="16"/>
      <c r="CKO86" s="16"/>
      <c r="CKP86" s="16"/>
      <c r="CKQ86" s="16"/>
      <c r="CKR86" s="16"/>
      <c r="CKS86" s="16"/>
      <c r="CKT86" s="16"/>
      <c r="CKU86" s="16"/>
      <c r="CKV86" s="16"/>
      <c r="CKW86" s="16"/>
      <c r="CKX86" s="16"/>
      <c r="CKY86" s="16"/>
      <c r="CKZ86" s="16"/>
      <c r="CLA86" s="16"/>
      <c r="CLB86" s="16"/>
      <c r="CLC86" s="16"/>
      <c r="CLD86" s="16"/>
      <c r="CLE86" s="16"/>
      <c r="CLF86" s="16"/>
      <c r="CLG86" s="16"/>
      <c r="CLH86" s="16"/>
      <c r="CLI86" s="16"/>
      <c r="CLJ86" s="16"/>
      <c r="CLK86" s="16"/>
      <c r="CLL86" s="16"/>
      <c r="CLM86" s="16"/>
      <c r="CLN86" s="16"/>
      <c r="CLO86" s="16"/>
      <c r="CLP86" s="16"/>
      <c r="CLQ86" s="16"/>
      <c r="CLR86" s="16"/>
      <c r="CLS86" s="16"/>
      <c r="CLT86" s="16"/>
      <c r="CLU86" s="16"/>
      <c r="CLV86" s="16"/>
      <c r="CLW86" s="16"/>
      <c r="CLX86" s="16"/>
      <c r="CLY86" s="16"/>
      <c r="CLZ86" s="16"/>
      <c r="CMA86" s="16"/>
      <c r="CMB86" s="16"/>
      <c r="CMC86" s="16"/>
      <c r="CMD86" s="16"/>
      <c r="CME86" s="16"/>
      <c r="CMF86" s="16"/>
      <c r="CMG86" s="16"/>
      <c r="CMH86" s="16"/>
      <c r="CMI86" s="16"/>
      <c r="CMJ86" s="16"/>
      <c r="CMK86" s="16"/>
      <c r="CML86" s="16"/>
      <c r="CMM86" s="16"/>
      <c r="CMN86" s="16"/>
      <c r="CMO86" s="16"/>
      <c r="CMP86" s="16"/>
      <c r="CMQ86" s="16"/>
      <c r="CMR86" s="16"/>
      <c r="CMS86" s="16"/>
      <c r="CMT86" s="16"/>
      <c r="CMU86" s="16"/>
      <c r="CMV86" s="16"/>
      <c r="CMW86" s="16"/>
      <c r="CMX86" s="16"/>
      <c r="CMY86" s="16"/>
      <c r="CMZ86" s="16"/>
      <c r="CNA86" s="16"/>
      <c r="CNB86" s="16"/>
      <c r="CNC86" s="16"/>
      <c r="CND86" s="16"/>
      <c r="CNE86" s="16"/>
      <c r="CNF86" s="16"/>
      <c r="CNG86" s="16"/>
      <c r="CNH86" s="16"/>
      <c r="CNI86" s="16"/>
      <c r="CNJ86" s="16"/>
      <c r="CNK86" s="16"/>
      <c r="CNL86" s="16"/>
      <c r="CNM86" s="16"/>
      <c r="CNN86" s="16"/>
      <c r="CNO86" s="16"/>
      <c r="CNP86" s="16"/>
      <c r="CNQ86" s="16"/>
      <c r="CNR86" s="16"/>
      <c r="CNS86" s="16"/>
      <c r="CNT86" s="16"/>
      <c r="CNU86" s="16"/>
      <c r="CNV86" s="16"/>
      <c r="CNW86" s="16"/>
      <c r="CNX86" s="16"/>
      <c r="CNY86" s="16"/>
      <c r="CNZ86" s="16"/>
      <c r="COA86" s="16"/>
      <c r="COB86" s="16"/>
      <c r="COC86" s="16"/>
      <c r="COD86" s="16"/>
      <c r="COE86" s="16"/>
      <c r="COF86" s="16"/>
      <c r="COG86" s="16"/>
      <c r="COH86" s="16"/>
      <c r="COI86" s="16"/>
      <c r="COJ86" s="16"/>
      <c r="COK86" s="16"/>
      <c r="COL86" s="16"/>
      <c r="COM86" s="16"/>
      <c r="CON86" s="16"/>
      <c r="COO86" s="16"/>
      <c r="COP86" s="16"/>
      <c r="COQ86" s="16"/>
      <c r="COR86" s="16"/>
      <c r="COS86" s="16"/>
      <c r="COT86" s="16"/>
      <c r="COU86" s="16"/>
      <c r="COV86" s="16"/>
      <c r="COW86" s="16"/>
      <c r="COX86" s="16"/>
      <c r="COY86" s="16"/>
      <c r="COZ86" s="16"/>
      <c r="CPA86" s="16"/>
      <c r="CPB86" s="16"/>
      <c r="CPC86" s="16"/>
      <c r="CPD86" s="16"/>
      <c r="CPE86" s="16"/>
      <c r="CPF86" s="16"/>
      <c r="CPG86" s="16"/>
      <c r="CPH86" s="16"/>
      <c r="CPI86" s="16"/>
      <c r="CPJ86" s="16"/>
      <c r="CPK86" s="16"/>
      <c r="CPL86" s="16"/>
      <c r="CPM86" s="16"/>
      <c r="CPN86" s="16"/>
      <c r="CPO86" s="16"/>
      <c r="CPP86" s="16"/>
      <c r="CPQ86" s="16"/>
      <c r="CPR86" s="16"/>
      <c r="CPS86" s="16"/>
      <c r="CPT86" s="16"/>
      <c r="CPU86" s="16"/>
      <c r="CPV86" s="16"/>
      <c r="CPW86" s="16"/>
      <c r="CPX86" s="16"/>
      <c r="CPY86" s="16"/>
      <c r="CPZ86" s="16"/>
      <c r="CQA86" s="16"/>
      <c r="CQB86" s="16"/>
      <c r="CQC86" s="16"/>
      <c r="CQD86" s="16"/>
      <c r="CQE86" s="16"/>
      <c r="CQF86" s="16"/>
      <c r="CQG86" s="16"/>
      <c r="CQH86" s="16"/>
      <c r="CQI86" s="16"/>
      <c r="CQJ86" s="16"/>
      <c r="CQK86" s="16"/>
      <c r="CQL86" s="16"/>
      <c r="CQM86" s="16"/>
      <c r="CQN86" s="16"/>
      <c r="CQO86" s="16"/>
      <c r="CQP86" s="16"/>
      <c r="CQQ86" s="16"/>
      <c r="CQR86" s="16"/>
      <c r="CQS86" s="16"/>
      <c r="CQT86" s="16"/>
      <c r="CQU86" s="16"/>
      <c r="CQV86" s="16"/>
      <c r="CQW86" s="16"/>
      <c r="CQX86" s="16"/>
      <c r="CQY86" s="16"/>
      <c r="CQZ86" s="16"/>
      <c r="CRA86" s="16"/>
      <c r="CRB86" s="16"/>
      <c r="CRC86" s="16"/>
      <c r="CRD86" s="16"/>
      <c r="CRE86" s="16"/>
      <c r="CRF86" s="16"/>
      <c r="CRG86" s="16"/>
      <c r="CRH86" s="16"/>
      <c r="CRI86" s="16"/>
      <c r="CRJ86" s="16"/>
      <c r="CRK86" s="16"/>
      <c r="CRL86" s="16"/>
      <c r="CRM86" s="16"/>
      <c r="CRN86" s="16"/>
      <c r="CRO86" s="16"/>
      <c r="CRP86" s="16"/>
      <c r="CRQ86" s="16"/>
      <c r="CRR86" s="16"/>
      <c r="CRS86" s="16"/>
      <c r="CRT86" s="16"/>
      <c r="CRU86" s="16"/>
      <c r="CRV86" s="16"/>
      <c r="CRW86" s="16"/>
      <c r="CRX86" s="16"/>
      <c r="CRY86" s="16"/>
      <c r="CRZ86" s="16"/>
      <c r="CSA86" s="16"/>
      <c r="CSB86" s="16"/>
      <c r="CSC86" s="16"/>
      <c r="CSD86" s="16"/>
      <c r="CSE86" s="16"/>
      <c r="CSF86" s="16"/>
      <c r="CSG86" s="16"/>
      <c r="CSH86" s="16"/>
      <c r="CSI86" s="16"/>
      <c r="CSJ86" s="16"/>
      <c r="CSK86" s="24"/>
      <c r="CSL86" s="16"/>
      <c r="CSM86" s="16"/>
      <c r="CSN86" s="16"/>
      <c r="CSO86" s="16"/>
      <c r="CSP86" s="16"/>
      <c r="CUG86" s="16"/>
      <c r="CUH86" s="16"/>
      <c r="CUI86" s="16"/>
      <c r="CUJ86" s="16"/>
      <c r="CUK86" s="16"/>
      <c r="CUL86" s="16"/>
      <c r="CUM86" s="16"/>
      <c r="CUN86" s="16"/>
      <c r="CUO86" s="16"/>
      <c r="CUP86" s="16"/>
      <c r="CUQ86" s="16"/>
      <c r="CUR86" s="16"/>
      <c r="CUS86" s="16"/>
      <c r="CUT86" s="16"/>
      <c r="CUU86" s="16"/>
      <c r="CUV86" s="16"/>
      <c r="CUW86" s="16"/>
      <c r="CUX86" s="16"/>
      <c r="CUY86" s="16"/>
      <c r="CUZ86" s="16"/>
      <c r="CVA86" s="16"/>
      <c r="CVB86" s="16"/>
      <c r="CVC86" s="16"/>
      <c r="CVD86" s="16"/>
      <c r="CVE86" s="16"/>
      <c r="CVF86" s="16"/>
      <c r="CVG86" s="16"/>
      <c r="CVH86" s="16"/>
      <c r="CVI86" s="16"/>
      <c r="CVJ86" s="16"/>
      <c r="CVK86" s="16"/>
      <c r="CVL86" s="16"/>
      <c r="CVM86" s="16"/>
      <c r="CVN86" s="16"/>
      <c r="CVO86" s="16"/>
      <c r="CVP86" s="16"/>
    </row>
    <row r="87" spans="3:2616" ht="13.8" x14ac:dyDescent="0.25">
      <c r="C87" s="57"/>
      <c r="E87" s="16"/>
      <c r="K87" s="59"/>
      <c r="L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16"/>
      <c r="FD87" s="16"/>
      <c r="FE87" s="16"/>
      <c r="FF87" s="16"/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/>
      <c r="HK87" s="16"/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/>
      <c r="HW87" s="16"/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/>
      <c r="II87" s="16"/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/>
      <c r="IU87" s="16"/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/>
      <c r="JG87" s="16"/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/>
      <c r="JS87" s="16"/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/>
      <c r="KE87" s="16"/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/>
      <c r="KQ87" s="16"/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/>
      <c r="LC87" s="16"/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/>
      <c r="LO87" s="16"/>
      <c r="LP87" s="16"/>
      <c r="LQ87" s="16"/>
      <c r="LR87" s="16"/>
      <c r="LS87" s="16"/>
      <c r="LT87" s="16"/>
      <c r="LU87" s="16"/>
      <c r="LV87" s="16"/>
      <c r="LW87" s="16"/>
      <c r="LX87" s="16"/>
      <c r="LY87" s="16"/>
      <c r="LZ87" s="16"/>
      <c r="MA87" s="16"/>
      <c r="MB87" s="16"/>
      <c r="MC87" s="16"/>
      <c r="MD87" s="16"/>
      <c r="ME87" s="16"/>
      <c r="MF87" s="16"/>
      <c r="MG87" s="16"/>
      <c r="MH87" s="16"/>
      <c r="MI87" s="16"/>
      <c r="MJ87" s="16"/>
      <c r="MK87" s="16"/>
      <c r="ML87" s="16"/>
      <c r="MM87" s="16"/>
      <c r="MN87" s="16"/>
      <c r="MO87" s="16"/>
      <c r="MP87" s="16"/>
      <c r="MQ87" s="16"/>
      <c r="MR87" s="16"/>
      <c r="MS87" s="16"/>
      <c r="MT87" s="16"/>
      <c r="MU87" s="16"/>
      <c r="MV87" s="16"/>
      <c r="MW87" s="16"/>
      <c r="MX87" s="16"/>
      <c r="MY87" s="16"/>
      <c r="MZ87" s="16"/>
      <c r="NA87" s="16"/>
      <c r="NB87" s="16"/>
      <c r="NC87" s="16"/>
      <c r="ND87" s="16"/>
      <c r="NE87" s="16"/>
      <c r="NF87" s="16"/>
      <c r="NG87" s="16"/>
      <c r="NH87" s="16"/>
      <c r="NI87" s="16"/>
      <c r="NJ87" s="16"/>
      <c r="NK87" s="16"/>
      <c r="NL87" s="16"/>
      <c r="NM87" s="16"/>
      <c r="NN87" s="16"/>
      <c r="NO87" s="16"/>
      <c r="NP87" s="16"/>
      <c r="NQ87" s="16"/>
      <c r="NR87" s="16"/>
      <c r="NS87" s="16"/>
      <c r="NT87" s="16"/>
      <c r="NU87" s="16"/>
      <c r="NV87" s="16"/>
      <c r="NW87" s="16"/>
      <c r="NX87" s="16"/>
      <c r="NY87" s="16"/>
      <c r="NZ87" s="16"/>
      <c r="OA87" s="16"/>
      <c r="OB87" s="16"/>
      <c r="OC87" s="16"/>
      <c r="OD87" s="16"/>
      <c r="OE87" s="16"/>
      <c r="OF87" s="16"/>
      <c r="OG87" s="16"/>
      <c r="OH87" s="16"/>
      <c r="OI87" s="16"/>
      <c r="OJ87" s="16"/>
      <c r="OK87" s="16"/>
      <c r="OL87" s="16"/>
      <c r="OM87" s="16"/>
      <c r="ON87" s="16"/>
      <c r="OO87" s="16"/>
      <c r="OP87" s="16"/>
      <c r="OQ87" s="16"/>
      <c r="OR87" s="16"/>
      <c r="OS87" s="16"/>
      <c r="OT87" s="16"/>
      <c r="OU87" s="16"/>
      <c r="OV87" s="16"/>
      <c r="OW87" s="16"/>
      <c r="OX87" s="16"/>
      <c r="OY87" s="16"/>
      <c r="OZ87" s="16"/>
      <c r="PA87" s="16"/>
      <c r="PB87" s="16"/>
      <c r="PC87" s="16"/>
      <c r="PD87" s="16"/>
      <c r="PE87" s="16"/>
      <c r="PF87" s="16"/>
      <c r="PG87" s="16"/>
      <c r="PH87" s="16"/>
      <c r="PI87" s="16"/>
      <c r="PJ87" s="16"/>
      <c r="PK87" s="16"/>
      <c r="PL87" s="16"/>
      <c r="PM87" s="16"/>
      <c r="PN87" s="16"/>
      <c r="PO87" s="16"/>
      <c r="PP87" s="16"/>
      <c r="PQ87" s="16"/>
      <c r="PR87" s="16"/>
      <c r="PS87" s="16"/>
      <c r="PT87" s="16"/>
      <c r="PU87" s="16"/>
      <c r="PV87" s="16"/>
      <c r="PW87" s="16"/>
      <c r="PX87" s="16"/>
      <c r="PY87" s="16"/>
      <c r="PZ87" s="16"/>
      <c r="QA87" s="16"/>
      <c r="QB87" s="16"/>
      <c r="QC87" s="16"/>
      <c r="QD87" s="16"/>
      <c r="QE87" s="16"/>
      <c r="QF87" s="16"/>
      <c r="QG87" s="16"/>
      <c r="QH87" s="16"/>
      <c r="QI87" s="16"/>
      <c r="QJ87" s="16"/>
      <c r="QK87" s="16"/>
      <c r="QL87" s="16"/>
      <c r="QM87" s="16"/>
      <c r="QN87" s="16"/>
      <c r="QO87" s="16"/>
      <c r="QP87" s="16"/>
      <c r="QQ87" s="16"/>
      <c r="QR87" s="16"/>
      <c r="QS87" s="16"/>
      <c r="QT87" s="16"/>
      <c r="QU87" s="16"/>
      <c r="QV87" s="16"/>
      <c r="QW87" s="16"/>
      <c r="QX87" s="16"/>
      <c r="QY87" s="16"/>
      <c r="QZ87" s="16"/>
      <c r="RA87" s="16"/>
      <c r="RB87" s="16"/>
      <c r="RC87" s="16"/>
      <c r="RD87" s="16"/>
      <c r="RE87" s="16"/>
      <c r="RF87" s="16"/>
      <c r="RG87" s="16"/>
      <c r="RH87" s="16"/>
      <c r="RI87" s="16"/>
      <c r="RJ87" s="16"/>
      <c r="RK87" s="16"/>
      <c r="RL87" s="16"/>
      <c r="RM87" s="16"/>
      <c r="RN87" s="16"/>
      <c r="RO87" s="16"/>
      <c r="RP87" s="16"/>
      <c r="RQ87" s="16"/>
      <c r="RR87" s="16"/>
      <c r="RS87" s="16"/>
      <c r="RT87" s="16"/>
      <c r="RU87" s="16"/>
      <c r="RV87" s="16"/>
      <c r="RW87" s="16"/>
      <c r="RX87" s="16"/>
      <c r="RY87" s="16"/>
      <c r="RZ87" s="16"/>
      <c r="SA87" s="16"/>
      <c r="SB87" s="16"/>
      <c r="SC87" s="16"/>
      <c r="SD87" s="16"/>
      <c r="SE87" s="16"/>
      <c r="SF87" s="16"/>
      <c r="SG87" s="16"/>
      <c r="SH87" s="16"/>
      <c r="SI87" s="16"/>
      <c r="SJ87" s="16"/>
      <c r="SK87" s="16"/>
      <c r="SL87" s="16"/>
      <c r="SM87" s="16"/>
      <c r="SN87" s="16"/>
      <c r="SO87" s="16"/>
      <c r="SP87" s="16"/>
      <c r="SQ87" s="16"/>
      <c r="SR87" s="16"/>
      <c r="SS87" s="16"/>
      <c r="ST87" s="16"/>
      <c r="SU87" s="16"/>
      <c r="SV87" s="16"/>
      <c r="SW87" s="16"/>
      <c r="SX87" s="16"/>
      <c r="SY87" s="16"/>
      <c r="SZ87" s="16"/>
      <c r="TA87" s="16"/>
      <c r="TB87" s="16"/>
      <c r="TC87" s="16"/>
      <c r="TD87" s="16"/>
      <c r="TE87" s="16"/>
      <c r="TF87" s="16"/>
      <c r="TG87" s="16"/>
      <c r="TH87" s="16"/>
      <c r="TI87" s="16"/>
      <c r="TJ87" s="16"/>
      <c r="TK87" s="16"/>
      <c r="TL87" s="16"/>
      <c r="TM87" s="16"/>
      <c r="TN87" s="16"/>
      <c r="TO87" s="16"/>
      <c r="TP87" s="16"/>
      <c r="TQ87" s="16"/>
      <c r="TR87" s="16"/>
      <c r="TS87" s="16"/>
      <c r="TT87" s="16"/>
      <c r="TU87" s="16"/>
      <c r="TV87" s="16"/>
      <c r="TW87" s="16"/>
      <c r="TX87" s="16"/>
      <c r="TY87" s="16"/>
      <c r="TZ87" s="16"/>
      <c r="UA87" s="16"/>
      <c r="UB87" s="16"/>
      <c r="UC87" s="16"/>
      <c r="UD87" s="16"/>
      <c r="UE87" s="16"/>
      <c r="UF87" s="16"/>
      <c r="UG87" s="16"/>
      <c r="UH87" s="16"/>
      <c r="UI87" s="16"/>
      <c r="UJ87" s="16"/>
      <c r="UK87" s="16"/>
      <c r="UL87" s="16"/>
      <c r="UM87" s="16"/>
      <c r="UN87" s="16"/>
      <c r="UO87" s="16"/>
      <c r="UP87" s="16"/>
      <c r="UQ87" s="16"/>
      <c r="UR87" s="16"/>
      <c r="US87" s="16"/>
      <c r="UT87" s="16"/>
      <c r="UU87" s="16"/>
      <c r="UV87" s="16"/>
      <c r="UW87" s="16"/>
      <c r="UX87" s="16"/>
      <c r="UY87" s="16"/>
      <c r="UZ87" s="16"/>
      <c r="VA87" s="16"/>
      <c r="VB87" s="16"/>
      <c r="VC87" s="16"/>
      <c r="VD87" s="16"/>
      <c r="VE87" s="16"/>
      <c r="VF87" s="16"/>
      <c r="VG87" s="16"/>
      <c r="VH87" s="16"/>
      <c r="VI87" s="16"/>
      <c r="VJ87" s="16"/>
      <c r="VK87" s="16"/>
      <c r="VL87" s="16"/>
      <c r="VM87" s="16"/>
      <c r="VN87" s="16"/>
      <c r="VO87" s="16"/>
      <c r="VP87" s="16"/>
      <c r="VQ87" s="16"/>
      <c r="VR87" s="16"/>
      <c r="VS87" s="16"/>
      <c r="VT87" s="16"/>
      <c r="VU87" s="16"/>
      <c r="VV87" s="16"/>
      <c r="VW87" s="16"/>
      <c r="VX87" s="16"/>
      <c r="VY87" s="16"/>
      <c r="VZ87" s="16"/>
      <c r="WA87" s="16"/>
      <c r="WB87" s="16"/>
      <c r="WC87" s="16"/>
      <c r="WD87" s="16"/>
      <c r="WE87" s="16"/>
      <c r="WF87" s="16"/>
      <c r="WG87" s="16"/>
      <c r="WH87" s="16"/>
      <c r="WI87" s="16"/>
      <c r="WJ87" s="16"/>
      <c r="WK87" s="16"/>
      <c r="WL87" s="16"/>
      <c r="WM87" s="16"/>
      <c r="WN87" s="16"/>
      <c r="WO87" s="16"/>
      <c r="WP87" s="16"/>
      <c r="WQ87" s="16"/>
      <c r="WR87" s="16"/>
      <c r="WS87" s="16"/>
      <c r="WT87" s="16"/>
      <c r="WU87" s="16"/>
      <c r="WV87" s="16"/>
      <c r="WW87" s="16"/>
      <c r="WX87" s="16"/>
      <c r="WY87" s="16"/>
      <c r="WZ87" s="16"/>
      <c r="XA87" s="16"/>
      <c r="XB87" s="16"/>
      <c r="XC87" s="16"/>
      <c r="XD87" s="16"/>
      <c r="XE87" s="16"/>
      <c r="XF87" s="16"/>
      <c r="XG87" s="16"/>
      <c r="XH87" s="16"/>
      <c r="XI87" s="16"/>
      <c r="XJ87" s="16"/>
      <c r="XK87" s="16"/>
      <c r="XL87" s="16"/>
      <c r="XM87" s="16"/>
      <c r="XN87" s="16"/>
      <c r="XO87" s="16"/>
      <c r="XP87" s="16"/>
      <c r="XQ87" s="16"/>
      <c r="XR87" s="16"/>
      <c r="XS87" s="16"/>
      <c r="XT87" s="16"/>
      <c r="XU87" s="16"/>
      <c r="XV87" s="16"/>
      <c r="XW87" s="16"/>
      <c r="XX87" s="16"/>
      <c r="XY87" s="16"/>
      <c r="XZ87" s="16"/>
      <c r="YA87" s="16"/>
      <c r="YB87" s="16"/>
      <c r="YC87" s="16"/>
      <c r="YD87" s="16"/>
      <c r="YE87" s="16"/>
      <c r="YF87" s="16"/>
      <c r="YG87" s="16"/>
      <c r="YH87" s="16"/>
      <c r="YI87" s="16"/>
      <c r="YJ87" s="16"/>
      <c r="YK87" s="16"/>
      <c r="YL87" s="16"/>
      <c r="YM87" s="16"/>
      <c r="YN87" s="16"/>
      <c r="YO87" s="16"/>
      <c r="YP87" s="16"/>
      <c r="YQ87" s="16"/>
      <c r="YR87" s="16"/>
      <c r="YS87" s="16"/>
      <c r="YT87" s="16"/>
      <c r="YU87" s="16"/>
      <c r="YV87" s="16"/>
      <c r="YW87" s="16"/>
      <c r="YX87" s="16"/>
      <c r="YY87" s="16"/>
      <c r="YZ87" s="16"/>
      <c r="ZA87" s="16"/>
      <c r="ZB87" s="16"/>
      <c r="ZC87" s="16"/>
      <c r="ZD87" s="16"/>
      <c r="ZE87" s="16"/>
      <c r="ZF87" s="16"/>
      <c r="ZG87" s="16"/>
      <c r="ZH87" s="16"/>
      <c r="ZI87" s="16"/>
      <c r="ZJ87" s="16"/>
      <c r="ZK87" s="16"/>
      <c r="ZL87" s="16"/>
      <c r="ZM87" s="16"/>
      <c r="ZN87" s="16"/>
      <c r="ZO87" s="16"/>
      <c r="ZP87" s="16"/>
      <c r="ZQ87" s="16"/>
      <c r="ZR87" s="16"/>
      <c r="ZS87" s="16"/>
      <c r="ZT87" s="16"/>
      <c r="ZU87" s="16"/>
      <c r="ZV87" s="16"/>
      <c r="ZW87" s="16"/>
      <c r="ZX87" s="16"/>
      <c r="ZY87" s="16"/>
      <c r="ZZ87" s="16"/>
      <c r="AAA87" s="16"/>
      <c r="AAB87" s="16"/>
      <c r="AAC87" s="16"/>
      <c r="AAD87" s="16"/>
      <c r="AAE87" s="16"/>
      <c r="AAF87" s="16"/>
      <c r="AAG87" s="16"/>
      <c r="AAH87" s="16"/>
      <c r="AAI87" s="16"/>
      <c r="AAJ87" s="16"/>
      <c r="AAK87" s="16"/>
      <c r="AAL87" s="16"/>
      <c r="AAM87" s="16"/>
      <c r="AAN87" s="16"/>
      <c r="AAO87" s="16"/>
      <c r="AAP87" s="16"/>
      <c r="AAQ87" s="16"/>
      <c r="AAR87" s="16"/>
      <c r="AAS87" s="16"/>
      <c r="AAT87" s="16"/>
      <c r="AAU87" s="16"/>
      <c r="AAV87" s="16"/>
      <c r="AAW87" s="16"/>
      <c r="AAX87" s="16"/>
      <c r="AAY87" s="16"/>
      <c r="AAZ87" s="16"/>
      <c r="ABA87" s="16"/>
      <c r="ABB87" s="16"/>
      <c r="ABC87" s="16"/>
      <c r="ABD87" s="16"/>
      <c r="ABE87" s="16"/>
      <c r="ABF87" s="16"/>
      <c r="ABG87" s="16"/>
      <c r="ABH87" s="16"/>
      <c r="ABI87" s="16"/>
      <c r="ABJ87" s="16"/>
      <c r="ABK87" s="16"/>
      <c r="ABL87" s="16"/>
      <c r="ABM87" s="16"/>
      <c r="ABN87" s="16"/>
      <c r="ABO87" s="16"/>
      <c r="ABP87" s="16"/>
      <c r="ABQ87" s="16"/>
      <c r="ABR87" s="16"/>
      <c r="ABS87" s="16"/>
      <c r="ABT87" s="16"/>
      <c r="ABU87" s="16"/>
      <c r="ABV87" s="16"/>
      <c r="ABW87" s="16"/>
      <c r="ABX87" s="16"/>
      <c r="ABY87" s="16"/>
      <c r="ABZ87" s="16"/>
      <c r="ACA87" s="16"/>
      <c r="ACB87" s="16"/>
      <c r="ACC87" s="16"/>
      <c r="ACD87" s="16"/>
      <c r="ACE87" s="16"/>
      <c r="ACF87" s="16"/>
      <c r="ACG87" s="16"/>
      <c r="ACH87" s="16"/>
      <c r="ACI87" s="16"/>
      <c r="ACJ87" s="16"/>
      <c r="ACK87" s="16"/>
      <c r="ACL87" s="16"/>
      <c r="ACM87" s="16"/>
      <c r="ACN87" s="16"/>
      <c r="ACO87" s="16"/>
      <c r="ACP87" s="16"/>
      <c r="ACQ87" s="16"/>
      <c r="ACR87" s="16"/>
      <c r="ACS87" s="16"/>
      <c r="ACT87" s="16"/>
      <c r="ACU87" s="16"/>
      <c r="ACV87" s="16"/>
      <c r="ACW87" s="16"/>
      <c r="ACX87" s="16"/>
      <c r="ACY87" s="16"/>
      <c r="ACZ87" s="16"/>
      <c r="ADA87" s="16"/>
      <c r="ADB87" s="16"/>
      <c r="ADC87" s="16"/>
      <c r="ADD87" s="16"/>
      <c r="ADE87" s="16"/>
      <c r="ADF87" s="16"/>
      <c r="ADG87" s="16"/>
      <c r="ADH87" s="16"/>
      <c r="ADI87" s="16"/>
      <c r="ADJ87" s="16"/>
      <c r="ADK87" s="16"/>
      <c r="ADL87" s="16"/>
      <c r="ADM87" s="16"/>
      <c r="ADN87" s="16"/>
      <c r="ADO87" s="16"/>
      <c r="ADP87" s="16"/>
      <c r="ADQ87" s="16"/>
      <c r="ADR87" s="16"/>
      <c r="ADS87" s="16"/>
      <c r="ADT87" s="16"/>
      <c r="ADU87" s="16"/>
      <c r="ADV87" s="16"/>
      <c r="ADW87" s="16"/>
      <c r="ADX87" s="16"/>
      <c r="ADY87" s="16"/>
      <c r="ADZ87" s="16"/>
      <c r="AEA87" s="16"/>
      <c r="AEB87" s="16"/>
      <c r="AEC87" s="16"/>
      <c r="AED87" s="16"/>
      <c r="AEE87" s="16"/>
      <c r="AEF87" s="16"/>
      <c r="AEG87" s="16"/>
      <c r="AEH87" s="16"/>
      <c r="AEI87" s="16"/>
      <c r="AEJ87" s="16"/>
      <c r="AEK87" s="16"/>
      <c r="AEL87" s="16"/>
      <c r="AEM87" s="16"/>
      <c r="AEN87" s="16"/>
      <c r="AEO87" s="16"/>
      <c r="AEP87" s="16"/>
      <c r="AEQ87" s="16"/>
      <c r="AER87" s="16"/>
      <c r="AES87" s="16"/>
      <c r="AET87" s="16"/>
      <c r="AEU87" s="16"/>
      <c r="AEV87" s="16"/>
      <c r="AEW87" s="16"/>
      <c r="AEX87" s="16"/>
      <c r="AEY87" s="16"/>
      <c r="AEZ87" s="16"/>
      <c r="AFA87" s="16"/>
      <c r="AFB87" s="16"/>
      <c r="AFC87" s="16"/>
      <c r="AFD87" s="16"/>
      <c r="AFE87" s="16"/>
      <c r="AFF87" s="16"/>
      <c r="AFG87" s="16"/>
      <c r="AFH87" s="16"/>
      <c r="AFI87" s="16"/>
      <c r="AFJ87" s="16"/>
      <c r="AFK87" s="16"/>
      <c r="AFL87" s="16"/>
      <c r="AFM87" s="16"/>
      <c r="AFN87" s="16"/>
      <c r="AFO87" s="16"/>
      <c r="AFP87" s="16"/>
      <c r="AFQ87" s="16"/>
      <c r="AFR87" s="16"/>
      <c r="AFS87" s="16"/>
      <c r="AFT87" s="16"/>
      <c r="AFU87" s="16"/>
      <c r="AFV87" s="16"/>
      <c r="AFW87" s="16"/>
      <c r="AFX87" s="16"/>
      <c r="AFY87" s="16"/>
      <c r="AFZ87" s="16"/>
      <c r="AGA87" s="16"/>
      <c r="AGB87" s="16"/>
      <c r="AGC87" s="16"/>
      <c r="AGD87" s="16"/>
      <c r="AGE87" s="16"/>
      <c r="AGF87" s="16"/>
      <c r="AGG87" s="16"/>
      <c r="AGH87" s="16"/>
      <c r="AGI87" s="16"/>
      <c r="AGJ87" s="16"/>
      <c r="AGK87" s="16"/>
      <c r="AGL87" s="16"/>
      <c r="AGM87" s="16"/>
      <c r="AGN87" s="16"/>
      <c r="AGO87" s="16"/>
      <c r="AGP87" s="16"/>
      <c r="AGQ87" s="16"/>
      <c r="AGR87" s="16"/>
      <c r="AGS87" s="16"/>
      <c r="AGT87" s="16"/>
      <c r="AGU87" s="16"/>
      <c r="AGV87" s="16"/>
      <c r="AGW87" s="16"/>
      <c r="AGX87" s="16"/>
      <c r="AGY87" s="16"/>
      <c r="AGZ87" s="16"/>
      <c r="AHA87" s="16"/>
      <c r="AHB87" s="16"/>
      <c r="AHC87" s="16"/>
      <c r="AHD87" s="16"/>
      <c r="AHE87" s="16"/>
      <c r="AHF87" s="16"/>
      <c r="AHG87" s="16"/>
      <c r="AHH87" s="16"/>
      <c r="AHI87" s="16"/>
      <c r="AHJ87" s="16"/>
      <c r="AHK87" s="16"/>
      <c r="AHL87" s="16"/>
      <c r="AHM87" s="16"/>
      <c r="AHN87" s="16"/>
      <c r="AHO87" s="16"/>
      <c r="AHP87" s="16"/>
      <c r="AHQ87" s="16"/>
      <c r="AHR87" s="16"/>
      <c r="AHS87" s="16"/>
      <c r="AHT87" s="16"/>
      <c r="AHU87" s="16"/>
      <c r="AHV87" s="16"/>
      <c r="AHW87" s="16"/>
      <c r="AHX87" s="16"/>
      <c r="AHY87" s="16"/>
      <c r="AHZ87" s="16"/>
      <c r="AIA87" s="16"/>
      <c r="AIB87" s="16"/>
      <c r="AIC87" s="16"/>
      <c r="AID87" s="16"/>
      <c r="AIE87" s="16"/>
      <c r="AIF87" s="16"/>
      <c r="AIG87" s="16"/>
      <c r="AIH87" s="16"/>
      <c r="AII87" s="16"/>
      <c r="AIJ87" s="16"/>
      <c r="AIK87" s="16"/>
      <c r="AIL87" s="16"/>
      <c r="AIM87" s="16"/>
      <c r="AIN87" s="16"/>
      <c r="AIO87" s="16"/>
      <c r="AIP87" s="16"/>
      <c r="AIQ87" s="16"/>
      <c r="AIR87" s="16"/>
      <c r="AIS87" s="16"/>
      <c r="AIT87" s="16"/>
      <c r="AIU87" s="16"/>
      <c r="AIV87" s="16"/>
      <c r="AIW87" s="16"/>
      <c r="AIX87" s="16"/>
      <c r="AIY87" s="16"/>
      <c r="AIZ87" s="16"/>
      <c r="AJA87" s="16"/>
      <c r="AJB87" s="16"/>
      <c r="AJC87" s="16"/>
      <c r="AJD87" s="16"/>
      <c r="AJE87" s="16"/>
      <c r="AJF87" s="16"/>
      <c r="AJG87" s="16"/>
      <c r="AJH87" s="16"/>
      <c r="AJI87" s="16"/>
      <c r="AJJ87" s="16"/>
      <c r="AJK87" s="16"/>
      <c r="AJL87" s="16"/>
      <c r="AJM87" s="16"/>
      <c r="AJN87" s="16"/>
      <c r="AJO87" s="16"/>
      <c r="AJP87" s="16"/>
      <c r="AJQ87" s="16"/>
      <c r="AJR87" s="16"/>
      <c r="AJS87" s="16"/>
      <c r="AJT87" s="16"/>
      <c r="AJU87" s="16"/>
      <c r="AJV87" s="16"/>
      <c r="AJW87" s="16"/>
      <c r="AJX87" s="16"/>
      <c r="AJY87" s="16"/>
      <c r="AJZ87" s="16"/>
      <c r="AKA87" s="16"/>
      <c r="AKB87" s="16"/>
      <c r="AKC87" s="16"/>
      <c r="AKD87" s="16"/>
      <c r="AKE87" s="16"/>
      <c r="AKF87" s="16"/>
      <c r="AKG87" s="16"/>
      <c r="AKH87" s="16"/>
      <c r="AKI87" s="16"/>
      <c r="AKJ87" s="16"/>
      <c r="AKK87" s="16"/>
      <c r="AKL87" s="16"/>
      <c r="AKM87" s="16"/>
      <c r="AKN87" s="16"/>
      <c r="AKO87" s="16"/>
      <c r="AKP87" s="16"/>
      <c r="AKQ87" s="16"/>
      <c r="AKR87" s="16"/>
      <c r="AKS87" s="16"/>
      <c r="AKT87" s="16"/>
      <c r="AKU87" s="16"/>
      <c r="AKV87" s="16"/>
      <c r="AKW87" s="16"/>
      <c r="AKX87" s="16"/>
      <c r="AKY87" s="16"/>
      <c r="AKZ87" s="16"/>
      <c r="ALA87" s="16"/>
      <c r="ALB87" s="16"/>
      <c r="ALC87" s="16"/>
      <c r="ALD87" s="16"/>
      <c r="ALE87" s="16"/>
      <c r="ALF87" s="16"/>
      <c r="ALG87" s="16"/>
      <c r="ALH87" s="16"/>
      <c r="ALI87" s="16"/>
      <c r="ALJ87" s="16"/>
      <c r="ALK87" s="16"/>
      <c r="ALL87" s="16"/>
      <c r="ALM87" s="16"/>
      <c r="ALN87" s="16"/>
      <c r="ALO87" s="16"/>
      <c r="ALP87" s="16"/>
      <c r="ALQ87" s="16"/>
      <c r="ALR87" s="16"/>
      <c r="ALS87" s="16"/>
      <c r="ALT87" s="16"/>
      <c r="ALU87" s="16"/>
      <c r="ALV87" s="16"/>
      <c r="ALW87" s="16"/>
      <c r="ALX87" s="16"/>
      <c r="ALY87" s="16"/>
      <c r="ALZ87" s="16"/>
      <c r="AMA87" s="16"/>
      <c r="AMB87" s="16"/>
      <c r="AMC87" s="16"/>
      <c r="AMD87" s="16"/>
      <c r="AME87" s="16"/>
      <c r="AMF87" s="16"/>
      <c r="AMG87" s="16"/>
      <c r="AMH87" s="16"/>
      <c r="AMI87" s="16"/>
      <c r="AMJ87" s="16"/>
      <c r="AMK87" s="16"/>
      <c r="AML87" s="16"/>
      <c r="AMM87" s="16"/>
      <c r="AMN87" s="16"/>
      <c r="AMO87" s="16"/>
      <c r="AMP87" s="16"/>
      <c r="AMQ87" s="16"/>
      <c r="AMR87" s="16"/>
      <c r="AMS87" s="16"/>
      <c r="AMT87" s="16"/>
      <c r="AMU87" s="16"/>
      <c r="AMV87" s="16"/>
      <c r="AMW87" s="16"/>
      <c r="AMX87" s="16"/>
      <c r="AMY87" s="16"/>
      <c r="AMZ87" s="16"/>
      <c r="ANA87" s="16"/>
      <c r="ANB87" s="16"/>
      <c r="ANC87" s="16"/>
      <c r="AND87" s="16"/>
      <c r="ANE87" s="16"/>
      <c r="ANF87" s="16"/>
      <c r="ANG87" s="16"/>
      <c r="ANH87" s="16"/>
      <c r="ANI87" s="16"/>
      <c r="ANJ87" s="16"/>
      <c r="ANK87" s="16"/>
      <c r="ANL87" s="16"/>
      <c r="ANM87" s="16"/>
      <c r="ANN87" s="16"/>
      <c r="ANO87" s="16"/>
      <c r="ANP87" s="16"/>
      <c r="ANQ87" s="16"/>
      <c r="ANR87" s="16"/>
      <c r="ANS87" s="16"/>
      <c r="ANT87" s="16"/>
      <c r="ANU87" s="16"/>
      <c r="ANV87" s="16"/>
      <c r="ANW87" s="16"/>
      <c r="ANX87" s="16"/>
      <c r="ANY87" s="16"/>
      <c r="ANZ87" s="16"/>
      <c r="AOA87" s="16"/>
      <c r="AOB87" s="16"/>
      <c r="AOC87" s="16"/>
      <c r="AOD87" s="16"/>
      <c r="AOE87" s="16"/>
      <c r="AOF87" s="16"/>
      <c r="AOG87" s="16"/>
      <c r="AOH87" s="16"/>
      <c r="AOI87" s="16"/>
      <c r="AOJ87" s="16"/>
      <c r="AOK87" s="16"/>
      <c r="AOL87" s="16"/>
      <c r="AOM87" s="16"/>
      <c r="AON87" s="16"/>
      <c r="AOO87" s="16"/>
      <c r="AOP87" s="16"/>
      <c r="AOQ87" s="16"/>
      <c r="AOR87" s="16"/>
      <c r="AOS87" s="16"/>
      <c r="AOT87" s="16"/>
      <c r="AOU87" s="16"/>
      <c r="AOV87" s="16"/>
      <c r="AOW87" s="16"/>
      <c r="AOX87" s="16"/>
      <c r="AOY87" s="16"/>
      <c r="AOZ87" s="16"/>
      <c r="APA87" s="16"/>
      <c r="APB87" s="16"/>
      <c r="APC87" s="16"/>
      <c r="APD87" s="16"/>
      <c r="APE87" s="16"/>
      <c r="APF87" s="16"/>
      <c r="APG87" s="16"/>
      <c r="APH87" s="16"/>
      <c r="API87" s="16"/>
      <c r="APJ87" s="16"/>
      <c r="APK87" s="16"/>
      <c r="APL87" s="16"/>
      <c r="APM87" s="16"/>
      <c r="APN87" s="16"/>
      <c r="APO87" s="16"/>
      <c r="APP87" s="16"/>
      <c r="APQ87" s="16"/>
      <c r="APR87" s="16"/>
      <c r="APS87" s="16"/>
      <c r="APT87" s="16"/>
      <c r="APU87" s="16"/>
      <c r="APV87" s="16"/>
      <c r="APW87" s="16"/>
      <c r="APX87" s="16"/>
      <c r="APY87" s="16"/>
      <c r="APZ87" s="16"/>
      <c r="AQA87" s="16"/>
      <c r="AQB87" s="16"/>
      <c r="AQC87" s="16"/>
      <c r="AQD87" s="16"/>
      <c r="AQE87" s="16"/>
      <c r="AQF87" s="16"/>
      <c r="AQG87" s="16"/>
      <c r="AQH87" s="16"/>
      <c r="AQI87" s="16"/>
      <c r="AQJ87" s="16"/>
      <c r="AQK87" s="16"/>
      <c r="AQL87" s="16"/>
      <c r="AQM87" s="16"/>
      <c r="AQN87" s="16"/>
      <c r="AQO87" s="16"/>
      <c r="AQP87" s="16"/>
      <c r="AQQ87" s="16"/>
      <c r="AQR87" s="16"/>
      <c r="AQS87" s="16"/>
      <c r="AQT87" s="16"/>
      <c r="AQU87" s="16"/>
      <c r="AQV87" s="16"/>
      <c r="AQW87" s="16"/>
      <c r="AQX87" s="16"/>
      <c r="AQY87" s="16"/>
      <c r="AQZ87" s="16"/>
      <c r="ARA87" s="16"/>
      <c r="ARB87" s="16"/>
      <c r="ARC87" s="16"/>
      <c r="ARD87" s="16"/>
      <c r="ARE87" s="16"/>
      <c r="ARF87" s="16"/>
      <c r="ARG87" s="16"/>
      <c r="ARH87" s="16"/>
      <c r="ARI87" s="16"/>
      <c r="ARJ87" s="16"/>
      <c r="ARK87" s="16"/>
      <c r="ARL87" s="16"/>
      <c r="ARM87" s="16"/>
      <c r="ARN87" s="16"/>
      <c r="ARO87" s="16"/>
      <c r="ARP87" s="16"/>
      <c r="ARQ87" s="16"/>
      <c r="ARR87" s="16"/>
      <c r="ARS87" s="16"/>
      <c r="ART87" s="16"/>
      <c r="ARU87" s="16"/>
      <c r="ARV87" s="16"/>
      <c r="ARW87" s="16"/>
      <c r="ARX87" s="16"/>
      <c r="ARY87" s="16"/>
      <c r="ARZ87" s="16"/>
      <c r="ASA87" s="16"/>
      <c r="ASB87" s="16"/>
      <c r="ASC87" s="16"/>
      <c r="ASD87" s="16"/>
      <c r="ASE87" s="16"/>
      <c r="ASF87" s="16"/>
      <c r="ASG87" s="16"/>
      <c r="ASH87" s="16"/>
      <c r="ASI87" s="16"/>
      <c r="ASJ87" s="16"/>
      <c r="ASK87" s="16"/>
      <c r="ASL87" s="16"/>
      <c r="ASM87" s="16"/>
      <c r="ASN87" s="16"/>
      <c r="ASO87" s="16"/>
      <c r="ASP87" s="16"/>
      <c r="ASQ87" s="16"/>
      <c r="ASR87" s="16"/>
      <c r="ASS87" s="16"/>
      <c r="AST87" s="16"/>
      <c r="ASU87" s="16"/>
      <c r="ASV87" s="16"/>
      <c r="ASW87" s="16"/>
      <c r="ASX87" s="16"/>
      <c r="ASY87" s="16"/>
      <c r="ASZ87" s="16"/>
      <c r="ATA87" s="16"/>
      <c r="ATB87" s="16"/>
      <c r="ATC87" s="16"/>
      <c r="ATD87" s="16"/>
      <c r="ATE87" s="16"/>
      <c r="ATF87" s="16"/>
      <c r="ATG87" s="16"/>
      <c r="ATH87" s="16"/>
      <c r="ATI87" s="16"/>
      <c r="ATJ87" s="16"/>
      <c r="ATK87" s="16"/>
      <c r="ATL87" s="16"/>
      <c r="ATM87" s="16"/>
      <c r="ATN87" s="16"/>
      <c r="ATO87" s="16"/>
      <c r="ATP87" s="16"/>
      <c r="ATQ87" s="16"/>
      <c r="ATR87" s="16"/>
      <c r="ATS87" s="16"/>
      <c r="ATT87" s="16"/>
      <c r="ATU87" s="16"/>
      <c r="ATV87" s="16"/>
      <c r="ATW87" s="16"/>
      <c r="ATX87" s="16"/>
      <c r="ATY87" s="16"/>
      <c r="ATZ87" s="16"/>
      <c r="AUA87" s="16"/>
      <c r="AUB87" s="16"/>
      <c r="AUC87" s="16"/>
      <c r="AUD87" s="16"/>
      <c r="AUE87" s="16"/>
      <c r="AUF87" s="16"/>
      <c r="AUG87" s="16"/>
      <c r="AUH87" s="16"/>
      <c r="AUI87" s="16"/>
      <c r="AUJ87" s="16"/>
      <c r="AUK87" s="16"/>
      <c r="AUL87" s="16"/>
      <c r="AUM87" s="16"/>
      <c r="AUN87" s="16"/>
      <c r="AUO87" s="16"/>
      <c r="AUP87" s="16"/>
      <c r="AUQ87" s="16"/>
      <c r="AUR87" s="16"/>
      <c r="AUS87" s="16"/>
      <c r="AUT87" s="16"/>
      <c r="AUU87" s="16"/>
      <c r="AUV87" s="16"/>
      <c r="AUW87" s="16"/>
      <c r="AUX87" s="16"/>
      <c r="AUY87" s="16"/>
      <c r="AUZ87" s="16"/>
      <c r="AVA87" s="16"/>
      <c r="AVB87" s="16"/>
      <c r="AVC87" s="16"/>
      <c r="AVD87" s="16"/>
      <c r="AVE87" s="16"/>
      <c r="AVF87" s="16"/>
      <c r="AVG87" s="16"/>
      <c r="AVH87" s="16"/>
      <c r="AVI87" s="16"/>
      <c r="AVJ87" s="16"/>
      <c r="AVK87" s="16"/>
      <c r="AVL87" s="16"/>
      <c r="AVM87" s="16"/>
      <c r="AVN87" s="16"/>
      <c r="AVO87" s="16"/>
      <c r="AVP87" s="16"/>
      <c r="AVQ87" s="16"/>
      <c r="AVR87" s="16"/>
      <c r="AVS87" s="16"/>
      <c r="AVT87" s="16"/>
      <c r="AVU87" s="16"/>
      <c r="AVV87" s="16"/>
      <c r="AVW87" s="16"/>
      <c r="AVX87" s="16"/>
      <c r="AVY87" s="16"/>
      <c r="AVZ87" s="16"/>
      <c r="AWA87" s="16"/>
      <c r="AWB87" s="16"/>
      <c r="AWC87" s="16"/>
      <c r="AWD87" s="16"/>
      <c r="AWE87" s="16"/>
      <c r="AWF87" s="16"/>
      <c r="AWG87" s="16"/>
      <c r="AWH87" s="16"/>
      <c r="AWI87" s="16"/>
      <c r="AWJ87" s="16"/>
      <c r="AWK87" s="16"/>
      <c r="AWL87" s="16"/>
      <c r="AWM87" s="16"/>
      <c r="AWN87" s="16"/>
      <c r="AWO87" s="16"/>
      <c r="AWP87" s="16"/>
      <c r="AWQ87" s="16"/>
      <c r="AWR87" s="16"/>
      <c r="AWS87" s="16"/>
      <c r="AWT87" s="16"/>
      <c r="AWU87" s="16"/>
      <c r="AWV87" s="16"/>
      <c r="AWW87" s="16"/>
      <c r="AWX87" s="16"/>
      <c r="AWY87" s="16"/>
      <c r="AWZ87" s="16"/>
      <c r="AXA87" s="16"/>
      <c r="AXB87" s="16"/>
      <c r="AXC87" s="16"/>
      <c r="AXD87" s="16"/>
      <c r="AXE87" s="16"/>
      <c r="AXF87" s="16"/>
      <c r="AXG87" s="16"/>
      <c r="AXH87" s="16"/>
      <c r="AXI87" s="16"/>
      <c r="AXJ87" s="16"/>
      <c r="AXK87" s="16"/>
      <c r="AXL87" s="16"/>
      <c r="AXM87" s="16"/>
      <c r="AXN87" s="16"/>
      <c r="AXO87" s="16"/>
      <c r="AXP87" s="16"/>
      <c r="AXQ87" s="16"/>
      <c r="AXR87" s="16"/>
      <c r="AXS87" s="16"/>
      <c r="AXT87" s="16"/>
      <c r="AXU87" s="16"/>
      <c r="AXV87" s="16"/>
      <c r="AXW87" s="16"/>
      <c r="AXX87" s="16"/>
      <c r="AXY87" s="16"/>
      <c r="AXZ87" s="16"/>
      <c r="AYA87" s="16"/>
      <c r="AYB87" s="16"/>
      <c r="AYC87" s="16"/>
      <c r="AYD87" s="16"/>
      <c r="AYE87" s="16"/>
      <c r="AYF87" s="16"/>
      <c r="AYG87" s="16"/>
      <c r="AYH87" s="16"/>
      <c r="AYI87" s="16"/>
      <c r="AYJ87" s="16"/>
      <c r="AYK87" s="16"/>
      <c r="AYL87" s="16"/>
      <c r="AYM87" s="16"/>
      <c r="AYN87" s="16"/>
      <c r="AYO87" s="16"/>
      <c r="AYP87" s="16"/>
      <c r="AYQ87" s="16"/>
      <c r="AYR87" s="16"/>
      <c r="AYS87" s="16"/>
      <c r="AYT87" s="16"/>
      <c r="AYU87" s="16"/>
      <c r="AYV87" s="16"/>
      <c r="AYW87" s="16"/>
      <c r="AYX87" s="16"/>
      <c r="AYY87" s="16"/>
      <c r="AYZ87" s="16"/>
      <c r="AZA87" s="16"/>
      <c r="AZB87" s="16"/>
      <c r="AZC87" s="16"/>
      <c r="AZD87" s="16"/>
      <c r="AZE87" s="16"/>
      <c r="AZF87" s="16"/>
      <c r="AZG87" s="16"/>
      <c r="AZH87" s="16"/>
      <c r="AZI87" s="16"/>
      <c r="AZJ87" s="16"/>
      <c r="AZK87" s="16"/>
      <c r="AZL87" s="16"/>
      <c r="AZM87" s="16"/>
      <c r="AZN87" s="16"/>
      <c r="AZO87" s="16"/>
      <c r="AZP87" s="16"/>
      <c r="AZQ87" s="16"/>
      <c r="AZR87" s="16"/>
      <c r="AZS87" s="16"/>
      <c r="AZT87" s="16"/>
      <c r="AZU87" s="16"/>
      <c r="AZV87" s="16"/>
      <c r="AZW87" s="16"/>
      <c r="AZX87" s="16"/>
      <c r="AZY87" s="16"/>
      <c r="AZZ87" s="16"/>
      <c r="BAA87" s="16"/>
      <c r="BAB87" s="16"/>
      <c r="BAC87" s="16"/>
      <c r="BAD87" s="16"/>
      <c r="BAE87" s="16"/>
      <c r="BAF87" s="16"/>
      <c r="BAG87" s="16"/>
      <c r="BAH87" s="16"/>
      <c r="BAI87" s="16"/>
      <c r="BAJ87" s="16"/>
      <c r="BAK87" s="16"/>
      <c r="BAL87" s="16"/>
      <c r="BAM87" s="16"/>
      <c r="BAN87" s="16"/>
      <c r="BAO87" s="16"/>
      <c r="BAP87" s="16"/>
      <c r="BAQ87" s="16"/>
      <c r="BAR87" s="16"/>
      <c r="BAS87" s="16"/>
      <c r="BAT87" s="16"/>
      <c r="BAU87" s="16"/>
      <c r="BAV87" s="16"/>
      <c r="BAW87" s="16"/>
      <c r="BAX87" s="16"/>
      <c r="BAY87" s="16"/>
      <c r="BAZ87" s="16"/>
      <c r="BBA87" s="16"/>
      <c r="BBB87" s="16"/>
      <c r="BBC87" s="16"/>
      <c r="BBD87" s="16"/>
      <c r="BBE87" s="16"/>
      <c r="BBF87" s="16"/>
      <c r="BBG87" s="16"/>
      <c r="BBH87" s="16"/>
      <c r="BBI87" s="16"/>
      <c r="BBJ87" s="16"/>
      <c r="BBK87" s="16"/>
      <c r="BBL87" s="16"/>
      <c r="BBM87" s="16"/>
      <c r="BBN87" s="16"/>
      <c r="BBO87" s="16"/>
      <c r="BBP87" s="16"/>
      <c r="BBQ87" s="16"/>
      <c r="BBR87" s="16"/>
      <c r="BBS87" s="16"/>
      <c r="BBT87" s="16"/>
      <c r="BBU87" s="16"/>
      <c r="BBV87" s="16"/>
      <c r="BBW87" s="16"/>
      <c r="BBX87" s="16"/>
      <c r="BBY87" s="16"/>
      <c r="BBZ87" s="16"/>
      <c r="BCA87" s="16"/>
      <c r="BCB87" s="16"/>
      <c r="BCC87" s="16"/>
      <c r="BCD87" s="16"/>
      <c r="BCE87" s="16"/>
      <c r="BCF87" s="16"/>
      <c r="BCG87" s="16"/>
      <c r="BCH87" s="16"/>
      <c r="BCI87" s="16"/>
      <c r="BCJ87" s="16"/>
      <c r="BCK87" s="16"/>
      <c r="BCL87" s="16"/>
      <c r="BCM87" s="16"/>
      <c r="BCN87" s="16"/>
      <c r="BCO87" s="16"/>
      <c r="BCP87" s="16"/>
      <c r="BCQ87" s="16"/>
      <c r="BCR87" s="16"/>
      <c r="BCS87" s="16"/>
      <c r="BCT87" s="16"/>
      <c r="BCU87" s="16"/>
      <c r="BCV87" s="16"/>
      <c r="BCW87" s="16"/>
      <c r="BCX87" s="16"/>
      <c r="BCY87" s="16"/>
      <c r="BCZ87" s="16"/>
      <c r="BDA87" s="16"/>
      <c r="BDB87" s="16"/>
      <c r="BDC87" s="16"/>
      <c r="BDD87" s="16"/>
      <c r="BDE87" s="16"/>
      <c r="BDF87" s="16"/>
      <c r="BDG87" s="16"/>
      <c r="BDH87" s="16"/>
      <c r="BDI87" s="16"/>
      <c r="BDJ87" s="16"/>
      <c r="BDK87" s="16"/>
      <c r="BDL87" s="16"/>
      <c r="BDM87" s="16"/>
      <c r="BDN87" s="16"/>
      <c r="BDO87" s="16"/>
      <c r="BDP87" s="16"/>
      <c r="BDQ87" s="16"/>
      <c r="BDR87" s="16"/>
      <c r="BDS87" s="16"/>
      <c r="BDT87" s="16"/>
      <c r="BDU87" s="16"/>
      <c r="BDV87" s="16"/>
      <c r="BDW87" s="16"/>
      <c r="BDX87" s="16"/>
      <c r="BDY87" s="16"/>
      <c r="BDZ87" s="16"/>
      <c r="BEA87" s="16"/>
      <c r="BEB87" s="16"/>
      <c r="BEC87" s="16"/>
      <c r="BED87" s="16"/>
      <c r="BEE87" s="16"/>
      <c r="BEF87" s="16"/>
      <c r="BEG87" s="16"/>
      <c r="BEH87" s="16"/>
      <c r="BEI87" s="16"/>
      <c r="BEJ87" s="16"/>
      <c r="BEK87" s="16"/>
      <c r="BEL87" s="16"/>
      <c r="BEM87" s="16"/>
      <c r="BEN87" s="16"/>
      <c r="BEO87" s="16"/>
      <c r="BEP87" s="16"/>
      <c r="BEQ87" s="16"/>
      <c r="BER87" s="16"/>
      <c r="BES87" s="16"/>
      <c r="BET87" s="16"/>
      <c r="BEU87" s="16"/>
      <c r="BEV87" s="16"/>
      <c r="BEW87" s="16"/>
      <c r="BEX87" s="16"/>
      <c r="BEY87" s="16"/>
      <c r="BEZ87" s="16"/>
      <c r="BFA87" s="16"/>
      <c r="BFB87" s="16"/>
      <c r="BFC87" s="16"/>
      <c r="BFD87" s="16"/>
      <c r="BFE87" s="16"/>
      <c r="BFF87" s="16"/>
      <c r="BFG87" s="16"/>
      <c r="BFH87" s="16"/>
      <c r="BFI87" s="16"/>
      <c r="BFJ87" s="16"/>
      <c r="BFK87" s="16"/>
      <c r="BFL87" s="16"/>
      <c r="BFM87" s="16"/>
      <c r="BFN87" s="16"/>
      <c r="BFO87" s="16"/>
      <c r="BFP87" s="16"/>
      <c r="BFQ87" s="16"/>
      <c r="BFR87" s="16"/>
      <c r="BFS87" s="16"/>
      <c r="BFT87" s="16"/>
      <c r="BFU87" s="16"/>
      <c r="BFV87" s="16"/>
      <c r="BFW87" s="16"/>
      <c r="BFX87" s="16"/>
      <c r="BFY87" s="16"/>
      <c r="BFZ87" s="16"/>
      <c r="BGA87" s="16"/>
      <c r="BGB87" s="16"/>
      <c r="BGC87" s="16"/>
      <c r="BGD87" s="16"/>
      <c r="BGE87" s="16"/>
      <c r="BGF87" s="16"/>
      <c r="BGG87" s="16"/>
      <c r="BGH87" s="16"/>
      <c r="BGI87" s="16"/>
      <c r="BGJ87" s="16"/>
      <c r="BGK87" s="16"/>
      <c r="BGL87" s="16"/>
      <c r="BGM87" s="16"/>
      <c r="BGN87" s="16"/>
      <c r="BGO87" s="16"/>
      <c r="BGP87" s="16"/>
      <c r="BGQ87" s="16"/>
      <c r="BGR87" s="16"/>
      <c r="BGS87" s="16"/>
      <c r="BGT87" s="16"/>
      <c r="BGU87" s="16"/>
      <c r="BGV87" s="16"/>
      <c r="BGW87" s="16"/>
      <c r="BGX87" s="16"/>
      <c r="BGY87" s="16"/>
      <c r="BGZ87" s="16"/>
      <c r="BHA87" s="16"/>
      <c r="BHB87" s="16"/>
      <c r="BHC87" s="16"/>
      <c r="BHD87" s="16"/>
      <c r="BHE87" s="16"/>
      <c r="BHF87" s="16"/>
      <c r="BHG87" s="16"/>
      <c r="BHH87" s="16"/>
      <c r="BHI87" s="16"/>
      <c r="BHJ87" s="16"/>
      <c r="BHK87" s="16"/>
      <c r="BHL87" s="16"/>
      <c r="BHM87" s="16"/>
      <c r="BHN87" s="16"/>
      <c r="BHO87" s="16"/>
      <c r="BHP87" s="16"/>
      <c r="BHQ87" s="16"/>
      <c r="BHR87" s="16"/>
      <c r="BHS87" s="16"/>
      <c r="BHT87" s="16"/>
      <c r="BHU87" s="16"/>
      <c r="BHV87" s="16"/>
      <c r="BHW87" s="16"/>
      <c r="BHX87" s="16"/>
      <c r="BHY87" s="16"/>
      <c r="BHZ87" s="16"/>
      <c r="BIA87" s="16"/>
      <c r="BIB87" s="16"/>
      <c r="BIC87" s="16"/>
      <c r="BID87" s="16"/>
      <c r="BIE87" s="16"/>
      <c r="BIF87" s="16"/>
      <c r="BIG87" s="16"/>
      <c r="BIH87" s="16"/>
      <c r="BII87" s="16"/>
      <c r="BIJ87" s="16"/>
      <c r="BIK87" s="16"/>
      <c r="BIL87" s="16"/>
      <c r="BIM87" s="16"/>
      <c r="BIN87" s="16"/>
      <c r="BIO87" s="16"/>
      <c r="BIP87" s="16"/>
      <c r="BIQ87" s="16"/>
      <c r="BIR87" s="16"/>
      <c r="BIS87" s="16"/>
      <c r="BIT87" s="16"/>
      <c r="BIU87" s="16"/>
      <c r="BIV87" s="16"/>
      <c r="BIW87" s="16"/>
      <c r="BIX87" s="16"/>
      <c r="BIY87" s="16"/>
      <c r="BIZ87" s="16"/>
      <c r="BJA87" s="16"/>
      <c r="BJB87" s="16"/>
      <c r="BJC87" s="16"/>
      <c r="BJD87" s="16"/>
      <c r="BJE87" s="16"/>
      <c r="BJF87" s="16"/>
      <c r="BJG87" s="16"/>
      <c r="BJH87" s="16"/>
      <c r="BJI87" s="16"/>
      <c r="BJJ87" s="16"/>
      <c r="BJK87" s="16"/>
      <c r="BJL87" s="16"/>
      <c r="BJM87" s="16"/>
      <c r="BJN87" s="16"/>
      <c r="BJO87" s="16"/>
      <c r="BJP87" s="16"/>
      <c r="BJQ87" s="16"/>
      <c r="BJR87" s="16"/>
      <c r="BJS87" s="16"/>
      <c r="BJT87" s="16"/>
      <c r="BJU87" s="16"/>
      <c r="BJV87" s="16"/>
      <c r="BJW87" s="16"/>
      <c r="BJX87" s="16"/>
      <c r="BJY87" s="16"/>
      <c r="BJZ87" s="16"/>
      <c r="BKA87" s="16"/>
      <c r="BKB87" s="16"/>
      <c r="BKC87" s="16"/>
      <c r="BKD87" s="16"/>
      <c r="BKE87" s="16"/>
      <c r="BKF87" s="16"/>
      <c r="BKG87" s="16"/>
      <c r="BKH87" s="16"/>
      <c r="BKI87" s="16"/>
      <c r="BKJ87" s="16"/>
      <c r="BKK87" s="16"/>
      <c r="BKL87" s="16"/>
      <c r="BKM87" s="16"/>
      <c r="BKN87" s="16"/>
      <c r="BKO87" s="16"/>
      <c r="BKP87" s="16"/>
      <c r="BKQ87" s="16"/>
      <c r="BKR87" s="16"/>
      <c r="BKS87" s="16"/>
      <c r="BKT87" s="16"/>
      <c r="BKU87" s="16"/>
      <c r="BKV87" s="16"/>
      <c r="BKW87" s="16"/>
      <c r="BKX87" s="16"/>
      <c r="BKY87" s="16"/>
      <c r="BKZ87" s="16"/>
      <c r="BLA87" s="16"/>
      <c r="BLB87" s="16"/>
      <c r="BLC87" s="16"/>
      <c r="BLD87" s="16"/>
      <c r="BLE87" s="16"/>
      <c r="BLF87" s="16"/>
      <c r="BLG87" s="16"/>
      <c r="BLH87" s="16"/>
      <c r="BLI87" s="16"/>
      <c r="BLJ87" s="16"/>
      <c r="BLK87" s="16"/>
      <c r="BLL87" s="16"/>
      <c r="BLM87" s="16"/>
      <c r="BLN87" s="16"/>
      <c r="BLO87" s="16"/>
      <c r="BLP87" s="16"/>
      <c r="BLQ87" s="16"/>
      <c r="BLR87" s="16"/>
      <c r="BLS87" s="16"/>
      <c r="BLT87" s="16"/>
      <c r="BLU87" s="16"/>
      <c r="BLV87" s="16"/>
      <c r="BLW87" s="16"/>
      <c r="BLX87" s="16"/>
      <c r="BLY87" s="16"/>
      <c r="BLZ87" s="16"/>
      <c r="BMA87" s="16"/>
      <c r="BMB87" s="16"/>
      <c r="BMC87" s="16"/>
      <c r="BMD87" s="16"/>
      <c r="BME87" s="16"/>
      <c r="BMF87" s="16"/>
      <c r="BMG87" s="16"/>
      <c r="BMH87" s="16"/>
      <c r="BMI87" s="16"/>
      <c r="BMJ87" s="16"/>
      <c r="BMK87" s="16"/>
      <c r="BML87" s="16"/>
      <c r="BMM87" s="16"/>
      <c r="BMN87" s="16"/>
      <c r="BMO87" s="16"/>
      <c r="BMP87" s="16"/>
      <c r="BMQ87" s="16"/>
      <c r="BMR87" s="16"/>
      <c r="BMS87" s="16"/>
      <c r="BMT87" s="16"/>
      <c r="BMU87" s="16"/>
      <c r="BMV87" s="16"/>
      <c r="BMW87" s="16"/>
      <c r="BMX87" s="16"/>
      <c r="BMY87" s="16"/>
      <c r="BMZ87" s="16"/>
      <c r="BNA87" s="16"/>
      <c r="BNB87" s="16"/>
      <c r="BNC87" s="16"/>
      <c r="BND87" s="16"/>
      <c r="BNE87" s="16"/>
      <c r="BNF87" s="16"/>
      <c r="BNG87" s="16"/>
      <c r="BNH87" s="16"/>
      <c r="BNI87" s="16"/>
      <c r="BNJ87" s="16"/>
      <c r="BNK87" s="16"/>
      <c r="BNL87" s="16"/>
      <c r="BNM87" s="16"/>
      <c r="BNN87" s="16"/>
      <c r="BNO87" s="16"/>
      <c r="BNP87" s="16"/>
      <c r="BNQ87" s="16"/>
      <c r="BNR87" s="16"/>
      <c r="BNS87" s="16"/>
      <c r="BNT87" s="16"/>
      <c r="BNU87" s="16"/>
      <c r="BNV87" s="16"/>
      <c r="BNW87" s="16"/>
      <c r="BNX87" s="16"/>
      <c r="BNY87" s="16"/>
      <c r="BNZ87" s="16"/>
      <c r="BOA87" s="16"/>
      <c r="BOB87" s="16"/>
      <c r="BOC87" s="16"/>
      <c r="BOD87" s="16"/>
      <c r="BOE87" s="16"/>
      <c r="BOF87" s="16"/>
      <c r="BOG87" s="16"/>
      <c r="BOH87" s="16"/>
      <c r="BOI87" s="16"/>
      <c r="BOJ87" s="16"/>
      <c r="BOK87" s="16"/>
      <c r="BOL87" s="16"/>
      <c r="BOM87" s="16"/>
      <c r="BON87" s="16"/>
      <c r="BOO87" s="16"/>
      <c r="BOP87" s="16"/>
      <c r="BOQ87" s="16"/>
      <c r="BOR87" s="16"/>
      <c r="BOS87" s="16"/>
      <c r="BOT87" s="16"/>
      <c r="BOU87" s="16"/>
      <c r="BOV87" s="16"/>
      <c r="BOW87" s="16"/>
      <c r="BOX87" s="16"/>
      <c r="BOY87" s="16"/>
      <c r="BOZ87" s="16"/>
      <c r="BPA87" s="16"/>
      <c r="BPB87" s="16"/>
      <c r="BPC87" s="16"/>
      <c r="BPD87" s="16"/>
      <c r="BPE87" s="16"/>
      <c r="BPF87" s="16"/>
      <c r="BPG87" s="16"/>
      <c r="BPH87" s="16"/>
      <c r="BPI87" s="16"/>
      <c r="BPJ87" s="16"/>
      <c r="BPK87" s="16"/>
      <c r="BPL87" s="16"/>
      <c r="BPM87" s="16"/>
      <c r="BPN87" s="16"/>
      <c r="BPO87" s="16"/>
      <c r="BPP87" s="16"/>
      <c r="BPQ87" s="16"/>
      <c r="BPR87" s="16"/>
      <c r="BPS87" s="16"/>
      <c r="BPT87" s="16"/>
      <c r="BPU87" s="16"/>
      <c r="BPV87" s="16"/>
      <c r="BPW87" s="16"/>
      <c r="BPX87" s="16"/>
      <c r="BPY87" s="16"/>
      <c r="BPZ87" s="16"/>
      <c r="BQA87" s="16"/>
      <c r="BQB87" s="16"/>
      <c r="BQC87" s="16"/>
      <c r="BQD87" s="16"/>
      <c r="BQE87" s="16"/>
      <c r="BQF87" s="16"/>
      <c r="BQG87" s="16"/>
      <c r="BQH87" s="16"/>
      <c r="BQI87" s="16"/>
      <c r="BQJ87" s="16"/>
      <c r="BQK87" s="16"/>
      <c r="BQL87" s="16"/>
      <c r="BQM87" s="16"/>
      <c r="BQN87" s="16"/>
      <c r="BQO87" s="16"/>
      <c r="BQP87" s="16"/>
      <c r="BQQ87" s="16"/>
      <c r="BQR87" s="16"/>
      <c r="BQS87" s="16"/>
      <c r="BQT87" s="16"/>
      <c r="BQU87" s="16"/>
      <c r="BQV87" s="16"/>
      <c r="BQW87" s="16"/>
      <c r="BQX87" s="16"/>
      <c r="BQY87" s="16"/>
      <c r="BQZ87" s="16"/>
      <c r="BRA87" s="16"/>
      <c r="BRB87" s="16"/>
      <c r="BRC87" s="16"/>
      <c r="BRD87" s="16"/>
      <c r="BRE87" s="16"/>
      <c r="BRF87" s="16"/>
      <c r="BRG87" s="16"/>
      <c r="BRH87" s="16"/>
      <c r="BRI87" s="16"/>
      <c r="BRJ87" s="16"/>
      <c r="BRK87" s="16"/>
      <c r="BRL87" s="16"/>
      <c r="BRM87" s="16"/>
      <c r="BRN87" s="16"/>
      <c r="BRO87" s="16"/>
      <c r="BRP87" s="16"/>
      <c r="BRQ87" s="16"/>
      <c r="BRR87" s="16"/>
      <c r="BRS87" s="16"/>
      <c r="BRT87" s="16"/>
      <c r="BRU87" s="16"/>
      <c r="BRV87" s="16"/>
      <c r="BRW87" s="16"/>
      <c r="BRX87" s="16"/>
      <c r="BRY87" s="16"/>
      <c r="BRZ87" s="16"/>
      <c r="BSA87" s="16"/>
      <c r="BSB87" s="16"/>
      <c r="BSC87" s="16"/>
      <c r="BSD87" s="16"/>
      <c r="BSE87" s="16"/>
      <c r="BSF87" s="16"/>
      <c r="BSG87" s="16"/>
      <c r="BSH87" s="16"/>
      <c r="BSI87" s="16"/>
      <c r="BSJ87" s="16"/>
      <c r="BSK87" s="16"/>
      <c r="BSL87" s="16"/>
      <c r="BSM87" s="16"/>
      <c r="BSN87" s="16"/>
      <c r="BSO87" s="16"/>
      <c r="BSP87" s="16"/>
      <c r="BSQ87" s="16"/>
      <c r="BSR87" s="16"/>
      <c r="BSS87" s="16"/>
      <c r="BST87" s="16"/>
      <c r="BSU87" s="16"/>
      <c r="BSV87" s="16"/>
      <c r="BSW87" s="16"/>
      <c r="BSX87" s="16"/>
      <c r="BSY87" s="16"/>
      <c r="BSZ87" s="16"/>
      <c r="BTA87" s="16"/>
      <c r="BTB87" s="16"/>
      <c r="BTC87" s="16"/>
      <c r="BTD87" s="16"/>
      <c r="BTE87" s="16"/>
      <c r="BTF87" s="16"/>
      <c r="BTG87" s="16"/>
      <c r="BTH87" s="16"/>
      <c r="BTI87" s="16"/>
      <c r="BTJ87" s="16"/>
      <c r="BTK87" s="16"/>
      <c r="BTL87" s="16"/>
      <c r="BTM87" s="16"/>
      <c r="BTN87" s="16"/>
      <c r="BTO87" s="16"/>
      <c r="BTP87" s="16"/>
      <c r="BTQ87" s="16"/>
      <c r="BTR87" s="16"/>
      <c r="BTS87" s="16"/>
      <c r="BTT87" s="16"/>
      <c r="BTU87" s="16"/>
      <c r="BTV87" s="16"/>
      <c r="BTW87" s="16"/>
      <c r="BTX87" s="16"/>
      <c r="BTY87" s="16"/>
      <c r="BTZ87" s="16"/>
      <c r="BUA87" s="16"/>
      <c r="BUB87" s="16"/>
      <c r="BUC87" s="16"/>
      <c r="BUD87" s="16"/>
      <c r="BUE87" s="16"/>
      <c r="BUF87" s="16"/>
      <c r="BUG87" s="16"/>
      <c r="BUH87" s="16"/>
      <c r="BUI87" s="16"/>
      <c r="BUJ87" s="16"/>
      <c r="BUK87" s="16"/>
      <c r="BUL87" s="16"/>
      <c r="BUM87" s="16"/>
      <c r="BUN87" s="16"/>
      <c r="BUO87" s="16"/>
      <c r="BUP87" s="16"/>
      <c r="BUQ87" s="16"/>
      <c r="BUR87" s="16"/>
      <c r="BUS87" s="16"/>
      <c r="BUT87" s="16"/>
      <c r="BUU87" s="16"/>
      <c r="BUV87" s="16"/>
      <c r="BUW87" s="16"/>
      <c r="BUX87" s="16"/>
      <c r="BUY87" s="16"/>
      <c r="BUZ87" s="16"/>
      <c r="BVA87" s="16"/>
      <c r="BVB87" s="16"/>
      <c r="BVC87" s="16"/>
      <c r="BVD87" s="16"/>
      <c r="BVE87" s="16"/>
      <c r="BVF87" s="16"/>
      <c r="BVG87" s="16"/>
      <c r="BVH87" s="16"/>
      <c r="BVI87" s="16"/>
      <c r="BVJ87" s="16"/>
      <c r="BVK87" s="16"/>
      <c r="BVL87" s="16"/>
      <c r="BVM87" s="16"/>
      <c r="BVN87" s="16"/>
      <c r="BVO87" s="16"/>
      <c r="BVP87" s="16"/>
      <c r="BVQ87" s="16"/>
      <c r="BVR87" s="16"/>
      <c r="BVS87" s="16"/>
      <c r="BVT87" s="16"/>
      <c r="BVU87" s="16"/>
      <c r="BVV87" s="16"/>
      <c r="BVW87" s="16"/>
      <c r="BVX87" s="16"/>
      <c r="BVY87" s="16"/>
      <c r="BVZ87" s="16"/>
      <c r="BWA87" s="16"/>
      <c r="BWB87" s="16"/>
      <c r="BWC87" s="16"/>
      <c r="BWD87" s="16"/>
      <c r="BWE87" s="16"/>
      <c r="BWF87" s="16"/>
      <c r="BWG87" s="16"/>
      <c r="BWH87" s="16"/>
      <c r="BWI87" s="16"/>
      <c r="BWJ87" s="16"/>
      <c r="BWK87" s="16"/>
      <c r="BWL87" s="16"/>
      <c r="BWM87" s="16"/>
      <c r="BWN87" s="16"/>
      <c r="BWO87" s="16"/>
      <c r="BWP87" s="16"/>
      <c r="BWQ87" s="16"/>
      <c r="BWR87" s="16"/>
      <c r="BWS87" s="16"/>
      <c r="BWT87" s="16"/>
      <c r="BWU87" s="16"/>
      <c r="BWV87" s="16"/>
      <c r="BWW87" s="16"/>
      <c r="BWX87" s="16"/>
      <c r="BWY87" s="16"/>
      <c r="BWZ87" s="16"/>
      <c r="BXA87" s="16"/>
      <c r="BXB87" s="16"/>
      <c r="BXC87" s="16"/>
      <c r="BXD87" s="16"/>
      <c r="BXE87" s="16"/>
      <c r="BXF87" s="16"/>
      <c r="BXG87" s="16"/>
      <c r="BXH87" s="16"/>
      <c r="BXI87" s="16"/>
      <c r="BXJ87" s="16"/>
      <c r="BXK87" s="16"/>
      <c r="BXL87" s="16"/>
      <c r="BXM87" s="16"/>
      <c r="BXN87" s="16"/>
      <c r="BXO87" s="16"/>
      <c r="BXP87" s="16"/>
      <c r="BXQ87" s="16"/>
      <c r="BXR87" s="16"/>
      <c r="BXS87" s="16"/>
      <c r="BXT87" s="16"/>
      <c r="BXU87" s="16"/>
      <c r="BXV87" s="16"/>
      <c r="BXW87" s="16"/>
      <c r="BXX87" s="16"/>
      <c r="BXY87" s="16"/>
      <c r="BXZ87" s="16"/>
      <c r="BYA87" s="16"/>
      <c r="BYB87" s="16"/>
      <c r="BYC87" s="16"/>
      <c r="BYD87" s="16"/>
      <c r="BYE87" s="16"/>
      <c r="BYF87" s="16"/>
      <c r="BYG87" s="16"/>
      <c r="BYH87" s="16"/>
      <c r="BYI87" s="16"/>
      <c r="BYJ87" s="16"/>
      <c r="BYK87" s="16"/>
      <c r="BYL87" s="16"/>
      <c r="BYM87" s="16"/>
      <c r="BYN87" s="16"/>
      <c r="BYO87" s="16"/>
      <c r="BYP87" s="16"/>
      <c r="BYQ87" s="16"/>
      <c r="BYR87" s="16"/>
      <c r="BYS87" s="16"/>
      <c r="BYT87" s="16"/>
      <c r="BYU87" s="16"/>
      <c r="BYV87" s="16"/>
      <c r="BYW87" s="16"/>
      <c r="BYX87" s="16"/>
      <c r="BYY87" s="16"/>
      <c r="BYZ87" s="16"/>
      <c r="BZA87" s="16"/>
      <c r="BZB87" s="16"/>
      <c r="BZC87" s="16"/>
      <c r="BZD87" s="16"/>
      <c r="BZE87" s="16"/>
      <c r="BZF87" s="16"/>
      <c r="BZG87" s="16"/>
      <c r="BZH87" s="16"/>
      <c r="BZI87" s="16"/>
      <c r="BZJ87" s="16"/>
      <c r="BZK87" s="16"/>
      <c r="BZL87" s="16"/>
      <c r="BZM87" s="16"/>
      <c r="BZN87" s="16"/>
      <c r="BZO87" s="16"/>
      <c r="BZP87" s="16"/>
      <c r="BZQ87" s="16"/>
      <c r="BZR87" s="16"/>
      <c r="BZS87" s="16"/>
      <c r="BZT87" s="16"/>
      <c r="BZU87" s="16"/>
      <c r="BZV87" s="16"/>
      <c r="BZW87" s="16"/>
      <c r="BZX87" s="16"/>
      <c r="BZY87" s="16"/>
      <c r="BZZ87" s="16"/>
      <c r="CAA87" s="16"/>
      <c r="CAB87" s="16"/>
      <c r="CAC87" s="16"/>
      <c r="CAD87" s="16"/>
      <c r="CAE87" s="16"/>
      <c r="CAF87" s="16"/>
      <c r="CAG87" s="16"/>
      <c r="CAH87" s="16"/>
      <c r="CAI87" s="16"/>
      <c r="CAJ87" s="16"/>
      <c r="CAK87" s="16"/>
      <c r="CAL87" s="16"/>
      <c r="CAM87" s="16"/>
      <c r="CAN87" s="16"/>
      <c r="CAO87" s="16"/>
      <c r="CAP87" s="16"/>
      <c r="CAQ87" s="16"/>
      <c r="CAR87" s="16"/>
      <c r="CAS87" s="16"/>
      <c r="CAT87" s="16"/>
      <c r="CAU87" s="16"/>
      <c r="CAV87" s="16"/>
      <c r="CAW87" s="16"/>
      <c r="CAX87" s="16"/>
      <c r="CAY87" s="16"/>
      <c r="CAZ87" s="16"/>
      <c r="CBA87" s="16"/>
      <c r="CBB87" s="16"/>
      <c r="CBC87" s="16"/>
      <c r="CBD87" s="16"/>
      <c r="CBE87" s="16"/>
      <c r="CBF87" s="16"/>
      <c r="CBG87" s="16"/>
      <c r="CBH87" s="16"/>
      <c r="CBI87" s="16"/>
      <c r="CBJ87" s="16"/>
      <c r="CBK87" s="16"/>
      <c r="CBL87" s="16"/>
      <c r="CBM87" s="16"/>
      <c r="CBN87" s="16"/>
      <c r="CBO87" s="16"/>
      <c r="CBP87" s="16"/>
      <c r="CBQ87" s="16"/>
      <c r="CBR87" s="16"/>
      <c r="CBS87" s="16"/>
      <c r="CBT87" s="16"/>
      <c r="CBU87" s="16"/>
      <c r="CBV87" s="16"/>
      <c r="CBW87" s="16"/>
      <c r="CBX87" s="16"/>
      <c r="CBY87" s="16"/>
      <c r="CBZ87" s="16"/>
      <c r="CCA87" s="16"/>
      <c r="CCB87" s="16"/>
      <c r="CCC87" s="16"/>
      <c r="CCD87" s="16"/>
      <c r="CCE87" s="16"/>
      <c r="CCF87" s="16"/>
      <c r="CCG87" s="16"/>
      <c r="CCH87" s="16"/>
      <c r="CCI87" s="16"/>
      <c r="CCJ87" s="16"/>
      <c r="CCK87" s="16"/>
      <c r="CCL87" s="16"/>
      <c r="CCM87" s="16"/>
      <c r="CCN87" s="16"/>
      <c r="CCO87" s="16"/>
      <c r="CCP87" s="16"/>
      <c r="CCQ87" s="16"/>
      <c r="CCR87" s="16"/>
      <c r="CCS87" s="16"/>
      <c r="CCT87" s="16"/>
      <c r="CCU87" s="16"/>
      <c r="CCV87" s="16"/>
      <c r="CCW87" s="16"/>
      <c r="CCX87" s="16"/>
      <c r="CCY87" s="16"/>
      <c r="CCZ87" s="16"/>
      <c r="CDA87" s="16"/>
      <c r="CDB87" s="16"/>
      <c r="CDC87" s="16"/>
      <c r="CDD87" s="16"/>
      <c r="CDE87" s="16"/>
      <c r="CDF87" s="16"/>
      <c r="CDG87" s="16"/>
      <c r="CDH87" s="16"/>
      <c r="CDI87" s="16"/>
      <c r="CDJ87" s="16"/>
      <c r="CDK87" s="16"/>
      <c r="CDL87" s="16"/>
      <c r="CDM87" s="16"/>
      <c r="CDN87" s="16"/>
      <c r="CDO87" s="16"/>
      <c r="CDP87" s="16"/>
      <c r="CDQ87" s="16"/>
      <c r="CDR87" s="16"/>
      <c r="CDS87" s="16"/>
      <c r="CDT87" s="16"/>
      <c r="CDU87" s="16"/>
      <c r="CDV87" s="16"/>
      <c r="CDW87" s="16"/>
      <c r="CDX87" s="16"/>
      <c r="CDY87" s="16"/>
      <c r="CDZ87" s="16"/>
      <c r="CEA87" s="16"/>
      <c r="CEB87" s="16"/>
      <c r="CEC87" s="16"/>
      <c r="CED87" s="16"/>
      <c r="CEE87" s="16"/>
      <c r="CEF87" s="16"/>
      <c r="CEG87" s="16"/>
      <c r="CEH87" s="16"/>
      <c r="CEI87" s="16"/>
      <c r="CEJ87" s="16"/>
      <c r="CEK87" s="16"/>
      <c r="CEL87" s="16"/>
      <c r="CEM87" s="16"/>
      <c r="CEN87" s="16"/>
      <c r="CEO87" s="16"/>
      <c r="CEP87" s="16"/>
      <c r="CEQ87" s="16"/>
      <c r="CER87" s="16"/>
      <c r="CES87" s="16"/>
      <c r="CET87" s="16"/>
      <c r="CEU87" s="16"/>
      <c r="CEV87" s="16"/>
      <c r="CEW87" s="16"/>
      <c r="CEX87" s="16"/>
      <c r="CEY87" s="16"/>
      <c r="CEZ87" s="16"/>
      <c r="CFA87" s="16"/>
      <c r="CFB87" s="16"/>
      <c r="CFC87" s="16"/>
      <c r="CFD87" s="16"/>
      <c r="CFE87" s="16"/>
      <c r="CFF87" s="16"/>
      <c r="CFG87" s="16"/>
      <c r="CFH87" s="16"/>
      <c r="CFI87" s="16"/>
      <c r="CFJ87" s="16"/>
      <c r="CFK87" s="16"/>
      <c r="CFL87" s="16"/>
      <c r="CFM87" s="16"/>
      <c r="CFN87" s="16"/>
      <c r="CFO87" s="16"/>
      <c r="CFP87" s="16"/>
      <c r="CFQ87" s="16"/>
      <c r="CFR87" s="16"/>
      <c r="CFS87" s="16"/>
      <c r="CFT87" s="16"/>
      <c r="CFU87" s="16"/>
      <c r="CFV87" s="16"/>
      <c r="CFW87" s="16"/>
      <c r="CFX87" s="16"/>
      <c r="CFY87" s="16"/>
      <c r="CFZ87" s="16"/>
      <c r="CGA87" s="16"/>
      <c r="CGB87" s="16"/>
      <c r="CGC87" s="16"/>
      <c r="CGD87" s="16"/>
      <c r="CGE87" s="16"/>
      <c r="CGF87" s="16"/>
      <c r="CGG87" s="16"/>
      <c r="CGH87" s="16"/>
      <c r="CGI87" s="16"/>
      <c r="CGJ87" s="16"/>
      <c r="CGK87" s="16"/>
      <c r="CGL87" s="16"/>
      <c r="CGM87" s="16"/>
      <c r="CGN87" s="16"/>
      <c r="CGO87" s="16"/>
      <c r="CGP87" s="16"/>
      <c r="CGQ87" s="16"/>
      <c r="CGR87" s="16"/>
      <c r="CGS87" s="16"/>
      <c r="CGT87" s="16"/>
      <c r="CGU87" s="16"/>
      <c r="CGV87" s="16"/>
      <c r="CGW87" s="16"/>
      <c r="CGX87" s="16"/>
      <c r="CGY87" s="16"/>
      <c r="CGZ87" s="16"/>
      <c r="CHA87" s="16"/>
      <c r="CHB87" s="16"/>
      <c r="CHC87" s="16"/>
      <c r="CHD87" s="16"/>
      <c r="CHE87" s="16"/>
      <c r="CHF87" s="16"/>
      <c r="CHG87" s="16"/>
      <c r="CHH87" s="16"/>
      <c r="CHI87" s="16"/>
      <c r="CHJ87" s="16"/>
      <c r="CHK87" s="16"/>
      <c r="CHL87" s="16"/>
      <c r="CHM87" s="16"/>
      <c r="CHN87" s="16"/>
      <c r="CHO87" s="16"/>
      <c r="CHP87" s="16"/>
      <c r="CHQ87" s="16"/>
      <c r="CHR87" s="16"/>
      <c r="CHS87" s="16"/>
      <c r="CHT87" s="16"/>
      <c r="CHU87" s="16"/>
      <c r="CHV87" s="16"/>
      <c r="CHW87" s="16"/>
      <c r="CHX87" s="16"/>
      <c r="CHY87" s="16"/>
      <c r="CHZ87" s="16"/>
      <c r="CIA87" s="16"/>
      <c r="CIB87" s="16"/>
      <c r="CIC87" s="16"/>
      <c r="CID87" s="16"/>
      <c r="CIE87" s="16"/>
      <c r="CIF87" s="16"/>
      <c r="CIG87" s="16"/>
      <c r="CIH87" s="16"/>
      <c r="CII87" s="16"/>
      <c r="CIJ87" s="16"/>
      <c r="CIK87" s="16"/>
      <c r="CIL87" s="16"/>
      <c r="CIM87" s="16"/>
      <c r="CIN87" s="16"/>
      <c r="CIO87" s="16"/>
      <c r="CIP87" s="16"/>
      <c r="CIQ87" s="16"/>
      <c r="CIR87" s="16"/>
      <c r="CIS87" s="16"/>
      <c r="CIT87" s="16"/>
      <c r="CIU87" s="16"/>
      <c r="CIV87" s="16"/>
      <c r="CIW87" s="16"/>
      <c r="CIX87" s="16"/>
      <c r="CIY87" s="16"/>
      <c r="CIZ87" s="16"/>
      <c r="CJA87" s="16"/>
      <c r="CJB87" s="16"/>
      <c r="CJC87" s="16"/>
      <c r="CJD87" s="16"/>
      <c r="CJE87" s="16"/>
      <c r="CJF87" s="16"/>
      <c r="CJG87" s="16"/>
      <c r="CJH87" s="16"/>
      <c r="CJI87" s="16"/>
      <c r="CJJ87" s="16"/>
      <c r="CJK87" s="16"/>
      <c r="CJL87" s="16"/>
      <c r="CJM87" s="16"/>
      <c r="CJN87" s="16"/>
      <c r="CJO87" s="16"/>
      <c r="CJP87" s="16"/>
      <c r="CJQ87" s="16"/>
      <c r="CJR87" s="16"/>
      <c r="CJS87" s="16"/>
      <c r="CJT87" s="16"/>
      <c r="CJU87" s="16"/>
      <c r="CJV87" s="16"/>
      <c r="CJW87" s="16"/>
      <c r="CJX87" s="16"/>
      <c r="CJY87" s="16"/>
      <c r="CJZ87" s="16"/>
      <c r="CKA87" s="16"/>
      <c r="CKB87" s="16"/>
      <c r="CKC87" s="16"/>
      <c r="CKD87" s="16"/>
      <c r="CKE87" s="16"/>
      <c r="CKF87" s="16"/>
      <c r="CKG87" s="16"/>
      <c r="CKH87" s="16"/>
      <c r="CKI87" s="16"/>
      <c r="CKJ87" s="16"/>
      <c r="CKK87" s="16"/>
      <c r="CKL87" s="16"/>
      <c r="CKM87" s="16"/>
      <c r="CKN87" s="16"/>
      <c r="CKO87" s="16"/>
      <c r="CKP87" s="16"/>
      <c r="CKQ87" s="16"/>
      <c r="CKR87" s="16"/>
      <c r="CKS87" s="16"/>
      <c r="CKT87" s="16"/>
      <c r="CKU87" s="16"/>
      <c r="CKV87" s="16"/>
      <c r="CKW87" s="16"/>
      <c r="CKX87" s="16"/>
      <c r="CKY87" s="16"/>
      <c r="CKZ87" s="16"/>
      <c r="CLA87" s="16"/>
      <c r="CLB87" s="16"/>
      <c r="CLC87" s="16"/>
      <c r="CLD87" s="16"/>
      <c r="CLE87" s="16"/>
      <c r="CLF87" s="16"/>
      <c r="CLG87" s="16"/>
      <c r="CLH87" s="16"/>
      <c r="CLI87" s="16"/>
      <c r="CLJ87" s="16"/>
      <c r="CLK87" s="16"/>
      <c r="CLL87" s="16"/>
      <c r="CLM87" s="16"/>
      <c r="CLN87" s="16"/>
      <c r="CLO87" s="16"/>
      <c r="CLP87" s="16"/>
      <c r="CLQ87" s="16"/>
      <c r="CLR87" s="16"/>
      <c r="CLS87" s="16"/>
      <c r="CLT87" s="16"/>
      <c r="CLU87" s="16"/>
      <c r="CLV87" s="16"/>
      <c r="CLW87" s="16"/>
      <c r="CLX87" s="16"/>
      <c r="CLY87" s="16"/>
      <c r="CLZ87" s="16"/>
      <c r="CMA87" s="16"/>
      <c r="CMB87" s="16"/>
      <c r="CMC87" s="16"/>
      <c r="CMD87" s="16"/>
      <c r="CME87" s="16"/>
      <c r="CMF87" s="16"/>
      <c r="CMG87" s="16"/>
      <c r="CMH87" s="16"/>
      <c r="CMI87" s="16"/>
      <c r="CMJ87" s="16"/>
      <c r="CMK87" s="16"/>
      <c r="CML87" s="16"/>
      <c r="CMM87" s="16"/>
      <c r="CMN87" s="16"/>
      <c r="CMO87" s="16"/>
      <c r="CMP87" s="16"/>
      <c r="CMQ87" s="16"/>
      <c r="CMR87" s="16"/>
      <c r="CMS87" s="16"/>
      <c r="CMT87" s="16"/>
      <c r="CMU87" s="16"/>
      <c r="CMV87" s="16"/>
      <c r="CMW87" s="16"/>
      <c r="CMX87" s="16"/>
      <c r="CMY87" s="16"/>
      <c r="CMZ87" s="16"/>
      <c r="CNA87" s="16"/>
      <c r="CNB87" s="16"/>
      <c r="CNC87" s="16"/>
      <c r="CND87" s="16"/>
      <c r="CNE87" s="16"/>
      <c r="CNF87" s="16"/>
      <c r="CNG87" s="16"/>
      <c r="CNH87" s="16"/>
      <c r="CNI87" s="16"/>
      <c r="CNJ87" s="16"/>
      <c r="CNK87" s="16"/>
      <c r="CNL87" s="16"/>
      <c r="CNM87" s="16"/>
      <c r="CNN87" s="16"/>
      <c r="CNO87" s="16"/>
      <c r="CNP87" s="16"/>
      <c r="CNQ87" s="16"/>
      <c r="CNR87" s="16"/>
      <c r="CNS87" s="16"/>
      <c r="CNT87" s="16"/>
      <c r="CNU87" s="16"/>
      <c r="CNV87" s="16"/>
      <c r="CNW87" s="16"/>
      <c r="CNX87" s="16"/>
      <c r="CNY87" s="16"/>
      <c r="CNZ87" s="16"/>
      <c r="COA87" s="16"/>
      <c r="COB87" s="16"/>
      <c r="COC87" s="16"/>
      <c r="COD87" s="16"/>
      <c r="COE87" s="16"/>
      <c r="COF87" s="16"/>
      <c r="COG87" s="16"/>
      <c r="COH87" s="16"/>
      <c r="COI87" s="16"/>
      <c r="COJ87" s="16"/>
      <c r="COK87" s="16"/>
      <c r="COL87" s="16"/>
      <c r="COM87" s="16"/>
      <c r="CON87" s="16"/>
      <c r="COO87" s="16"/>
      <c r="COP87" s="16"/>
      <c r="COQ87" s="16"/>
      <c r="COR87" s="16"/>
      <c r="COS87" s="16"/>
      <c r="COT87" s="16"/>
      <c r="COU87" s="16"/>
      <c r="COV87" s="16"/>
      <c r="COW87" s="16"/>
      <c r="COX87" s="16"/>
      <c r="COY87" s="16"/>
      <c r="COZ87" s="16"/>
      <c r="CPA87" s="16"/>
      <c r="CPB87" s="16"/>
      <c r="CPC87" s="16"/>
      <c r="CPD87" s="16"/>
      <c r="CPE87" s="16"/>
      <c r="CPF87" s="16"/>
      <c r="CPG87" s="16"/>
      <c r="CPH87" s="16"/>
      <c r="CPI87" s="16"/>
      <c r="CPJ87" s="16"/>
      <c r="CPK87" s="16"/>
      <c r="CPL87" s="16"/>
      <c r="CPM87" s="16"/>
      <c r="CPN87" s="16"/>
      <c r="CPO87" s="16"/>
      <c r="CPP87" s="16"/>
      <c r="CPQ87" s="16"/>
      <c r="CPR87" s="16"/>
      <c r="CPS87" s="16"/>
      <c r="CPT87" s="16"/>
      <c r="CPU87" s="16"/>
      <c r="CPV87" s="16"/>
      <c r="CPW87" s="16"/>
      <c r="CPX87" s="16"/>
      <c r="CPY87" s="16"/>
      <c r="CPZ87" s="16"/>
      <c r="CQA87" s="16"/>
      <c r="CQB87" s="16"/>
      <c r="CQC87" s="16"/>
      <c r="CQD87" s="16"/>
      <c r="CQE87" s="16"/>
      <c r="CQF87" s="16"/>
      <c r="CQG87" s="16"/>
      <c r="CQH87" s="16"/>
      <c r="CQI87" s="16"/>
      <c r="CQJ87" s="16"/>
      <c r="CQK87" s="16"/>
      <c r="CQL87" s="16"/>
      <c r="CQM87" s="16"/>
      <c r="CQN87" s="16"/>
      <c r="CQO87" s="16"/>
      <c r="CQP87" s="16"/>
      <c r="CQQ87" s="16"/>
      <c r="CQR87" s="16"/>
      <c r="CQS87" s="16"/>
      <c r="CQT87" s="16"/>
      <c r="CQU87" s="16"/>
      <c r="CQV87" s="16"/>
      <c r="CQW87" s="16"/>
      <c r="CQX87" s="16"/>
      <c r="CQY87" s="16"/>
      <c r="CQZ87" s="16"/>
      <c r="CRA87" s="16"/>
      <c r="CRB87" s="16"/>
      <c r="CRC87" s="16"/>
      <c r="CRD87" s="16"/>
      <c r="CRE87" s="16"/>
      <c r="CRF87" s="16"/>
      <c r="CRG87" s="16"/>
      <c r="CRH87" s="16"/>
      <c r="CRI87" s="16"/>
      <c r="CRJ87" s="16"/>
      <c r="CRK87" s="16"/>
      <c r="CRL87" s="16"/>
      <c r="CRM87" s="16"/>
      <c r="CRN87" s="16"/>
      <c r="CRO87" s="16"/>
      <c r="CRP87" s="16"/>
      <c r="CRQ87" s="16"/>
      <c r="CRR87" s="16"/>
      <c r="CRS87" s="16"/>
      <c r="CRT87" s="16"/>
      <c r="CRU87" s="16"/>
      <c r="CRV87" s="16"/>
      <c r="CRW87" s="16"/>
      <c r="CRX87" s="16"/>
      <c r="CRY87" s="16"/>
      <c r="CRZ87" s="16"/>
      <c r="CSA87" s="16"/>
      <c r="CSB87" s="16"/>
      <c r="CSC87" s="16"/>
      <c r="CSD87" s="16"/>
      <c r="CSE87" s="16"/>
      <c r="CSF87" s="16"/>
      <c r="CSG87" s="16"/>
      <c r="CSH87" s="16"/>
      <c r="CSI87" s="16"/>
      <c r="CSJ87" s="16"/>
      <c r="CSK87" s="24"/>
      <c r="CSL87" s="16"/>
      <c r="CSM87" s="16"/>
      <c r="CSN87" s="16"/>
      <c r="CSO87" s="16"/>
      <c r="CSP87" s="16"/>
      <c r="CUG87" s="16"/>
      <c r="CUH87" s="16"/>
      <c r="CUI87" s="16"/>
      <c r="CUJ87" s="16"/>
      <c r="CUK87" s="16"/>
      <c r="CUL87" s="16"/>
      <c r="CUM87" s="16"/>
      <c r="CUN87" s="16"/>
      <c r="CUO87" s="16"/>
      <c r="CUP87" s="16"/>
      <c r="CUQ87" s="16"/>
      <c r="CUR87" s="16"/>
      <c r="CUS87" s="16"/>
      <c r="CUT87" s="16"/>
      <c r="CUU87" s="16"/>
      <c r="CUV87" s="16"/>
      <c r="CUW87" s="16"/>
      <c r="CUX87" s="16"/>
      <c r="CUY87" s="16"/>
      <c r="CUZ87" s="16"/>
      <c r="CVA87" s="16"/>
      <c r="CVB87" s="16"/>
      <c r="CVC87" s="16"/>
      <c r="CVD87" s="16"/>
      <c r="CVE87" s="16"/>
      <c r="CVF87" s="16"/>
      <c r="CVG87" s="16"/>
      <c r="CVH87" s="16"/>
      <c r="CVI87" s="16"/>
      <c r="CVJ87" s="16"/>
      <c r="CVK87" s="16"/>
      <c r="CVL87" s="16"/>
      <c r="CVM87" s="16"/>
      <c r="CVN87" s="16"/>
      <c r="CVO87" s="16"/>
      <c r="CVP87" s="16"/>
    </row>
    <row r="88" spans="3:2616" ht="13.8" x14ac:dyDescent="0.25">
      <c r="C88" s="57"/>
      <c r="E88" s="16"/>
      <c r="K88" s="59"/>
      <c r="L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6"/>
      <c r="LU88" s="16"/>
      <c r="LV88" s="16"/>
      <c r="LW88" s="16"/>
      <c r="LX88" s="16"/>
      <c r="LY88" s="16"/>
      <c r="LZ88" s="16"/>
      <c r="MA88" s="16"/>
      <c r="MB88" s="16"/>
      <c r="MC88" s="16"/>
      <c r="MD88" s="16"/>
      <c r="ME88" s="16"/>
      <c r="MF88" s="16"/>
      <c r="MG88" s="16"/>
      <c r="MH88" s="16"/>
      <c r="MI88" s="16"/>
      <c r="MJ88" s="16"/>
      <c r="MK88" s="16"/>
      <c r="ML88" s="16"/>
      <c r="MM88" s="16"/>
      <c r="MN88" s="16"/>
      <c r="MO88" s="16"/>
      <c r="MP88" s="16"/>
      <c r="MQ88" s="16"/>
      <c r="MR88" s="16"/>
      <c r="MS88" s="16"/>
      <c r="MT88" s="16"/>
      <c r="MU88" s="16"/>
      <c r="MV88" s="16"/>
      <c r="MW88" s="16"/>
      <c r="MX88" s="16"/>
      <c r="MY88" s="16"/>
      <c r="MZ88" s="16"/>
      <c r="NA88" s="16"/>
      <c r="NB88" s="16"/>
      <c r="NC88" s="16"/>
      <c r="ND88" s="16"/>
      <c r="NE88" s="16"/>
      <c r="NF88" s="16"/>
      <c r="NG88" s="16"/>
      <c r="NH88" s="16"/>
      <c r="NI88" s="16"/>
      <c r="NJ88" s="16"/>
      <c r="NK88" s="16"/>
      <c r="NL88" s="16"/>
      <c r="NM88" s="16"/>
      <c r="NN88" s="16"/>
      <c r="NO88" s="16"/>
      <c r="NP88" s="16"/>
      <c r="NQ88" s="16"/>
      <c r="NR88" s="16"/>
      <c r="NS88" s="16"/>
      <c r="NT88" s="16"/>
      <c r="NU88" s="16"/>
      <c r="NV88" s="16"/>
      <c r="NW88" s="16"/>
      <c r="NX88" s="16"/>
      <c r="NY88" s="16"/>
      <c r="NZ88" s="16"/>
      <c r="OA88" s="16"/>
      <c r="OB88" s="16"/>
      <c r="OC88" s="16"/>
      <c r="OD88" s="16"/>
      <c r="OE88" s="16"/>
      <c r="OF88" s="16"/>
      <c r="OG88" s="16"/>
      <c r="OH88" s="16"/>
      <c r="OI88" s="16"/>
      <c r="OJ88" s="16"/>
      <c r="OK88" s="16"/>
      <c r="OL88" s="16"/>
      <c r="OM88" s="16"/>
      <c r="ON88" s="16"/>
      <c r="OO88" s="16"/>
      <c r="OP88" s="16"/>
      <c r="OQ88" s="16"/>
      <c r="OR88" s="16"/>
      <c r="OS88" s="16"/>
      <c r="OT88" s="16"/>
      <c r="OU88" s="16"/>
      <c r="OV88" s="16"/>
      <c r="OW88" s="16"/>
      <c r="OX88" s="16"/>
      <c r="OY88" s="16"/>
      <c r="OZ88" s="16"/>
      <c r="PA88" s="16"/>
      <c r="PB88" s="16"/>
      <c r="PC88" s="16"/>
      <c r="PD88" s="16"/>
      <c r="PE88" s="16"/>
      <c r="PF88" s="16"/>
      <c r="PG88" s="16"/>
      <c r="PH88" s="16"/>
      <c r="PI88" s="16"/>
      <c r="PJ88" s="16"/>
      <c r="PK88" s="16"/>
      <c r="PL88" s="16"/>
      <c r="PM88" s="16"/>
      <c r="PN88" s="16"/>
      <c r="PO88" s="16"/>
      <c r="PP88" s="16"/>
      <c r="PQ88" s="16"/>
      <c r="PR88" s="16"/>
      <c r="PS88" s="16"/>
      <c r="PT88" s="16"/>
      <c r="PU88" s="16"/>
      <c r="PV88" s="16"/>
      <c r="PW88" s="16"/>
      <c r="PX88" s="16"/>
      <c r="PY88" s="16"/>
      <c r="PZ88" s="16"/>
      <c r="QA88" s="16"/>
      <c r="QB88" s="16"/>
      <c r="QC88" s="16"/>
      <c r="QD88" s="16"/>
      <c r="QE88" s="16"/>
      <c r="QF88" s="16"/>
      <c r="QG88" s="16"/>
      <c r="QH88" s="16"/>
      <c r="QI88" s="16"/>
      <c r="QJ88" s="16"/>
      <c r="QK88" s="16"/>
      <c r="QL88" s="16"/>
      <c r="QM88" s="16"/>
      <c r="QN88" s="16"/>
      <c r="QO88" s="16"/>
      <c r="QP88" s="16"/>
      <c r="QQ88" s="16"/>
      <c r="QR88" s="16"/>
      <c r="QS88" s="16"/>
      <c r="QT88" s="16"/>
      <c r="QU88" s="16"/>
      <c r="QV88" s="16"/>
      <c r="QW88" s="16"/>
      <c r="QX88" s="16"/>
      <c r="QY88" s="16"/>
      <c r="QZ88" s="16"/>
      <c r="RA88" s="16"/>
      <c r="RB88" s="16"/>
      <c r="RC88" s="16"/>
      <c r="RD88" s="16"/>
      <c r="RE88" s="16"/>
      <c r="RF88" s="16"/>
      <c r="RG88" s="16"/>
      <c r="RH88" s="16"/>
      <c r="RI88" s="16"/>
      <c r="RJ88" s="16"/>
      <c r="RK88" s="16"/>
      <c r="RL88" s="16"/>
      <c r="RM88" s="16"/>
      <c r="RN88" s="16"/>
      <c r="RO88" s="16"/>
      <c r="RP88" s="16"/>
      <c r="RQ88" s="16"/>
      <c r="RR88" s="16"/>
      <c r="RS88" s="16"/>
      <c r="RT88" s="16"/>
      <c r="RU88" s="16"/>
      <c r="RV88" s="16"/>
      <c r="RW88" s="16"/>
      <c r="RX88" s="16"/>
      <c r="RY88" s="16"/>
      <c r="RZ88" s="16"/>
      <c r="SA88" s="16"/>
      <c r="SB88" s="16"/>
      <c r="SC88" s="16"/>
      <c r="SD88" s="16"/>
      <c r="SE88" s="16"/>
      <c r="SF88" s="16"/>
      <c r="SG88" s="16"/>
      <c r="SH88" s="16"/>
      <c r="SI88" s="16"/>
      <c r="SJ88" s="16"/>
      <c r="SK88" s="16"/>
      <c r="SL88" s="16"/>
      <c r="SM88" s="16"/>
      <c r="SN88" s="16"/>
      <c r="SO88" s="16"/>
      <c r="SP88" s="16"/>
      <c r="SQ88" s="16"/>
      <c r="SR88" s="16"/>
      <c r="SS88" s="16"/>
      <c r="ST88" s="16"/>
      <c r="SU88" s="16"/>
      <c r="SV88" s="16"/>
      <c r="SW88" s="16"/>
      <c r="SX88" s="16"/>
      <c r="SY88" s="16"/>
      <c r="SZ88" s="16"/>
      <c r="TA88" s="16"/>
      <c r="TB88" s="16"/>
      <c r="TC88" s="16"/>
      <c r="TD88" s="16"/>
      <c r="TE88" s="16"/>
      <c r="TF88" s="16"/>
      <c r="TG88" s="16"/>
      <c r="TH88" s="16"/>
      <c r="TI88" s="16"/>
      <c r="TJ88" s="16"/>
      <c r="TK88" s="16"/>
      <c r="TL88" s="16"/>
      <c r="TM88" s="16"/>
      <c r="TN88" s="16"/>
      <c r="TO88" s="16"/>
      <c r="TP88" s="16"/>
      <c r="TQ88" s="16"/>
      <c r="TR88" s="16"/>
      <c r="TS88" s="16"/>
      <c r="TT88" s="16"/>
      <c r="TU88" s="16"/>
      <c r="TV88" s="16"/>
      <c r="TW88" s="16"/>
      <c r="TX88" s="16"/>
      <c r="TY88" s="16"/>
      <c r="TZ88" s="16"/>
      <c r="UA88" s="16"/>
      <c r="UB88" s="16"/>
      <c r="UC88" s="16"/>
      <c r="UD88" s="16"/>
      <c r="UE88" s="16"/>
      <c r="UF88" s="16"/>
      <c r="UG88" s="16"/>
      <c r="UH88" s="16"/>
      <c r="UI88" s="16"/>
      <c r="UJ88" s="16"/>
      <c r="UK88" s="16"/>
      <c r="UL88" s="16"/>
      <c r="UM88" s="16"/>
      <c r="UN88" s="16"/>
      <c r="UO88" s="16"/>
      <c r="UP88" s="16"/>
      <c r="UQ88" s="16"/>
      <c r="UR88" s="16"/>
      <c r="US88" s="16"/>
      <c r="UT88" s="16"/>
      <c r="UU88" s="16"/>
      <c r="UV88" s="16"/>
      <c r="UW88" s="16"/>
      <c r="UX88" s="16"/>
      <c r="UY88" s="16"/>
      <c r="UZ88" s="16"/>
      <c r="VA88" s="16"/>
      <c r="VB88" s="16"/>
      <c r="VC88" s="16"/>
      <c r="VD88" s="16"/>
      <c r="VE88" s="16"/>
      <c r="VF88" s="16"/>
      <c r="VG88" s="16"/>
      <c r="VH88" s="16"/>
      <c r="VI88" s="16"/>
      <c r="VJ88" s="16"/>
      <c r="VK88" s="16"/>
      <c r="VL88" s="16"/>
      <c r="VM88" s="16"/>
      <c r="VN88" s="16"/>
      <c r="VO88" s="16"/>
      <c r="VP88" s="16"/>
      <c r="VQ88" s="16"/>
      <c r="VR88" s="16"/>
      <c r="VS88" s="16"/>
      <c r="VT88" s="16"/>
      <c r="VU88" s="16"/>
      <c r="VV88" s="16"/>
      <c r="VW88" s="16"/>
      <c r="VX88" s="16"/>
      <c r="VY88" s="16"/>
      <c r="VZ88" s="16"/>
      <c r="WA88" s="16"/>
      <c r="WB88" s="16"/>
      <c r="WC88" s="16"/>
      <c r="WD88" s="16"/>
      <c r="WE88" s="16"/>
      <c r="WF88" s="16"/>
      <c r="WG88" s="16"/>
      <c r="WH88" s="16"/>
      <c r="WI88" s="16"/>
      <c r="WJ88" s="16"/>
      <c r="WK88" s="16"/>
      <c r="WL88" s="16"/>
      <c r="WM88" s="16"/>
      <c r="WN88" s="16"/>
      <c r="WO88" s="16"/>
      <c r="WP88" s="16"/>
      <c r="WQ88" s="16"/>
      <c r="WR88" s="16"/>
      <c r="WS88" s="16"/>
      <c r="WT88" s="16"/>
      <c r="WU88" s="16"/>
      <c r="WV88" s="16"/>
      <c r="WW88" s="16"/>
      <c r="WX88" s="16"/>
      <c r="WY88" s="16"/>
      <c r="WZ88" s="16"/>
      <c r="XA88" s="16"/>
      <c r="XB88" s="16"/>
      <c r="XC88" s="16"/>
      <c r="XD88" s="16"/>
      <c r="XE88" s="16"/>
      <c r="XF88" s="16"/>
      <c r="XG88" s="16"/>
      <c r="XH88" s="16"/>
      <c r="XI88" s="16"/>
      <c r="XJ88" s="16"/>
      <c r="XK88" s="16"/>
      <c r="XL88" s="16"/>
      <c r="XM88" s="16"/>
      <c r="XN88" s="16"/>
      <c r="XO88" s="16"/>
      <c r="XP88" s="16"/>
      <c r="XQ88" s="16"/>
      <c r="XR88" s="16"/>
      <c r="XS88" s="16"/>
      <c r="XT88" s="16"/>
      <c r="XU88" s="16"/>
      <c r="XV88" s="16"/>
      <c r="XW88" s="16"/>
      <c r="XX88" s="16"/>
      <c r="XY88" s="16"/>
      <c r="XZ88" s="16"/>
      <c r="YA88" s="16"/>
      <c r="YB88" s="16"/>
      <c r="YC88" s="16"/>
      <c r="YD88" s="16"/>
      <c r="YE88" s="16"/>
      <c r="YF88" s="16"/>
      <c r="YG88" s="16"/>
      <c r="YH88" s="16"/>
      <c r="YI88" s="16"/>
      <c r="YJ88" s="16"/>
      <c r="YK88" s="16"/>
      <c r="YL88" s="16"/>
      <c r="YM88" s="16"/>
      <c r="YN88" s="16"/>
      <c r="YO88" s="16"/>
      <c r="YP88" s="16"/>
      <c r="YQ88" s="16"/>
      <c r="YR88" s="16"/>
      <c r="YS88" s="16"/>
      <c r="YT88" s="16"/>
      <c r="YU88" s="16"/>
      <c r="YV88" s="16"/>
      <c r="YW88" s="16"/>
      <c r="YX88" s="16"/>
      <c r="YY88" s="16"/>
      <c r="YZ88" s="16"/>
      <c r="ZA88" s="16"/>
      <c r="ZB88" s="16"/>
      <c r="ZC88" s="16"/>
      <c r="ZD88" s="16"/>
      <c r="ZE88" s="16"/>
      <c r="ZF88" s="16"/>
      <c r="ZG88" s="16"/>
      <c r="ZH88" s="16"/>
      <c r="ZI88" s="16"/>
      <c r="ZJ88" s="16"/>
      <c r="ZK88" s="16"/>
      <c r="ZL88" s="16"/>
      <c r="ZM88" s="16"/>
      <c r="ZN88" s="16"/>
      <c r="ZO88" s="16"/>
      <c r="ZP88" s="16"/>
      <c r="ZQ88" s="16"/>
      <c r="ZR88" s="16"/>
      <c r="ZS88" s="16"/>
      <c r="ZT88" s="16"/>
      <c r="ZU88" s="16"/>
      <c r="ZV88" s="16"/>
      <c r="ZW88" s="16"/>
      <c r="ZX88" s="16"/>
      <c r="ZY88" s="16"/>
      <c r="ZZ88" s="16"/>
      <c r="AAA88" s="16"/>
      <c r="AAB88" s="16"/>
      <c r="AAC88" s="16"/>
      <c r="AAD88" s="16"/>
      <c r="AAE88" s="16"/>
      <c r="AAF88" s="16"/>
      <c r="AAG88" s="16"/>
      <c r="AAH88" s="16"/>
      <c r="AAI88" s="16"/>
      <c r="AAJ88" s="16"/>
      <c r="AAK88" s="16"/>
      <c r="AAL88" s="16"/>
      <c r="AAM88" s="16"/>
      <c r="AAN88" s="16"/>
      <c r="AAO88" s="16"/>
      <c r="AAP88" s="16"/>
      <c r="AAQ88" s="16"/>
      <c r="AAR88" s="16"/>
      <c r="AAS88" s="16"/>
      <c r="AAT88" s="16"/>
      <c r="AAU88" s="16"/>
      <c r="AAV88" s="16"/>
      <c r="AAW88" s="16"/>
      <c r="AAX88" s="16"/>
      <c r="AAY88" s="16"/>
      <c r="AAZ88" s="16"/>
      <c r="ABA88" s="16"/>
      <c r="ABB88" s="16"/>
      <c r="ABC88" s="16"/>
      <c r="ABD88" s="16"/>
      <c r="ABE88" s="16"/>
      <c r="ABF88" s="16"/>
      <c r="ABG88" s="16"/>
      <c r="ABH88" s="16"/>
      <c r="ABI88" s="16"/>
      <c r="ABJ88" s="16"/>
      <c r="ABK88" s="16"/>
      <c r="ABL88" s="16"/>
      <c r="ABM88" s="16"/>
      <c r="ABN88" s="16"/>
      <c r="ABO88" s="16"/>
      <c r="ABP88" s="16"/>
      <c r="ABQ88" s="16"/>
      <c r="ABR88" s="16"/>
      <c r="ABS88" s="16"/>
      <c r="ABT88" s="16"/>
      <c r="ABU88" s="16"/>
      <c r="ABV88" s="16"/>
      <c r="ABW88" s="16"/>
      <c r="ABX88" s="16"/>
      <c r="ABY88" s="16"/>
      <c r="ABZ88" s="16"/>
      <c r="ACA88" s="16"/>
      <c r="ACB88" s="16"/>
      <c r="ACC88" s="16"/>
      <c r="ACD88" s="16"/>
      <c r="ACE88" s="16"/>
      <c r="ACF88" s="16"/>
      <c r="ACG88" s="16"/>
      <c r="ACH88" s="16"/>
      <c r="ACI88" s="16"/>
      <c r="ACJ88" s="16"/>
      <c r="ACK88" s="16"/>
      <c r="ACL88" s="16"/>
      <c r="ACM88" s="16"/>
      <c r="ACN88" s="16"/>
      <c r="ACO88" s="16"/>
      <c r="ACP88" s="16"/>
      <c r="ACQ88" s="16"/>
      <c r="ACR88" s="16"/>
      <c r="ACS88" s="16"/>
      <c r="ACT88" s="16"/>
      <c r="ACU88" s="16"/>
      <c r="ACV88" s="16"/>
      <c r="ACW88" s="16"/>
      <c r="ACX88" s="16"/>
      <c r="ACY88" s="16"/>
      <c r="ACZ88" s="16"/>
      <c r="ADA88" s="16"/>
      <c r="ADB88" s="16"/>
      <c r="ADC88" s="16"/>
      <c r="ADD88" s="16"/>
      <c r="ADE88" s="16"/>
      <c r="ADF88" s="16"/>
      <c r="ADG88" s="16"/>
      <c r="ADH88" s="16"/>
      <c r="ADI88" s="16"/>
      <c r="ADJ88" s="16"/>
      <c r="ADK88" s="16"/>
      <c r="ADL88" s="16"/>
      <c r="ADM88" s="16"/>
      <c r="ADN88" s="16"/>
      <c r="ADO88" s="16"/>
      <c r="ADP88" s="16"/>
      <c r="ADQ88" s="16"/>
      <c r="ADR88" s="16"/>
      <c r="ADS88" s="16"/>
      <c r="ADT88" s="16"/>
      <c r="ADU88" s="16"/>
      <c r="ADV88" s="16"/>
      <c r="ADW88" s="16"/>
      <c r="ADX88" s="16"/>
      <c r="ADY88" s="16"/>
      <c r="ADZ88" s="16"/>
      <c r="AEA88" s="16"/>
      <c r="AEB88" s="16"/>
      <c r="AEC88" s="16"/>
      <c r="AED88" s="16"/>
      <c r="AEE88" s="16"/>
      <c r="AEF88" s="16"/>
      <c r="AEG88" s="16"/>
      <c r="AEH88" s="16"/>
      <c r="AEI88" s="16"/>
      <c r="AEJ88" s="16"/>
      <c r="AEK88" s="16"/>
      <c r="AEL88" s="16"/>
      <c r="AEM88" s="16"/>
      <c r="AEN88" s="16"/>
      <c r="AEO88" s="16"/>
      <c r="AEP88" s="16"/>
      <c r="AEQ88" s="16"/>
      <c r="AER88" s="16"/>
      <c r="AES88" s="16"/>
      <c r="AET88" s="16"/>
      <c r="AEU88" s="16"/>
      <c r="AEV88" s="16"/>
      <c r="AEW88" s="16"/>
      <c r="AEX88" s="16"/>
      <c r="AEY88" s="16"/>
      <c r="AEZ88" s="16"/>
      <c r="AFA88" s="16"/>
      <c r="AFB88" s="16"/>
      <c r="AFC88" s="16"/>
      <c r="AFD88" s="16"/>
      <c r="AFE88" s="16"/>
      <c r="AFF88" s="16"/>
      <c r="AFG88" s="16"/>
      <c r="AFH88" s="16"/>
      <c r="AFI88" s="16"/>
      <c r="AFJ88" s="16"/>
      <c r="AFK88" s="16"/>
      <c r="AFL88" s="16"/>
      <c r="AFM88" s="16"/>
      <c r="AFN88" s="16"/>
      <c r="AFO88" s="16"/>
      <c r="AFP88" s="16"/>
      <c r="AFQ88" s="16"/>
      <c r="AFR88" s="16"/>
      <c r="AFS88" s="16"/>
      <c r="AFT88" s="16"/>
      <c r="AFU88" s="16"/>
      <c r="AFV88" s="16"/>
      <c r="AFW88" s="16"/>
      <c r="AFX88" s="16"/>
      <c r="AFY88" s="16"/>
      <c r="AFZ88" s="16"/>
      <c r="AGA88" s="16"/>
      <c r="AGB88" s="16"/>
      <c r="AGC88" s="16"/>
      <c r="AGD88" s="16"/>
      <c r="AGE88" s="16"/>
      <c r="AGF88" s="16"/>
      <c r="AGG88" s="16"/>
      <c r="AGH88" s="16"/>
      <c r="AGI88" s="16"/>
      <c r="AGJ88" s="16"/>
      <c r="AGK88" s="16"/>
      <c r="AGL88" s="16"/>
      <c r="AGM88" s="16"/>
      <c r="AGN88" s="16"/>
      <c r="AGO88" s="16"/>
      <c r="AGP88" s="16"/>
      <c r="AGQ88" s="16"/>
      <c r="AGR88" s="16"/>
      <c r="AGS88" s="16"/>
      <c r="AGT88" s="16"/>
      <c r="AGU88" s="16"/>
      <c r="AGV88" s="16"/>
      <c r="AGW88" s="16"/>
      <c r="AGX88" s="16"/>
      <c r="AGY88" s="16"/>
      <c r="AGZ88" s="16"/>
      <c r="AHA88" s="16"/>
      <c r="AHB88" s="16"/>
      <c r="AHC88" s="16"/>
      <c r="AHD88" s="16"/>
      <c r="AHE88" s="16"/>
      <c r="AHF88" s="16"/>
      <c r="AHG88" s="16"/>
      <c r="AHH88" s="16"/>
      <c r="AHI88" s="16"/>
      <c r="AHJ88" s="16"/>
      <c r="AHK88" s="16"/>
      <c r="AHL88" s="16"/>
      <c r="AHM88" s="16"/>
      <c r="AHN88" s="16"/>
      <c r="AHO88" s="16"/>
      <c r="AHP88" s="16"/>
      <c r="AHQ88" s="16"/>
      <c r="AHR88" s="16"/>
      <c r="AHS88" s="16"/>
      <c r="AHT88" s="16"/>
      <c r="AHU88" s="16"/>
      <c r="AHV88" s="16"/>
      <c r="AHW88" s="16"/>
      <c r="AHX88" s="16"/>
      <c r="AHY88" s="16"/>
      <c r="AHZ88" s="16"/>
      <c r="AIA88" s="16"/>
      <c r="AIB88" s="16"/>
      <c r="AIC88" s="16"/>
      <c r="AID88" s="16"/>
      <c r="AIE88" s="16"/>
      <c r="AIF88" s="16"/>
      <c r="AIG88" s="16"/>
      <c r="AIH88" s="16"/>
      <c r="AII88" s="16"/>
      <c r="AIJ88" s="16"/>
      <c r="AIK88" s="16"/>
      <c r="AIL88" s="16"/>
      <c r="AIM88" s="16"/>
      <c r="AIN88" s="16"/>
      <c r="AIO88" s="16"/>
      <c r="AIP88" s="16"/>
      <c r="AIQ88" s="16"/>
      <c r="AIR88" s="16"/>
      <c r="AIS88" s="16"/>
      <c r="AIT88" s="16"/>
      <c r="AIU88" s="16"/>
      <c r="AIV88" s="16"/>
      <c r="AIW88" s="16"/>
      <c r="AIX88" s="16"/>
      <c r="AIY88" s="16"/>
      <c r="AIZ88" s="16"/>
      <c r="AJA88" s="16"/>
      <c r="AJB88" s="16"/>
      <c r="AJC88" s="16"/>
      <c r="AJD88" s="16"/>
      <c r="AJE88" s="16"/>
      <c r="AJF88" s="16"/>
      <c r="AJG88" s="16"/>
      <c r="AJH88" s="16"/>
      <c r="AJI88" s="16"/>
      <c r="AJJ88" s="16"/>
      <c r="AJK88" s="16"/>
      <c r="AJL88" s="16"/>
      <c r="AJM88" s="16"/>
      <c r="AJN88" s="16"/>
      <c r="AJO88" s="16"/>
      <c r="AJP88" s="16"/>
      <c r="AJQ88" s="16"/>
      <c r="AJR88" s="16"/>
      <c r="AJS88" s="16"/>
      <c r="AJT88" s="16"/>
      <c r="AJU88" s="16"/>
      <c r="AJV88" s="16"/>
      <c r="AJW88" s="16"/>
      <c r="AJX88" s="16"/>
      <c r="AJY88" s="16"/>
      <c r="AJZ88" s="16"/>
      <c r="AKA88" s="16"/>
      <c r="AKB88" s="16"/>
      <c r="AKC88" s="16"/>
      <c r="AKD88" s="16"/>
      <c r="AKE88" s="16"/>
      <c r="AKF88" s="16"/>
      <c r="AKG88" s="16"/>
      <c r="AKH88" s="16"/>
      <c r="AKI88" s="16"/>
      <c r="AKJ88" s="16"/>
      <c r="AKK88" s="16"/>
      <c r="AKL88" s="16"/>
      <c r="AKM88" s="16"/>
      <c r="AKN88" s="16"/>
      <c r="AKO88" s="16"/>
      <c r="AKP88" s="16"/>
      <c r="AKQ88" s="16"/>
      <c r="AKR88" s="16"/>
      <c r="AKS88" s="16"/>
      <c r="AKT88" s="16"/>
      <c r="AKU88" s="16"/>
      <c r="AKV88" s="16"/>
      <c r="AKW88" s="16"/>
      <c r="AKX88" s="16"/>
      <c r="AKY88" s="16"/>
      <c r="AKZ88" s="16"/>
      <c r="ALA88" s="16"/>
      <c r="ALB88" s="16"/>
      <c r="ALC88" s="16"/>
      <c r="ALD88" s="16"/>
      <c r="ALE88" s="16"/>
      <c r="ALF88" s="16"/>
      <c r="ALG88" s="16"/>
      <c r="ALH88" s="16"/>
      <c r="ALI88" s="16"/>
      <c r="ALJ88" s="16"/>
      <c r="ALK88" s="16"/>
      <c r="ALL88" s="16"/>
      <c r="ALM88" s="16"/>
      <c r="ALN88" s="16"/>
      <c r="ALO88" s="16"/>
      <c r="ALP88" s="16"/>
      <c r="ALQ88" s="16"/>
      <c r="ALR88" s="16"/>
      <c r="ALS88" s="16"/>
      <c r="ALT88" s="16"/>
      <c r="ALU88" s="16"/>
      <c r="ALV88" s="16"/>
      <c r="ALW88" s="16"/>
      <c r="ALX88" s="16"/>
      <c r="ALY88" s="16"/>
      <c r="ALZ88" s="16"/>
      <c r="AMA88" s="16"/>
      <c r="AMB88" s="16"/>
      <c r="AMC88" s="16"/>
      <c r="AMD88" s="16"/>
      <c r="AME88" s="16"/>
      <c r="AMF88" s="16"/>
      <c r="AMG88" s="16"/>
      <c r="AMH88" s="16"/>
      <c r="AMI88" s="16"/>
      <c r="AMJ88" s="16"/>
      <c r="AMK88" s="16"/>
      <c r="AML88" s="16"/>
      <c r="AMM88" s="16"/>
      <c r="AMN88" s="16"/>
      <c r="AMO88" s="16"/>
      <c r="AMP88" s="16"/>
      <c r="AMQ88" s="16"/>
      <c r="AMR88" s="16"/>
      <c r="AMS88" s="16"/>
      <c r="AMT88" s="16"/>
      <c r="AMU88" s="16"/>
      <c r="AMV88" s="16"/>
      <c r="AMW88" s="16"/>
      <c r="AMX88" s="16"/>
      <c r="AMY88" s="16"/>
      <c r="AMZ88" s="16"/>
      <c r="ANA88" s="16"/>
      <c r="ANB88" s="16"/>
      <c r="ANC88" s="16"/>
      <c r="AND88" s="16"/>
      <c r="ANE88" s="16"/>
      <c r="ANF88" s="16"/>
      <c r="ANG88" s="16"/>
      <c r="ANH88" s="16"/>
      <c r="ANI88" s="16"/>
      <c r="ANJ88" s="16"/>
      <c r="ANK88" s="16"/>
      <c r="ANL88" s="16"/>
      <c r="ANM88" s="16"/>
      <c r="ANN88" s="16"/>
      <c r="ANO88" s="16"/>
      <c r="ANP88" s="16"/>
      <c r="ANQ88" s="16"/>
      <c r="ANR88" s="16"/>
      <c r="ANS88" s="16"/>
      <c r="ANT88" s="16"/>
      <c r="ANU88" s="16"/>
      <c r="ANV88" s="16"/>
      <c r="ANW88" s="16"/>
      <c r="ANX88" s="16"/>
      <c r="ANY88" s="16"/>
      <c r="ANZ88" s="16"/>
      <c r="AOA88" s="16"/>
      <c r="AOB88" s="16"/>
      <c r="AOC88" s="16"/>
      <c r="AOD88" s="16"/>
      <c r="AOE88" s="16"/>
      <c r="AOF88" s="16"/>
      <c r="AOG88" s="16"/>
      <c r="AOH88" s="16"/>
      <c r="AOI88" s="16"/>
      <c r="AOJ88" s="16"/>
      <c r="AOK88" s="16"/>
      <c r="AOL88" s="16"/>
      <c r="AOM88" s="16"/>
      <c r="AON88" s="16"/>
      <c r="AOO88" s="16"/>
      <c r="AOP88" s="16"/>
      <c r="AOQ88" s="16"/>
      <c r="AOR88" s="16"/>
      <c r="AOS88" s="16"/>
      <c r="AOT88" s="16"/>
      <c r="AOU88" s="16"/>
      <c r="AOV88" s="16"/>
      <c r="AOW88" s="16"/>
      <c r="AOX88" s="16"/>
      <c r="AOY88" s="16"/>
      <c r="AOZ88" s="16"/>
      <c r="APA88" s="16"/>
      <c r="APB88" s="16"/>
      <c r="APC88" s="16"/>
      <c r="APD88" s="16"/>
      <c r="APE88" s="16"/>
      <c r="APF88" s="16"/>
      <c r="APG88" s="16"/>
      <c r="APH88" s="16"/>
      <c r="API88" s="16"/>
      <c r="APJ88" s="16"/>
      <c r="APK88" s="16"/>
      <c r="APL88" s="16"/>
      <c r="APM88" s="16"/>
      <c r="APN88" s="16"/>
      <c r="APO88" s="16"/>
      <c r="APP88" s="16"/>
      <c r="APQ88" s="16"/>
      <c r="APR88" s="16"/>
      <c r="APS88" s="16"/>
      <c r="APT88" s="16"/>
      <c r="APU88" s="16"/>
      <c r="APV88" s="16"/>
      <c r="APW88" s="16"/>
      <c r="APX88" s="16"/>
      <c r="APY88" s="16"/>
      <c r="APZ88" s="16"/>
      <c r="AQA88" s="16"/>
      <c r="AQB88" s="16"/>
      <c r="AQC88" s="16"/>
      <c r="AQD88" s="16"/>
      <c r="AQE88" s="16"/>
      <c r="AQF88" s="16"/>
      <c r="AQG88" s="16"/>
      <c r="AQH88" s="16"/>
      <c r="AQI88" s="16"/>
      <c r="AQJ88" s="16"/>
      <c r="AQK88" s="16"/>
      <c r="AQL88" s="16"/>
      <c r="AQM88" s="16"/>
      <c r="AQN88" s="16"/>
      <c r="AQO88" s="16"/>
      <c r="AQP88" s="16"/>
      <c r="AQQ88" s="16"/>
      <c r="AQR88" s="16"/>
      <c r="AQS88" s="16"/>
      <c r="AQT88" s="16"/>
      <c r="AQU88" s="16"/>
      <c r="AQV88" s="16"/>
      <c r="AQW88" s="16"/>
      <c r="AQX88" s="16"/>
      <c r="AQY88" s="16"/>
      <c r="AQZ88" s="16"/>
      <c r="ARA88" s="16"/>
      <c r="ARB88" s="16"/>
      <c r="ARC88" s="16"/>
      <c r="ARD88" s="16"/>
      <c r="ARE88" s="16"/>
      <c r="ARF88" s="16"/>
      <c r="ARG88" s="16"/>
      <c r="ARH88" s="16"/>
      <c r="ARI88" s="16"/>
      <c r="ARJ88" s="16"/>
      <c r="ARK88" s="16"/>
      <c r="ARL88" s="16"/>
      <c r="ARM88" s="16"/>
      <c r="ARN88" s="16"/>
      <c r="ARO88" s="16"/>
      <c r="ARP88" s="16"/>
      <c r="ARQ88" s="16"/>
      <c r="ARR88" s="16"/>
      <c r="ARS88" s="16"/>
      <c r="ART88" s="16"/>
      <c r="ARU88" s="16"/>
      <c r="ARV88" s="16"/>
      <c r="ARW88" s="16"/>
      <c r="ARX88" s="16"/>
      <c r="ARY88" s="16"/>
      <c r="ARZ88" s="16"/>
      <c r="ASA88" s="16"/>
      <c r="ASB88" s="16"/>
      <c r="ASC88" s="16"/>
      <c r="ASD88" s="16"/>
      <c r="ASE88" s="16"/>
      <c r="ASF88" s="16"/>
      <c r="ASG88" s="16"/>
      <c r="ASH88" s="16"/>
      <c r="ASI88" s="16"/>
      <c r="ASJ88" s="16"/>
      <c r="ASK88" s="16"/>
      <c r="ASL88" s="16"/>
      <c r="ASM88" s="16"/>
      <c r="ASN88" s="16"/>
      <c r="ASO88" s="16"/>
      <c r="ASP88" s="16"/>
      <c r="ASQ88" s="16"/>
      <c r="ASR88" s="16"/>
      <c r="ASS88" s="16"/>
      <c r="AST88" s="16"/>
      <c r="ASU88" s="16"/>
      <c r="ASV88" s="16"/>
      <c r="ASW88" s="16"/>
      <c r="ASX88" s="16"/>
      <c r="ASY88" s="16"/>
      <c r="ASZ88" s="16"/>
      <c r="ATA88" s="16"/>
      <c r="ATB88" s="16"/>
      <c r="ATC88" s="16"/>
      <c r="ATD88" s="16"/>
      <c r="ATE88" s="16"/>
      <c r="ATF88" s="16"/>
      <c r="ATG88" s="16"/>
      <c r="ATH88" s="16"/>
      <c r="ATI88" s="16"/>
      <c r="ATJ88" s="16"/>
      <c r="ATK88" s="16"/>
      <c r="ATL88" s="16"/>
      <c r="ATM88" s="16"/>
      <c r="ATN88" s="16"/>
      <c r="ATO88" s="16"/>
      <c r="ATP88" s="16"/>
      <c r="ATQ88" s="16"/>
      <c r="ATR88" s="16"/>
      <c r="ATS88" s="16"/>
      <c r="ATT88" s="16"/>
      <c r="ATU88" s="16"/>
      <c r="ATV88" s="16"/>
      <c r="ATW88" s="16"/>
      <c r="ATX88" s="16"/>
      <c r="ATY88" s="16"/>
      <c r="ATZ88" s="16"/>
      <c r="AUA88" s="16"/>
      <c r="AUB88" s="16"/>
      <c r="AUC88" s="16"/>
      <c r="AUD88" s="16"/>
      <c r="AUE88" s="16"/>
      <c r="AUF88" s="16"/>
      <c r="AUG88" s="16"/>
      <c r="AUH88" s="16"/>
      <c r="AUI88" s="16"/>
      <c r="AUJ88" s="16"/>
      <c r="AUK88" s="16"/>
      <c r="AUL88" s="16"/>
      <c r="AUM88" s="16"/>
      <c r="AUN88" s="16"/>
      <c r="AUO88" s="16"/>
      <c r="AUP88" s="16"/>
      <c r="AUQ88" s="16"/>
      <c r="AUR88" s="16"/>
      <c r="AUS88" s="16"/>
      <c r="AUT88" s="16"/>
      <c r="AUU88" s="16"/>
      <c r="AUV88" s="16"/>
      <c r="AUW88" s="16"/>
      <c r="AUX88" s="16"/>
      <c r="AUY88" s="16"/>
      <c r="AUZ88" s="16"/>
      <c r="AVA88" s="16"/>
      <c r="AVB88" s="16"/>
      <c r="AVC88" s="16"/>
      <c r="AVD88" s="16"/>
      <c r="AVE88" s="16"/>
      <c r="AVF88" s="16"/>
      <c r="AVG88" s="16"/>
      <c r="AVH88" s="16"/>
      <c r="AVI88" s="16"/>
      <c r="AVJ88" s="16"/>
      <c r="AVK88" s="16"/>
      <c r="AVL88" s="16"/>
      <c r="AVM88" s="16"/>
      <c r="AVN88" s="16"/>
      <c r="AVO88" s="16"/>
      <c r="AVP88" s="16"/>
      <c r="AVQ88" s="16"/>
      <c r="AVR88" s="16"/>
      <c r="AVS88" s="16"/>
      <c r="AVT88" s="16"/>
      <c r="AVU88" s="16"/>
      <c r="AVV88" s="16"/>
      <c r="AVW88" s="16"/>
      <c r="AVX88" s="16"/>
      <c r="AVY88" s="16"/>
      <c r="AVZ88" s="16"/>
      <c r="AWA88" s="16"/>
      <c r="AWB88" s="16"/>
      <c r="AWC88" s="16"/>
      <c r="AWD88" s="16"/>
      <c r="AWE88" s="16"/>
      <c r="AWF88" s="16"/>
      <c r="AWG88" s="16"/>
      <c r="AWH88" s="16"/>
      <c r="AWI88" s="16"/>
      <c r="AWJ88" s="16"/>
      <c r="AWK88" s="16"/>
      <c r="AWL88" s="16"/>
      <c r="AWM88" s="16"/>
      <c r="AWN88" s="16"/>
      <c r="AWO88" s="16"/>
      <c r="AWP88" s="16"/>
      <c r="AWQ88" s="16"/>
      <c r="AWR88" s="16"/>
      <c r="AWS88" s="16"/>
      <c r="AWT88" s="16"/>
      <c r="AWU88" s="16"/>
      <c r="AWV88" s="16"/>
      <c r="AWW88" s="16"/>
      <c r="AWX88" s="16"/>
      <c r="AWY88" s="16"/>
      <c r="AWZ88" s="16"/>
      <c r="AXA88" s="16"/>
      <c r="AXB88" s="16"/>
      <c r="AXC88" s="16"/>
      <c r="AXD88" s="16"/>
      <c r="AXE88" s="16"/>
      <c r="AXF88" s="16"/>
      <c r="AXG88" s="16"/>
      <c r="AXH88" s="16"/>
      <c r="AXI88" s="16"/>
      <c r="AXJ88" s="16"/>
      <c r="AXK88" s="16"/>
      <c r="AXL88" s="16"/>
      <c r="AXM88" s="16"/>
      <c r="AXN88" s="16"/>
      <c r="AXO88" s="16"/>
      <c r="AXP88" s="16"/>
      <c r="AXQ88" s="16"/>
      <c r="AXR88" s="16"/>
      <c r="AXS88" s="16"/>
      <c r="AXT88" s="16"/>
      <c r="AXU88" s="16"/>
      <c r="AXV88" s="16"/>
      <c r="AXW88" s="16"/>
      <c r="AXX88" s="16"/>
      <c r="AXY88" s="16"/>
      <c r="AXZ88" s="16"/>
      <c r="AYA88" s="16"/>
      <c r="AYB88" s="16"/>
      <c r="AYC88" s="16"/>
      <c r="AYD88" s="16"/>
      <c r="AYE88" s="16"/>
      <c r="AYF88" s="16"/>
      <c r="AYG88" s="16"/>
      <c r="AYH88" s="16"/>
      <c r="AYI88" s="16"/>
      <c r="AYJ88" s="16"/>
      <c r="AYK88" s="16"/>
      <c r="AYL88" s="16"/>
      <c r="AYM88" s="16"/>
      <c r="AYN88" s="16"/>
      <c r="AYO88" s="16"/>
      <c r="AYP88" s="16"/>
      <c r="AYQ88" s="16"/>
      <c r="AYR88" s="16"/>
      <c r="AYS88" s="16"/>
      <c r="AYT88" s="16"/>
      <c r="AYU88" s="16"/>
      <c r="AYV88" s="16"/>
      <c r="AYW88" s="16"/>
      <c r="AYX88" s="16"/>
      <c r="AYY88" s="16"/>
      <c r="AYZ88" s="16"/>
      <c r="AZA88" s="16"/>
      <c r="AZB88" s="16"/>
      <c r="AZC88" s="16"/>
      <c r="AZD88" s="16"/>
      <c r="AZE88" s="16"/>
      <c r="AZF88" s="16"/>
      <c r="AZG88" s="16"/>
      <c r="AZH88" s="16"/>
      <c r="AZI88" s="16"/>
      <c r="AZJ88" s="16"/>
      <c r="AZK88" s="16"/>
      <c r="AZL88" s="16"/>
      <c r="AZM88" s="16"/>
      <c r="AZN88" s="16"/>
      <c r="AZO88" s="16"/>
      <c r="AZP88" s="16"/>
      <c r="AZQ88" s="16"/>
      <c r="AZR88" s="16"/>
      <c r="AZS88" s="16"/>
      <c r="AZT88" s="16"/>
      <c r="AZU88" s="16"/>
      <c r="AZV88" s="16"/>
      <c r="AZW88" s="16"/>
      <c r="AZX88" s="16"/>
      <c r="AZY88" s="16"/>
      <c r="AZZ88" s="16"/>
      <c r="BAA88" s="16"/>
      <c r="BAB88" s="16"/>
      <c r="BAC88" s="16"/>
      <c r="BAD88" s="16"/>
      <c r="BAE88" s="16"/>
      <c r="BAF88" s="16"/>
      <c r="BAG88" s="16"/>
      <c r="BAH88" s="16"/>
      <c r="BAI88" s="16"/>
      <c r="BAJ88" s="16"/>
      <c r="BAK88" s="16"/>
      <c r="BAL88" s="16"/>
      <c r="BAM88" s="16"/>
      <c r="BAN88" s="16"/>
      <c r="BAO88" s="16"/>
      <c r="BAP88" s="16"/>
      <c r="BAQ88" s="16"/>
      <c r="BAR88" s="16"/>
      <c r="BAS88" s="16"/>
      <c r="BAT88" s="16"/>
      <c r="BAU88" s="16"/>
      <c r="BAV88" s="16"/>
      <c r="BAW88" s="16"/>
      <c r="BAX88" s="16"/>
      <c r="BAY88" s="16"/>
      <c r="BAZ88" s="16"/>
      <c r="BBA88" s="16"/>
      <c r="BBB88" s="16"/>
      <c r="BBC88" s="16"/>
      <c r="BBD88" s="16"/>
      <c r="BBE88" s="16"/>
      <c r="BBF88" s="16"/>
      <c r="BBG88" s="16"/>
      <c r="BBH88" s="16"/>
      <c r="BBI88" s="16"/>
      <c r="BBJ88" s="16"/>
      <c r="BBK88" s="16"/>
      <c r="BBL88" s="16"/>
      <c r="BBM88" s="16"/>
      <c r="BBN88" s="16"/>
      <c r="BBO88" s="16"/>
      <c r="BBP88" s="16"/>
      <c r="BBQ88" s="16"/>
      <c r="BBR88" s="16"/>
      <c r="BBS88" s="16"/>
      <c r="BBT88" s="16"/>
      <c r="BBU88" s="16"/>
      <c r="BBV88" s="16"/>
      <c r="BBW88" s="16"/>
      <c r="BBX88" s="16"/>
      <c r="BBY88" s="16"/>
      <c r="BBZ88" s="16"/>
      <c r="BCA88" s="16"/>
      <c r="BCB88" s="16"/>
      <c r="BCC88" s="16"/>
      <c r="BCD88" s="16"/>
      <c r="BCE88" s="16"/>
      <c r="BCF88" s="16"/>
      <c r="BCG88" s="16"/>
      <c r="BCH88" s="16"/>
      <c r="BCI88" s="16"/>
      <c r="BCJ88" s="16"/>
      <c r="BCK88" s="16"/>
      <c r="BCL88" s="16"/>
      <c r="BCM88" s="16"/>
      <c r="BCN88" s="16"/>
      <c r="BCO88" s="16"/>
      <c r="BCP88" s="16"/>
      <c r="BCQ88" s="16"/>
      <c r="BCR88" s="16"/>
      <c r="BCS88" s="16"/>
      <c r="BCT88" s="16"/>
      <c r="BCU88" s="16"/>
      <c r="BCV88" s="16"/>
      <c r="BCW88" s="16"/>
      <c r="BCX88" s="16"/>
      <c r="BCY88" s="16"/>
      <c r="BCZ88" s="16"/>
      <c r="BDA88" s="16"/>
      <c r="BDB88" s="16"/>
      <c r="BDC88" s="16"/>
      <c r="BDD88" s="16"/>
      <c r="BDE88" s="16"/>
      <c r="BDF88" s="16"/>
      <c r="BDG88" s="16"/>
      <c r="BDH88" s="16"/>
      <c r="BDI88" s="16"/>
      <c r="BDJ88" s="16"/>
      <c r="BDK88" s="16"/>
      <c r="BDL88" s="16"/>
      <c r="BDM88" s="16"/>
      <c r="BDN88" s="16"/>
      <c r="BDO88" s="16"/>
      <c r="BDP88" s="16"/>
      <c r="BDQ88" s="16"/>
      <c r="BDR88" s="16"/>
      <c r="BDS88" s="16"/>
      <c r="BDT88" s="16"/>
      <c r="BDU88" s="16"/>
      <c r="BDV88" s="16"/>
      <c r="BDW88" s="16"/>
      <c r="BDX88" s="16"/>
      <c r="BDY88" s="16"/>
      <c r="BDZ88" s="16"/>
      <c r="BEA88" s="16"/>
      <c r="BEB88" s="16"/>
      <c r="BEC88" s="16"/>
      <c r="BED88" s="16"/>
      <c r="BEE88" s="16"/>
      <c r="BEF88" s="16"/>
      <c r="BEG88" s="16"/>
      <c r="BEH88" s="16"/>
      <c r="BEI88" s="16"/>
      <c r="BEJ88" s="16"/>
      <c r="BEK88" s="16"/>
      <c r="BEL88" s="16"/>
      <c r="BEM88" s="16"/>
      <c r="BEN88" s="16"/>
      <c r="BEO88" s="16"/>
      <c r="BEP88" s="16"/>
      <c r="BEQ88" s="16"/>
      <c r="BER88" s="16"/>
      <c r="BES88" s="16"/>
      <c r="BET88" s="16"/>
      <c r="BEU88" s="16"/>
      <c r="BEV88" s="16"/>
      <c r="BEW88" s="16"/>
      <c r="BEX88" s="16"/>
      <c r="BEY88" s="16"/>
      <c r="BEZ88" s="16"/>
      <c r="BFA88" s="16"/>
      <c r="BFB88" s="16"/>
      <c r="BFC88" s="16"/>
      <c r="BFD88" s="16"/>
      <c r="BFE88" s="16"/>
      <c r="BFF88" s="16"/>
      <c r="BFG88" s="16"/>
      <c r="BFH88" s="16"/>
      <c r="BFI88" s="16"/>
      <c r="BFJ88" s="16"/>
      <c r="BFK88" s="16"/>
      <c r="BFL88" s="16"/>
      <c r="BFM88" s="16"/>
      <c r="BFN88" s="16"/>
      <c r="BFO88" s="16"/>
      <c r="BFP88" s="16"/>
      <c r="BFQ88" s="16"/>
      <c r="BFR88" s="16"/>
      <c r="BFS88" s="16"/>
      <c r="BFT88" s="16"/>
      <c r="BFU88" s="16"/>
      <c r="BFV88" s="16"/>
      <c r="BFW88" s="16"/>
      <c r="BFX88" s="16"/>
      <c r="BFY88" s="16"/>
      <c r="BFZ88" s="16"/>
      <c r="BGA88" s="16"/>
      <c r="BGB88" s="16"/>
      <c r="BGC88" s="16"/>
      <c r="BGD88" s="16"/>
      <c r="BGE88" s="16"/>
      <c r="BGF88" s="16"/>
      <c r="BGG88" s="16"/>
      <c r="BGH88" s="16"/>
      <c r="BGI88" s="16"/>
      <c r="BGJ88" s="16"/>
      <c r="BGK88" s="16"/>
      <c r="BGL88" s="16"/>
      <c r="BGM88" s="16"/>
      <c r="BGN88" s="16"/>
      <c r="BGO88" s="16"/>
      <c r="BGP88" s="16"/>
      <c r="BGQ88" s="16"/>
      <c r="BGR88" s="16"/>
      <c r="BGS88" s="16"/>
      <c r="BGT88" s="16"/>
      <c r="BGU88" s="16"/>
      <c r="BGV88" s="16"/>
      <c r="BGW88" s="16"/>
      <c r="BGX88" s="16"/>
      <c r="BGY88" s="16"/>
      <c r="BGZ88" s="16"/>
      <c r="BHA88" s="16"/>
      <c r="BHB88" s="16"/>
      <c r="BHC88" s="16"/>
      <c r="BHD88" s="16"/>
      <c r="BHE88" s="16"/>
      <c r="BHF88" s="16"/>
      <c r="BHG88" s="16"/>
      <c r="BHH88" s="16"/>
      <c r="BHI88" s="16"/>
      <c r="BHJ88" s="16"/>
      <c r="BHK88" s="16"/>
      <c r="BHL88" s="16"/>
      <c r="BHM88" s="16"/>
      <c r="BHN88" s="16"/>
      <c r="BHO88" s="16"/>
      <c r="BHP88" s="16"/>
      <c r="BHQ88" s="16"/>
      <c r="BHR88" s="16"/>
      <c r="BHS88" s="16"/>
      <c r="BHT88" s="16"/>
      <c r="BHU88" s="16"/>
      <c r="BHV88" s="16"/>
      <c r="BHW88" s="16"/>
      <c r="BHX88" s="16"/>
      <c r="BHY88" s="16"/>
      <c r="BHZ88" s="16"/>
      <c r="BIA88" s="16"/>
      <c r="BIB88" s="16"/>
      <c r="BIC88" s="16"/>
      <c r="BID88" s="16"/>
      <c r="BIE88" s="16"/>
      <c r="BIF88" s="16"/>
      <c r="BIG88" s="16"/>
      <c r="BIH88" s="16"/>
      <c r="BII88" s="16"/>
      <c r="BIJ88" s="16"/>
      <c r="BIK88" s="16"/>
      <c r="BIL88" s="16"/>
      <c r="BIM88" s="16"/>
      <c r="BIN88" s="16"/>
      <c r="BIO88" s="16"/>
      <c r="BIP88" s="16"/>
      <c r="BIQ88" s="16"/>
      <c r="BIR88" s="16"/>
      <c r="BIS88" s="16"/>
      <c r="BIT88" s="16"/>
      <c r="BIU88" s="16"/>
      <c r="BIV88" s="16"/>
      <c r="BIW88" s="16"/>
      <c r="BIX88" s="16"/>
      <c r="BIY88" s="16"/>
      <c r="BIZ88" s="16"/>
      <c r="BJA88" s="16"/>
      <c r="BJB88" s="16"/>
      <c r="BJC88" s="16"/>
      <c r="BJD88" s="16"/>
      <c r="BJE88" s="16"/>
      <c r="BJF88" s="16"/>
      <c r="BJG88" s="16"/>
      <c r="BJH88" s="16"/>
      <c r="BJI88" s="16"/>
      <c r="BJJ88" s="16"/>
      <c r="BJK88" s="16"/>
      <c r="BJL88" s="16"/>
      <c r="BJM88" s="16"/>
      <c r="BJN88" s="16"/>
      <c r="BJO88" s="16"/>
      <c r="BJP88" s="16"/>
      <c r="BJQ88" s="16"/>
      <c r="BJR88" s="16"/>
      <c r="BJS88" s="16"/>
      <c r="BJT88" s="16"/>
      <c r="BJU88" s="16"/>
      <c r="BJV88" s="16"/>
      <c r="BJW88" s="16"/>
      <c r="BJX88" s="16"/>
      <c r="BJY88" s="16"/>
      <c r="BJZ88" s="16"/>
      <c r="BKA88" s="16"/>
      <c r="BKB88" s="16"/>
      <c r="BKC88" s="16"/>
      <c r="BKD88" s="16"/>
      <c r="BKE88" s="16"/>
      <c r="BKF88" s="16"/>
      <c r="BKG88" s="16"/>
      <c r="BKH88" s="16"/>
      <c r="BKI88" s="16"/>
      <c r="BKJ88" s="16"/>
      <c r="BKK88" s="16"/>
      <c r="BKL88" s="16"/>
      <c r="BKM88" s="16"/>
      <c r="BKN88" s="16"/>
      <c r="BKO88" s="16"/>
      <c r="BKP88" s="16"/>
      <c r="BKQ88" s="16"/>
      <c r="BKR88" s="16"/>
      <c r="BKS88" s="16"/>
      <c r="BKT88" s="16"/>
      <c r="BKU88" s="16"/>
      <c r="BKV88" s="16"/>
      <c r="BKW88" s="16"/>
      <c r="BKX88" s="16"/>
      <c r="BKY88" s="16"/>
      <c r="BKZ88" s="16"/>
      <c r="BLA88" s="16"/>
      <c r="BLB88" s="16"/>
      <c r="BLC88" s="16"/>
      <c r="BLD88" s="16"/>
      <c r="BLE88" s="16"/>
      <c r="BLF88" s="16"/>
      <c r="BLG88" s="16"/>
      <c r="BLH88" s="16"/>
      <c r="BLI88" s="16"/>
      <c r="BLJ88" s="16"/>
      <c r="BLK88" s="16"/>
      <c r="BLL88" s="16"/>
      <c r="BLM88" s="16"/>
      <c r="BLN88" s="16"/>
      <c r="BLO88" s="16"/>
      <c r="BLP88" s="16"/>
      <c r="BLQ88" s="16"/>
      <c r="BLR88" s="16"/>
      <c r="BLS88" s="16"/>
      <c r="BLT88" s="16"/>
      <c r="BLU88" s="16"/>
      <c r="BLV88" s="16"/>
      <c r="BLW88" s="16"/>
      <c r="BLX88" s="16"/>
      <c r="BLY88" s="16"/>
      <c r="BLZ88" s="16"/>
      <c r="BMA88" s="16"/>
      <c r="BMB88" s="16"/>
      <c r="BMC88" s="16"/>
      <c r="BMD88" s="16"/>
      <c r="BME88" s="16"/>
      <c r="BMF88" s="16"/>
      <c r="BMG88" s="16"/>
      <c r="BMH88" s="16"/>
      <c r="BMI88" s="16"/>
      <c r="BMJ88" s="16"/>
      <c r="BMK88" s="16"/>
      <c r="BML88" s="16"/>
      <c r="BMM88" s="16"/>
      <c r="BMN88" s="16"/>
      <c r="BMO88" s="16"/>
      <c r="BMP88" s="16"/>
      <c r="BMQ88" s="16"/>
      <c r="BMR88" s="16"/>
      <c r="BMS88" s="16"/>
      <c r="BMT88" s="16"/>
      <c r="BMU88" s="16"/>
      <c r="BMV88" s="16"/>
      <c r="BMW88" s="16"/>
      <c r="BMX88" s="16"/>
      <c r="BMY88" s="16"/>
      <c r="BMZ88" s="16"/>
      <c r="BNA88" s="16"/>
      <c r="BNB88" s="16"/>
      <c r="BNC88" s="16"/>
      <c r="BND88" s="16"/>
      <c r="BNE88" s="16"/>
      <c r="BNF88" s="16"/>
      <c r="BNG88" s="16"/>
      <c r="BNH88" s="16"/>
      <c r="BNI88" s="16"/>
      <c r="BNJ88" s="16"/>
      <c r="BNK88" s="16"/>
      <c r="BNL88" s="16"/>
      <c r="BNM88" s="16"/>
      <c r="BNN88" s="16"/>
      <c r="BNO88" s="16"/>
      <c r="BNP88" s="16"/>
      <c r="BNQ88" s="16"/>
      <c r="BNR88" s="16"/>
      <c r="BNS88" s="16"/>
      <c r="BNT88" s="16"/>
      <c r="BNU88" s="16"/>
      <c r="BNV88" s="16"/>
      <c r="BNW88" s="16"/>
      <c r="BNX88" s="16"/>
      <c r="BNY88" s="16"/>
      <c r="BNZ88" s="16"/>
      <c r="BOA88" s="16"/>
      <c r="BOB88" s="16"/>
      <c r="BOC88" s="16"/>
      <c r="BOD88" s="16"/>
      <c r="BOE88" s="16"/>
      <c r="BOF88" s="16"/>
      <c r="BOG88" s="16"/>
      <c r="BOH88" s="16"/>
      <c r="BOI88" s="16"/>
      <c r="BOJ88" s="16"/>
      <c r="BOK88" s="16"/>
      <c r="BOL88" s="16"/>
      <c r="BOM88" s="16"/>
      <c r="BON88" s="16"/>
      <c r="BOO88" s="16"/>
      <c r="BOP88" s="16"/>
      <c r="BOQ88" s="16"/>
      <c r="BOR88" s="16"/>
      <c r="BOS88" s="16"/>
      <c r="BOT88" s="16"/>
      <c r="BOU88" s="16"/>
      <c r="BOV88" s="16"/>
      <c r="BOW88" s="16"/>
      <c r="BOX88" s="16"/>
      <c r="BOY88" s="16"/>
      <c r="BOZ88" s="16"/>
      <c r="BPA88" s="16"/>
      <c r="BPB88" s="16"/>
      <c r="BPC88" s="16"/>
      <c r="BPD88" s="16"/>
      <c r="BPE88" s="16"/>
      <c r="BPF88" s="16"/>
      <c r="BPG88" s="16"/>
      <c r="BPH88" s="16"/>
      <c r="BPI88" s="16"/>
      <c r="BPJ88" s="16"/>
      <c r="BPK88" s="16"/>
      <c r="BPL88" s="16"/>
      <c r="BPM88" s="16"/>
      <c r="BPN88" s="16"/>
      <c r="BPO88" s="16"/>
      <c r="BPP88" s="16"/>
      <c r="BPQ88" s="16"/>
      <c r="BPR88" s="16"/>
      <c r="BPS88" s="16"/>
      <c r="BPT88" s="16"/>
      <c r="BPU88" s="16"/>
      <c r="BPV88" s="16"/>
      <c r="BPW88" s="16"/>
      <c r="BPX88" s="16"/>
      <c r="BPY88" s="16"/>
      <c r="BPZ88" s="16"/>
      <c r="BQA88" s="16"/>
      <c r="BQB88" s="16"/>
      <c r="BQC88" s="16"/>
      <c r="BQD88" s="16"/>
      <c r="BQE88" s="16"/>
      <c r="BQF88" s="16"/>
      <c r="BQG88" s="16"/>
      <c r="BQH88" s="16"/>
      <c r="BQI88" s="16"/>
      <c r="BQJ88" s="16"/>
      <c r="BQK88" s="16"/>
      <c r="BQL88" s="16"/>
      <c r="BQM88" s="16"/>
      <c r="BQN88" s="16"/>
      <c r="BQO88" s="16"/>
      <c r="BQP88" s="16"/>
      <c r="BQQ88" s="16"/>
      <c r="BQR88" s="16"/>
      <c r="BQS88" s="16"/>
      <c r="BQT88" s="16"/>
      <c r="BQU88" s="16"/>
      <c r="BQV88" s="16"/>
      <c r="BQW88" s="16"/>
      <c r="BQX88" s="16"/>
      <c r="BQY88" s="16"/>
      <c r="BQZ88" s="16"/>
      <c r="BRA88" s="16"/>
      <c r="BRB88" s="16"/>
      <c r="BRC88" s="16"/>
      <c r="BRD88" s="16"/>
      <c r="BRE88" s="16"/>
      <c r="BRF88" s="16"/>
      <c r="BRG88" s="16"/>
      <c r="BRH88" s="16"/>
      <c r="BRI88" s="16"/>
      <c r="BRJ88" s="16"/>
      <c r="BRK88" s="16"/>
      <c r="BRL88" s="16"/>
      <c r="BRM88" s="16"/>
      <c r="BRN88" s="16"/>
      <c r="BRO88" s="16"/>
      <c r="BRP88" s="16"/>
      <c r="BRQ88" s="16"/>
      <c r="BRR88" s="16"/>
      <c r="BRS88" s="16"/>
      <c r="BRT88" s="16"/>
      <c r="BRU88" s="16"/>
      <c r="BRV88" s="16"/>
      <c r="BRW88" s="16"/>
      <c r="BRX88" s="16"/>
      <c r="BRY88" s="16"/>
      <c r="BRZ88" s="16"/>
      <c r="BSA88" s="16"/>
      <c r="BSB88" s="16"/>
      <c r="BSC88" s="16"/>
      <c r="BSD88" s="16"/>
      <c r="BSE88" s="16"/>
      <c r="BSF88" s="16"/>
      <c r="BSG88" s="16"/>
      <c r="BSH88" s="16"/>
      <c r="BSI88" s="16"/>
      <c r="BSJ88" s="16"/>
      <c r="BSK88" s="16"/>
      <c r="BSL88" s="16"/>
      <c r="BSM88" s="16"/>
      <c r="BSN88" s="16"/>
      <c r="BSO88" s="16"/>
      <c r="BSP88" s="16"/>
      <c r="BSQ88" s="16"/>
      <c r="BSR88" s="16"/>
      <c r="BSS88" s="16"/>
      <c r="BST88" s="16"/>
      <c r="BSU88" s="16"/>
      <c r="BSV88" s="16"/>
      <c r="BSW88" s="16"/>
      <c r="BSX88" s="16"/>
      <c r="BSY88" s="16"/>
      <c r="BSZ88" s="16"/>
      <c r="BTA88" s="16"/>
      <c r="BTB88" s="16"/>
      <c r="BTC88" s="16"/>
      <c r="BTD88" s="16"/>
      <c r="BTE88" s="16"/>
      <c r="BTF88" s="16"/>
      <c r="BTG88" s="16"/>
      <c r="BTH88" s="16"/>
      <c r="BTI88" s="16"/>
      <c r="BTJ88" s="16"/>
      <c r="BTK88" s="16"/>
      <c r="BTL88" s="16"/>
      <c r="BTM88" s="16"/>
      <c r="BTN88" s="16"/>
      <c r="BTO88" s="16"/>
      <c r="BTP88" s="16"/>
      <c r="BTQ88" s="16"/>
      <c r="BTR88" s="16"/>
      <c r="BTS88" s="16"/>
      <c r="BTT88" s="16"/>
      <c r="BTU88" s="16"/>
      <c r="BTV88" s="16"/>
      <c r="BTW88" s="16"/>
      <c r="BTX88" s="16"/>
      <c r="BTY88" s="16"/>
      <c r="BTZ88" s="16"/>
      <c r="BUA88" s="16"/>
      <c r="BUB88" s="16"/>
      <c r="BUC88" s="16"/>
      <c r="BUD88" s="16"/>
      <c r="BUE88" s="16"/>
      <c r="BUF88" s="16"/>
      <c r="BUG88" s="16"/>
      <c r="BUH88" s="16"/>
      <c r="BUI88" s="16"/>
      <c r="BUJ88" s="16"/>
      <c r="BUK88" s="16"/>
      <c r="BUL88" s="16"/>
      <c r="BUM88" s="16"/>
      <c r="BUN88" s="16"/>
      <c r="BUO88" s="16"/>
      <c r="BUP88" s="16"/>
      <c r="BUQ88" s="16"/>
      <c r="BUR88" s="16"/>
      <c r="BUS88" s="16"/>
      <c r="BUT88" s="16"/>
      <c r="BUU88" s="16"/>
      <c r="BUV88" s="16"/>
      <c r="BUW88" s="16"/>
      <c r="BUX88" s="16"/>
      <c r="BUY88" s="16"/>
      <c r="BUZ88" s="16"/>
      <c r="BVA88" s="16"/>
      <c r="BVB88" s="16"/>
      <c r="BVC88" s="16"/>
      <c r="BVD88" s="16"/>
      <c r="BVE88" s="16"/>
      <c r="BVF88" s="16"/>
      <c r="BVG88" s="16"/>
      <c r="BVH88" s="16"/>
      <c r="BVI88" s="16"/>
      <c r="BVJ88" s="16"/>
      <c r="BVK88" s="16"/>
      <c r="BVL88" s="16"/>
      <c r="BVM88" s="16"/>
      <c r="BVN88" s="16"/>
      <c r="BVO88" s="16"/>
      <c r="BVP88" s="16"/>
      <c r="BVQ88" s="16"/>
      <c r="BVR88" s="16"/>
      <c r="BVS88" s="16"/>
      <c r="BVT88" s="16"/>
      <c r="BVU88" s="16"/>
      <c r="BVV88" s="16"/>
      <c r="BVW88" s="16"/>
      <c r="BVX88" s="16"/>
      <c r="BVY88" s="16"/>
      <c r="BVZ88" s="16"/>
      <c r="BWA88" s="16"/>
      <c r="BWB88" s="16"/>
      <c r="BWC88" s="16"/>
      <c r="BWD88" s="16"/>
      <c r="BWE88" s="16"/>
      <c r="BWF88" s="16"/>
      <c r="BWG88" s="16"/>
      <c r="BWH88" s="16"/>
      <c r="BWI88" s="16"/>
      <c r="BWJ88" s="16"/>
      <c r="BWK88" s="16"/>
      <c r="BWL88" s="16"/>
      <c r="BWM88" s="16"/>
      <c r="BWN88" s="16"/>
      <c r="BWO88" s="16"/>
      <c r="BWP88" s="16"/>
      <c r="BWQ88" s="16"/>
      <c r="BWR88" s="16"/>
      <c r="BWS88" s="16"/>
      <c r="BWT88" s="16"/>
      <c r="BWU88" s="16"/>
      <c r="BWV88" s="16"/>
      <c r="BWW88" s="16"/>
      <c r="BWX88" s="16"/>
      <c r="BWY88" s="16"/>
      <c r="BWZ88" s="16"/>
      <c r="BXA88" s="16"/>
      <c r="BXB88" s="16"/>
      <c r="BXC88" s="16"/>
      <c r="BXD88" s="16"/>
      <c r="BXE88" s="16"/>
      <c r="BXF88" s="16"/>
      <c r="BXG88" s="16"/>
      <c r="BXH88" s="16"/>
      <c r="BXI88" s="16"/>
      <c r="BXJ88" s="16"/>
      <c r="BXK88" s="16"/>
      <c r="BXL88" s="16"/>
      <c r="BXM88" s="16"/>
      <c r="BXN88" s="16"/>
      <c r="BXO88" s="16"/>
      <c r="BXP88" s="16"/>
      <c r="BXQ88" s="16"/>
      <c r="BXR88" s="16"/>
      <c r="BXS88" s="16"/>
      <c r="BXT88" s="16"/>
      <c r="BXU88" s="16"/>
      <c r="BXV88" s="16"/>
      <c r="BXW88" s="16"/>
      <c r="BXX88" s="16"/>
      <c r="BXY88" s="16"/>
      <c r="BXZ88" s="16"/>
      <c r="BYA88" s="16"/>
      <c r="BYB88" s="16"/>
      <c r="BYC88" s="16"/>
      <c r="BYD88" s="16"/>
      <c r="BYE88" s="16"/>
      <c r="BYF88" s="16"/>
      <c r="BYG88" s="16"/>
      <c r="BYH88" s="16"/>
      <c r="BYI88" s="16"/>
      <c r="BYJ88" s="16"/>
      <c r="BYK88" s="16"/>
      <c r="BYL88" s="16"/>
      <c r="BYM88" s="16"/>
      <c r="BYN88" s="16"/>
      <c r="BYO88" s="16"/>
      <c r="BYP88" s="16"/>
      <c r="BYQ88" s="16"/>
      <c r="BYR88" s="16"/>
      <c r="BYS88" s="16"/>
      <c r="BYT88" s="16"/>
      <c r="BYU88" s="16"/>
      <c r="BYV88" s="16"/>
      <c r="BYW88" s="16"/>
      <c r="BYX88" s="16"/>
      <c r="BYY88" s="16"/>
      <c r="BYZ88" s="16"/>
      <c r="BZA88" s="16"/>
      <c r="BZB88" s="16"/>
      <c r="BZC88" s="16"/>
      <c r="BZD88" s="16"/>
      <c r="BZE88" s="16"/>
      <c r="BZF88" s="16"/>
      <c r="BZG88" s="16"/>
      <c r="BZH88" s="16"/>
      <c r="BZI88" s="16"/>
      <c r="BZJ88" s="16"/>
      <c r="BZK88" s="16"/>
      <c r="BZL88" s="16"/>
      <c r="BZM88" s="16"/>
      <c r="BZN88" s="16"/>
      <c r="BZO88" s="16"/>
      <c r="BZP88" s="16"/>
      <c r="BZQ88" s="16"/>
      <c r="BZR88" s="16"/>
      <c r="BZS88" s="16"/>
      <c r="BZT88" s="16"/>
      <c r="BZU88" s="16"/>
      <c r="BZV88" s="16"/>
      <c r="BZW88" s="16"/>
      <c r="BZX88" s="16"/>
      <c r="BZY88" s="16"/>
      <c r="BZZ88" s="16"/>
      <c r="CAA88" s="16"/>
      <c r="CAB88" s="16"/>
      <c r="CAC88" s="16"/>
      <c r="CAD88" s="16"/>
      <c r="CAE88" s="16"/>
      <c r="CAF88" s="16"/>
      <c r="CAG88" s="16"/>
      <c r="CAH88" s="16"/>
      <c r="CAI88" s="16"/>
      <c r="CAJ88" s="16"/>
      <c r="CAK88" s="16"/>
      <c r="CAL88" s="16"/>
      <c r="CAM88" s="16"/>
      <c r="CAN88" s="16"/>
      <c r="CAO88" s="16"/>
      <c r="CAP88" s="16"/>
      <c r="CAQ88" s="16"/>
      <c r="CAR88" s="16"/>
      <c r="CAS88" s="16"/>
      <c r="CAT88" s="16"/>
      <c r="CAU88" s="16"/>
      <c r="CAV88" s="16"/>
      <c r="CAW88" s="16"/>
      <c r="CAX88" s="16"/>
      <c r="CAY88" s="16"/>
      <c r="CAZ88" s="16"/>
      <c r="CBA88" s="16"/>
      <c r="CBB88" s="16"/>
      <c r="CBC88" s="16"/>
      <c r="CBD88" s="16"/>
      <c r="CBE88" s="16"/>
      <c r="CBF88" s="16"/>
      <c r="CBG88" s="16"/>
      <c r="CBH88" s="16"/>
      <c r="CBI88" s="16"/>
      <c r="CBJ88" s="16"/>
      <c r="CBK88" s="16"/>
      <c r="CBL88" s="16"/>
      <c r="CBM88" s="16"/>
      <c r="CBN88" s="16"/>
      <c r="CBO88" s="16"/>
      <c r="CBP88" s="16"/>
      <c r="CBQ88" s="16"/>
      <c r="CBR88" s="16"/>
      <c r="CBS88" s="16"/>
      <c r="CBT88" s="16"/>
      <c r="CBU88" s="16"/>
      <c r="CBV88" s="16"/>
      <c r="CBW88" s="16"/>
      <c r="CBX88" s="16"/>
      <c r="CBY88" s="16"/>
      <c r="CBZ88" s="16"/>
      <c r="CCA88" s="16"/>
      <c r="CCB88" s="16"/>
      <c r="CCC88" s="16"/>
      <c r="CCD88" s="16"/>
      <c r="CCE88" s="16"/>
      <c r="CCF88" s="16"/>
      <c r="CCG88" s="16"/>
      <c r="CCH88" s="16"/>
      <c r="CCI88" s="16"/>
      <c r="CCJ88" s="16"/>
      <c r="CCK88" s="16"/>
      <c r="CCL88" s="16"/>
      <c r="CCM88" s="16"/>
      <c r="CCN88" s="16"/>
      <c r="CCO88" s="16"/>
      <c r="CCP88" s="16"/>
      <c r="CCQ88" s="16"/>
      <c r="CCR88" s="16"/>
      <c r="CCS88" s="16"/>
      <c r="CCT88" s="16"/>
      <c r="CCU88" s="16"/>
      <c r="CCV88" s="16"/>
      <c r="CCW88" s="16"/>
      <c r="CCX88" s="16"/>
      <c r="CCY88" s="16"/>
      <c r="CCZ88" s="16"/>
      <c r="CDA88" s="16"/>
      <c r="CDB88" s="16"/>
      <c r="CDC88" s="16"/>
      <c r="CDD88" s="16"/>
      <c r="CDE88" s="16"/>
      <c r="CDF88" s="16"/>
      <c r="CDG88" s="16"/>
      <c r="CDH88" s="16"/>
      <c r="CDI88" s="16"/>
      <c r="CDJ88" s="16"/>
      <c r="CDK88" s="16"/>
      <c r="CDL88" s="16"/>
      <c r="CDM88" s="16"/>
      <c r="CDN88" s="16"/>
      <c r="CDO88" s="16"/>
      <c r="CDP88" s="16"/>
      <c r="CDQ88" s="16"/>
      <c r="CDR88" s="16"/>
      <c r="CDS88" s="16"/>
      <c r="CDT88" s="16"/>
      <c r="CDU88" s="16"/>
      <c r="CDV88" s="16"/>
      <c r="CDW88" s="16"/>
      <c r="CDX88" s="16"/>
      <c r="CDY88" s="16"/>
      <c r="CDZ88" s="16"/>
      <c r="CEA88" s="16"/>
      <c r="CEB88" s="16"/>
      <c r="CEC88" s="16"/>
      <c r="CED88" s="16"/>
      <c r="CEE88" s="16"/>
      <c r="CEF88" s="16"/>
      <c r="CEG88" s="16"/>
      <c r="CEH88" s="16"/>
      <c r="CEI88" s="16"/>
      <c r="CEJ88" s="16"/>
      <c r="CEK88" s="16"/>
      <c r="CEL88" s="16"/>
      <c r="CEM88" s="16"/>
      <c r="CEN88" s="16"/>
      <c r="CEO88" s="16"/>
      <c r="CEP88" s="16"/>
      <c r="CEQ88" s="16"/>
      <c r="CER88" s="16"/>
      <c r="CES88" s="16"/>
      <c r="CET88" s="16"/>
      <c r="CEU88" s="16"/>
      <c r="CEV88" s="16"/>
      <c r="CEW88" s="16"/>
      <c r="CEX88" s="16"/>
      <c r="CEY88" s="16"/>
      <c r="CEZ88" s="16"/>
      <c r="CFA88" s="16"/>
      <c r="CFB88" s="16"/>
      <c r="CFC88" s="16"/>
      <c r="CFD88" s="16"/>
      <c r="CFE88" s="16"/>
      <c r="CFF88" s="16"/>
      <c r="CFG88" s="16"/>
      <c r="CFH88" s="16"/>
      <c r="CFI88" s="16"/>
      <c r="CFJ88" s="16"/>
      <c r="CFK88" s="16"/>
      <c r="CFL88" s="16"/>
      <c r="CFM88" s="16"/>
      <c r="CFN88" s="16"/>
      <c r="CFO88" s="16"/>
      <c r="CFP88" s="16"/>
      <c r="CFQ88" s="16"/>
      <c r="CFR88" s="16"/>
      <c r="CFS88" s="16"/>
      <c r="CFT88" s="16"/>
      <c r="CFU88" s="16"/>
      <c r="CFV88" s="16"/>
      <c r="CFW88" s="16"/>
      <c r="CFX88" s="16"/>
      <c r="CFY88" s="16"/>
      <c r="CFZ88" s="16"/>
      <c r="CGA88" s="16"/>
      <c r="CGB88" s="16"/>
      <c r="CGC88" s="16"/>
      <c r="CGD88" s="16"/>
      <c r="CGE88" s="16"/>
      <c r="CGF88" s="16"/>
      <c r="CGG88" s="16"/>
      <c r="CGH88" s="16"/>
      <c r="CGI88" s="16"/>
      <c r="CGJ88" s="16"/>
      <c r="CGK88" s="16"/>
      <c r="CGL88" s="16"/>
      <c r="CGM88" s="16"/>
      <c r="CGN88" s="16"/>
      <c r="CGO88" s="16"/>
      <c r="CGP88" s="16"/>
      <c r="CGQ88" s="16"/>
      <c r="CGR88" s="16"/>
      <c r="CGS88" s="16"/>
      <c r="CGT88" s="16"/>
      <c r="CGU88" s="16"/>
      <c r="CGV88" s="16"/>
      <c r="CGW88" s="16"/>
      <c r="CGX88" s="16"/>
      <c r="CGY88" s="16"/>
      <c r="CGZ88" s="16"/>
      <c r="CHA88" s="16"/>
      <c r="CHB88" s="16"/>
      <c r="CHC88" s="16"/>
      <c r="CHD88" s="16"/>
      <c r="CHE88" s="16"/>
      <c r="CHF88" s="16"/>
      <c r="CHG88" s="16"/>
      <c r="CHH88" s="16"/>
      <c r="CHI88" s="16"/>
      <c r="CHJ88" s="16"/>
      <c r="CHK88" s="16"/>
      <c r="CHL88" s="16"/>
      <c r="CHM88" s="16"/>
      <c r="CHN88" s="16"/>
      <c r="CHO88" s="16"/>
      <c r="CHP88" s="16"/>
      <c r="CHQ88" s="16"/>
      <c r="CHR88" s="16"/>
      <c r="CHS88" s="16"/>
      <c r="CHT88" s="16"/>
      <c r="CHU88" s="16"/>
      <c r="CHV88" s="16"/>
      <c r="CHW88" s="16"/>
      <c r="CHX88" s="16"/>
      <c r="CHY88" s="16"/>
      <c r="CHZ88" s="16"/>
      <c r="CIA88" s="16"/>
      <c r="CIB88" s="16"/>
      <c r="CIC88" s="16"/>
      <c r="CID88" s="16"/>
      <c r="CIE88" s="16"/>
      <c r="CIF88" s="16"/>
      <c r="CIG88" s="16"/>
      <c r="CIH88" s="16"/>
      <c r="CII88" s="16"/>
      <c r="CIJ88" s="16"/>
      <c r="CIK88" s="16"/>
      <c r="CIL88" s="16"/>
      <c r="CIM88" s="16"/>
      <c r="CIN88" s="16"/>
      <c r="CIO88" s="16"/>
      <c r="CIP88" s="16"/>
      <c r="CIQ88" s="16"/>
      <c r="CIR88" s="16"/>
      <c r="CIS88" s="16"/>
      <c r="CIT88" s="16"/>
      <c r="CIU88" s="16"/>
      <c r="CIV88" s="16"/>
      <c r="CIW88" s="16"/>
      <c r="CIX88" s="16"/>
      <c r="CIY88" s="16"/>
      <c r="CIZ88" s="16"/>
      <c r="CJA88" s="16"/>
      <c r="CJB88" s="16"/>
      <c r="CJC88" s="16"/>
      <c r="CJD88" s="16"/>
      <c r="CJE88" s="16"/>
      <c r="CJF88" s="16"/>
      <c r="CJG88" s="16"/>
      <c r="CJH88" s="16"/>
      <c r="CJI88" s="16"/>
      <c r="CJJ88" s="16"/>
      <c r="CJK88" s="16"/>
      <c r="CJL88" s="16"/>
      <c r="CJM88" s="16"/>
      <c r="CJN88" s="16"/>
      <c r="CJO88" s="16"/>
      <c r="CJP88" s="16"/>
      <c r="CJQ88" s="16"/>
      <c r="CJR88" s="16"/>
      <c r="CJS88" s="16"/>
      <c r="CJT88" s="16"/>
      <c r="CJU88" s="16"/>
      <c r="CJV88" s="16"/>
      <c r="CJW88" s="16"/>
      <c r="CJX88" s="16"/>
      <c r="CJY88" s="16"/>
      <c r="CJZ88" s="16"/>
      <c r="CKA88" s="16"/>
      <c r="CKB88" s="16"/>
      <c r="CKC88" s="16"/>
      <c r="CKD88" s="16"/>
      <c r="CKE88" s="16"/>
      <c r="CKF88" s="16"/>
      <c r="CKG88" s="16"/>
      <c r="CKH88" s="16"/>
      <c r="CKI88" s="16"/>
      <c r="CKJ88" s="16"/>
      <c r="CKK88" s="16"/>
      <c r="CKL88" s="16"/>
      <c r="CKM88" s="16"/>
      <c r="CKN88" s="16"/>
      <c r="CKO88" s="16"/>
      <c r="CKP88" s="16"/>
      <c r="CKQ88" s="16"/>
      <c r="CKR88" s="16"/>
      <c r="CKS88" s="16"/>
      <c r="CKT88" s="16"/>
      <c r="CKU88" s="16"/>
      <c r="CKV88" s="16"/>
      <c r="CKW88" s="16"/>
      <c r="CKX88" s="16"/>
      <c r="CKY88" s="16"/>
      <c r="CKZ88" s="16"/>
      <c r="CLA88" s="16"/>
      <c r="CLB88" s="16"/>
      <c r="CLC88" s="16"/>
      <c r="CLD88" s="16"/>
      <c r="CLE88" s="16"/>
      <c r="CLF88" s="16"/>
      <c r="CLG88" s="16"/>
      <c r="CLH88" s="16"/>
      <c r="CLI88" s="16"/>
      <c r="CLJ88" s="16"/>
      <c r="CLK88" s="16"/>
      <c r="CLL88" s="16"/>
      <c r="CLM88" s="16"/>
      <c r="CLN88" s="16"/>
      <c r="CLO88" s="16"/>
      <c r="CLP88" s="16"/>
      <c r="CLQ88" s="16"/>
      <c r="CLR88" s="16"/>
      <c r="CLS88" s="16"/>
      <c r="CLT88" s="16"/>
      <c r="CLU88" s="16"/>
      <c r="CLV88" s="16"/>
      <c r="CLW88" s="16"/>
      <c r="CLX88" s="16"/>
      <c r="CLY88" s="16"/>
      <c r="CLZ88" s="16"/>
      <c r="CMA88" s="16"/>
      <c r="CMB88" s="16"/>
      <c r="CMC88" s="16"/>
      <c r="CMD88" s="16"/>
      <c r="CME88" s="16"/>
      <c r="CMF88" s="16"/>
      <c r="CMG88" s="16"/>
      <c r="CMH88" s="16"/>
      <c r="CMI88" s="16"/>
      <c r="CMJ88" s="16"/>
      <c r="CMK88" s="16"/>
      <c r="CML88" s="16"/>
      <c r="CMM88" s="16"/>
      <c r="CMN88" s="16"/>
      <c r="CMO88" s="16"/>
      <c r="CMP88" s="16"/>
      <c r="CMQ88" s="16"/>
      <c r="CMR88" s="16"/>
      <c r="CMS88" s="16"/>
      <c r="CMT88" s="16"/>
      <c r="CMU88" s="16"/>
      <c r="CMV88" s="16"/>
      <c r="CMW88" s="16"/>
      <c r="CMX88" s="16"/>
      <c r="CMY88" s="16"/>
      <c r="CMZ88" s="16"/>
      <c r="CNA88" s="16"/>
      <c r="CNB88" s="16"/>
      <c r="CNC88" s="16"/>
      <c r="CND88" s="16"/>
      <c r="CNE88" s="16"/>
      <c r="CNF88" s="16"/>
      <c r="CNG88" s="16"/>
      <c r="CNH88" s="16"/>
      <c r="CNI88" s="16"/>
      <c r="CNJ88" s="16"/>
      <c r="CNK88" s="16"/>
      <c r="CNL88" s="16"/>
      <c r="CNM88" s="16"/>
      <c r="CNN88" s="16"/>
      <c r="CNO88" s="16"/>
      <c r="CNP88" s="16"/>
      <c r="CNQ88" s="16"/>
      <c r="CNR88" s="16"/>
      <c r="CNS88" s="16"/>
      <c r="CNT88" s="16"/>
      <c r="CNU88" s="16"/>
      <c r="CNV88" s="16"/>
      <c r="CNW88" s="16"/>
      <c r="CNX88" s="16"/>
      <c r="CNY88" s="16"/>
      <c r="CNZ88" s="16"/>
      <c r="COA88" s="16"/>
      <c r="COB88" s="16"/>
      <c r="COC88" s="16"/>
      <c r="COD88" s="16"/>
      <c r="COE88" s="16"/>
      <c r="COF88" s="16"/>
      <c r="COG88" s="16"/>
      <c r="COH88" s="16"/>
      <c r="COI88" s="16"/>
      <c r="COJ88" s="16"/>
      <c r="COK88" s="16"/>
      <c r="COL88" s="16"/>
      <c r="COM88" s="16"/>
      <c r="CON88" s="16"/>
      <c r="COO88" s="16"/>
      <c r="COP88" s="16"/>
      <c r="COQ88" s="16"/>
      <c r="COR88" s="16"/>
      <c r="COS88" s="16"/>
      <c r="COT88" s="16"/>
      <c r="COU88" s="16"/>
      <c r="COV88" s="16"/>
      <c r="COW88" s="16"/>
      <c r="COX88" s="16"/>
      <c r="COY88" s="16"/>
      <c r="COZ88" s="16"/>
      <c r="CPA88" s="16"/>
      <c r="CPB88" s="16"/>
      <c r="CPC88" s="16"/>
      <c r="CPD88" s="16"/>
      <c r="CPE88" s="16"/>
      <c r="CPF88" s="16"/>
      <c r="CPG88" s="16"/>
      <c r="CPH88" s="16"/>
      <c r="CPI88" s="16"/>
      <c r="CPJ88" s="16"/>
      <c r="CPK88" s="16"/>
      <c r="CPL88" s="16"/>
      <c r="CPM88" s="16"/>
      <c r="CPN88" s="16"/>
      <c r="CPO88" s="16"/>
      <c r="CPP88" s="16"/>
      <c r="CPQ88" s="16"/>
      <c r="CPR88" s="16"/>
      <c r="CPS88" s="16"/>
      <c r="CPT88" s="16"/>
      <c r="CPU88" s="16"/>
      <c r="CPV88" s="16"/>
      <c r="CPW88" s="16"/>
      <c r="CPX88" s="16"/>
      <c r="CPY88" s="16"/>
      <c r="CPZ88" s="16"/>
      <c r="CQA88" s="16"/>
      <c r="CQB88" s="16"/>
      <c r="CQC88" s="16"/>
      <c r="CQD88" s="16"/>
      <c r="CQE88" s="16"/>
      <c r="CQF88" s="16"/>
      <c r="CQG88" s="16"/>
      <c r="CQH88" s="16"/>
      <c r="CQI88" s="16"/>
      <c r="CQJ88" s="16"/>
      <c r="CQK88" s="16"/>
      <c r="CQL88" s="16"/>
      <c r="CQM88" s="16"/>
      <c r="CQN88" s="16"/>
      <c r="CQO88" s="16"/>
      <c r="CQP88" s="16"/>
      <c r="CQQ88" s="16"/>
      <c r="CQR88" s="16"/>
      <c r="CQS88" s="16"/>
      <c r="CQT88" s="16"/>
      <c r="CQU88" s="16"/>
      <c r="CQV88" s="16"/>
      <c r="CQW88" s="16"/>
      <c r="CQX88" s="16"/>
      <c r="CQY88" s="16"/>
      <c r="CQZ88" s="16"/>
      <c r="CRA88" s="16"/>
      <c r="CRB88" s="16"/>
      <c r="CRC88" s="16"/>
      <c r="CRD88" s="16"/>
      <c r="CRE88" s="16"/>
      <c r="CRF88" s="16"/>
      <c r="CRG88" s="16"/>
      <c r="CRH88" s="16"/>
      <c r="CRI88" s="16"/>
      <c r="CRJ88" s="16"/>
      <c r="CRK88" s="16"/>
      <c r="CRL88" s="16"/>
      <c r="CRM88" s="16"/>
      <c r="CRN88" s="16"/>
      <c r="CRO88" s="16"/>
      <c r="CRP88" s="16"/>
      <c r="CRQ88" s="16"/>
      <c r="CRR88" s="16"/>
      <c r="CRS88" s="16"/>
      <c r="CRT88" s="16"/>
      <c r="CRU88" s="16"/>
      <c r="CRV88" s="16"/>
      <c r="CRW88" s="16"/>
      <c r="CRX88" s="16"/>
      <c r="CRY88" s="16"/>
      <c r="CRZ88" s="16"/>
      <c r="CSA88" s="16"/>
      <c r="CSB88" s="16"/>
      <c r="CSC88" s="16"/>
      <c r="CSD88" s="16"/>
      <c r="CSE88" s="16"/>
      <c r="CSF88" s="16"/>
      <c r="CSG88" s="16"/>
      <c r="CSH88" s="16"/>
      <c r="CSI88" s="16"/>
      <c r="CSJ88" s="16"/>
      <c r="CSK88" s="24"/>
      <c r="CSL88" s="16"/>
      <c r="CSM88" s="16"/>
      <c r="CSN88" s="16"/>
      <c r="CSO88" s="16"/>
      <c r="CSP88" s="16"/>
      <c r="CUG88" s="16"/>
      <c r="CUH88" s="16"/>
      <c r="CUI88" s="16"/>
      <c r="CUJ88" s="16"/>
      <c r="CUK88" s="16"/>
      <c r="CUL88" s="16"/>
      <c r="CUM88" s="16"/>
      <c r="CUN88" s="16"/>
      <c r="CUO88" s="16"/>
      <c r="CUP88" s="16"/>
      <c r="CUQ88" s="16"/>
      <c r="CUR88" s="16"/>
      <c r="CUS88" s="16"/>
      <c r="CUT88" s="16"/>
      <c r="CUU88" s="16"/>
      <c r="CUV88" s="16"/>
      <c r="CUW88" s="16"/>
      <c r="CUX88" s="16"/>
      <c r="CUY88" s="16"/>
      <c r="CUZ88" s="16"/>
      <c r="CVA88" s="16"/>
      <c r="CVB88" s="16"/>
      <c r="CVC88" s="16"/>
      <c r="CVD88" s="16"/>
      <c r="CVE88" s="16"/>
      <c r="CVF88" s="16"/>
      <c r="CVG88" s="16"/>
      <c r="CVH88" s="16"/>
      <c r="CVI88" s="16"/>
      <c r="CVJ88" s="16"/>
      <c r="CVK88" s="16"/>
      <c r="CVL88" s="16"/>
      <c r="CVM88" s="16"/>
      <c r="CVN88" s="16"/>
      <c r="CVO88" s="16"/>
      <c r="CVP88" s="16"/>
    </row>
    <row r="89" spans="3:2616" ht="13.8" x14ac:dyDescent="0.25">
      <c r="C89" s="57"/>
      <c r="E89" s="16"/>
      <c r="K89" s="59"/>
      <c r="L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C89" s="16"/>
      <c r="FD89" s="16"/>
      <c r="FE89" s="16"/>
      <c r="FF89" s="16"/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/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/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/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/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/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/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/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/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/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/>
      <c r="LR89" s="16"/>
      <c r="LS89" s="16"/>
      <c r="LT89" s="16"/>
      <c r="LU89" s="16"/>
      <c r="LV89" s="16"/>
      <c r="LW89" s="16"/>
      <c r="LX89" s="16"/>
      <c r="LY89" s="16"/>
      <c r="LZ89" s="16"/>
      <c r="MA89" s="16"/>
      <c r="MB89" s="16"/>
      <c r="MC89" s="16"/>
      <c r="MD89" s="16"/>
      <c r="ME89" s="16"/>
      <c r="MF89" s="16"/>
      <c r="MG89" s="16"/>
      <c r="MH89" s="16"/>
      <c r="MI89" s="16"/>
      <c r="MJ89" s="16"/>
      <c r="MK89" s="16"/>
      <c r="ML89" s="16"/>
      <c r="MM89" s="16"/>
      <c r="MN89" s="16"/>
      <c r="MO89" s="16"/>
      <c r="MP89" s="16"/>
      <c r="MQ89" s="16"/>
      <c r="MR89" s="16"/>
      <c r="MS89" s="16"/>
      <c r="MT89" s="16"/>
      <c r="MU89" s="16"/>
      <c r="MV89" s="16"/>
      <c r="MW89" s="16"/>
      <c r="MX89" s="16"/>
      <c r="MY89" s="16"/>
      <c r="MZ89" s="16"/>
      <c r="NA89" s="16"/>
      <c r="NB89" s="16"/>
      <c r="NC89" s="16"/>
      <c r="ND89" s="16"/>
      <c r="NE89" s="16"/>
      <c r="NF89" s="16"/>
      <c r="NG89" s="16"/>
      <c r="NH89" s="16"/>
      <c r="NI89" s="16"/>
      <c r="NJ89" s="16"/>
      <c r="NK89" s="16"/>
      <c r="NL89" s="16"/>
      <c r="NM89" s="16"/>
      <c r="NN89" s="16"/>
      <c r="NO89" s="16"/>
      <c r="NP89" s="16"/>
      <c r="NQ89" s="16"/>
      <c r="NR89" s="16"/>
      <c r="NS89" s="16"/>
      <c r="NT89" s="16"/>
      <c r="NU89" s="16"/>
      <c r="NV89" s="16"/>
      <c r="NW89" s="16"/>
      <c r="NX89" s="16"/>
      <c r="NY89" s="16"/>
      <c r="NZ89" s="16"/>
      <c r="OA89" s="16"/>
      <c r="OB89" s="16"/>
      <c r="OC89" s="16"/>
      <c r="OD89" s="16"/>
      <c r="OE89" s="16"/>
      <c r="OF89" s="16"/>
      <c r="OG89" s="16"/>
      <c r="OH89" s="16"/>
      <c r="OI89" s="16"/>
      <c r="OJ89" s="16"/>
      <c r="OK89" s="16"/>
      <c r="OL89" s="16"/>
      <c r="OM89" s="16"/>
      <c r="ON89" s="16"/>
      <c r="OO89" s="16"/>
      <c r="OP89" s="16"/>
      <c r="OQ89" s="16"/>
      <c r="OR89" s="16"/>
      <c r="OS89" s="16"/>
      <c r="OT89" s="16"/>
      <c r="OU89" s="16"/>
      <c r="OV89" s="16"/>
      <c r="OW89" s="16"/>
      <c r="OX89" s="16"/>
      <c r="OY89" s="16"/>
      <c r="OZ89" s="16"/>
      <c r="PA89" s="16"/>
      <c r="PB89" s="16"/>
      <c r="PC89" s="16"/>
      <c r="PD89" s="16"/>
      <c r="PE89" s="16"/>
      <c r="PF89" s="16"/>
      <c r="PG89" s="16"/>
      <c r="PH89" s="16"/>
      <c r="PI89" s="16"/>
      <c r="PJ89" s="16"/>
      <c r="PK89" s="16"/>
      <c r="PL89" s="16"/>
      <c r="PM89" s="16"/>
      <c r="PN89" s="16"/>
      <c r="PO89" s="16"/>
      <c r="PP89" s="16"/>
      <c r="PQ89" s="16"/>
      <c r="PR89" s="16"/>
      <c r="PS89" s="16"/>
      <c r="PT89" s="16"/>
      <c r="PU89" s="16"/>
      <c r="PV89" s="16"/>
      <c r="PW89" s="16"/>
      <c r="PX89" s="16"/>
      <c r="PY89" s="16"/>
      <c r="PZ89" s="16"/>
      <c r="QA89" s="16"/>
      <c r="QB89" s="16"/>
      <c r="QC89" s="16"/>
      <c r="QD89" s="16"/>
      <c r="QE89" s="16"/>
      <c r="QF89" s="16"/>
      <c r="QG89" s="16"/>
      <c r="QH89" s="16"/>
      <c r="QI89" s="16"/>
      <c r="QJ89" s="16"/>
      <c r="QK89" s="16"/>
      <c r="QL89" s="16"/>
      <c r="QM89" s="16"/>
      <c r="QN89" s="16"/>
      <c r="QO89" s="16"/>
      <c r="QP89" s="16"/>
      <c r="QQ89" s="16"/>
      <c r="QR89" s="16"/>
      <c r="QS89" s="16"/>
      <c r="QT89" s="16"/>
      <c r="QU89" s="16"/>
      <c r="QV89" s="16"/>
      <c r="QW89" s="16"/>
      <c r="QX89" s="16"/>
      <c r="QY89" s="16"/>
      <c r="QZ89" s="16"/>
      <c r="RA89" s="16"/>
      <c r="RB89" s="16"/>
      <c r="RC89" s="16"/>
      <c r="RD89" s="16"/>
      <c r="RE89" s="16"/>
      <c r="RF89" s="16"/>
      <c r="RG89" s="16"/>
      <c r="RH89" s="16"/>
      <c r="RI89" s="16"/>
      <c r="RJ89" s="16"/>
      <c r="RK89" s="16"/>
      <c r="RL89" s="16"/>
      <c r="RM89" s="16"/>
      <c r="RN89" s="16"/>
      <c r="RO89" s="16"/>
      <c r="RP89" s="16"/>
      <c r="RQ89" s="16"/>
      <c r="RR89" s="16"/>
      <c r="RS89" s="16"/>
      <c r="RT89" s="16"/>
      <c r="RU89" s="16"/>
      <c r="RV89" s="16"/>
      <c r="RW89" s="16"/>
      <c r="RX89" s="16"/>
      <c r="RY89" s="16"/>
      <c r="RZ89" s="16"/>
      <c r="SA89" s="16"/>
      <c r="SB89" s="16"/>
      <c r="SC89" s="16"/>
      <c r="SD89" s="16"/>
      <c r="SE89" s="16"/>
      <c r="SF89" s="16"/>
      <c r="SG89" s="16"/>
      <c r="SH89" s="16"/>
      <c r="SI89" s="16"/>
      <c r="SJ89" s="16"/>
      <c r="SK89" s="16"/>
      <c r="SL89" s="16"/>
      <c r="SM89" s="16"/>
      <c r="SN89" s="16"/>
      <c r="SO89" s="16"/>
      <c r="SP89" s="16"/>
      <c r="SQ89" s="16"/>
      <c r="SR89" s="16"/>
      <c r="SS89" s="16"/>
      <c r="ST89" s="16"/>
      <c r="SU89" s="16"/>
      <c r="SV89" s="16"/>
      <c r="SW89" s="16"/>
      <c r="SX89" s="16"/>
      <c r="SY89" s="16"/>
      <c r="SZ89" s="16"/>
      <c r="TA89" s="16"/>
      <c r="TB89" s="16"/>
      <c r="TC89" s="16"/>
      <c r="TD89" s="16"/>
      <c r="TE89" s="16"/>
      <c r="TF89" s="16"/>
      <c r="TG89" s="16"/>
      <c r="TH89" s="16"/>
      <c r="TI89" s="16"/>
      <c r="TJ89" s="16"/>
      <c r="TK89" s="16"/>
      <c r="TL89" s="16"/>
      <c r="TM89" s="16"/>
      <c r="TN89" s="16"/>
      <c r="TO89" s="16"/>
      <c r="TP89" s="16"/>
      <c r="TQ89" s="16"/>
      <c r="TR89" s="16"/>
      <c r="TS89" s="16"/>
      <c r="TT89" s="16"/>
      <c r="TU89" s="16"/>
      <c r="TV89" s="16"/>
      <c r="TW89" s="16"/>
      <c r="TX89" s="16"/>
      <c r="TY89" s="16"/>
      <c r="TZ89" s="16"/>
      <c r="UA89" s="16"/>
      <c r="UB89" s="16"/>
      <c r="UC89" s="16"/>
      <c r="UD89" s="16"/>
      <c r="UE89" s="16"/>
      <c r="UF89" s="16"/>
      <c r="UG89" s="16"/>
      <c r="UH89" s="16"/>
      <c r="UI89" s="16"/>
      <c r="UJ89" s="16"/>
      <c r="UK89" s="16"/>
      <c r="UL89" s="16"/>
      <c r="UM89" s="16"/>
      <c r="UN89" s="16"/>
      <c r="UO89" s="16"/>
      <c r="UP89" s="16"/>
      <c r="UQ89" s="16"/>
      <c r="UR89" s="16"/>
      <c r="US89" s="16"/>
      <c r="UT89" s="16"/>
      <c r="UU89" s="16"/>
      <c r="UV89" s="16"/>
      <c r="UW89" s="16"/>
      <c r="UX89" s="16"/>
      <c r="UY89" s="16"/>
      <c r="UZ89" s="16"/>
      <c r="VA89" s="16"/>
      <c r="VB89" s="16"/>
      <c r="VC89" s="16"/>
      <c r="VD89" s="16"/>
      <c r="VE89" s="16"/>
      <c r="VF89" s="16"/>
      <c r="VG89" s="16"/>
      <c r="VH89" s="16"/>
      <c r="VI89" s="16"/>
      <c r="VJ89" s="16"/>
      <c r="VK89" s="16"/>
      <c r="VL89" s="16"/>
      <c r="VM89" s="16"/>
      <c r="VN89" s="16"/>
      <c r="VO89" s="16"/>
      <c r="VP89" s="16"/>
      <c r="VQ89" s="16"/>
      <c r="VR89" s="16"/>
      <c r="VS89" s="16"/>
      <c r="VT89" s="16"/>
      <c r="VU89" s="16"/>
      <c r="VV89" s="16"/>
      <c r="VW89" s="16"/>
      <c r="VX89" s="16"/>
      <c r="VY89" s="16"/>
      <c r="VZ89" s="16"/>
      <c r="WA89" s="16"/>
      <c r="WB89" s="16"/>
      <c r="WC89" s="16"/>
      <c r="WD89" s="16"/>
      <c r="WE89" s="16"/>
      <c r="WF89" s="16"/>
      <c r="WG89" s="16"/>
      <c r="WH89" s="16"/>
      <c r="WI89" s="16"/>
      <c r="WJ89" s="16"/>
      <c r="WK89" s="16"/>
      <c r="WL89" s="16"/>
      <c r="WM89" s="16"/>
      <c r="WN89" s="16"/>
      <c r="WO89" s="16"/>
      <c r="WP89" s="16"/>
      <c r="WQ89" s="16"/>
      <c r="WR89" s="16"/>
      <c r="WS89" s="16"/>
      <c r="WT89" s="16"/>
      <c r="WU89" s="16"/>
      <c r="WV89" s="16"/>
      <c r="WW89" s="16"/>
      <c r="WX89" s="16"/>
      <c r="WY89" s="16"/>
      <c r="WZ89" s="16"/>
      <c r="XA89" s="16"/>
      <c r="XB89" s="16"/>
      <c r="XC89" s="16"/>
      <c r="XD89" s="16"/>
      <c r="XE89" s="16"/>
      <c r="XF89" s="16"/>
      <c r="XG89" s="16"/>
      <c r="XH89" s="16"/>
      <c r="XI89" s="16"/>
      <c r="XJ89" s="16"/>
      <c r="XK89" s="16"/>
      <c r="XL89" s="16"/>
      <c r="XM89" s="16"/>
      <c r="XN89" s="16"/>
      <c r="XO89" s="16"/>
      <c r="XP89" s="16"/>
      <c r="XQ89" s="16"/>
      <c r="XR89" s="16"/>
      <c r="XS89" s="16"/>
      <c r="XT89" s="16"/>
      <c r="XU89" s="16"/>
      <c r="XV89" s="16"/>
      <c r="XW89" s="16"/>
      <c r="XX89" s="16"/>
      <c r="XY89" s="16"/>
      <c r="XZ89" s="16"/>
      <c r="YA89" s="16"/>
      <c r="YB89" s="16"/>
      <c r="YC89" s="16"/>
      <c r="YD89" s="16"/>
      <c r="YE89" s="16"/>
      <c r="YF89" s="16"/>
      <c r="YG89" s="16"/>
      <c r="YH89" s="16"/>
      <c r="YI89" s="16"/>
      <c r="YJ89" s="16"/>
      <c r="YK89" s="16"/>
      <c r="YL89" s="16"/>
      <c r="YM89" s="16"/>
      <c r="YN89" s="16"/>
      <c r="YO89" s="16"/>
      <c r="YP89" s="16"/>
      <c r="YQ89" s="16"/>
      <c r="YR89" s="16"/>
      <c r="YS89" s="16"/>
      <c r="YT89" s="16"/>
      <c r="YU89" s="16"/>
      <c r="YV89" s="16"/>
      <c r="YW89" s="16"/>
      <c r="YX89" s="16"/>
      <c r="YY89" s="16"/>
      <c r="YZ89" s="16"/>
      <c r="ZA89" s="16"/>
      <c r="ZB89" s="16"/>
      <c r="ZC89" s="16"/>
      <c r="ZD89" s="16"/>
      <c r="ZE89" s="16"/>
      <c r="ZF89" s="16"/>
      <c r="ZG89" s="16"/>
      <c r="ZH89" s="16"/>
      <c r="ZI89" s="16"/>
      <c r="ZJ89" s="16"/>
      <c r="ZK89" s="16"/>
      <c r="ZL89" s="16"/>
      <c r="ZM89" s="16"/>
      <c r="ZN89" s="16"/>
      <c r="ZO89" s="16"/>
      <c r="ZP89" s="16"/>
      <c r="ZQ89" s="16"/>
      <c r="ZR89" s="16"/>
      <c r="ZS89" s="16"/>
      <c r="ZT89" s="16"/>
      <c r="ZU89" s="16"/>
      <c r="ZV89" s="16"/>
      <c r="ZW89" s="16"/>
      <c r="ZX89" s="16"/>
      <c r="ZY89" s="16"/>
      <c r="ZZ89" s="16"/>
      <c r="AAA89" s="16"/>
      <c r="AAB89" s="16"/>
      <c r="AAC89" s="16"/>
      <c r="AAD89" s="16"/>
      <c r="AAE89" s="16"/>
      <c r="AAF89" s="16"/>
      <c r="AAG89" s="16"/>
      <c r="AAH89" s="16"/>
      <c r="AAI89" s="16"/>
      <c r="AAJ89" s="16"/>
      <c r="AAK89" s="16"/>
      <c r="AAL89" s="16"/>
      <c r="AAM89" s="16"/>
      <c r="AAN89" s="16"/>
      <c r="AAO89" s="16"/>
      <c r="AAP89" s="16"/>
      <c r="AAQ89" s="16"/>
      <c r="AAR89" s="16"/>
      <c r="AAS89" s="16"/>
      <c r="AAT89" s="16"/>
      <c r="AAU89" s="16"/>
      <c r="AAV89" s="16"/>
      <c r="AAW89" s="16"/>
      <c r="AAX89" s="16"/>
      <c r="AAY89" s="16"/>
      <c r="AAZ89" s="16"/>
      <c r="ABA89" s="16"/>
      <c r="ABB89" s="16"/>
      <c r="ABC89" s="16"/>
      <c r="ABD89" s="16"/>
      <c r="ABE89" s="16"/>
      <c r="ABF89" s="16"/>
      <c r="ABG89" s="16"/>
      <c r="ABH89" s="16"/>
      <c r="ABI89" s="16"/>
      <c r="ABJ89" s="16"/>
      <c r="ABK89" s="16"/>
      <c r="ABL89" s="16"/>
      <c r="ABM89" s="16"/>
      <c r="ABN89" s="16"/>
      <c r="ABO89" s="16"/>
      <c r="ABP89" s="16"/>
      <c r="ABQ89" s="16"/>
      <c r="ABR89" s="16"/>
      <c r="ABS89" s="16"/>
      <c r="ABT89" s="16"/>
      <c r="ABU89" s="16"/>
      <c r="ABV89" s="16"/>
      <c r="ABW89" s="16"/>
      <c r="ABX89" s="16"/>
      <c r="ABY89" s="16"/>
      <c r="ABZ89" s="16"/>
      <c r="ACA89" s="16"/>
      <c r="ACB89" s="16"/>
      <c r="ACC89" s="16"/>
      <c r="ACD89" s="16"/>
      <c r="ACE89" s="16"/>
      <c r="ACF89" s="16"/>
      <c r="ACG89" s="16"/>
      <c r="ACH89" s="16"/>
      <c r="ACI89" s="16"/>
      <c r="ACJ89" s="16"/>
      <c r="ACK89" s="16"/>
      <c r="ACL89" s="16"/>
      <c r="ACM89" s="16"/>
      <c r="ACN89" s="16"/>
      <c r="ACO89" s="16"/>
      <c r="ACP89" s="16"/>
      <c r="ACQ89" s="16"/>
      <c r="ACR89" s="16"/>
      <c r="ACS89" s="16"/>
      <c r="ACT89" s="16"/>
      <c r="ACU89" s="16"/>
      <c r="ACV89" s="16"/>
      <c r="ACW89" s="16"/>
      <c r="ACX89" s="16"/>
      <c r="ACY89" s="16"/>
      <c r="ACZ89" s="16"/>
      <c r="ADA89" s="16"/>
      <c r="ADB89" s="16"/>
      <c r="ADC89" s="16"/>
      <c r="ADD89" s="16"/>
      <c r="ADE89" s="16"/>
      <c r="ADF89" s="16"/>
      <c r="ADG89" s="16"/>
      <c r="ADH89" s="16"/>
      <c r="ADI89" s="16"/>
      <c r="ADJ89" s="16"/>
      <c r="ADK89" s="16"/>
      <c r="ADL89" s="16"/>
      <c r="ADM89" s="16"/>
      <c r="ADN89" s="16"/>
      <c r="ADO89" s="16"/>
      <c r="ADP89" s="16"/>
      <c r="ADQ89" s="16"/>
      <c r="ADR89" s="16"/>
      <c r="ADS89" s="16"/>
      <c r="ADT89" s="16"/>
      <c r="ADU89" s="16"/>
      <c r="ADV89" s="16"/>
      <c r="ADW89" s="16"/>
      <c r="ADX89" s="16"/>
      <c r="ADY89" s="16"/>
      <c r="ADZ89" s="16"/>
      <c r="AEA89" s="16"/>
      <c r="AEB89" s="16"/>
      <c r="AEC89" s="16"/>
      <c r="AED89" s="16"/>
      <c r="AEE89" s="16"/>
      <c r="AEF89" s="16"/>
      <c r="AEG89" s="16"/>
      <c r="AEH89" s="16"/>
      <c r="AEI89" s="16"/>
      <c r="AEJ89" s="16"/>
      <c r="AEK89" s="16"/>
      <c r="AEL89" s="16"/>
      <c r="AEM89" s="16"/>
      <c r="AEN89" s="16"/>
      <c r="AEO89" s="16"/>
      <c r="AEP89" s="16"/>
      <c r="AEQ89" s="16"/>
      <c r="AER89" s="16"/>
      <c r="AES89" s="16"/>
      <c r="AET89" s="16"/>
      <c r="AEU89" s="16"/>
      <c r="AEV89" s="16"/>
      <c r="AEW89" s="16"/>
      <c r="AEX89" s="16"/>
      <c r="AEY89" s="16"/>
      <c r="AEZ89" s="16"/>
      <c r="AFA89" s="16"/>
      <c r="AFB89" s="16"/>
      <c r="AFC89" s="16"/>
      <c r="AFD89" s="16"/>
      <c r="AFE89" s="16"/>
      <c r="AFF89" s="16"/>
      <c r="AFG89" s="16"/>
      <c r="AFH89" s="16"/>
      <c r="AFI89" s="16"/>
      <c r="AFJ89" s="16"/>
      <c r="AFK89" s="16"/>
      <c r="AFL89" s="16"/>
      <c r="AFM89" s="16"/>
      <c r="AFN89" s="16"/>
      <c r="AFO89" s="16"/>
      <c r="AFP89" s="16"/>
      <c r="AFQ89" s="16"/>
      <c r="AFR89" s="16"/>
      <c r="AFS89" s="16"/>
      <c r="AFT89" s="16"/>
      <c r="AFU89" s="16"/>
      <c r="AFV89" s="16"/>
      <c r="AFW89" s="16"/>
      <c r="AFX89" s="16"/>
      <c r="AFY89" s="16"/>
      <c r="AFZ89" s="16"/>
      <c r="AGA89" s="16"/>
      <c r="AGB89" s="16"/>
      <c r="AGC89" s="16"/>
      <c r="AGD89" s="16"/>
      <c r="AGE89" s="16"/>
      <c r="AGF89" s="16"/>
      <c r="AGG89" s="16"/>
      <c r="AGH89" s="16"/>
      <c r="AGI89" s="16"/>
      <c r="AGJ89" s="16"/>
      <c r="AGK89" s="16"/>
      <c r="AGL89" s="16"/>
      <c r="AGM89" s="16"/>
      <c r="AGN89" s="16"/>
      <c r="AGO89" s="16"/>
      <c r="AGP89" s="16"/>
      <c r="AGQ89" s="16"/>
      <c r="AGR89" s="16"/>
      <c r="AGS89" s="16"/>
      <c r="AGT89" s="16"/>
      <c r="AGU89" s="16"/>
      <c r="AGV89" s="16"/>
      <c r="AGW89" s="16"/>
      <c r="AGX89" s="16"/>
      <c r="AGY89" s="16"/>
      <c r="AGZ89" s="16"/>
      <c r="AHA89" s="16"/>
      <c r="AHB89" s="16"/>
      <c r="AHC89" s="16"/>
      <c r="AHD89" s="16"/>
      <c r="AHE89" s="16"/>
      <c r="AHF89" s="16"/>
      <c r="AHG89" s="16"/>
      <c r="AHH89" s="16"/>
      <c r="AHI89" s="16"/>
      <c r="AHJ89" s="16"/>
      <c r="AHK89" s="16"/>
      <c r="AHL89" s="16"/>
      <c r="AHM89" s="16"/>
      <c r="AHN89" s="16"/>
      <c r="AHO89" s="16"/>
      <c r="AHP89" s="16"/>
      <c r="AHQ89" s="16"/>
      <c r="AHR89" s="16"/>
      <c r="AHS89" s="16"/>
      <c r="AHT89" s="16"/>
      <c r="AHU89" s="16"/>
      <c r="AHV89" s="16"/>
      <c r="AHW89" s="16"/>
      <c r="AHX89" s="16"/>
      <c r="AHY89" s="16"/>
      <c r="AHZ89" s="16"/>
      <c r="AIA89" s="16"/>
      <c r="AIB89" s="16"/>
      <c r="AIC89" s="16"/>
      <c r="AID89" s="16"/>
      <c r="AIE89" s="16"/>
      <c r="AIF89" s="16"/>
      <c r="AIG89" s="16"/>
      <c r="AIH89" s="16"/>
      <c r="AII89" s="16"/>
      <c r="AIJ89" s="16"/>
      <c r="AIK89" s="16"/>
      <c r="AIL89" s="16"/>
      <c r="AIM89" s="16"/>
      <c r="AIN89" s="16"/>
      <c r="AIO89" s="16"/>
      <c r="AIP89" s="16"/>
      <c r="AIQ89" s="16"/>
      <c r="AIR89" s="16"/>
      <c r="AIS89" s="16"/>
      <c r="AIT89" s="16"/>
      <c r="AIU89" s="16"/>
      <c r="AIV89" s="16"/>
      <c r="AIW89" s="16"/>
      <c r="AIX89" s="16"/>
      <c r="AIY89" s="16"/>
      <c r="AIZ89" s="16"/>
      <c r="AJA89" s="16"/>
      <c r="AJB89" s="16"/>
      <c r="AJC89" s="16"/>
      <c r="AJD89" s="16"/>
      <c r="AJE89" s="16"/>
      <c r="AJF89" s="16"/>
      <c r="AJG89" s="16"/>
      <c r="AJH89" s="16"/>
      <c r="AJI89" s="16"/>
      <c r="AJJ89" s="16"/>
      <c r="AJK89" s="16"/>
      <c r="AJL89" s="16"/>
      <c r="AJM89" s="16"/>
      <c r="AJN89" s="16"/>
      <c r="AJO89" s="16"/>
      <c r="AJP89" s="16"/>
      <c r="AJQ89" s="16"/>
      <c r="AJR89" s="16"/>
      <c r="AJS89" s="16"/>
      <c r="AJT89" s="16"/>
      <c r="AJU89" s="16"/>
      <c r="AJV89" s="16"/>
      <c r="AJW89" s="16"/>
      <c r="AJX89" s="16"/>
      <c r="AJY89" s="16"/>
      <c r="AJZ89" s="16"/>
      <c r="AKA89" s="16"/>
      <c r="AKB89" s="16"/>
      <c r="AKC89" s="16"/>
      <c r="AKD89" s="16"/>
      <c r="AKE89" s="16"/>
      <c r="AKF89" s="16"/>
      <c r="AKG89" s="16"/>
      <c r="AKH89" s="16"/>
      <c r="AKI89" s="16"/>
      <c r="AKJ89" s="16"/>
      <c r="AKK89" s="16"/>
      <c r="AKL89" s="16"/>
      <c r="AKM89" s="16"/>
      <c r="AKN89" s="16"/>
      <c r="AKO89" s="16"/>
      <c r="AKP89" s="16"/>
      <c r="AKQ89" s="16"/>
      <c r="AKR89" s="16"/>
      <c r="AKS89" s="16"/>
      <c r="AKT89" s="16"/>
      <c r="AKU89" s="16"/>
      <c r="AKV89" s="16"/>
      <c r="AKW89" s="16"/>
      <c r="AKX89" s="16"/>
      <c r="AKY89" s="16"/>
      <c r="AKZ89" s="16"/>
      <c r="ALA89" s="16"/>
      <c r="ALB89" s="16"/>
      <c r="ALC89" s="16"/>
      <c r="ALD89" s="16"/>
      <c r="ALE89" s="16"/>
      <c r="ALF89" s="16"/>
      <c r="ALG89" s="16"/>
      <c r="ALH89" s="16"/>
      <c r="ALI89" s="16"/>
      <c r="ALJ89" s="16"/>
      <c r="ALK89" s="16"/>
      <c r="ALL89" s="16"/>
      <c r="ALM89" s="16"/>
      <c r="ALN89" s="16"/>
      <c r="ALO89" s="16"/>
      <c r="ALP89" s="16"/>
      <c r="ALQ89" s="16"/>
      <c r="ALR89" s="16"/>
      <c r="ALS89" s="16"/>
      <c r="ALT89" s="16"/>
      <c r="ALU89" s="16"/>
      <c r="ALV89" s="16"/>
      <c r="ALW89" s="16"/>
      <c r="ALX89" s="16"/>
      <c r="ALY89" s="16"/>
      <c r="ALZ89" s="16"/>
      <c r="AMA89" s="16"/>
      <c r="AMB89" s="16"/>
      <c r="AMC89" s="16"/>
      <c r="AMD89" s="16"/>
      <c r="AME89" s="16"/>
      <c r="AMF89" s="16"/>
      <c r="AMG89" s="16"/>
      <c r="AMH89" s="16"/>
      <c r="AMI89" s="16"/>
      <c r="AMJ89" s="16"/>
      <c r="AMK89" s="16"/>
      <c r="AML89" s="16"/>
      <c r="AMM89" s="16"/>
      <c r="AMN89" s="16"/>
      <c r="AMO89" s="16"/>
      <c r="AMP89" s="16"/>
      <c r="AMQ89" s="16"/>
      <c r="AMR89" s="16"/>
      <c r="AMS89" s="16"/>
      <c r="AMT89" s="16"/>
      <c r="AMU89" s="16"/>
      <c r="AMV89" s="16"/>
      <c r="AMW89" s="16"/>
      <c r="AMX89" s="16"/>
      <c r="AMY89" s="16"/>
      <c r="AMZ89" s="16"/>
      <c r="ANA89" s="16"/>
      <c r="ANB89" s="16"/>
      <c r="ANC89" s="16"/>
      <c r="AND89" s="16"/>
      <c r="ANE89" s="16"/>
      <c r="ANF89" s="16"/>
      <c r="ANG89" s="16"/>
      <c r="ANH89" s="16"/>
      <c r="ANI89" s="16"/>
      <c r="ANJ89" s="16"/>
      <c r="ANK89" s="16"/>
      <c r="ANL89" s="16"/>
      <c r="ANM89" s="16"/>
      <c r="ANN89" s="16"/>
      <c r="ANO89" s="16"/>
      <c r="ANP89" s="16"/>
      <c r="ANQ89" s="16"/>
      <c r="ANR89" s="16"/>
      <c r="ANS89" s="16"/>
      <c r="ANT89" s="16"/>
      <c r="ANU89" s="16"/>
      <c r="ANV89" s="16"/>
      <c r="ANW89" s="16"/>
      <c r="ANX89" s="16"/>
      <c r="ANY89" s="16"/>
      <c r="ANZ89" s="16"/>
      <c r="AOA89" s="16"/>
      <c r="AOB89" s="16"/>
      <c r="AOC89" s="16"/>
      <c r="AOD89" s="16"/>
      <c r="AOE89" s="16"/>
      <c r="AOF89" s="16"/>
      <c r="AOG89" s="16"/>
      <c r="AOH89" s="16"/>
      <c r="AOI89" s="16"/>
      <c r="AOJ89" s="16"/>
      <c r="AOK89" s="16"/>
      <c r="AOL89" s="16"/>
      <c r="AOM89" s="16"/>
      <c r="AON89" s="16"/>
      <c r="AOO89" s="16"/>
      <c r="AOP89" s="16"/>
      <c r="AOQ89" s="16"/>
      <c r="AOR89" s="16"/>
      <c r="AOS89" s="16"/>
      <c r="AOT89" s="16"/>
      <c r="AOU89" s="16"/>
      <c r="AOV89" s="16"/>
      <c r="AOW89" s="16"/>
      <c r="AOX89" s="16"/>
      <c r="AOY89" s="16"/>
      <c r="AOZ89" s="16"/>
      <c r="APA89" s="16"/>
      <c r="APB89" s="16"/>
      <c r="APC89" s="16"/>
      <c r="APD89" s="16"/>
      <c r="APE89" s="16"/>
      <c r="APF89" s="16"/>
      <c r="APG89" s="16"/>
      <c r="APH89" s="16"/>
      <c r="API89" s="16"/>
      <c r="APJ89" s="16"/>
      <c r="APK89" s="16"/>
      <c r="APL89" s="16"/>
      <c r="APM89" s="16"/>
      <c r="APN89" s="16"/>
      <c r="APO89" s="16"/>
      <c r="APP89" s="16"/>
      <c r="APQ89" s="16"/>
      <c r="APR89" s="16"/>
      <c r="APS89" s="16"/>
      <c r="APT89" s="16"/>
      <c r="APU89" s="16"/>
      <c r="APV89" s="16"/>
      <c r="APW89" s="16"/>
      <c r="APX89" s="16"/>
      <c r="APY89" s="16"/>
      <c r="APZ89" s="16"/>
      <c r="AQA89" s="16"/>
      <c r="AQB89" s="16"/>
      <c r="AQC89" s="16"/>
      <c r="AQD89" s="16"/>
      <c r="AQE89" s="16"/>
      <c r="AQF89" s="16"/>
      <c r="AQG89" s="16"/>
      <c r="AQH89" s="16"/>
      <c r="AQI89" s="16"/>
      <c r="AQJ89" s="16"/>
      <c r="AQK89" s="16"/>
      <c r="AQL89" s="16"/>
      <c r="AQM89" s="16"/>
      <c r="AQN89" s="16"/>
      <c r="AQO89" s="16"/>
      <c r="AQP89" s="16"/>
      <c r="AQQ89" s="16"/>
      <c r="AQR89" s="16"/>
      <c r="AQS89" s="16"/>
      <c r="AQT89" s="16"/>
      <c r="AQU89" s="16"/>
      <c r="AQV89" s="16"/>
      <c r="AQW89" s="16"/>
      <c r="AQX89" s="16"/>
      <c r="AQY89" s="16"/>
      <c r="AQZ89" s="16"/>
      <c r="ARA89" s="16"/>
      <c r="ARB89" s="16"/>
      <c r="ARC89" s="16"/>
      <c r="ARD89" s="16"/>
      <c r="ARE89" s="16"/>
      <c r="ARF89" s="16"/>
      <c r="ARG89" s="16"/>
      <c r="ARH89" s="16"/>
      <c r="ARI89" s="16"/>
      <c r="ARJ89" s="16"/>
      <c r="ARK89" s="16"/>
      <c r="ARL89" s="16"/>
      <c r="ARM89" s="16"/>
      <c r="ARN89" s="16"/>
      <c r="ARO89" s="16"/>
      <c r="ARP89" s="16"/>
      <c r="ARQ89" s="16"/>
      <c r="ARR89" s="16"/>
      <c r="ARS89" s="16"/>
      <c r="ART89" s="16"/>
      <c r="ARU89" s="16"/>
      <c r="ARV89" s="16"/>
      <c r="ARW89" s="16"/>
      <c r="ARX89" s="16"/>
      <c r="ARY89" s="16"/>
      <c r="ARZ89" s="16"/>
      <c r="ASA89" s="16"/>
      <c r="ASB89" s="16"/>
      <c r="ASC89" s="16"/>
      <c r="ASD89" s="16"/>
      <c r="ASE89" s="16"/>
      <c r="ASF89" s="16"/>
      <c r="ASG89" s="16"/>
      <c r="ASH89" s="16"/>
      <c r="ASI89" s="16"/>
      <c r="ASJ89" s="16"/>
      <c r="ASK89" s="16"/>
      <c r="ASL89" s="16"/>
      <c r="ASM89" s="16"/>
      <c r="ASN89" s="16"/>
      <c r="ASO89" s="16"/>
      <c r="ASP89" s="16"/>
      <c r="ASQ89" s="16"/>
      <c r="ASR89" s="16"/>
      <c r="ASS89" s="16"/>
      <c r="AST89" s="16"/>
      <c r="ASU89" s="16"/>
      <c r="ASV89" s="16"/>
      <c r="ASW89" s="16"/>
      <c r="ASX89" s="16"/>
      <c r="ASY89" s="16"/>
      <c r="ASZ89" s="16"/>
      <c r="ATA89" s="16"/>
      <c r="ATB89" s="16"/>
      <c r="ATC89" s="16"/>
      <c r="ATD89" s="16"/>
      <c r="ATE89" s="16"/>
      <c r="ATF89" s="16"/>
      <c r="ATG89" s="16"/>
      <c r="ATH89" s="16"/>
      <c r="ATI89" s="16"/>
      <c r="ATJ89" s="16"/>
      <c r="ATK89" s="16"/>
      <c r="ATL89" s="16"/>
      <c r="ATM89" s="16"/>
      <c r="ATN89" s="16"/>
      <c r="ATO89" s="16"/>
      <c r="ATP89" s="16"/>
      <c r="ATQ89" s="16"/>
      <c r="ATR89" s="16"/>
      <c r="ATS89" s="16"/>
      <c r="ATT89" s="16"/>
      <c r="ATU89" s="16"/>
      <c r="ATV89" s="16"/>
      <c r="ATW89" s="16"/>
      <c r="ATX89" s="16"/>
      <c r="ATY89" s="16"/>
      <c r="ATZ89" s="16"/>
      <c r="AUA89" s="16"/>
      <c r="AUB89" s="16"/>
      <c r="AUC89" s="16"/>
      <c r="AUD89" s="16"/>
      <c r="AUE89" s="16"/>
      <c r="AUF89" s="16"/>
      <c r="AUG89" s="16"/>
      <c r="AUH89" s="16"/>
      <c r="AUI89" s="16"/>
      <c r="AUJ89" s="16"/>
      <c r="AUK89" s="16"/>
      <c r="AUL89" s="16"/>
      <c r="AUM89" s="16"/>
      <c r="AUN89" s="16"/>
      <c r="AUO89" s="16"/>
      <c r="AUP89" s="16"/>
      <c r="AUQ89" s="16"/>
      <c r="AUR89" s="16"/>
      <c r="AUS89" s="16"/>
      <c r="AUT89" s="16"/>
      <c r="AUU89" s="16"/>
      <c r="AUV89" s="16"/>
      <c r="AUW89" s="16"/>
      <c r="AUX89" s="16"/>
      <c r="AUY89" s="16"/>
      <c r="AUZ89" s="16"/>
      <c r="AVA89" s="16"/>
      <c r="AVB89" s="16"/>
      <c r="AVC89" s="16"/>
      <c r="AVD89" s="16"/>
      <c r="AVE89" s="16"/>
      <c r="AVF89" s="16"/>
      <c r="AVG89" s="16"/>
      <c r="AVH89" s="16"/>
      <c r="AVI89" s="16"/>
      <c r="AVJ89" s="16"/>
      <c r="AVK89" s="16"/>
      <c r="AVL89" s="16"/>
      <c r="AVM89" s="16"/>
      <c r="AVN89" s="16"/>
      <c r="AVO89" s="16"/>
      <c r="AVP89" s="16"/>
      <c r="AVQ89" s="16"/>
      <c r="AVR89" s="16"/>
      <c r="AVS89" s="16"/>
      <c r="AVT89" s="16"/>
      <c r="AVU89" s="16"/>
      <c r="AVV89" s="16"/>
      <c r="AVW89" s="16"/>
      <c r="AVX89" s="16"/>
      <c r="AVY89" s="16"/>
      <c r="AVZ89" s="16"/>
      <c r="AWA89" s="16"/>
      <c r="AWB89" s="16"/>
      <c r="AWC89" s="16"/>
      <c r="AWD89" s="16"/>
      <c r="AWE89" s="16"/>
      <c r="AWF89" s="16"/>
      <c r="AWG89" s="16"/>
      <c r="AWH89" s="16"/>
      <c r="AWI89" s="16"/>
      <c r="AWJ89" s="16"/>
      <c r="AWK89" s="16"/>
      <c r="AWL89" s="16"/>
      <c r="AWM89" s="16"/>
      <c r="AWN89" s="16"/>
      <c r="AWO89" s="16"/>
      <c r="AWP89" s="16"/>
      <c r="AWQ89" s="16"/>
      <c r="AWR89" s="16"/>
      <c r="AWS89" s="16"/>
      <c r="AWT89" s="16"/>
      <c r="AWU89" s="16"/>
      <c r="AWV89" s="16"/>
      <c r="AWW89" s="16"/>
      <c r="AWX89" s="16"/>
      <c r="AWY89" s="16"/>
      <c r="AWZ89" s="16"/>
      <c r="AXA89" s="16"/>
      <c r="AXB89" s="16"/>
      <c r="AXC89" s="16"/>
      <c r="AXD89" s="16"/>
      <c r="AXE89" s="16"/>
      <c r="AXF89" s="16"/>
      <c r="AXG89" s="16"/>
      <c r="AXH89" s="16"/>
      <c r="AXI89" s="16"/>
      <c r="AXJ89" s="16"/>
      <c r="AXK89" s="16"/>
      <c r="AXL89" s="16"/>
      <c r="AXM89" s="16"/>
      <c r="AXN89" s="16"/>
      <c r="AXO89" s="16"/>
      <c r="AXP89" s="16"/>
      <c r="AXQ89" s="16"/>
      <c r="AXR89" s="16"/>
      <c r="AXS89" s="16"/>
      <c r="AXT89" s="16"/>
      <c r="AXU89" s="16"/>
      <c r="AXV89" s="16"/>
      <c r="AXW89" s="16"/>
      <c r="AXX89" s="16"/>
      <c r="AXY89" s="16"/>
      <c r="AXZ89" s="16"/>
      <c r="AYA89" s="16"/>
      <c r="AYB89" s="16"/>
      <c r="AYC89" s="16"/>
      <c r="AYD89" s="16"/>
      <c r="AYE89" s="16"/>
      <c r="AYF89" s="16"/>
      <c r="AYG89" s="16"/>
      <c r="AYH89" s="16"/>
      <c r="AYI89" s="16"/>
      <c r="AYJ89" s="16"/>
      <c r="AYK89" s="16"/>
      <c r="AYL89" s="16"/>
      <c r="AYM89" s="16"/>
      <c r="AYN89" s="16"/>
      <c r="AYO89" s="16"/>
      <c r="AYP89" s="16"/>
      <c r="AYQ89" s="16"/>
      <c r="AYR89" s="16"/>
      <c r="AYS89" s="16"/>
      <c r="AYT89" s="16"/>
      <c r="AYU89" s="16"/>
      <c r="AYV89" s="16"/>
      <c r="AYW89" s="16"/>
      <c r="AYX89" s="16"/>
      <c r="AYY89" s="16"/>
      <c r="AYZ89" s="16"/>
      <c r="AZA89" s="16"/>
      <c r="AZB89" s="16"/>
      <c r="AZC89" s="16"/>
      <c r="AZD89" s="16"/>
      <c r="AZE89" s="16"/>
      <c r="AZF89" s="16"/>
      <c r="AZG89" s="16"/>
      <c r="AZH89" s="16"/>
      <c r="AZI89" s="16"/>
      <c r="AZJ89" s="16"/>
      <c r="AZK89" s="16"/>
      <c r="AZL89" s="16"/>
      <c r="AZM89" s="16"/>
      <c r="AZN89" s="16"/>
      <c r="AZO89" s="16"/>
      <c r="AZP89" s="16"/>
      <c r="AZQ89" s="16"/>
      <c r="AZR89" s="16"/>
      <c r="AZS89" s="16"/>
      <c r="AZT89" s="16"/>
      <c r="AZU89" s="16"/>
      <c r="AZV89" s="16"/>
      <c r="AZW89" s="16"/>
      <c r="AZX89" s="16"/>
      <c r="AZY89" s="16"/>
      <c r="AZZ89" s="16"/>
      <c r="BAA89" s="16"/>
      <c r="BAB89" s="16"/>
      <c r="BAC89" s="16"/>
      <c r="BAD89" s="16"/>
      <c r="BAE89" s="16"/>
      <c r="BAF89" s="16"/>
      <c r="BAG89" s="16"/>
      <c r="BAH89" s="16"/>
      <c r="BAI89" s="16"/>
      <c r="BAJ89" s="16"/>
      <c r="BAK89" s="16"/>
      <c r="BAL89" s="16"/>
      <c r="BAM89" s="16"/>
      <c r="BAN89" s="16"/>
      <c r="BAO89" s="16"/>
      <c r="BAP89" s="16"/>
      <c r="BAQ89" s="16"/>
      <c r="BAR89" s="16"/>
      <c r="BAS89" s="16"/>
      <c r="BAT89" s="16"/>
      <c r="BAU89" s="16"/>
      <c r="BAV89" s="16"/>
      <c r="BAW89" s="16"/>
      <c r="BAX89" s="16"/>
      <c r="BAY89" s="16"/>
      <c r="BAZ89" s="16"/>
      <c r="BBA89" s="16"/>
      <c r="BBB89" s="16"/>
      <c r="BBC89" s="16"/>
      <c r="BBD89" s="16"/>
      <c r="BBE89" s="16"/>
      <c r="BBF89" s="16"/>
      <c r="BBG89" s="16"/>
      <c r="BBH89" s="16"/>
      <c r="BBI89" s="16"/>
      <c r="BBJ89" s="16"/>
      <c r="BBK89" s="16"/>
      <c r="BBL89" s="16"/>
      <c r="BBM89" s="16"/>
      <c r="BBN89" s="16"/>
      <c r="BBO89" s="16"/>
      <c r="BBP89" s="16"/>
      <c r="BBQ89" s="16"/>
      <c r="BBR89" s="16"/>
      <c r="BBS89" s="16"/>
      <c r="BBT89" s="16"/>
      <c r="BBU89" s="16"/>
      <c r="BBV89" s="16"/>
      <c r="BBW89" s="16"/>
      <c r="BBX89" s="16"/>
      <c r="BBY89" s="16"/>
      <c r="BBZ89" s="16"/>
      <c r="BCA89" s="16"/>
      <c r="BCB89" s="16"/>
      <c r="BCC89" s="16"/>
      <c r="BCD89" s="16"/>
      <c r="BCE89" s="16"/>
      <c r="BCF89" s="16"/>
      <c r="BCG89" s="16"/>
      <c r="BCH89" s="16"/>
      <c r="BCI89" s="16"/>
      <c r="BCJ89" s="16"/>
      <c r="BCK89" s="16"/>
      <c r="BCL89" s="16"/>
      <c r="BCM89" s="16"/>
      <c r="BCN89" s="16"/>
      <c r="BCO89" s="16"/>
      <c r="BCP89" s="16"/>
      <c r="BCQ89" s="16"/>
      <c r="BCR89" s="16"/>
      <c r="BCS89" s="16"/>
      <c r="BCT89" s="16"/>
      <c r="BCU89" s="16"/>
      <c r="BCV89" s="16"/>
      <c r="BCW89" s="16"/>
      <c r="BCX89" s="16"/>
      <c r="BCY89" s="16"/>
      <c r="BCZ89" s="16"/>
      <c r="BDA89" s="16"/>
      <c r="BDB89" s="16"/>
      <c r="BDC89" s="16"/>
      <c r="BDD89" s="16"/>
      <c r="BDE89" s="16"/>
      <c r="BDF89" s="16"/>
      <c r="BDG89" s="16"/>
      <c r="BDH89" s="16"/>
      <c r="BDI89" s="16"/>
      <c r="BDJ89" s="16"/>
      <c r="BDK89" s="16"/>
      <c r="BDL89" s="16"/>
      <c r="BDM89" s="16"/>
      <c r="BDN89" s="16"/>
      <c r="BDO89" s="16"/>
      <c r="BDP89" s="16"/>
      <c r="BDQ89" s="16"/>
      <c r="BDR89" s="16"/>
      <c r="BDS89" s="16"/>
      <c r="BDT89" s="16"/>
      <c r="BDU89" s="16"/>
      <c r="BDV89" s="16"/>
      <c r="BDW89" s="16"/>
      <c r="BDX89" s="16"/>
      <c r="BDY89" s="16"/>
      <c r="BDZ89" s="16"/>
      <c r="BEA89" s="16"/>
      <c r="BEB89" s="16"/>
      <c r="BEC89" s="16"/>
      <c r="BED89" s="16"/>
      <c r="BEE89" s="16"/>
      <c r="BEF89" s="16"/>
      <c r="BEG89" s="16"/>
      <c r="BEH89" s="16"/>
      <c r="BEI89" s="16"/>
      <c r="BEJ89" s="16"/>
      <c r="BEK89" s="16"/>
      <c r="BEL89" s="16"/>
      <c r="BEM89" s="16"/>
      <c r="BEN89" s="16"/>
      <c r="BEO89" s="16"/>
      <c r="BEP89" s="16"/>
      <c r="BEQ89" s="16"/>
      <c r="BER89" s="16"/>
      <c r="BES89" s="16"/>
      <c r="BET89" s="16"/>
      <c r="BEU89" s="16"/>
      <c r="BEV89" s="16"/>
      <c r="BEW89" s="16"/>
      <c r="BEX89" s="16"/>
      <c r="BEY89" s="16"/>
      <c r="BEZ89" s="16"/>
      <c r="BFA89" s="16"/>
      <c r="BFB89" s="16"/>
      <c r="BFC89" s="16"/>
      <c r="BFD89" s="16"/>
      <c r="BFE89" s="16"/>
      <c r="BFF89" s="16"/>
      <c r="BFG89" s="16"/>
      <c r="BFH89" s="16"/>
      <c r="BFI89" s="16"/>
      <c r="BFJ89" s="16"/>
      <c r="BFK89" s="16"/>
      <c r="BFL89" s="16"/>
      <c r="BFM89" s="16"/>
      <c r="BFN89" s="16"/>
      <c r="BFO89" s="16"/>
      <c r="BFP89" s="16"/>
      <c r="BFQ89" s="16"/>
      <c r="BFR89" s="16"/>
      <c r="BFS89" s="16"/>
      <c r="BFT89" s="16"/>
      <c r="BFU89" s="16"/>
      <c r="BFV89" s="16"/>
      <c r="BFW89" s="16"/>
      <c r="BFX89" s="16"/>
      <c r="BFY89" s="16"/>
      <c r="BFZ89" s="16"/>
      <c r="BGA89" s="16"/>
      <c r="BGB89" s="16"/>
      <c r="BGC89" s="16"/>
      <c r="BGD89" s="16"/>
      <c r="BGE89" s="16"/>
      <c r="BGF89" s="16"/>
      <c r="BGG89" s="16"/>
      <c r="BGH89" s="16"/>
      <c r="BGI89" s="16"/>
      <c r="BGJ89" s="16"/>
      <c r="BGK89" s="16"/>
      <c r="BGL89" s="16"/>
      <c r="BGM89" s="16"/>
      <c r="BGN89" s="16"/>
      <c r="BGO89" s="16"/>
      <c r="BGP89" s="16"/>
      <c r="BGQ89" s="16"/>
      <c r="BGR89" s="16"/>
      <c r="BGS89" s="16"/>
      <c r="BGT89" s="16"/>
      <c r="BGU89" s="16"/>
      <c r="BGV89" s="16"/>
      <c r="BGW89" s="16"/>
      <c r="BGX89" s="16"/>
      <c r="BGY89" s="16"/>
      <c r="BGZ89" s="16"/>
      <c r="BHA89" s="16"/>
      <c r="BHB89" s="16"/>
      <c r="BHC89" s="16"/>
      <c r="BHD89" s="16"/>
      <c r="BHE89" s="16"/>
      <c r="BHF89" s="16"/>
      <c r="BHG89" s="16"/>
      <c r="BHH89" s="16"/>
      <c r="BHI89" s="16"/>
      <c r="BHJ89" s="16"/>
      <c r="BHK89" s="16"/>
      <c r="BHL89" s="16"/>
      <c r="BHM89" s="16"/>
      <c r="BHN89" s="16"/>
      <c r="BHO89" s="16"/>
      <c r="BHP89" s="16"/>
      <c r="BHQ89" s="16"/>
      <c r="BHR89" s="16"/>
      <c r="BHS89" s="16"/>
      <c r="BHT89" s="16"/>
      <c r="BHU89" s="16"/>
      <c r="BHV89" s="16"/>
      <c r="BHW89" s="16"/>
      <c r="BHX89" s="16"/>
      <c r="BHY89" s="16"/>
      <c r="BHZ89" s="16"/>
      <c r="BIA89" s="16"/>
      <c r="BIB89" s="16"/>
      <c r="BIC89" s="16"/>
      <c r="BID89" s="16"/>
      <c r="BIE89" s="16"/>
      <c r="BIF89" s="16"/>
      <c r="BIG89" s="16"/>
      <c r="BIH89" s="16"/>
      <c r="BII89" s="16"/>
      <c r="BIJ89" s="16"/>
      <c r="BIK89" s="16"/>
      <c r="BIL89" s="16"/>
      <c r="BIM89" s="16"/>
      <c r="BIN89" s="16"/>
      <c r="BIO89" s="16"/>
      <c r="BIP89" s="16"/>
      <c r="BIQ89" s="16"/>
      <c r="BIR89" s="16"/>
      <c r="BIS89" s="16"/>
      <c r="BIT89" s="16"/>
      <c r="BIU89" s="16"/>
      <c r="BIV89" s="16"/>
      <c r="BIW89" s="16"/>
      <c r="BIX89" s="16"/>
      <c r="BIY89" s="16"/>
      <c r="BIZ89" s="16"/>
      <c r="BJA89" s="16"/>
      <c r="BJB89" s="16"/>
      <c r="BJC89" s="16"/>
      <c r="BJD89" s="16"/>
      <c r="BJE89" s="16"/>
      <c r="BJF89" s="16"/>
      <c r="BJG89" s="16"/>
      <c r="BJH89" s="16"/>
      <c r="BJI89" s="16"/>
      <c r="BJJ89" s="16"/>
      <c r="BJK89" s="16"/>
      <c r="BJL89" s="16"/>
      <c r="BJM89" s="16"/>
      <c r="BJN89" s="16"/>
      <c r="BJO89" s="16"/>
      <c r="BJP89" s="16"/>
      <c r="BJQ89" s="16"/>
      <c r="BJR89" s="16"/>
      <c r="BJS89" s="16"/>
      <c r="BJT89" s="16"/>
      <c r="BJU89" s="16"/>
      <c r="BJV89" s="16"/>
      <c r="BJW89" s="16"/>
      <c r="BJX89" s="16"/>
      <c r="BJY89" s="16"/>
      <c r="BJZ89" s="16"/>
      <c r="BKA89" s="16"/>
      <c r="BKB89" s="16"/>
      <c r="BKC89" s="16"/>
      <c r="BKD89" s="16"/>
      <c r="BKE89" s="16"/>
      <c r="BKF89" s="16"/>
      <c r="BKG89" s="16"/>
      <c r="BKH89" s="16"/>
      <c r="BKI89" s="16"/>
      <c r="BKJ89" s="16"/>
      <c r="BKK89" s="16"/>
      <c r="BKL89" s="16"/>
      <c r="BKM89" s="16"/>
      <c r="BKN89" s="16"/>
      <c r="BKO89" s="16"/>
      <c r="BKP89" s="16"/>
      <c r="BKQ89" s="16"/>
      <c r="BKR89" s="16"/>
      <c r="BKS89" s="16"/>
      <c r="BKT89" s="16"/>
      <c r="BKU89" s="16"/>
      <c r="BKV89" s="16"/>
      <c r="BKW89" s="16"/>
      <c r="BKX89" s="16"/>
      <c r="BKY89" s="16"/>
      <c r="BKZ89" s="16"/>
      <c r="BLA89" s="16"/>
      <c r="BLB89" s="16"/>
      <c r="BLC89" s="16"/>
      <c r="BLD89" s="16"/>
      <c r="BLE89" s="16"/>
      <c r="BLF89" s="16"/>
      <c r="BLG89" s="16"/>
      <c r="BLH89" s="16"/>
      <c r="BLI89" s="16"/>
      <c r="BLJ89" s="16"/>
      <c r="BLK89" s="16"/>
      <c r="BLL89" s="16"/>
      <c r="BLM89" s="16"/>
      <c r="BLN89" s="16"/>
      <c r="BLO89" s="16"/>
      <c r="BLP89" s="16"/>
      <c r="BLQ89" s="16"/>
      <c r="BLR89" s="16"/>
      <c r="BLS89" s="16"/>
      <c r="BLT89" s="16"/>
      <c r="BLU89" s="16"/>
      <c r="BLV89" s="16"/>
      <c r="BLW89" s="16"/>
      <c r="BLX89" s="16"/>
      <c r="BLY89" s="16"/>
      <c r="BLZ89" s="16"/>
      <c r="BMA89" s="16"/>
      <c r="BMB89" s="16"/>
      <c r="BMC89" s="16"/>
      <c r="BMD89" s="16"/>
      <c r="BME89" s="16"/>
      <c r="BMF89" s="16"/>
      <c r="BMG89" s="16"/>
      <c r="BMH89" s="16"/>
      <c r="BMI89" s="16"/>
      <c r="BMJ89" s="16"/>
      <c r="BMK89" s="16"/>
      <c r="BML89" s="16"/>
      <c r="BMM89" s="16"/>
      <c r="BMN89" s="16"/>
      <c r="BMO89" s="16"/>
      <c r="BMP89" s="16"/>
      <c r="BMQ89" s="16"/>
      <c r="BMR89" s="16"/>
      <c r="BMS89" s="16"/>
      <c r="BMT89" s="16"/>
      <c r="BMU89" s="16"/>
      <c r="BMV89" s="16"/>
      <c r="BMW89" s="16"/>
      <c r="BMX89" s="16"/>
      <c r="BMY89" s="16"/>
      <c r="BMZ89" s="16"/>
      <c r="BNA89" s="16"/>
      <c r="BNB89" s="16"/>
      <c r="BNC89" s="16"/>
      <c r="BND89" s="16"/>
      <c r="BNE89" s="16"/>
      <c r="BNF89" s="16"/>
      <c r="BNG89" s="16"/>
      <c r="BNH89" s="16"/>
      <c r="BNI89" s="16"/>
      <c r="BNJ89" s="16"/>
      <c r="BNK89" s="16"/>
      <c r="BNL89" s="16"/>
      <c r="BNM89" s="16"/>
      <c r="BNN89" s="16"/>
      <c r="BNO89" s="16"/>
      <c r="BNP89" s="16"/>
      <c r="BNQ89" s="16"/>
      <c r="BNR89" s="16"/>
      <c r="BNS89" s="16"/>
      <c r="BNT89" s="16"/>
      <c r="BNU89" s="16"/>
      <c r="BNV89" s="16"/>
      <c r="BNW89" s="16"/>
      <c r="BNX89" s="16"/>
      <c r="BNY89" s="16"/>
      <c r="BNZ89" s="16"/>
      <c r="BOA89" s="16"/>
      <c r="BOB89" s="16"/>
      <c r="BOC89" s="16"/>
      <c r="BOD89" s="16"/>
      <c r="BOE89" s="16"/>
      <c r="BOF89" s="16"/>
      <c r="BOG89" s="16"/>
      <c r="BOH89" s="16"/>
      <c r="BOI89" s="16"/>
      <c r="BOJ89" s="16"/>
      <c r="BOK89" s="16"/>
      <c r="BOL89" s="16"/>
      <c r="BOM89" s="16"/>
      <c r="BON89" s="16"/>
      <c r="BOO89" s="16"/>
      <c r="BOP89" s="16"/>
      <c r="BOQ89" s="16"/>
      <c r="BOR89" s="16"/>
      <c r="BOS89" s="16"/>
      <c r="BOT89" s="16"/>
      <c r="BOU89" s="16"/>
      <c r="BOV89" s="16"/>
      <c r="BOW89" s="16"/>
      <c r="BOX89" s="16"/>
      <c r="BOY89" s="16"/>
      <c r="BOZ89" s="16"/>
      <c r="BPA89" s="16"/>
      <c r="BPB89" s="16"/>
      <c r="BPC89" s="16"/>
      <c r="BPD89" s="16"/>
      <c r="BPE89" s="16"/>
      <c r="BPF89" s="16"/>
      <c r="BPG89" s="16"/>
      <c r="BPH89" s="16"/>
      <c r="BPI89" s="16"/>
      <c r="BPJ89" s="16"/>
      <c r="BPK89" s="16"/>
      <c r="BPL89" s="16"/>
      <c r="BPM89" s="16"/>
      <c r="BPN89" s="16"/>
      <c r="BPO89" s="16"/>
      <c r="BPP89" s="16"/>
      <c r="BPQ89" s="16"/>
      <c r="BPR89" s="16"/>
      <c r="BPS89" s="16"/>
      <c r="BPT89" s="16"/>
      <c r="BPU89" s="16"/>
      <c r="BPV89" s="16"/>
      <c r="BPW89" s="16"/>
      <c r="BPX89" s="16"/>
      <c r="BPY89" s="16"/>
      <c r="BPZ89" s="16"/>
      <c r="BQA89" s="16"/>
      <c r="BQB89" s="16"/>
      <c r="BQC89" s="16"/>
      <c r="BQD89" s="16"/>
      <c r="BQE89" s="16"/>
      <c r="BQF89" s="16"/>
      <c r="BQG89" s="16"/>
      <c r="BQH89" s="16"/>
      <c r="BQI89" s="16"/>
      <c r="BQJ89" s="16"/>
      <c r="BQK89" s="16"/>
      <c r="BQL89" s="16"/>
      <c r="BQM89" s="16"/>
      <c r="BQN89" s="16"/>
      <c r="BQO89" s="16"/>
      <c r="BQP89" s="16"/>
      <c r="BQQ89" s="16"/>
      <c r="BQR89" s="16"/>
      <c r="BQS89" s="16"/>
      <c r="BQT89" s="16"/>
      <c r="BQU89" s="16"/>
      <c r="BQV89" s="16"/>
      <c r="BQW89" s="16"/>
      <c r="BQX89" s="16"/>
      <c r="BQY89" s="16"/>
      <c r="BQZ89" s="16"/>
      <c r="BRA89" s="16"/>
      <c r="BRB89" s="16"/>
      <c r="BRC89" s="16"/>
      <c r="BRD89" s="16"/>
      <c r="BRE89" s="16"/>
      <c r="BRF89" s="16"/>
      <c r="BRG89" s="16"/>
      <c r="BRH89" s="16"/>
      <c r="BRI89" s="16"/>
      <c r="BRJ89" s="16"/>
      <c r="BRK89" s="16"/>
      <c r="BRL89" s="16"/>
      <c r="BRM89" s="16"/>
      <c r="BRN89" s="16"/>
      <c r="BRO89" s="16"/>
      <c r="BRP89" s="16"/>
      <c r="BRQ89" s="16"/>
      <c r="BRR89" s="16"/>
      <c r="BRS89" s="16"/>
      <c r="BRT89" s="16"/>
      <c r="BRU89" s="16"/>
      <c r="BRV89" s="16"/>
      <c r="BRW89" s="16"/>
      <c r="BRX89" s="16"/>
      <c r="BRY89" s="16"/>
      <c r="BRZ89" s="16"/>
      <c r="BSA89" s="16"/>
      <c r="BSB89" s="16"/>
      <c r="BSC89" s="16"/>
      <c r="BSD89" s="16"/>
      <c r="BSE89" s="16"/>
      <c r="BSF89" s="16"/>
      <c r="BSG89" s="16"/>
      <c r="BSH89" s="16"/>
      <c r="BSI89" s="16"/>
      <c r="BSJ89" s="16"/>
      <c r="BSK89" s="16"/>
      <c r="BSL89" s="16"/>
      <c r="BSM89" s="16"/>
      <c r="BSN89" s="16"/>
      <c r="BSO89" s="16"/>
      <c r="BSP89" s="16"/>
      <c r="BSQ89" s="16"/>
      <c r="BSR89" s="16"/>
      <c r="BSS89" s="16"/>
      <c r="BST89" s="16"/>
      <c r="BSU89" s="16"/>
      <c r="BSV89" s="16"/>
      <c r="BSW89" s="16"/>
      <c r="BSX89" s="16"/>
      <c r="BSY89" s="16"/>
      <c r="BSZ89" s="16"/>
      <c r="BTA89" s="16"/>
      <c r="BTB89" s="16"/>
      <c r="BTC89" s="16"/>
      <c r="BTD89" s="16"/>
      <c r="BTE89" s="16"/>
      <c r="BTF89" s="16"/>
      <c r="BTG89" s="16"/>
      <c r="BTH89" s="16"/>
      <c r="BTI89" s="16"/>
      <c r="BTJ89" s="16"/>
      <c r="BTK89" s="16"/>
      <c r="BTL89" s="16"/>
      <c r="BTM89" s="16"/>
      <c r="BTN89" s="16"/>
      <c r="BTO89" s="16"/>
      <c r="BTP89" s="16"/>
      <c r="BTQ89" s="16"/>
      <c r="BTR89" s="16"/>
      <c r="BTS89" s="16"/>
      <c r="BTT89" s="16"/>
      <c r="BTU89" s="16"/>
      <c r="BTV89" s="16"/>
      <c r="BTW89" s="16"/>
      <c r="BTX89" s="16"/>
      <c r="BTY89" s="16"/>
      <c r="BTZ89" s="16"/>
      <c r="BUA89" s="16"/>
      <c r="BUB89" s="16"/>
      <c r="BUC89" s="16"/>
      <c r="BUD89" s="16"/>
      <c r="BUE89" s="16"/>
      <c r="BUF89" s="16"/>
      <c r="BUG89" s="16"/>
      <c r="BUH89" s="16"/>
      <c r="BUI89" s="16"/>
      <c r="BUJ89" s="16"/>
      <c r="BUK89" s="16"/>
      <c r="BUL89" s="16"/>
      <c r="BUM89" s="16"/>
      <c r="BUN89" s="16"/>
      <c r="BUO89" s="16"/>
      <c r="BUP89" s="16"/>
      <c r="BUQ89" s="16"/>
      <c r="BUR89" s="16"/>
      <c r="BUS89" s="16"/>
      <c r="BUT89" s="16"/>
      <c r="BUU89" s="16"/>
      <c r="BUV89" s="16"/>
      <c r="BUW89" s="16"/>
      <c r="BUX89" s="16"/>
      <c r="BUY89" s="16"/>
      <c r="BUZ89" s="16"/>
      <c r="BVA89" s="16"/>
      <c r="BVB89" s="16"/>
      <c r="BVC89" s="16"/>
      <c r="BVD89" s="16"/>
      <c r="BVE89" s="16"/>
      <c r="BVF89" s="16"/>
      <c r="BVG89" s="16"/>
      <c r="BVH89" s="16"/>
      <c r="BVI89" s="16"/>
      <c r="BVJ89" s="16"/>
      <c r="BVK89" s="16"/>
      <c r="BVL89" s="16"/>
      <c r="BVM89" s="16"/>
      <c r="BVN89" s="16"/>
      <c r="BVO89" s="16"/>
      <c r="BVP89" s="16"/>
      <c r="BVQ89" s="16"/>
      <c r="BVR89" s="16"/>
      <c r="BVS89" s="16"/>
      <c r="BVT89" s="16"/>
      <c r="BVU89" s="16"/>
      <c r="BVV89" s="16"/>
      <c r="BVW89" s="16"/>
      <c r="BVX89" s="16"/>
      <c r="BVY89" s="16"/>
      <c r="BVZ89" s="16"/>
      <c r="BWA89" s="16"/>
      <c r="BWB89" s="16"/>
      <c r="BWC89" s="16"/>
      <c r="BWD89" s="16"/>
      <c r="BWE89" s="16"/>
      <c r="BWF89" s="16"/>
      <c r="BWG89" s="16"/>
      <c r="BWH89" s="16"/>
      <c r="BWI89" s="16"/>
      <c r="BWJ89" s="16"/>
      <c r="BWK89" s="16"/>
      <c r="BWL89" s="16"/>
      <c r="BWM89" s="16"/>
      <c r="BWN89" s="16"/>
      <c r="BWO89" s="16"/>
      <c r="BWP89" s="16"/>
      <c r="BWQ89" s="16"/>
      <c r="BWR89" s="16"/>
      <c r="BWS89" s="16"/>
      <c r="BWT89" s="16"/>
      <c r="BWU89" s="16"/>
      <c r="BWV89" s="16"/>
      <c r="BWW89" s="16"/>
      <c r="BWX89" s="16"/>
      <c r="BWY89" s="16"/>
      <c r="BWZ89" s="16"/>
      <c r="BXA89" s="16"/>
      <c r="BXB89" s="16"/>
      <c r="BXC89" s="16"/>
      <c r="BXD89" s="16"/>
      <c r="BXE89" s="16"/>
      <c r="BXF89" s="16"/>
      <c r="BXG89" s="16"/>
      <c r="BXH89" s="16"/>
      <c r="BXI89" s="16"/>
      <c r="BXJ89" s="16"/>
      <c r="BXK89" s="16"/>
      <c r="BXL89" s="16"/>
      <c r="BXM89" s="16"/>
      <c r="BXN89" s="16"/>
      <c r="BXO89" s="16"/>
      <c r="BXP89" s="16"/>
      <c r="BXQ89" s="16"/>
      <c r="BXR89" s="16"/>
      <c r="BXS89" s="16"/>
      <c r="BXT89" s="16"/>
      <c r="BXU89" s="16"/>
      <c r="BXV89" s="16"/>
      <c r="BXW89" s="16"/>
      <c r="BXX89" s="16"/>
      <c r="BXY89" s="16"/>
      <c r="BXZ89" s="16"/>
      <c r="BYA89" s="16"/>
      <c r="BYB89" s="16"/>
      <c r="BYC89" s="16"/>
      <c r="BYD89" s="16"/>
      <c r="BYE89" s="16"/>
      <c r="BYF89" s="16"/>
      <c r="BYG89" s="16"/>
      <c r="BYH89" s="16"/>
      <c r="BYI89" s="16"/>
      <c r="BYJ89" s="16"/>
      <c r="BYK89" s="16"/>
      <c r="BYL89" s="16"/>
      <c r="BYM89" s="16"/>
      <c r="BYN89" s="16"/>
      <c r="BYO89" s="16"/>
      <c r="BYP89" s="16"/>
      <c r="BYQ89" s="16"/>
      <c r="BYR89" s="16"/>
      <c r="BYS89" s="16"/>
      <c r="BYT89" s="16"/>
      <c r="BYU89" s="16"/>
      <c r="BYV89" s="16"/>
      <c r="BYW89" s="16"/>
      <c r="BYX89" s="16"/>
      <c r="BYY89" s="16"/>
      <c r="BYZ89" s="16"/>
      <c r="BZA89" s="16"/>
      <c r="BZB89" s="16"/>
      <c r="BZC89" s="16"/>
      <c r="BZD89" s="16"/>
      <c r="BZE89" s="16"/>
      <c r="BZF89" s="16"/>
      <c r="BZG89" s="16"/>
      <c r="BZH89" s="16"/>
      <c r="BZI89" s="16"/>
      <c r="BZJ89" s="16"/>
      <c r="BZK89" s="16"/>
      <c r="BZL89" s="16"/>
      <c r="BZM89" s="16"/>
      <c r="BZN89" s="16"/>
      <c r="BZO89" s="16"/>
      <c r="BZP89" s="16"/>
      <c r="BZQ89" s="16"/>
      <c r="BZR89" s="16"/>
      <c r="BZS89" s="16"/>
      <c r="BZT89" s="16"/>
      <c r="BZU89" s="16"/>
      <c r="BZV89" s="16"/>
      <c r="BZW89" s="16"/>
      <c r="BZX89" s="16"/>
      <c r="BZY89" s="16"/>
      <c r="BZZ89" s="16"/>
      <c r="CAA89" s="16"/>
      <c r="CAB89" s="16"/>
      <c r="CAC89" s="16"/>
      <c r="CAD89" s="16"/>
      <c r="CAE89" s="16"/>
      <c r="CAF89" s="16"/>
      <c r="CAG89" s="16"/>
      <c r="CAH89" s="16"/>
      <c r="CAI89" s="16"/>
      <c r="CAJ89" s="16"/>
      <c r="CAK89" s="16"/>
      <c r="CAL89" s="16"/>
      <c r="CAM89" s="16"/>
      <c r="CAN89" s="16"/>
      <c r="CAO89" s="16"/>
      <c r="CAP89" s="16"/>
      <c r="CAQ89" s="16"/>
      <c r="CAR89" s="16"/>
      <c r="CAS89" s="16"/>
      <c r="CAT89" s="16"/>
      <c r="CAU89" s="16"/>
      <c r="CAV89" s="16"/>
      <c r="CAW89" s="16"/>
      <c r="CAX89" s="16"/>
      <c r="CAY89" s="16"/>
      <c r="CAZ89" s="16"/>
      <c r="CBA89" s="16"/>
      <c r="CBB89" s="16"/>
      <c r="CBC89" s="16"/>
      <c r="CBD89" s="16"/>
      <c r="CBE89" s="16"/>
      <c r="CBF89" s="16"/>
      <c r="CBG89" s="16"/>
      <c r="CBH89" s="16"/>
      <c r="CBI89" s="16"/>
      <c r="CBJ89" s="16"/>
      <c r="CBK89" s="16"/>
      <c r="CBL89" s="16"/>
      <c r="CBM89" s="16"/>
      <c r="CBN89" s="16"/>
      <c r="CBO89" s="16"/>
      <c r="CBP89" s="16"/>
      <c r="CBQ89" s="16"/>
      <c r="CBR89" s="16"/>
      <c r="CBS89" s="16"/>
      <c r="CBT89" s="16"/>
      <c r="CBU89" s="16"/>
      <c r="CBV89" s="16"/>
      <c r="CBW89" s="16"/>
      <c r="CBX89" s="16"/>
      <c r="CBY89" s="16"/>
      <c r="CBZ89" s="16"/>
      <c r="CCA89" s="16"/>
      <c r="CCB89" s="16"/>
      <c r="CCC89" s="16"/>
      <c r="CCD89" s="16"/>
      <c r="CCE89" s="16"/>
      <c r="CCF89" s="16"/>
      <c r="CCG89" s="16"/>
      <c r="CCH89" s="16"/>
      <c r="CCI89" s="16"/>
      <c r="CCJ89" s="16"/>
      <c r="CCK89" s="16"/>
      <c r="CCL89" s="16"/>
      <c r="CCM89" s="16"/>
      <c r="CCN89" s="16"/>
      <c r="CCO89" s="16"/>
      <c r="CCP89" s="16"/>
      <c r="CCQ89" s="16"/>
      <c r="CCR89" s="16"/>
      <c r="CCS89" s="16"/>
      <c r="CCT89" s="16"/>
      <c r="CCU89" s="16"/>
      <c r="CCV89" s="16"/>
      <c r="CCW89" s="16"/>
      <c r="CCX89" s="16"/>
      <c r="CCY89" s="16"/>
      <c r="CCZ89" s="16"/>
      <c r="CDA89" s="16"/>
      <c r="CDB89" s="16"/>
      <c r="CDC89" s="16"/>
      <c r="CDD89" s="16"/>
      <c r="CDE89" s="16"/>
      <c r="CDF89" s="16"/>
      <c r="CDG89" s="16"/>
      <c r="CDH89" s="16"/>
      <c r="CDI89" s="16"/>
      <c r="CDJ89" s="16"/>
      <c r="CDK89" s="16"/>
      <c r="CDL89" s="16"/>
      <c r="CDM89" s="16"/>
      <c r="CDN89" s="16"/>
      <c r="CDO89" s="16"/>
      <c r="CDP89" s="16"/>
      <c r="CDQ89" s="16"/>
      <c r="CDR89" s="16"/>
      <c r="CDS89" s="16"/>
      <c r="CDT89" s="16"/>
      <c r="CDU89" s="16"/>
      <c r="CDV89" s="16"/>
      <c r="CDW89" s="16"/>
      <c r="CDX89" s="16"/>
      <c r="CDY89" s="16"/>
      <c r="CDZ89" s="16"/>
      <c r="CEA89" s="16"/>
      <c r="CEB89" s="16"/>
      <c r="CEC89" s="16"/>
      <c r="CED89" s="16"/>
      <c r="CEE89" s="16"/>
      <c r="CEF89" s="16"/>
      <c r="CEG89" s="16"/>
      <c r="CEH89" s="16"/>
      <c r="CEI89" s="16"/>
      <c r="CEJ89" s="16"/>
      <c r="CEK89" s="16"/>
      <c r="CEL89" s="16"/>
      <c r="CEM89" s="16"/>
      <c r="CEN89" s="16"/>
      <c r="CEO89" s="16"/>
      <c r="CEP89" s="16"/>
      <c r="CEQ89" s="16"/>
      <c r="CER89" s="16"/>
      <c r="CES89" s="16"/>
      <c r="CET89" s="16"/>
      <c r="CEU89" s="16"/>
      <c r="CEV89" s="16"/>
      <c r="CEW89" s="16"/>
      <c r="CEX89" s="16"/>
      <c r="CEY89" s="16"/>
      <c r="CEZ89" s="16"/>
      <c r="CFA89" s="16"/>
      <c r="CFB89" s="16"/>
      <c r="CFC89" s="16"/>
      <c r="CFD89" s="16"/>
      <c r="CFE89" s="16"/>
      <c r="CFF89" s="16"/>
      <c r="CFG89" s="16"/>
      <c r="CFH89" s="16"/>
      <c r="CFI89" s="16"/>
      <c r="CFJ89" s="16"/>
      <c r="CFK89" s="16"/>
      <c r="CFL89" s="16"/>
      <c r="CFM89" s="16"/>
      <c r="CFN89" s="16"/>
      <c r="CFO89" s="16"/>
      <c r="CFP89" s="16"/>
      <c r="CFQ89" s="16"/>
      <c r="CFR89" s="16"/>
      <c r="CFS89" s="16"/>
      <c r="CFT89" s="16"/>
      <c r="CFU89" s="16"/>
      <c r="CFV89" s="16"/>
      <c r="CFW89" s="16"/>
      <c r="CFX89" s="16"/>
      <c r="CFY89" s="16"/>
      <c r="CFZ89" s="16"/>
      <c r="CGA89" s="16"/>
      <c r="CGB89" s="16"/>
      <c r="CGC89" s="16"/>
      <c r="CGD89" s="16"/>
      <c r="CGE89" s="16"/>
      <c r="CGF89" s="16"/>
      <c r="CGG89" s="16"/>
      <c r="CGH89" s="16"/>
      <c r="CGI89" s="16"/>
      <c r="CGJ89" s="16"/>
      <c r="CGK89" s="16"/>
      <c r="CGL89" s="16"/>
      <c r="CGM89" s="16"/>
      <c r="CGN89" s="16"/>
      <c r="CGO89" s="16"/>
      <c r="CGP89" s="16"/>
      <c r="CGQ89" s="16"/>
      <c r="CGR89" s="16"/>
      <c r="CGS89" s="16"/>
      <c r="CGT89" s="16"/>
      <c r="CGU89" s="16"/>
      <c r="CGV89" s="16"/>
      <c r="CGW89" s="16"/>
      <c r="CGX89" s="16"/>
      <c r="CGY89" s="16"/>
      <c r="CGZ89" s="16"/>
      <c r="CHA89" s="16"/>
      <c r="CHB89" s="16"/>
      <c r="CHC89" s="16"/>
      <c r="CHD89" s="16"/>
      <c r="CHE89" s="16"/>
      <c r="CHF89" s="16"/>
      <c r="CHG89" s="16"/>
      <c r="CHH89" s="16"/>
      <c r="CHI89" s="16"/>
      <c r="CHJ89" s="16"/>
      <c r="CHK89" s="16"/>
      <c r="CHL89" s="16"/>
      <c r="CHM89" s="16"/>
      <c r="CHN89" s="16"/>
      <c r="CHO89" s="16"/>
      <c r="CHP89" s="16"/>
      <c r="CHQ89" s="16"/>
      <c r="CHR89" s="16"/>
      <c r="CHS89" s="16"/>
      <c r="CHT89" s="16"/>
      <c r="CHU89" s="16"/>
      <c r="CHV89" s="16"/>
      <c r="CHW89" s="16"/>
      <c r="CHX89" s="16"/>
      <c r="CHY89" s="16"/>
      <c r="CHZ89" s="16"/>
      <c r="CIA89" s="16"/>
      <c r="CIB89" s="16"/>
      <c r="CIC89" s="16"/>
      <c r="CID89" s="16"/>
      <c r="CIE89" s="16"/>
      <c r="CIF89" s="16"/>
      <c r="CIG89" s="16"/>
      <c r="CIH89" s="16"/>
      <c r="CII89" s="16"/>
      <c r="CIJ89" s="16"/>
      <c r="CIK89" s="16"/>
      <c r="CIL89" s="16"/>
      <c r="CIM89" s="16"/>
      <c r="CIN89" s="16"/>
      <c r="CIO89" s="16"/>
      <c r="CIP89" s="16"/>
      <c r="CIQ89" s="16"/>
      <c r="CIR89" s="16"/>
      <c r="CIS89" s="16"/>
      <c r="CIT89" s="16"/>
      <c r="CIU89" s="16"/>
      <c r="CIV89" s="16"/>
      <c r="CIW89" s="16"/>
      <c r="CIX89" s="16"/>
      <c r="CIY89" s="16"/>
      <c r="CIZ89" s="16"/>
      <c r="CJA89" s="16"/>
      <c r="CJB89" s="16"/>
      <c r="CJC89" s="16"/>
      <c r="CJD89" s="16"/>
      <c r="CJE89" s="16"/>
      <c r="CJF89" s="16"/>
      <c r="CJG89" s="16"/>
      <c r="CJH89" s="16"/>
      <c r="CJI89" s="16"/>
      <c r="CJJ89" s="16"/>
      <c r="CJK89" s="16"/>
      <c r="CJL89" s="16"/>
      <c r="CJM89" s="16"/>
      <c r="CJN89" s="16"/>
      <c r="CJO89" s="16"/>
      <c r="CJP89" s="16"/>
      <c r="CJQ89" s="16"/>
      <c r="CJR89" s="16"/>
      <c r="CJS89" s="16"/>
      <c r="CJT89" s="16"/>
      <c r="CJU89" s="16"/>
      <c r="CJV89" s="16"/>
      <c r="CJW89" s="16"/>
      <c r="CJX89" s="16"/>
      <c r="CJY89" s="16"/>
      <c r="CJZ89" s="16"/>
      <c r="CKA89" s="16"/>
      <c r="CKB89" s="16"/>
      <c r="CKC89" s="16"/>
      <c r="CKD89" s="16"/>
      <c r="CKE89" s="16"/>
      <c r="CKF89" s="16"/>
      <c r="CKG89" s="16"/>
      <c r="CKH89" s="16"/>
      <c r="CKI89" s="16"/>
      <c r="CKJ89" s="16"/>
      <c r="CKK89" s="16"/>
      <c r="CKL89" s="16"/>
      <c r="CKM89" s="16"/>
      <c r="CKN89" s="16"/>
      <c r="CKO89" s="16"/>
      <c r="CKP89" s="16"/>
      <c r="CKQ89" s="16"/>
      <c r="CKR89" s="16"/>
      <c r="CKS89" s="16"/>
      <c r="CKT89" s="16"/>
      <c r="CKU89" s="16"/>
      <c r="CKV89" s="16"/>
      <c r="CKW89" s="16"/>
      <c r="CKX89" s="16"/>
      <c r="CKY89" s="16"/>
      <c r="CKZ89" s="16"/>
      <c r="CLA89" s="16"/>
      <c r="CLB89" s="16"/>
      <c r="CLC89" s="16"/>
      <c r="CLD89" s="16"/>
      <c r="CLE89" s="16"/>
      <c r="CLF89" s="16"/>
      <c r="CLG89" s="16"/>
      <c r="CLH89" s="16"/>
      <c r="CLI89" s="16"/>
      <c r="CLJ89" s="16"/>
      <c r="CLK89" s="16"/>
      <c r="CLL89" s="16"/>
      <c r="CLM89" s="16"/>
      <c r="CLN89" s="16"/>
      <c r="CLO89" s="16"/>
      <c r="CLP89" s="16"/>
      <c r="CLQ89" s="16"/>
      <c r="CLR89" s="16"/>
      <c r="CLS89" s="16"/>
      <c r="CLT89" s="16"/>
      <c r="CLU89" s="16"/>
      <c r="CLV89" s="16"/>
      <c r="CLW89" s="16"/>
      <c r="CLX89" s="16"/>
      <c r="CLY89" s="16"/>
      <c r="CLZ89" s="16"/>
      <c r="CMA89" s="16"/>
      <c r="CMB89" s="16"/>
      <c r="CMC89" s="16"/>
      <c r="CMD89" s="16"/>
      <c r="CME89" s="16"/>
      <c r="CMF89" s="16"/>
      <c r="CMG89" s="16"/>
      <c r="CMH89" s="16"/>
      <c r="CMI89" s="16"/>
      <c r="CMJ89" s="16"/>
      <c r="CMK89" s="16"/>
      <c r="CML89" s="16"/>
      <c r="CMM89" s="16"/>
      <c r="CMN89" s="16"/>
      <c r="CMO89" s="16"/>
      <c r="CMP89" s="16"/>
      <c r="CMQ89" s="16"/>
      <c r="CMR89" s="16"/>
      <c r="CMS89" s="16"/>
      <c r="CMT89" s="16"/>
      <c r="CMU89" s="16"/>
      <c r="CMV89" s="16"/>
      <c r="CMW89" s="16"/>
      <c r="CMX89" s="16"/>
      <c r="CMY89" s="16"/>
      <c r="CMZ89" s="16"/>
      <c r="CNA89" s="16"/>
      <c r="CNB89" s="16"/>
      <c r="CNC89" s="16"/>
      <c r="CND89" s="16"/>
      <c r="CNE89" s="16"/>
      <c r="CNF89" s="16"/>
      <c r="CNG89" s="16"/>
      <c r="CNH89" s="16"/>
      <c r="CNI89" s="16"/>
      <c r="CNJ89" s="16"/>
      <c r="CNK89" s="16"/>
      <c r="CNL89" s="16"/>
      <c r="CNM89" s="16"/>
      <c r="CNN89" s="16"/>
      <c r="CNO89" s="16"/>
      <c r="CNP89" s="16"/>
      <c r="CNQ89" s="16"/>
      <c r="CNR89" s="16"/>
      <c r="CNS89" s="16"/>
      <c r="CNT89" s="16"/>
      <c r="CNU89" s="16"/>
      <c r="CNV89" s="16"/>
      <c r="CNW89" s="16"/>
      <c r="CNX89" s="16"/>
      <c r="CNY89" s="16"/>
      <c r="CNZ89" s="16"/>
      <c r="COA89" s="16"/>
      <c r="COB89" s="16"/>
      <c r="COC89" s="16"/>
      <c r="COD89" s="16"/>
      <c r="COE89" s="16"/>
      <c r="COF89" s="16"/>
      <c r="COG89" s="16"/>
      <c r="COH89" s="16"/>
      <c r="COI89" s="16"/>
      <c r="COJ89" s="16"/>
      <c r="COK89" s="16"/>
      <c r="COL89" s="16"/>
      <c r="COM89" s="16"/>
      <c r="CON89" s="16"/>
      <c r="COO89" s="16"/>
      <c r="COP89" s="16"/>
      <c r="COQ89" s="16"/>
      <c r="COR89" s="16"/>
      <c r="COS89" s="16"/>
      <c r="COT89" s="16"/>
      <c r="COU89" s="16"/>
      <c r="COV89" s="16"/>
      <c r="COW89" s="16"/>
      <c r="COX89" s="16"/>
      <c r="COY89" s="16"/>
      <c r="COZ89" s="16"/>
      <c r="CPA89" s="16"/>
      <c r="CPB89" s="16"/>
      <c r="CPC89" s="16"/>
      <c r="CPD89" s="16"/>
      <c r="CPE89" s="16"/>
      <c r="CPF89" s="16"/>
      <c r="CPG89" s="16"/>
      <c r="CPH89" s="16"/>
      <c r="CPI89" s="16"/>
      <c r="CPJ89" s="16"/>
      <c r="CPK89" s="16"/>
      <c r="CPL89" s="16"/>
      <c r="CPM89" s="16"/>
      <c r="CPN89" s="16"/>
      <c r="CPO89" s="16"/>
      <c r="CPP89" s="16"/>
      <c r="CPQ89" s="16"/>
      <c r="CPR89" s="16"/>
      <c r="CPS89" s="16"/>
      <c r="CPT89" s="16"/>
      <c r="CPU89" s="16"/>
      <c r="CPV89" s="16"/>
      <c r="CPW89" s="16"/>
      <c r="CPX89" s="16"/>
      <c r="CPY89" s="16"/>
      <c r="CPZ89" s="16"/>
      <c r="CQA89" s="16"/>
      <c r="CQB89" s="16"/>
      <c r="CQC89" s="16"/>
      <c r="CQD89" s="16"/>
      <c r="CQE89" s="16"/>
      <c r="CQF89" s="16"/>
      <c r="CQG89" s="16"/>
      <c r="CQH89" s="16"/>
      <c r="CQI89" s="16"/>
      <c r="CQJ89" s="16"/>
      <c r="CQK89" s="16"/>
      <c r="CQL89" s="16"/>
      <c r="CQM89" s="16"/>
      <c r="CQN89" s="16"/>
      <c r="CQO89" s="16"/>
      <c r="CQP89" s="16"/>
      <c r="CQQ89" s="16"/>
      <c r="CQR89" s="16"/>
      <c r="CQS89" s="16"/>
      <c r="CQT89" s="16"/>
      <c r="CQU89" s="16"/>
      <c r="CQV89" s="16"/>
      <c r="CQW89" s="16"/>
      <c r="CQX89" s="16"/>
      <c r="CQY89" s="16"/>
      <c r="CQZ89" s="16"/>
      <c r="CRA89" s="16"/>
      <c r="CRB89" s="16"/>
      <c r="CRC89" s="16"/>
      <c r="CRD89" s="16"/>
      <c r="CRE89" s="16"/>
      <c r="CRF89" s="16"/>
      <c r="CRG89" s="16"/>
      <c r="CRH89" s="16"/>
      <c r="CRI89" s="16"/>
      <c r="CRJ89" s="16"/>
      <c r="CRK89" s="16"/>
      <c r="CRL89" s="16"/>
      <c r="CRM89" s="16"/>
      <c r="CRN89" s="16"/>
      <c r="CRO89" s="16"/>
      <c r="CRP89" s="16"/>
      <c r="CRQ89" s="16"/>
      <c r="CRR89" s="16"/>
      <c r="CRS89" s="16"/>
      <c r="CRT89" s="16"/>
      <c r="CRU89" s="16"/>
      <c r="CRV89" s="16"/>
      <c r="CRW89" s="16"/>
      <c r="CRX89" s="16"/>
      <c r="CRY89" s="16"/>
      <c r="CRZ89" s="16"/>
      <c r="CSA89" s="16"/>
      <c r="CSB89" s="16"/>
      <c r="CSC89" s="16"/>
      <c r="CSD89" s="16"/>
      <c r="CSE89" s="16"/>
      <c r="CSF89" s="16"/>
      <c r="CSG89" s="16"/>
      <c r="CSH89" s="16"/>
      <c r="CSI89" s="16"/>
      <c r="CSJ89" s="16"/>
      <c r="CSK89" s="24"/>
      <c r="CSL89" s="16"/>
      <c r="CSM89" s="16"/>
      <c r="CSN89" s="16"/>
      <c r="CSO89" s="16"/>
      <c r="CSP89" s="16"/>
      <c r="CUG89" s="16"/>
      <c r="CUH89" s="16"/>
      <c r="CUI89" s="16"/>
      <c r="CUJ89" s="16"/>
      <c r="CUK89" s="16"/>
      <c r="CUL89" s="16"/>
      <c r="CUM89" s="16"/>
      <c r="CUN89" s="16"/>
      <c r="CUO89" s="16"/>
      <c r="CUP89" s="16"/>
      <c r="CUQ89" s="16"/>
      <c r="CUR89" s="16"/>
      <c r="CUS89" s="16"/>
      <c r="CUT89" s="16"/>
      <c r="CUU89" s="16"/>
      <c r="CUV89" s="16"/>
      <c r="CUW89" s="16"/>
      <c r="CUX89" s="16"/>
      <c r="CUY89" s="16"/>
      <c r="CUZ89" s="16"/>
      <c r="CVA89" s="16"/>
      <c r="CVB89" s="16"/>
      <c r="CVC89" s="16"/>
      <c r="CVD89" s="16"/>
      <c r="CVE89" s="16"/>
      <c r="CVF89" s="16"/>
      <c r="CVG89" s="16"/>
      <c r="CVH89" s="16"/>
      <c r="CVI89" s="16"/>
      <c r="CVJ89" s="16"/>
      <c r="CVK89" s="16"/>
      <c r="CVL89" s="16"/>
      <c r="CVM89" s="16"/>
      <c r="CVN89" s="16"/>
      <c r="CVO89" s="16"/>
      <c r="CVP89" s="16"/>
    </row>
    <row r="90" spans="3:2616" ht="13.8" x14ac:dyDescent="0.25">
      <c r="C90" s="57"/>
      <c r="E90" s="16"/>
      <c r="K90" s="59"/>
      <c r="L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  <c r="FC90" s="16"/>
      <c r="FD90" s="16"/>
      <c r="FE90" s="16"/>
      <c r="FF90" s="16"/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6"/>
      <c r="FV90" s="16"/>
      <c r="FW90" s="16"/>
      <c r="FX90" s="16"/>
      <c r="FY90" s="16"/>
      <c r="FZ90" s="16"/>
      <c r="GA90" s="16"/>
      <c r="GB90" s="16"/>
      <c r="GC90" s="16"/>
      <c r="GD90" s="16"/>
      <c r="GE90" s="16"/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/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/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/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/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/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/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/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/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/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/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/>
      <c r="LS90" s="16"/>
      <c r="LT90" s="16"/>
      <c r="LU90" s="16"/>
      <c r="LV90" s="16"/>
      <c r="LW90" s="16"/>
      <c r="LX90" s="16"/>
      <c r="LY90" s="16"/>
      <c r="LZ90" s="16"/>
      <c r="MA90" s="16"/>
      <c r="MB90" s="16"/>
      <c r="MC90" s="16"/>
      <c r="MD90" s="16"/>
      <c r="ME90" s="16"/>
      <c r="MF90" s="16"/>
      <c r="MG90" s="16"/>
      <c r="MH90" s="16"/>
      <c r="MI90" s="16"/>
      <c r="MJ90" s="16"/>
      <c r="MK90" s="16"/>
      <c r="ML90" s="16"/>
      <c r="MM90" s="16"/>
      <c r="MN90" s="16"/>
      <c r="MO90" s="16"/>
      <c r="MP90" s="16"/>
      <c r="MQ90" s="16"/>
      <c r="MR90" s="16"/>
      <c r="MS90" s="16"/>
      <c r="MT90" s="16"/>
      <c r="MU90" s="16"/>
      <c r="MV90" s="16"/>
      <c r="MW90" s="16"/>
      <c r="MX90" s="16"/>
      <c r="MY90" s="16"/>
      <c r="MZ90" s="16"/>
      <c r="NA90" s="16"/>
      <c r="NB90" s="16"/>
      <c r="NC90" s="16"/>
      <c r="ND90" s="16"/>
      <c r="NE90" s="16"/>
      <c r="NF90" s="16"/>
      <c r="NG90" s="16"/>
      <c r="NH90" s="16"/>
      <c r="NI90" s="16"/>
      <c r="NJ90" s="16"/>
      <c r="NK90" s="16"/>
      <c r="NL90" s="16"/>
      <c r="NM90" s="16"/>
      <c r="NN90" s="16"/>
      <c r="NO90" s="16"/>
      <c r="NP90" s="16"/>
      <c r="NQ90" s="16"/>
      <c r="NR90" s="16"/>
      <c r="NS90" s="16"/>
      <c r="NT90" s="16"/>
      <c r="NU90" s="16"/>
      <c r="NV90" s="16"/>
      <c r="NW90" s="16"/>
      <c r="NX90" s="16"/>
      <c r="NY90" s="16"/>
      <c r="NZ90" s="16"/>
      <c r="OA90" s="16"/>
      <c r="OB90" s="16"/>
      <c r="OC90" s="16"/>
      <c r="OD90" s="16"/>
      <c r="OE90" s="16"/>
      <c r="OF90" s="16"/>
      <c r="OG90" s="16"/>
      <c r="OH90" s="16"/>
      <c r="OI90" s="16"/>
      <c r="OJ90" s="16"/>
      <c r="OK90" s="16"/>
      <c r="OL90" s="16"/>
      <c r="OM90" s="16"/>
      <c r="ON90" s="16"/>
      <c r="OO90" s="16"/>
      <c r="OP90" s="16"/>
      <c r="OQ90" s="16"/>
      <c r="OR90" s="16"/>
      <c r="OS90" s="16"/>
      <c r="OT90" s="16"/>
      <c r="OU90" s="16"/>
      <c r="OV90" s="16"/>
      <c r="OW90" s="16"/>
      <c r="OX90" s="16"/>
      <c r="OY90" s="16"/>
      <c r="OZ90" s="16"/>
      <c r="PA90" s="16"/>
      <c r="PB90" s="16"/>
      <c r="PC90" s="16"/>
      <c r="PD90" s="16"/>
      <c r="PE90" s="16"/>
      <c r="PF90" s="16"/>
      <c r="PG90" s="16"/>
      <c r="PH90" s="16"/>
      <c r="PI90" s="16"/>
      <c r="PJ90" s="16"/>
      <c r="PK90" s="16"/>
      <c r="PL90" s="16"/>
      <c r="PM90" s="16"/>
      <c r="PN90" s="16"/>
      <c r="PO90" s="16"/>
      <c r="PP90" s="16"/>
      <c r="PQ90" s="16"/>
      <c r="PR90" s="16"/>
      <c r="PS90" s="16"/>
      <c r="PT90" s="16"/>
      <c r="PU90" s="16"/>
      <c r="PV90" s="16"/>
      <c r="PW90" s="16"/>
      <c r="PX90" s="16"/>
      <c r="PY90" s="16"/>
      <c r="PZ90" s="16"/>
      <c r="QA90" s="16"/>
      <c r="QB90" s="16"/>
      <c r="QC90" s="16"/>
      <c r="QD90" s="16"/>
      <c r="QE90" s="16"/>
      <c r="QF90" s="16"/>
      <c r="QG90" s="16"/>
      <c r="QH90" s="16"/>
      <c r="QI90" s="16"/>
      <c r="QJ90" s="16"/>
      <c r="QK90" s="16"/>
      <c r="QL90" s="16"/>
      <c r="QM90" s="16"/>
      <c r="QN90" s="16"/>
      <c r="QO90" s="16"/>
      <c r="QP90" s="16"/>
      <c r="QQ90" s="16"/>
      <c r="QR90" s="16"/>
      <c r="QS90" s="16"/>
      <c r="QT90" s="16"/>
      <c r="QU90" s="16"/>
      <c r="QV90" s="16"/>
      <c r="QW90" s="16"/>
      <c r="QX90" s="16"/>
      <c r="QY90" s="16"/>
      <c r="QZ90" s="16"/>
      <c r="RA90" s="16"/>
      <c r="RB90" s="16"/>
      <c r="RC90" s="16"/>
      <c r="RD90" s="16"/>
      <c r="RE90" s="16"/>
      <c r="RF90" s="16"/>
      <c r="RG90" s="16"/>
      <c r="RH90" s="16"/>
      <c r="RI90" s="16"/>
      <c r="RJ90" s="16"/>
      <c r="RK90" s="16"/>
      <c r="RL90" s="16"/>
      <c r="RM90" s="16"/>
      <c r="RN90" s="16"/>
      <c r="RO90" s="16"/>
      <c r="RP90" s="16"/>
      <c r="RQ90" s="16"/>
      <c r="RR90" s="16"/>
      <c r="RS90" s="16"/>
      <c r="RT90" s="16"/>
      <c r="RU90" s="16"/>
      <c r="RV90" s="16"/>
      <c r="RW90" s="16"/>
      <c r="RX90" s="16"/>
      <c r="RY90" s="16"/>
      <c r="RZ90" s="16"/>
      <c r="SA90" s="16"/>
      <c r="SB90" s="16"/>
      <c r="SC90" s="16"/>
      <c r="SD90" s="16"/>
      <c r="SE90" s="16"/>
      <c r="SF90" s="16"/>
      <c r="SG90" s="16"/>
      <c r="SH90" s="16"/>
      <c r="SI90" s="16"/>
      <c r="SJ90" s="16"/>
      <c r="SK90" s="16"/>
      <c r="SL90" s="16"/>
      <c r="SM90" s="16"/>
      <c r="SN90" s="16"/>
      <c r="SO90" s="16"/>
      <c r="SP90" s="16"/>
      <c r="SQ90" s="16"/>
      <c r="SR90" s="16"/>
      <c r="SS90" s="16"/>
      <c r="ST90" s="16"/>
      <c r="SU90" s="16"/>
      <c r="SV90" s="16"/>
      <c r="SW90" s="16"/>
      <c r="SX90" s="16"/>
      <c r="SY90" s="16"/>
      <c r="SZ90" s="16"/>
      <c r="TA90" s="16"/>
      <c r="TB90" s="16"/>
      <c r="TC90" s="16"/>
      <c r="TD90" s="16"/>
      <c r="TE90" s="16"/>
      <c r="TF90" s="16"/>
      <c r="TG90" s="16"/>
      <c r="TH90" s="16"/>
      <c r="TI90" s="16"/>
      <c r="TJ90" s="16"/>
      <c r="TK90" s="16"/>
      <c r="TL90" s="16"/>
      <c r="TM90" s="16"/>
      <c r="TN90" s="16"/>
      <c r="TO90" s="16"/>
      <c r="TP90" s="16"/>
      <c r="TQ90" s="16"/>
      <c r="TR90" s="16"/>
      <c r="TS90" s="16"/>
      <c r="TT90" s="16"/>
      <c r="TU90" s="16"/>
      <c r="TV90" s="16"/>
      <c r="TW90" s="16"/>
      <c r="TX90" s="16"/>
      <c r="TY90" s="16"/>
      <c r="TZ90" s="16"/>
      <c r="UA90" s="16"/>
      <c r="UB90" s="16"/>
      <c r="UC90" s="16"/>
      <c r="UD90" s="16"/>
      <c r="UE90" s="16"/>
      <c r="UF90" s="16"/>
      <c r="UG90" s="16"/>
      <c r="UH90" s="16"/>
      <c r="UI90" s="16"/>
      <c r="UJ90" s="16"/>
      <c r="UK90" s="16"/>
      <c r="UL90" s="16"/>
      <c r="UM90" s="16"/>
      <c r="UN90" s="16"/>
      <c r="UO90" s="16"/>
      <c r="UP90" s="16"/>
      <c r="UQ90" s="16"/>
      <c r="UR90" s="16"/>
      <c r="US90" s="16"/>
      <c r="UT90" s="16"/>
      <c r="UU90" s="16"/>
      <c r="UV90" s="16"/>
      <c r="UW90" s="16"/>
      <c r="UX90" s="16"/>
      <c r="UY90" s="16"/>
      <c r="UZ90" s="16"/>
      <c r="VA90" s="16"/>
      <c r="VB90" s="16"/>
      <c r="VC90" s="16"/>
      <c r="VD90" s="16"/>
      <c r="VE90" s="16"/>
      <c r="VF90" s="16"/>
      <c r="VG90" s="16"/>
      <c r="VH90" s="16"/>
      <c r="VI90" s="16"/>
      <c r="VJ90" s="16"/>
      <c r="VK90" s="16"/>
      <c r="VL90" s="16"/>
      <c r="VM90" s="16"/>
      <c r="VN90" s="16"/>
      <c r="VO90" s="16"/>
      <c r="VP90" s="16"/>
      <c r="VQ90" s="16"/>
      <c r="VR90" s="16"/>
      <c r="VS90" s="16"/>
      <c r="VT90" s="16"/>
      <c r="VU90" s="16"/>
      <c r="VV90" s="16"/>
      <c r="VW90" s="16"/>
      <c r="VX90" s="16"/>
      <c r="VY90" s="16"/>
      <c r="VZ90" s="16"/>
      <c r="WA90" s="16"/>
      <c r="WB90" s="16"/>
      <c r="WC90" s="16"/>
      <c r="WD90" s="16"/>
      <c r="WE90" s="16"/>
      <c r="WF90" s="16"/>
      <c r="WG90" s="16"/>
      <c r="WH90" s="16"/>
      <c r="WI90" s="16"/>
      <c r="WJ90" s="16"/>
      <c r="WK90" s="16"/>
      <c r="WL90" s="16"/>
      <c r="WM90" s="16"/>
      <c r="WN90" s="16"/>
      <c r="WO90" s="16"/>
      <c r="WP90" s="16"/>
      <c r="WQ90" s="16"/>
      <c r="WR90" s="16"/>
      <c r="WS90" s="16"/>
      <c r="WT90" s="16"/>
      <c r="WU90" s="16"/>
      <c r="WV90" s="16"/>
      <c r="WW90" s="16"/>
      <c r="WX90" s="16"/>
      <c r="WY90" s="16"/>
      <c r="WZ90" s="16"/>
      <c r="XA90" s="16"/>
      <c r="XB90" s="16"/>
      <c r="XC90" s="16"/>
      <c r="XD90" s="16"/>
      <c r="XE90" s="16"/>
      <c r="XF90" s="16"/>
      <c r="XG90" s="16"/>
      <c r="XH90" s="16"/>
      <c r="XI90" s="16"/>
      <c r="XJ90" s="16"/>
      <c r="XK90" s="16"/>
      <c r="XL90" s="16"/>
      <c r="XM90" s="16"/>
      <c r="XN90" s="16"/>
      <c r="XO90" s="16"/>
      <c r="XP90" s="16"/>
      <c r="XQ90" s="16"/>
      <c r="XR90" s="16"/>
      <c r="XS90" s="16"/>
      <c r="XT90" s="16"/>
      <c r="XU90" s="16"/>
      <c r="XV90" s="16"/>
      <c r="XW90" s="16"/>
      <c r="XX90" s="16"/>
      <c r="XY90" s="16"/>
      <c r="XZ90" s="16"/>
      <c r="YA90" s="16"/>
      <c r="YB90" s="16"/>
      <c r="YC90" s="16"/>
      <c r="YD90" s="16"/>
      <c r="YE90" s="16"/>
      <c r="YF90" s="16"/>
      <c r="YG90" s="16"/>
      <c r="YH90" s="16"/>
      <c r="YI90" s="16"/>
      <c r="YJ90" s="16"/>
      <c r="YK90" s="16"/>
      <c r="YL90" s="16"/>
      <c r="YM90" s="16"/>
      <c r="YN90" s="16"/>
      <c r="YO90" s="16"/>
      <c r="YP90" s="16"/>
      <c r="YQ90" s="16"/>
      <c r="YR90" s="16"/>
      <c r="YS90" s="16"/>
      <c r="YT90" s="16"/>
      <c r="YU90" s="16"/>
      <c r="YV90" s="16"/>
      <c r="YW90" s="16"/>
      <c r="YX90" s="16"/>
      <c r="YY90" s="16"/>
      <c r="YZ90" s="16"/>
      <c r="ZA90" s="16"/>
      <c r="ZB90" s="16"/>
      <c r="ZC90" s="16"/>
      <c r="ZD90" s="16"/>
      <c r="ZE90" s="16"/>
      <c r="ZF90" s="16"/>
      <c r="ZG90" s="16"/>
      <c r="ZH90" s="16"/>
      <c r="ZI90" s="16"/>
      <c r="ZJ90" s="16"/>
      <c r="ZK90" s="16"/>
      <c r="ZL90" s="16"/>
      <c r="ZM90" s="16"/>
      <c r="ZN90" s="16"/>
      <c r="ZO90" s="16"/>
      <c r="ZP90" s="16"/>
      <c r="ZQ90" s="16"/>
      <c r="ZR90" s="16"/>
      <c r="ZS90" s="16"/>
      <c r="ZT90" s="16"/>
      <c r="ZU90" s="16"/>
      <c r="ZV90" s="16"/>
      <c r="ZW90" s="16"/>
      <c r="ZX90" s="16"/>
      <c r="ZY90" s="16"/>
      <c r="ZZ90" s="16"/>
      <c r="AAA90" s="16"/>
      <c r="AAB90" s="16"/>
      <c r="AAC90" s="16"/>
      <c r="AAD90" s="16"/>
      <c r="AAE90" s="16"/>
      <c r="AAF90" s="16"/>
      <c r="AAG90" s="16"/>
      <c r="AAH90" s="16"/>
      <c r="AAI90" s="16"/>
      <c r="AAJ90" s="16"/>
      <c r="AAK90" s="16"/>
      <c r="AAL90" s="16"/>
      <c r="AAM90" s="16"/>
      <c r="AAN90" s="16"/>
      <c r="AAO90" s="16"/>
      <c r="AAP90" s="16"/>
      <c r="AAQ90" s="16"/>
      <c r="AAR90" s="16"/>
      <c r="AAS90" s="16"/>
      <c r="AAT90" s="16"/>
      <c r="AAU90" s="16"/>
      <c r="AAV90" s="16"/>
      <c r="AAW90" s="16"/>
      <c r="AAX90" s="16"/>
      <c r="AAY90" s="16"/>
      <c r="AAZ90" s="16"/>
      <c r="ABA90" s="16"/>
      <c r="ABB90" s="16"/>
      <c r="ABC90" s="16"/>
      <c r="ABD90" s="16"/>
      <c r="ABE90" s="16"/>
      <c r="ABF90" s="16"/>
      <c r="ABG90" s="16"/>
      <c r="ABH90" s="16"/>
      <c r="ABI90" s="16"/>
      <c r="ABJ90" s="16"/>
      <c r="ABK90" s="16"/>
      <c r="ABL90" s="16"/>
      <c r="ABM90" s="16"/>
      <c r="ABN90" s="16"/>
      <c r="ABO90" s="16"/>
      <c r="ABP90" s="16"/>
      <c r="ABQ90" s="16"/>
      <c r="ABR90" s="16"/>
      <c r="ABS90" s="16"/>
      <c r="ABT90" s="16"/>
      <c r="ABU90" s="16"/>
      <c r="ABV90" s="16"/>
      <c r="ABW90" s="16"/>
      <c r="ABX90" s="16"/>
      <c r="ABY90" s="16"/>
      <c r="ABZ90" s="16"/>
      <c r="ACA90" s="16"/>
      <c r="ACB90" s="16"/>
      <c r="ACC90" s="16"/>
      <c r="ACD90" s="16"/>
      <c r="ACE90" s="16"/>
      <c r="ACF90" s="16"/>
      <c r="ACG90" s="16"/>
      <c r="ACH90" s="16"/>
      <c r="ACI90" s="16"/>
      <c r="ACJ90" s="16"/>
      <c r="ACK90" s="16"/>
      <c r="ACL90" s="16"/>
      <c r="ACM90" s="16"/>
      <c r="ACN90" s="16"/>
      <c r="ACO90" s="16"/>
      <c r="ACP90" s="16"/>
      <c r="ACQ90" s="16"/>
      <c r="ACR90" s="16"/>
      <c r="ACS90" s="16"/>
      <c r="ACT90" s="16"/>
      <c r="ACU90" s="16"/>
      <c r="ACV90" s="16"/>
      <c r="ACW90" s="16"/>
      <c r="ACX90" s="16"/>
      <c r="ACY90" s="16"/>
      <c r="ACZ90" s="16"/>
      <c r="ADA90" s="16"/>
      <c r="ADB90" s="16"/>
      <c r="ADC90" s="16"/>
      <c r="ADD90" s="16"/>
      <c r="ADE90" s="16"/>
      <c r="ADF90" s="16"/>
      <c r="ADG90" s="16"/>
      <c r="ADH90" s="16"/>
      <c r="ADI90" s="16"/>
      <c r="ADJ90" s="16"/>
      <c r="ADK90" s="16"/>
      <c r="ADL90" s="16"/>
      <c r="ADM90" s="16"/>
      <c r="ADN90" s="16"/>
      <c r="ADO90" s="16"/>
      <c r="ADP90" s="16"/>
      <c r="ADQ90" s="16"/>
      <c r="ADR90" s="16"/>
      <c r="ADS90" s="16"/>
      <c r="ADT90" s="16"/>
      <c r="ADU90" s="16"/>
      <c r="ADV90" s="16"/>
      <c r="ADW90" s="16"/>
      <c r="ADX90" s="16"/>
      <c r="ADY90" s="16"/>
      <c r="ADZ90" s="16"/>
      <c r="AEA90" s="16"/>
      <c r="AEB90" s="16"/>
      <c r="AEC90" s="16"/>
      <c r="AED90" s="16"/>
      <c r="AEE90" s="16"/>
      <c r="AEF90" s="16"/>
      <c r="AEG90" s="16"/>
      <c r="AEH90" s="16"/>
      <c r="AEI90" s="16"/>
      <c r="AEJ90" s="16"/>
      <c r="AEK90" s="16"/>
      <c r="AEL90" s="16"/>
      <c r="AEM90" s="16"/>
      <c r="AEN90" s="16"/>
      <c r="AEO90" s="16"/>
      <c r="AEP90" s="16"/>
      <c r="AEQ90" s="16"/>
      <c r="AER90" s="16"/>
      <c r="AES90" s="16"/>
      <c r="AET90" s="16"/>
      <c r="AEU90" s="16"/>
      <c r="AEV90" s="16"/>
      <c r="AEW90" s="16"/>
      <c r="AEX90" s="16"/>
      <c r="AEY90" s="16"/>
      <c r="AEZ90" s="16"/>
      <c r="AFA90" s="16"/>
      <c r="AFB90" s="16"/>
      <c r="AFC90" s="16"/>
      <c r="AFD90" s="16"/>
      <c r="AFE90" s="16"/>
      <c r="AFF90" s="16"/>
      <c r="AFG90" s="16"/>
      <c r="AFH90" s="16"/>
      <c r="AFI90" s="16"/>
      <c r="AFJ90" s="16"/>
      <c r="AFK90" s="16"/>
      <c r="AFL90" s="16"/>
      <c r="AFM90" s="16"/>
      <c r="AFN90" s="16"/>
      <c r="AFO90" s="16"/>
      <c r="AFP90" s="16"/>
      <c r="AFQ90" s="16"/>
      <c r="AFR90" s="16"/>
      <c r="AFS90" s="16"/>
      <c r="AFT90" s="16"/>
      <c r="AFU90" s="16"/>
      <c r="AFV90" s="16"/>
      <c r="AFW90" s="16"/>
      <c r="AFX90" s="16"/>
      <c r="AFY90" s="16"/>
      <c r="AFZ90" s="16"/>
      <c r="AGA90" s="16"/>
      <c r="AGB90" s="16"/>
      <c r="AGC90" s="16"/>
      <c r="AGD90" s="16"/>
      <c r="AGE90" s="16"/>
      <c r="AGF90" s="16"/>
      <c r="AGG90" s="16"/>
      <c r="AGH90" s="16"/>
      <c r="AGI90" s="16"/>
      <c r="AGJ90" s="16"/>
      <c r="AGK90" s="16"/>
      <c r="AGL90" s="16"/>
      <c r="AGM90" s="16"/>
      <c r="AGN90" s="16"/>
      <c r="AGO90" s="16"/>
      <c r="AGP90" s="16"/>
      <c r="AGQ90" s="16"/>
      <c r="AGR90" s="16"/>
      <c r="AGS90" s="16"/>
      <c r="AGT90" s="16"/>
      <c r="AGU90" s="16"/>
      <c r="AGV90" s="16"/>
      <c r="AGW90" s="16"/>
      <c r="AGX90" s="16"/>
      <c r="AGY90" s="16"/>
      <c r="AGZ90" s="16"/>
      <c r="AHA90" s="16"/>
      <c r="AHB90" s="16"/>
      <c r="AHC90" s="16"/>
      <c r="AHD90" s="16"/>
      <c r="AHE90" s="16"/>
      <c r="AHF90" s="16"/>
      <c r="AHG90" s="16"/>
      <c r="AHH90" s="16"/>
      <c r="AHI90" s="16"/>
      <c r="AHJ90" s="16"/>
      <c r="AHK90" s="16"/>
      <c r="AHL90" s="16"/>
      <c r="AHM90" s="16"/>
      <c r="AHN90" s="16"/>
      <c r="AHO90" s="16"/>
      <c r="AHP90" s="16"/>
      <c r="AHQ90" s="16"/>
      <c r="AHR90" s="16"/>
      <c r="AHS90" s="16"/>
      <c r="AHT90" s="16"/>
      <c r="AHU90" s="16"/>
      <c r="AHV90" s="16"/>
      <c r="AHW90" s="16"/>
      <c r="AHX90" s="16"/>
      <c r="AHY90" s="16"/>
      <c r="AHZ90" s="16"/>
      <c r="AIA90" s="16"/>
      <c r="AIB90" s="16"/>
      <c r="AIC90" s="16"/>
      <c r="AID90" s="16"/>
      <c r="AIE90" s="16"/>
      <c r="AIF90" s="16"/>
      <c r="AIG90" s="16"/>
      <c r="AIH90" s="16"/>
      <c r="AII90" s="16"/>
      <c r="AIJ90" s="16"/>
      <c r="AIK90" s="16"/>
      <c r="AIL90" s="16"/>
      <c r="AIM90" s="16"/>
      <c r="AIN90" s="16"/>
      <c r="AIO90" s="16"/>
      <c r="AIP90" s="16"/>
      <c r="AIQ90" s="16"/>
      <c r="AIR90" s="16"/>
      <c r="AIS90" s="16"/>
      <c r="AIT90" s="16"/>
      <c r="AIU90" s="16"/>
      <c r="AIV90" s="16"/>
      <c r="AIW90" s="16"/>
      <c r="AIX90" s="16"/>
      <c r="AIY90" s="16"/>
      <c r="AIZ90" s="16"/>
      <c r="AJA90" s="16"/>
      <c r="AJB90" s="16"/>
      <c r="AJC90" s="16"/>
      <c r="AJD90" s="16"/>
      <c r="AJE90" s="16"/>
      <c r="AJF90" s="16"/>
      <c r="AJG90" s="16"/>
      <c r="AJH90" s="16"/>
      <c r="AJI90" s="16"/>
      <c r="AJJ90" s="16"/>
      <c r="AJK90" s="16"/>
      <c r="AJL90" s="16"/>
      <c r="AJM90" s="16"/>
      <c r="AJN90" s="16"/>
      <c r="AJO90" s="16"/>
      <c r="AJP90" s="16"/>
      <c r="AJQ90" s="16"/>
      <c r="AJR90" s="16"/>
      <c r="AJS90" s="16"/>
      <c r="AJT90" s="16"/>
      <c r="AJU90" s="16"/>
      <c r="AJV90" s="16"/>
      <c r="AJW90" s="16"/>
      <c r="AJX90" s="16"/>
      <c r="AJY90" s="16"/>
      <c r="AJZ90" s="16"/>
      <c r="AKA90" s="16"/>
      <c r="AKB90" s="16"/>
      <c r="AKC90" s="16"/>
      <c r="AKD90" s="16"/>
      <c r="AKE90" s="16"/>
      <c r="AKF90" s="16"/>
      <c r="AKG90" s="16"/>
      <c r="AKH90" s="16"/>
      <c r="AKI90" s="16"/>
      <c r="AKJ90" s="16"/>
      <c r="AKK90" s="16"/>
      <c r="AKL90" s="16"/>
      <c r="AKM90" s="16"/>
      <c r="AKN90" s="16"/>
      <c r="AKO90" s="16"/>
      <c r="AKP90" s="16"/>
      <c r="AKQ90" s="16"/>
      <c r="AKR90" s="16"/>
      <c r="AKS90" s="16"/>
      <c r="AKT90" s="16"/>
      <c r="AKU90" s="16"/>
      <c r="AKV90" s="16"/>
      <c r="AKW90" s="16"/>
      <c r="AKX90" s="16"/>
      <c r="AKY90" s="16"/>
      <c r="AKZ90" s="16"/>
      <c r="ALA90" s="16"/>
      <c r="ALB90" s="16"/>
      <c r="ALC90" s="16"/>
      <c r="ALD90" s="16"/>
      <c r="ALE90" s="16"/>
      <c r="ALF90" s="16"/>
      <c r="ALG90" s="16"/>
      <c r="ALH90" s="16"/>
      <c r="ALI90" s="16"/>
      <c r="ALJ90" s="16"/>
      <c r="ALK90" s="16"/>
      <c r="ALL90" s="16"/>
      <c r="ALM90" s="16"/>
      <c r="ALN90" s="16"/>
      <c r="ALO90" s="16"/>
      <c r="ALP90" s="16"/>
      <c r="ALQ90" s="16"/>
      <c r="ALR90" s="16"/>
      <c r="ALS90" s="16"/>
      <c r="ALT90" s="16"/>
      <c r="ALU90" s="16"/>
      <c r="ALV90" s="16"/>
      <c r="ALW90" s="16"/>
      <c r="ALX90" s="16"/>
      <c r="ALY90" s="16"/>
      <c r="ALZ90" s="16"/>
      <c r="AMA90" s="16"/>
      <c r="AMB90" s="16"/>
      <c r="AMC90" s="16"/>
      <c r="AMD90" s="16"/>
      <c r="AME90" s="16"/>
      <c r="AMF90" s="16"/>
      <c r="AMG90" s="16"/>
      <c r="AMH90" s="16"/>
      <c r="AMI90" s="16"/>
      <c r="AMJ90" s="16"/>
      <c r="AMK90" s="16"/>
      <c r="AML90" s="16"/>
      <c r="AMM90" s="16"/>
      <c r="AMN90" s="16"/>
      <c r="AMO90" s="16"/>
      <c r="AMP90" s="16"/>
      <c r="AMQ90" s="16"/>
      <c r="AMR90" s="16"/>
      <c r="AMS90" s="16"/>
      <c r="AMT90" s="16"/>
      <c r="AMU90" s="16"/>
      <c r="AMV90" s="16"/>
      <c r="AMW90" s="16"/>
      <c r="AMX90" s="16"/>
      <c r="AMY90" s="16"/>
      <c r="AMZ90" s="16"/>
      <c r="ANA90" s="16"/>
      <c r="ANB90" s="16"/>
      <c r="ANC90" s="16"/>
      <c r="AND90" s="16"/>
      <c r="ANE90" s="16"/>
      <c r="ANF90" s="16"/>
      <c r="ANG90" s="16"/>
      <c r="ANH90" s="16"/>
      <c r="ANI90" s="16"/>
      <c r="ANJ90" s="16"/>
      <c r="ANK90" s="16"/>
      <c r="ANL90" s="16"/>
      <c r="ANM90" s="16"/>
      <c r="ANN90" s="16"/>
      <c r="ANO90" s="16"/>
      <c r="ANP90" s="16"/>
      <c r="ANQ90" s="16"/>
      <c r="ANR90" s="16"/>
      <c r="ANS90" s="16"/>
      <c r="ANT90" s="16"/>
      <c r="ANU90" s="16"/>
      <c r="ANV90" s="16"/>
      <c r="ANW90" s="16"/>
      <c r="ANX90" s="16"/>
      <c r="ANY90" s="16"/>
      <c r="ANZ90" s="16"/>
      <c r="AOA90" s="16"/>
      <c r="AOB90" s="16"/>
      <c r="AOC90" s="16"/>
      <c r="AOD90" s="16"/>
      <c r="AOE90" s="16"/>
      <c r="AOF90" s="16"/>
      <c r="AOG90" s="16"/>
      <c r="AOH90" s="16"/>
      <c r="AOI90" s="16"/>
      <c r="AOJ90" s="16"/>
      <c r="AOK90" s="16"/>
      <c r="AOL90" s="16"/>
      <c r="AOM90" s="16"/>
      <c r="AON90" s="16"/>
      <c r="AOO90" s="16"/>
      <c r="AOP90" s="16"/>
      <c r="AOQ90" s="16"/>
      <c r="AOR90" s="16"/>
      <c r="AOS90" s="16"/>
      <c r="AOT90" s="16"/>
      <c r="AOU90" s="16"/>
      <c r="AOV90" s="16"/>
      <c r="AOW90" s="16"/>
      <c r="AOX90" s="16"/>
      <c r="AOY90" s="16"/>
      <c r="AOZ90" s="16"/>
      <c r="APA90" s="16"/>
      <c r="APB90" s="16"/>
      <c r="APC90" s="16"/>
      <c r="APD90" s="16"/>
      <c r="APE90" s="16"/>
      <c r="APF90" s="16"/>
      <c r="APG90" s="16"/>
      <c r="APH90" s="16"/>
      <c r="API90" s="16"/>
      <c r="APJ90" s="16"/>
      <c r="APK90" s="16"/>
      <c r="APL90" s="16"/>
      <c r="APM90" s="16"/>
      <c r="APN90" s="16"/>
      <c r="APO90" s="16"/>
      <c r="APP90" s="16"/>
      <c r="APQ90" s="16"/>
      <c r="APR90" s="16"/>
      <c r="APS90" s="16"/>
      <c r="APT90" s="16"/>
      <c r="APU90" s="16"/>
      <c r="APV90" s="16"/>
      <c r="APW90" s="16"/>
      <c r="APX90" s="16"/>
      <c r="APY90" s="16"/>
      <c r="APZ90" s="16"/>
      <c r="AQA90" s="16"/>
      <c r="AQB90" s="16"/>
      <c r="AQC90" s="16"/>
      <c r="AQD90" s="16"/>
      <c r="AQE90" s="16"/>
      <c r="AQF90" s="16"/>
      <c r="AQG90" s="16"/>
      <c r="AQH90" s="16"/>
      <c r="AQI90" s="16"/>
      <c r="AQJ90" s="16"/>
      <c r="AQK90" s="16"/>
      <c r="AQL90" s="16"/>
      <c r="AQM90" s="16"/>
      <c r="AQN90" s="16"/>
      <c r="AQO90" s="16"/>
      <c r="AQP90" s="16"/>
      <c r="AQQ90" s="16"/>
      <c r="AQR90" s="16"/>
      <c r="AQS90" s="16"/>
      <c r="AQT90" s="16"/>
      <c r="AQU90" s="16"/>
      <c r="AQV90" s="16"/>
      <c r="AQW90" s="16"/>
      <c r="AQX90" s="16"/>
      <c r="AQY90" s="16"/>
      <c r="AQZ90" s="16"/>
      <c r="ARA90" s="16"/>
      <c r="ARB90" s="16"/>
      <c r="ARC90" s="16"/>
      <c r="ARD90" s="16"/>
      <c r="ARE90" s="16"/>
      <c r="ARF90" s="16"/>
      <c r="ARG90" s="16"/>
      <c r="ARH90" s="16"/>
      <c r="ARI90" s="16"/>
      <c r="ARJ90" s="16"/>
      <c r="ARK90" s="16"/>
      <c r="ARL90" s="16"/>
      <c r="ARM90" s="16"/>
      <c r="ARN90" s="16"/>
      <c r="ARO90" s="16"/>
      <c r="ARP90" s="16"/>
      <c r="ARQ90" s="16"/>
      <c r="ARR90" s="16"/>
      <c r="ARS90" s="16"/>
      <c r="ART90" s="16"/>
      <c r="ARU90" s="16"/>
      <c r="ARV90" s="16"/>
      <c r="ARW90" s="16"/>
      <c r="ARX90" s="16"/>
      <c r="ARY90" s="16"/>
      <c r="ARZ90" s="16"/>
      <c r="ASA90" s="16"/>
      <c r="ASB90" s="16"/>
      <c r="ASC90" s="16"/>
      <c r="ASD90" s="16"/>
      <c r="ASE90" s="16"/>
      <c r="ASF90" s="16"/>
      <c r="ASG90" s="16"/>
      <c r="ASH90" s="16"/>
      <c r="ASI90" s="16"/>
      <c r="ASJ90" s="16"/>
      <c r="ASK90" s="16"/>
      <c r="ASL90" s="16"/>
      <c r="ASM90" s="16"/>
      <c r="ASN90" s="16"/>
      <c r="ASO90" s="16"/>
      <c r="ASP90" s="16"/>
      <c r="ASQ90" s="16"/>
      <c r="ASR90" s="16"/>
      <c r="ASS90" s="16"/>
      <c r="AST90" s="16"/>
      <c r="ASU90" s="16"/>
      <c r="ASV90" s="16"/>
      <c r="ASW90" s="16"/>
      <c r="ASX90" s="16"/>
      <c r="ASY90" s="16"/>
      <c r="ASZ90" s="16"/>
      <c r="ATA90" s="16"/>
      <c r="ATB90" s="16"/>
      <c r="ATC90" s="16"/>
      <c r="ATD90" s="16"/>
      <c r="ATE90" s="16"/>
      <c r="ATF90" s="16"/>
      <c r="ATG90" s="16"/>
      <c r="ATH90" s="16"/>
      <c r="ATI90" s="16"/>
      <c r="ATJ90" s="16"/>
      <c r="ATK90" s="16"/>
      <c r="ATL90" s="16"/>
      <c r="ATM90" s="16"/>
      <c r="ATN90" s="16"/>
      <c r="ATO90" s="16"/>
      <c r="ATP90" s="16"/>
      <c r="ATQ90" s="16"/>
      <c r="ATR90" s="16"/>
      <c r="ATS90" s="16"/>
      <c r="ATT90" s="16"/>
      <c r="ATU90" s="16"/>
      <c r="ATV90" s="16"/>
      <c r="ATW90" s="16"/>
      <c r="ATX90" s="16"/>
      <c r="ATY90" s="16"/>
      <c r="ATZ90" s="16"/>
      <c r="AUA90" s="16"/>
      <c r="AUB90" s="16"/>
      <c r="AUC90" s="16"/>
      <c r="AUD90" s="16"/>
      <c r="AUE90" s="16"/>
      <c r="AUF90" s="16"/>
      <c r="AUG90" s="16"/>
      <c r="AUH90" s="16"/>
      <c r="AUI90" s="16"/>
      <c r="AUJ90" s="16"/>
      <c r="AUK90" s="16"/>
      <c r="AUL90" s="16"/>
      <c r="AUM90" s="16"/>
      <c r="AUN90" s="16"/>
      <c r="AUO90" s="16"/>
      <c r="AUP90" s="16"/>
      <c r="AUQ90" s="16"/>
      <c r="AUR90" s="16"/>
      <c r="AUS90" s="16"/>
      <c r="AUT90" s="16"/>
      <c r="AUU90" s="16"/>
      <c r="AUV90" s="16"/>
      <c r="AUW90" s="16"/>
      <c r="AUX90" s="16"/>
      <c r="AUY90" s="16"/>
      <c r="AUZ90" s="16"/>
      <c r="AVA90" s="16"/>
      <c r="AVB90" s="16"/>
      <c r="AVC90" s="16"/>
      <c r="AVD90" s="16"/>
      <c r="AVE90" s="16"/>
      <c r="AVF90" s="16"/>
      <c r="AVG90" s="16"/>
      <c r="AVH90" s="16"/>
      <c r="AVI90" s="16"/>
      <c r="AVJ90" s="16"/>
      <c r="AVK90" s="16"/>
      <c r="AVL90" s="16"/>
      <c r="AVM90" s="16"/>
      <c r="AVN90" s="16"/>
      <c r="AVO90" s="16"/>
      <c r="AVP90" s="16"/>
      <c r="AVQ90" s="16"/>
      <c r="AVR90" s="16"/>
      <c r="AVS90" s="16"/>
      <c r="AVT90" s="16"/>
      <c r="AVU90" s="16"/>
      <c r="AVV90" s="16"/>
      <c r="AVW90" s="16"/>
      <c r="AVX90" s="16"/>
      <c r="AVY90" s="16"/>
      <c r="AVZ90" s="16"/>
      <c r="AWA90" s="16"/>
      <c r="AWB90" s="16"/>
      <c r="AWC90" s="16"/>
      <c r="AWD90" s="16"/>
      <c r="AWE90" s="16"/>
      <c r="AWF90" s="16"/>
      <c r="AWG90" s="16"/>
      <c r="AWH90" s="16"/>
      <c r="AWI90" s="16"/>
      <c r="AWJ90" s="16"/>
      <c r="AWK90" s="16"/>
      <c r="AWL90" s="16"/>
      <c r="AWM90" s="16"/>
      <c r="AWN90" s="16"/>
      <c r="AWO90" s="16"/>
      <c r="AWP90" s="16"/>
      <c r="AWQ90" s="16"/>
      <c r="AWR90" s="16"/>
      <c r="AWS90" s="16"/>
      <c r="AWT90" s="16"/>
      <c r="AWU90" s="16"/>
      <c r="AWV90" s="16"/>
      <c r="AWW90" s="16"/>
      <c r="AWX90" s="16"/>
      <c r="AWY90" s="16"/>
      <c r="AWZ90" s="16"/>
      <c r="AXA90" s="16"/>
      <c r="AXB90" s="16"/>
      <c r="AXC90" s="16"/>
      <c r="AXD90" s="16"/>
      <c r="AXE90" s="16"/>
      <c r="AXF90" s="16"/>
      <c r="AXG90" s="16"/>
      <c r="AXH90" s="16"/>
      <c r="AXI90" s="16"/>
      <c r="AXJ90" s="16"/>
      <c r="AXK90" s="16"/>
      <c r="AXL90" s="16"/>
      <c r="AXM90" s="16"/>
      <c r="AXN90" s="16"/>
      <c r="AXO90" s="16"/>
      <c r="AXP90" s="16"/>
      <c r="AXQ90" s="16"/>
      <c r="AXR90" s="16"/>
      <c r="AXS90" s="16"/>
      <c r="AXT90" s="16"/>
      <c r="AXU90" s="16"/>
      <c r="AXV90" s="16"/>
      <c r="AXW90" s="16"/>
      <c r="AXX90" s="16"/>
      <c r="AXY90" s="16"/>
      <c r="AXZ90" s="16"/>
      <c r="AYA90" s="16"/>
      <c r="AYB90" s="16"/>
      <c r="AYC90" s="16"/>
      <c r="AYD90" s="16"/>
      <c r="AYE90" s="16"/>
      <c r="AYF90" s="16"/>
      <c r="AYG90" s="16"/>
      <c r="AYH90" s="16"/>
      <c r="AYI90" s="16"/>
      <c r="AYJ90" s="16"/>
      <c r="AYK90" s="16"/>
      <c r="AYL90" s="16"/>
      <c r="AYM90" s="16"/>
      <c r="AYN90" s="16"/>
      <c r="AYO90" s="16"/>
      <c r="AYP90" s="16"/>
      <c r="AYQ90" s="16"/>
      <c r="AYR90" s="16"/>
      <c r="AYS90" s="16"/>
      <c r="AYT90" s="16"/>
      <c r="AYU90" s="16"/>
      <c r="AYV90" s="16"/>
      <c r="AYW90" s="16"/>
      <c r="AYX90" s="16"/>
      <c r="AYY90" s="16"/>
      <c r="AYZ90" s="16"/>
      <c r="AZA90" s="16"/>
      <c r="AZB90" s="16"/>
      <c r="AZC90" s="16"/>
      <c r="AZD90" s="16"/>
      <c r="AZE90" s="16"/>
      <c r="AZF90" s="16"/>
      <c r="AZG90" s="16"/>
      <c r="AZH90" s="16"/>
      <c r="AZI90" s="16"/>
      <c r="AZJ90" s="16"/>
      <c r="AZK90" s="16"/>
      <c r="AZL90" s="16"/>
      <c r="AZM90" s="16"/>
      <c r="AZN90" s="16"/>
      <c r="AZO90" s="16"/>
      <c r="AZP90" s="16"/>
      <c r="AZQ90" s="16"/>
      <c r="AZR90" s="16"/>
      <c r="AZS90" s="16"/>
      <c r="AZT90" s="16"/>
      <c r="AZU90" s="16"/>
      <c r="AZV90" s="16"/>
      <c r="AZW90" s="16"/>
      <c r="AZX90" s="16"/>
      <c r="AZY90" s="16"/>
      <c r="AZZ90" s="16"/>
      <c r="BAA90" s="16"/>
      <c r="BAB90" s="16"/>
      <c r="BAC90" s="16"/>
      <c r="BAD90" s="16"/>
      <c r="BAE90" s="16"/>
      <c r="BAF90" s="16"/>
      <c r="BAG90" s="16"/>
      <c r="BAH90" s="16"/>
      <c r="BAI90" s="16"/>
      <c r="BAJ90" s="16"/>
      <c r="BAK90" s="16"/>
      <c r="BAL90" s="16"/>
      <c r="BAM90" s="16"/>
      <c r="BAN90" s="16"/>
      <c r="BAO90" s="16"/>
      <c r="BAP90" s="16"/>
      <c r="BAQ90" s="16"/>
      <c r="BAR90" s="16"/>
      <c r="BAS90" s="16"/>
      <c r="BAT90" s="16"/>
      <c r="BAU90" s="16"/>
      <c r="BAV90" s="16"/>
      <c r="BAW90" s="16"/>
      <c r="BAX90" s="16"/>
      <c r="BAY90" s="16"/>
      <c r="BAZ90" s="16"/>
      <c r="BBA90" s="16"/>
      <c r="BBB90" s="16"/>
      <c r="BBC90" s="16"/>
      <c r="BBD90" s="16"/>
      <c r="BBE90" s="16"/>
      <c r="BBF90" s="16"/>
      <c r="BBG90" s="16"/>
      <c r="BBH90" s="16"/>
      <c r="BBI90" s="16"/>
      <c r="BBJ90" s="16"/>
      <c r="BBK90" s="16"/>
      <c r="BBL90" s="16"/>
      <c r="BBM90" s="16"/>
      <c r="BBN90" s="16"/>
      <c r="BBO90" s="16"/>
      <c r="BBP90" s="16"/>
      <c r="BBQ90" s="16"/>
      <c r="BBR90" s="16"/>
      <c r="BBS90" s="16"/>
      <c r="BBT90" s="16"/>
      <c r="BBU90" s="16"/>
      <c r="BBV90" s="16"/>
      <c r="BBW90" s="16"/>
      <c r="BBX90" s="16"/>
      <c r="BBY90" s="16"/>
      <c r="BBZ90" s="16"/>
      <c r="BCA90" s="16"/>
      <c r="BCB90" s="16"/>
      <c r="BCC90" s="16"/>
      <c r="BCD90" s="16"/>
      <c r="BCE90" s="16"/>
      <c r="BCF90" s="16"/>
      <c r="BCG90" s="16"/>
      <c r="BCH90" s="16"/>
      <c r="BCI90" s="16"/>
      <c r="BCJ90" s="16"/>
      <c r="BCK90" s="16"/>
      <c r="BCL90" s="16"/>
      <c r="BCM90" s="16"/>
      <c r="BCN90" s="16"/>
      <c r="BCO90" s="16"/>
      <c r="BCP90" s="16"/>
      <c r="BCQ90" s="16"/>
      <c r="BCR90" s="16"/>
      <c r="BCS90" s="16"/>
      <c r="BCT90" s="16"/>
      <c r="BCU90" s="16"/>
      <c r="BCV90" s="16"/>
      <c r="BCW90" s="16"/>
      <c r="BCX90" s="16"/>
      <c r="BCY90" s="16"/>
      <c r="BCZ90" s="16"/>
      <c r="BDA90" s="16"/>
      <c r="BDB90" s="16"/>
      <c r="BDC90" s="16"/>
      <c r="BDD90" s="16"/>
      <c r="BDE90" s="16"/>
      <c r="BDF90" s="16"/>
      <c r="BDG90" s="16"/>
      <c r="BDH90" s="16"/>
      <c r="BDI90" s="16"/>
      <c r="BDJ90" s="16"/>
      <c r="BDK90" s="16"/>
      <c r="BDL90" s="16"/>
      <c r="BDM90" s="16"/>
      <c r="BDN90" s="16"/>
      <c r="BDO90" s="16"/>
      <c r="BDP90" s="16"/>
      <c r="BDQ90" s="16"/>
      <c r="BDR90" s="16"/>
      <c r="BDS90" s="16"/>
      <c r="BDT90" s="16"/>
      <c r="BDU90" s="16"/>
      <c r="BDV90" s="16"/>
      <c r="BDW90" s="16"/>
      <c r="BDX90" s="16"/>
      <c r="BDY90" s="16"/>
      <c r="BDZ90" s="16"/>
      <c r="BEA90" s="16"/>
      <c r="BEB90" s="16"/>
      <c r="BEC90" s="16"/>
      <c r="BED90" s="16"/>
      <c r="BEE90" s="16"/>
      <c r="BEF90" s="16"/>
      <c r="BEG90" s="16"/>
      <c r="BEH90" s="16"/>
      <c r="BEI90" s="16"/>
      <c r="BEJ90" s="16"/>
      <c r="BEK90" s="16"/>
      <c r="BEL90" s="16"/>
      <c r="BEM90" s="16"/>
      <c r="BEN90" s="16"/>
      <c r="BEO90" s="16"/>
      <c r="BEP90" s="16"/>
      <c r="BEQ90" s="16"/>
      <c r="BER90" s="16"/>
      <c r="BES90" s="16"/>
      <c r="BET90" s="16"/>
      <c r="BEU90" s="16"/>
      <c r="BEV90" s="16"/>
      <c r="BEW90" s="16"/>
      <c r="BEX90" s="16"/>
      <c r="BEY90" s="16"/>
      <c r="BEZ90" s="16"/>
      <c r="BFA90" s="16"/>
      <c r="BFB90" s="16"/>
      <c r="BFC90" s="16"/>
      <c r="BFD90" s="16"/>
      <c r="BFE90" s="16"/>
      <c r="BFF90" s="16"/>
      <c r="BFG90" s="16"/>
      <c r="BFH90" s="16"/>
      <c r="BFI90" s="16"/>
      <c r="BFJ90" s="16"/>
      <c r="BFK90" s="16"/>
      <c r="BFL90" s="16"/>
      <c r="BFM90" s="16"/>
      <c r="BFN90" s="16"/>
      <c r="BFO90" s="16"/>
      <c r="BFP90" s="16"/>
      <c r="BFQ90" s="16"/>
      <c r="BFR90" s="16"/>
      <c r="BFS90" s="16"/>
      <c r="BFT90" s="16"/>
      <c r="BFU90" s="16"/>
      <c r="BFV90" s="16"/>
      <c r="BFW90" s="16"/>
      <c r="BFX90" s="16"/>
      <c r="BFY90" s="16"/>
      <c r="BFZ90" s="16"/>
      <c r="BGA90" s="16"/>
      <c r="BGB90" s="16"/>
      <c r="BGC90" s="16"/>
      <c r="BGD90" s="16"/>
      <c r="BGE90" s="16"/>
      <c r="BGF90" s="16"/>
      <c r="BGG90" s="16"/>
      <c r="BGH90" s="16"/>
      <c r="BGI90" s="16"/>
      <c r="BGJ90" s="16"/>
      <c r="BGK90" s="16"/>
      <c r="BGL90" s="16"/>
      <c r="BGM90" s="16"/>
      <c r="BGN90" s="16"/>
      <c r="BGO90" s="16"/>
      <c r="BGP90" s="16"/>
      <c r="BGQ90" s="16"/>
      <c r="BGR90" s="16"/>
      <c r="BGS90" s="16"/>
      <c r="BGT90" s="16"/>
      <c r="BGU90" s="16"/>
      <c r="BGV90" s="16"/>
      <c r="BGW90" s="16"/>
      <c r="BGX90" s="16"/>
      <c r="BGY90" s="16"/>
      <c r="BGZ90" s="16"/>
      <c r="BHA90" s="16"/>
      <c r="BHB90" s="16"/>
      <c r="BHC90" s="16"/>
      <c r="BHD90" s="16"/>
      <c r="BHE90" s="16"/>
      <c r="BHF90" s="16"/>
      <c r="BHG90" s="16"/>
      <c r="BHH90" s="16"/>
      <c r="BHI90" s="16"/>
      <c r="BHJ90" s="16"/>
      <c r="BHK90" s="16"/>
      <c r="BHL90" s="16"/>
      <c r="BHM90" s="16"/>
      <c r="BHN90" s="16"/>
      <c r="BHO90" s="16"/>
      <c r="BHP90" s="16"/>
      <c r="BHQ90" s="16"/>
      <c r="BHR90" s="16"/>
      <c r="BHS90" s="16"/>
      <c r="BHT90" s="16"/>
      <c r="BHU90" s="16"/>
      <c r="BHV90" s="16"/>
      <c r="BHW90" s="16"/>
      <c r="BHX90" s="16"/>
      <c r="BHY90" s="16"/>
      <c r="BHZ90" s="16"/>
      <c r="BIA90" s="16"/>
      <c r="BIB90" s="16"/>
      <c r="BIC90" s="16"/>
      <c r="BID90" s="16"/>
      <c r="BIE90" s="16"/>
      <c r="BIF90" s="16"/>
      <c r="BIG90" s="16"/>
      <c r="BIH90" s="16"/>
      <c r="BII90" s="16"/>
      <c r="BIJ90" s="16"/>
      <c r="BIK90" s="16"/>
      <c r="BIL90" s="16"/>
      <c r="BIM90" s="16"/>
      <c r="BIN90" s="16"/>
      <c r="BIO90" s="16"/>
      <c r="BIP90" s="16"/>
      <c r="BIQ90" s="16"/>
      <c r="BIR90" s="16"/>
      <c r="BIS90" s="16"/>
      <c r="BIT90" s="16"/>
      <c r="BIU90" s="16"/>
      <c r="BIV90" s="16"/>
      <c r="BIW90" s="16"/>
      <c r="BIX90" s="16"/>
      <c r="BIY90" s="16"/>
      <c r="BIZ90" s="16"/>
      <c r="BJA90" s="16"/>
      <c r="BJB90" s="16"/>
      <c r="BJC90" s="16"/>
      <c r="BJD90" s="16"/>
      <c r="BJE90" s="16"/>
      <c r="BJF90" s="16"/>
      <c r="BJG90" s="16"/>
      <c r="BJH90" s="16"/>
      <c r="BJI90" s="16"/>
      <c r="BJJ90" s="16"/>
      <c r="BJK90" s="16"/>
      <c r="BJL90" s="16"/>
      <c r="BJM90" s="16"/>
      <c r="BJN90" s="16"/>
      <c r="BJO90" s="16"/>
      <c r="BJP90" s="16"/>
      <c r="BJQ90" s="16"/>
      <c r="BJR90" s="16"/>
      <c r="BJS90" s="16"/>
      <c r="BJT90" s="16"/>
      <c r="BJU90" s="16"/>
      <c r="BJV90" s="16"/>
      <c r="BJW90" s="16"/>
      <c r="BJX90" s="16"/>
      <c r="BJY90" s="16"/>
      <c r="BJZ90" s="16"/>
      <c r="BKA90" s="16"/>
      <c r="BKB90" s="16"/>
      <c r="BKC90" s="16"/>
      <c r="BKD90" s="16"/>
      <c r="BKE90" s="16"/>
      <c r="BKF90" s="16"/>
      <c r="BKG90" s="16"/>
      <c r="BKH90" s="16"/>
      <c r="BKI90" s="16"/>
      <c r="BKJ90" s="16"/>
      <c r="BKK90" s="16"/>
      <c r="BKL90" s="16"/>
      <c r="BKM90" s="16"/>
      <c r="BKN90" s="16"/>
      <c r="BKO90" s="16"/>
      <c r="BKP90" s="16"/>
      <c r="BKQ90" s="16"/>
      <c r="BKR90" s="16"/>
      <c r="BKS90" s="16"/>
      <c r="BKT90" s="16"/>
      <c r="BKU90" s="16"/>
      <c r="BKV90" s="16"/>
      <c r="BKW90" s="16"/>
      <c r="BKX90" s="16"/>
      <c r="BKY90" s="16"/>
      <c r="BKZ90" s="16"/>
      <c r="BLA90" s="16"/>
      <c r="BLB90" s="16"/>
      <c r="BLC90" s="16"/>
      <c r="BLD90" s="16"/>
      <c r="BLE90" s="16"/>
      <c r="BLF90" s="16"/>
      <c r="BLG90" s="16"/>
      <c r="BLH90" s="16"/>
      <c r="BLI90" s="16"/>
      <c r="BLJ90" s="16"/>
      <c r="BLK90" s="16"/>
      <c r="BLL90" s="16"/>
      <c r="BLM90" s="16"/>
      <c r="BLN90" s="16"/>
      <c r="BLO90" s="16"/>
      <c r="BLP90" s="16"/>
      <c r="BLQ90" s="16"/>
      <c r="BLR90" s="16"/>
      <c r="BLS90" s="16"/>
      <c r="BLT90" s="16"/>
      <c r="BLU90" s="16"/>
      <c r="BLV90" s="16"/>
      <c r="BLW90" s="16"/>
      <c r="BLX90" s="16"/>
      <c r="BLY90" s="16"/>
      <c r="BLZ90" s="16"/>
      <c r="BMA90" s="16"/>
      <c r="BMB90" s="16"/>
      <c r="BMC90" s="16"/>
      <c r="BMD90" s="16"/>
      <c r="BME90" s="16"/>
      <c r="BMF90" s="16"/>
      <c r="BMG90" s="16"/>
      <c r="BMH90" s="16"/>
      <c r="BMI90" s="16"/>
      <c r="BMJ90" s="16"/>
      <c r="BMK90" s="16"/>
      <c r="BML90" s="16"/>
      <c r="BMM90" s="16"/>
      <c r="BMN90" s="16"/>
      <c r="BMO90" s="16"/>
      <c r="BMP90" s="16"/>
      <c r="BMQ90" s="16"/>
      <c r="BMR90" s="16"/>
      <c r="BMS90" s="16"/>
      <c r="BMT90" s="16"/>
      <c r="BMU90" s="16"/>
      <c r="BMV90" s="16"/>
      <c r="BMW90" s="16"/>
      <c r="BMX90" s="16"/>
      <c r="BMY90" s="16"/>
      <c r="BMZ90" s="16"/>
      <c r="BNA90" s="16"/>
      <c r="BNB90" s="16"/>
      <c r="BNC90" s="16"/>
      <c r="BND90" s="16"/>
      <c r="BNE90" s="16"/>
      <c r="BNF90" s="16"/>
      <c r="BNG90" s="16"/>
      <c r="BNH90" s="16"/>
      <c r="BNI90" s="16"/>
      <c r="BNJ90" s="16"/>
      <c r="BNK90" s="16"/>
      <c r="BNL90" s="16"/>
      <c r="BNM90" s="16"/>
      <c r="BNN90" s="16"/>
      <c r="BNO90" s="16"/>
      <c r="BNP90" s="16"/>
      <c r="BNQ90" s="16"/>
      <c r="BNR90" s="16"/>
      <c r="BNS90" s="16"/>
      <c r="BNT90" s="16"/>
      <c r="BNU90" s="16"/>
      <c r="BNV90" s="16"/>
      <c r="BNW90" s="16"/>
      <c r="BNX90" s="16"/>
      <c r="BNY90" s="16"/>
      <c r="BNZ90" s="16"/>
      <c r="BOA90" s="16"/>
      <c r="BOB90" s="16"/>
      <c r="BOC90" s="16"/>
      <c r="BOD90" s="16"/>
      <c r="BOE90" s="16"/>
      <c r="BOF90" s="16"/>
      <c r="BOG90" s="16"/>
      <c r="BOH90" s="16"/>
      <c r="BOI90" s="16"/>
      <c r="BOJ90" s="16"/>
      <c r="BOK90" s="16"/>
      <c r="BOL90" s="16"/>
      <c r="BOM90" s="16"/>
      <c r="BON90" s="16"/>
      <c r="BOO90" s="16"/>
      <c r="BOP90" s="16"/>
      <c r="BOQ90" s="16"/>
      <c r="BOR90" s="16"/>
      <c r="BOS90" s="16"/>
      <c r="BOT90" s="16"/>
      <c r="BOU90" s="16"/>
      <c r="BOV90" s="16"/>
      <c r="BOW90" s="16"/>
      <c r="BOX90" s="16"/>
      <c r="BOY90" s="16"/>
      <c r="BOZ90" s="16"/>
      <c r="BPA90" s="16"/>
      <c r="BPB90" s="16"/>
      <c r="BPC90" s="16"/>
      <c r="BPD90" s="16"/>
      <c r="BPE90" s="16"/>
      <c r="BPF90" s="16"/>
      <c r="BPG90" s="16"/>
      <c r="BPH90" s="16"/>
      <c r="BPI90" s="16"/>
      <c r="BPJ90" s="16"/>
      <c r="BPK90" s="16"/>
      <c r="BPL90" s="16"/>
      <c r="BPM90" s="16"/>
      <c r="BPN90" s="16"/>
      <c r="BPO90" s="16"/>
      <c r="BPP90" s="16"/>
      <c r="BPQ90" s="16"/>
      <c r="BPR90" s="16"/>
      <c r="BPS90" s="16"/>
      <c r="BPT90" s="16"/>
      <c r="BPU90" s="16"/>
      <c r="BPV90" s="16"/>
      <c r="BPW90" s="16"/>
      <c r="BPX90" s="16"/>
      <c r="BPY90" s="16"/>
      <c r="BPZ90" s="16"/>
      <c r="BQA90" s="16"/>
      <c r="BQB90" s="16"/>
      <c r="BQC90" s="16"/>
      <c r="BQD90" s="16"/>
      <c r="BQE90" s="16"/>
      <c r="BQF90" s="16"/>
      <c r="BQG90" s="16"/>
      <c r="BQH90" s="16"/>
      <c r="BQI90" s="16"/>
      <c r="BQJ90" s="16"/>
      <c r="BQK90" s="16"/>
      <c r="BQL90" s="16"/>
      <c r="BQM90" s="16"/>
      <c r="BQN90" s="16"/>
      <c r="BQO90" s="16"/>
      <c r="BQP90" s="16"/>
      <c r="BQQ90" s="16"/>
      <c r="BQR90" s="16"/>
      <c r="BQS90" s="16"/>
      <c r="BQT90" s="16"/>
      <c r="BQU90" s="16"/>
      <c r="BQV90" s="16"/>
      <c r="BQW90" s="16"/>
      <c r="BQX90" s="16"/>
      <c r="BQY90" s="16"/>
      <c r="BQZ90" s="16"/>
      <c r="BRA90" s="16"/>
      <c r="BRB90" s="16"/>
      <c r="BRC90" s="16"/>
      <c r="BRD90" s="16"/>
      <c r="BRE90" s="16"/>
      <c r="BRF90" s="16"/>
      <c r="BRG90" s="16"/>
      <c r="BRH90" s="16"/>
      <c r="BRI90" s="16"/>
      <c r="BRJ90" s="16"/>
      <c r="BRK90" s="16"/>
      <c r="BRL90" s="16"/>
      <c r="BRM90" s="16"/>
      <c r="BRN90" s="16"/>
      <c r="BRO90" s="16"/>
      <c r="BRP90" s="16"/>
      <c r="BRQ90" s="16"/>
      <c r="BRR90" s="16"/>
      <c r="BRS90" s="16"/>
      <c r="BRT90" s="16"/>
      <c r="BRU90" s="16"/>
      <c r="BRV90" s="16"/>
      <c r="BRW90" s="16"/>
      <c r="BRX90" s="16"/>
      <c r="BRY90" s="16"/>
      <c r="BRZ90" s="16"/>
      <c r="BSA90" s="16"/>
      <c r="BSB90" s="16"/>
      <c r="BSC90" s="16"/>
      <c r="BSD90" s="16"/>
      <c r="BSE90" s="16"/>
      <c r="BSF90" s="16"/>
      <c r="BSG90" s="16"/>
      <c r="BSH90" s="16"/>
      <c r="BSI90" s="16"/>
      <c r="BSJ90" s="16"/>
      <c r="BSK90" s="16"/>
      <c r="BSL90" s="16"/>
      <c r="BSM90" s="16"/>
      <c r="BSN90" s="16"/>
      <c r="BSO90" s="16"/>
      <c r="BSP90" s="16"/>
      <c r="BSQ90" s="16"/>
      <c r="BSR90" s="16"/>
      <c r="BSS90" s="16"/>
      <c r="BST90" s="16"/>
      <c r="BSU90" s="16"/>
      <c r="BSV90" s="16"/>
      <c r="BSW90" s="16"/>
      <c r="BSX90" s="16"/>
      <c r="BSY90" s="16"/>
      <c r="BSZ90" s="16"/>
      <c r="BTA90" s="16"/>
      <c r="BTB90" s="16"/>
      <c r="BTC90" s="16"/>
      <c r="BTD90" s="16"/>
      <c r="BTE90" s="16"/>
      <c r="BTF90" s="16"/>
      <c r="BTG90" s="16"/>
      <c r="BTH90" s="16"/>
      <c r="BTI90" s="16"/>
      <c r="BTJ90" s="16"/>
      <c r="BTK90" s="16"/>
      <c r="BTL90" s="16"/>
      <c r="BTM90" s="16"/>
      <c r="BTN90" s="16"/>
      <c r="BTO90" s="16"/>
      <c r="BTP90" s="16"/>
      <c r="BTQ90" s="16"/>
      <c r="BTR90" s="16"/>
      <c r="BTS90" s="16"/>
      <c r="BTT90" s="16"/>
      <c r="BTU90" s="16"/>
      <c r="BTV90" s="16"/>
      <c r="BTW90" s="16"/>
      <c r="BTX90" s="16"/>
      <c r="BTY90" s="16"/>
      <c r="BTZ90" s="16"/>
      <c r="BUA90" s="16"/>
      <c r="BUB90" s="16"/>
      <c r="BUC90" s="16"/>
      <c r="BUD90" s="16"/>
      <c r="BUE90" s="16"/>
      <c r="BUF90" s="16"/>
      <c r="BUG90" s="16"/>
      <c r="BUH90" s="16"/>
      <c r="BUI90" s="16"/>
      <c r="BUJ90" s="16"/>
      <c r="BUK90" s="16"/>
      <c r="BUL90" s="16"/>
      <c r="BUM90" s="16"/>
      <c r="BUN90" s="16"/>
      <c r="BUO90" s="16"/>
      <c r="BUP90" s="16"/>
      <c r="BUQ90" s="16"/>
      <c r="BUR90" s="16"/>
      <c r="BUS90" s="16"/>
      <c r="BUT90" s="16"/>
      <c r="BUU90" s="16"/>
      <c r="BUV90" s="16"/>
      <c r="BUW90" s="16"/>
      <c r="BUX90" s="16"/>
      <c r="BUY90" s="16"/>
      <c r="BUZ90" s="16"/>
      <c r="BVA90" s="16"/>
      <c r="BVB90" s="16"/>
      <c r="BVC90" s="16"/>
      <c r="BVD90" s="16"/>
      <c r="BVE90" s="16"/>
      <c r="BVF90" s="16"/>
      <c r="BVG90" s="16"/>
      <c r="BVH90" s="16"/>
      <c r="BVI90" s="16"/>
      <c r="BVJ90" s="16"/>
      <c r="BVK90" s="16"/>
      <c r="BVL90" s="16"/>
      <c r="BVM90" s="16"/>
      <c r="BVN90" s="16"/>
      <c r="BVO90" s="16"/>
      <c r="BVP90" s="16"/>
      <c r="BVQ90" s="16"/>
      <c r="BVR90" s="16"/>
      <c r="BVS90" s="16"/>
      <c r="BVT90" s="16"/>
      <c r="BVU90" s="16"/>
      <c r="BVV90" s="16"/>
      <c r="BVW90" s="16"/>
      <c r="BVX90" s="16"/>
      <c r="BVY90" s="16"/>
      <c r="BVZ90" s="16"/>
      <c r="BWA90" s="16"/>
      <c r="BWB90" s="16"/>
      <c r="BWC90" s="16"/>
      <c r="BWD90" s="16"/>
      <c r="BWE90" s="16"/>
      <c r="BWF90" s="16"/>
      <c r="BWG90" s="16"/>
      <c r="BWH90" s="16"/>
      <c r="BWI90" s="16"/>
      <c r="BWJ90" s="16"/>
      <c r="BWK90" s="16"/>
      <c r="BWL90" s="16"/>
      <c r="BWM90" s="16"/>
      <c r="BWN90" s="16"/>
      <c r="BWO90" s="16"/>
      <c r="BWP90" s="16"/>
      <c r="BWQ90" s="16"/>
      <c r="BWR90" s="16"/>
      <c r="BWS90" s="16"/>
      <c r="BWT90" s="16"/>
      <c r="BWU90" s="16"/>
      <c r="BWV90" s="16"/>
      <c r="BWW90" s="16"/>
      <c r="BWX90" s="16"/>
      <c r="BWY90" s="16"/>
      <c r="BWZ90" s="16"/>
      <c r="BXA90" s="16"/>
      <c r="BXB90" s="16"/>
      <c r="BXC90" s="16"/>
      <c r="BXD90" s="16"/>
      <c r="BXE90" s="16"/>
      <c r="BXF90" s="16"/>
      <c r="BXG90" s="16"/>
      <c r="BXH90" s="16"/>
      <c r="BXI90" s="16"/>
      <c r="BXJ90" s="16"/>
      <c r="BXK90" s="16"/>
      <c r="BXL90" s="16"/>
      <c r="BXM90" s="16"/>
      <c r="BXN90" s="16"/>
      <c r="BXO90" s="16"/>
      <c r="BXP90" s="16"/>
      <c r="BXQ90" s="16"/>
      <c r="BXR90" s="16"/>
      <c r="BXS90" s="16"/>
      <c r="BXT90" s="16"/>
      <c r="BXU90" s="16"/>
      <c r="BXV90" s="16"/>
      <c r="BXW90" s="16"/>
      <c r="BXX90" s="16"/>
      <c r="BXY90" s="16"/>
      <c r="BXZ90" s="16"/>
      <c r="BYA90" s="16"/>
      <c r="BYB90" s="16"/>
      <c r="BYC90" s="16"/>
      <c r="BYD90" s="16"/>
      <c r="BYE90" s="16"/>
      <c r="BYF90" s="16"/>
      <c r="BYG90" s="16"/>
      <c r="BYH90" s="16"/>
      <c r="BYI90" s="16"/>
      <c r="BYJ90" s="16"/>
      <c r="BYK90" s="16"/>
      <c r="BYL90" s="16"/>
      <c r="BYM90" s="16"/>
      <c r="BYN90" s="16"/>
      <c r="BYO90" s="16"/>
      <c r="BYP90" s="16"/>
      <c r="BYQ90" s="16"/>
      <c r="BYR90" s="16"/>
      <c r="BYS90" s="16"/>
      <c r="BYT90" s="16"/>
      <c r="BYU90" s="16"/>
      <c r="BYV90" s="16"/>
      <c r="BYW90" s="16"/>
      <c r="BYX90" s="16"/>
      <c r="BYY90" s="16"/>
      <c r="BYZ90" s="16"/>
      <c r="BZA90" s="16"/>
      <c r="BZB90" s="16"/>
      <c r="BZC90" s="16"/>
      <c r="BZD90" s="16"/>
      <c r="BZE90" s="16"/>
      <c r="BZF90" s="16"/>
      <c r="BZG90" s="16"/>
      <c r="BZH90" s="16"/>
      <c r="BZI90" s="16"/>
      <c r="BZJ90" s="16"/>
      <c r="BZK90" s="16"/>
      <c r="BZL90" s="16"/>
      <c r="BZM90" s="16"/>
      <c r="BZN90" s="16"/>
      <c r="BZO90" s="16"/>
      <c r="BZP90" s="16"/>
      <c r="BZQ90" s="16"/>
      <c r="BZR90" s="16"/>
      <c r="BZS90" s="16"/>
      <c r="BZT90" s="16"/>
      <c r="BZU90" s="16"/>
      <c r="BZV90" s="16"/>
      <c r="BZW90" s="16"/>
      <c r="BZX90" s="16"/>
      <c r="BZY90" s="16"/>
      <c r="BZZ90" s="16"/>
      <c r="CAA90" s="16"/>
      <c r="CAB90" s="16"/>
      <c r="CAC90" s="16"/>
      <c r="CAD90" s="16"/>
      <c r="CAE90" s="16"/>
      <c r="CAF90" s="16"/>
      <c r="CAG90" s="16"/>
      <c r="CAH90" s="16"/>
      <c r="CAI90" s="16"/>
      <c r="CAJ90" s="16"/>
      <c r="CAK90" s="16"/>
      <c r="CAL90" s="16"/>
      <c r="CAM90" s="16"/>
      <c r="CAN90" s="16"/>
      <c r="CAO90" s="16"/>
      <c r="CAP90" s="16"/>
      <c r="CAQ90" s="16"/>
      <c r="CAR90" s="16"/>
      <c r="CAS90" s="16"/>
      <c r="CAT90" s="16"/>
      <c r="CAU90" s="16"/>
      <c r="CAV90" s="16"/>
      <c r="CAW90" s="16"/>
      <c r="CAX90" s="16"/>
      <c r="CAY90" s="16"/>
      <c r="CAZ90" s="16"/>
      <c r="CBA90" s="16"/>
      <c r="CBB90" s="16"/>
      <c r="CBC90" s="16"/>
      <c r="CBD90" s="16"/>
      <c r="CBE90" s="16"/>
      <c r="CBF90" s="16"/>
      <c r="CBG90" s="16"/>
      <c r="CBH90" s="16"/>
      <c r="CBI90" s="16"/>
      <c r="CBJ90" s="16"/>
      <c r="CBK90" s="16"/>
      <c r="CBL90" s="16"/>
      <c r="CBM90" s="16"/>
      <c r="CBN90" s="16"/>
      <c r="CBO90" s="16"/>
      <c r="CBP90" s="16"/>
      <c r="CBQ90" s="16"/>
      <c r="CBR90" s="16"/>
      <c r="CBS90" s="16"/>
      <c r="CBT90" s="16"/>
      <c r="CBU90" s="16"/>
      <c r="CBV90" s="16"/>
      <c r="CBW90" s="16"/>
      <c r="CBX90" s="16"/>
      <c r="CBY90" s="16"/>
      <c r="CBZ90" s="16"/>
      <c r="CCA90" s="16"/>
      <c r="CCB90" s="16"/>
      <c r="CCC90" s="16"/>
      <c r="CCD90" s="16"/>
      <c r="CCE90" s="16"/>
      <c r="CCF90" s="16"/>
      <c r="CCG90" s="16"/>
      <c r="CCH90" s="16"/>
      <c r="CCI90" s="16"/>
      <c r="CCJ90" s="16"/>
      <c r="CCK90" s="16"/>
      <c r="CCL90" s="16"/>
      <c r="CCM90" s="16"/>
      <c r="CCN90" s="16"/>
      <c r="CCO90" s="16"/>
      <c r="CCP90" s="16"/>
      <c r="CCQ90" s="16"/>
      <c r="CCR90" s="16"/>
      <c r="CCS90" s="16"/>
      <c r="CCT90" s="16"/>
      <c r="CCU90" s="16"/>
      <c r="CCV90" s="16"/>
      <c r="CCW90" s="16"/>
      <c r="CCX90" s="16"/>
      <c r="CCY90" s="16"/>
      <c r="CCZ90" s="16"/>
      <c r="CDA90" s="16"/>
      <c r="CDB90" s="16"/>
      <c r="CDC90" s="16"/>
      <c r="CDD90" s="16"/>
      <c r="CDE90" s="16"/>
      <c r="CDF90" s="16"/>
      <c r="CDG90" s="16"/>
      <c r="CDH90" s="16"/>
      <c r="CDI90" s="16"/>
      <c r="CDJ90" s="16"/>
      <c r="CDK90" s="16"/>
      <c r="CDL90" s="16"/>
      <c r="CDM90" s="16"/>
      <c r="CDN90" s="16"/>
      <c r="CDO90" s="16"/>
      <c r="CDP90" s="16"/>
      <c r="CDQ90" s="16"/>
      <c r="CDR90" s="16"/>
      <c r="CDS90" s="16"/>
      <c r="CDT90" s="16"/>
      <c r="CDU90" s="16"/>
      <c r="CDV90" s="16"/>
      <c r="CDW90" s="16"/>
      <c r="CDX90" s="16"/>
      <c r="CDY90" s="16"/>
      <c r="CDZ90" s="16"/>
      <c r="CEA90" s="16"/>
      <c r="CEB90" s="16"/>
      <c r="CEC90" s="16"/>
      <c r="CED90" s="16"/>
      <c r="CEE90" s="16"/>
      <c r="CEF90" s="16"/>
      <c r="CEG90" s="16"/>
      <c r="CEH90" s="16"/>
      <c r="CEI90" s="16"/>
      <c r="CEJ90" s="16"/>
      <c r="CEK90" s="16"/>
      <c r="CEL90" s="16"/>
      <c r="CEM90" s="16"/>
      <c r="CEN90" s="16"/>
      <c r="CEO90" s="16"/>
      <c r="CEP90" s="16"/>
      <c r="CEQ90" s="16"/>
      <c r="CER90" s="16"/>
      <c r="CES90" s="16"/>
      <c r="CET90" s="16"/>
      <c r="CEU90" s="16"/>
      <c r="CEV90" s="16"/>
      <c r="CEW90" s="16"/>
      <c r="CEX90" s="16"/>
      <c r="CEY90" s="16"/>
      <c r="CEZ90" s="16"/>
      <c r="CFA90" s="16"/>
      <c r="CFB90" s="16"/>
      <c r="CFC90" s="16"/>
      <c r="CFD90" s="16"/>
      <c r="CFE90" s="16"/>
      <c r="CFF90" s="16"/>
      <c r="CFG90" s="16"/>
      <c r="CFH90" s="16"/>
      <c r="CFI90" s="16"/>
      <c r="CFJ90" s="16"/>
      <c r="CFK90" s="16"/>
      <c r="CFL90" s="16"/>
      <c r="CFM90" s="16"/>
      <c r="CFN90" s="16"/>
      <c r="CFO90" s="16"/>
      <c r="CFP90" s="16"/>
      <c r="CFQ90" s="16"/>
      <c r="CFR90" s="16"/>
      <c r="CFS90" s="16"/>
      <c r="CFT90" s="16"/>
      <c r="CFU90" s="16"/>
      <c r="CFV90" s="16"/>
      <c r="CFW90" s="16"/>
      <c r="CFX90" s="16"/>
      <c r="CFY90" s="16"/>
      <c r="CFZ90" s="16"/>
      <c r="CGA90" s="16"/>
      <c r="CGB90" s="16"/>
      <c r="CGC90" s="16"/>
      <c r="CGD90" s="16"/>
      <c r="CGE90" s="16"/>
      <c r="CGF90" s="16"/>
      <c r="CGG90" s="16"/>
      <c r="CGH90" s="16"/>
      <c r="CGI90" s="16"/>
      <c r="CGJ90" s="16"/>
      <c r="CGK90" s="16"/>
      <c r="CGL90" s="16"/>
      <c r="CGM90" s="16"/>
      <c r="CGN90" s="16"/>
      <c r="CGO90" s="16"/>
      <c r="CGP90" s="16"/>
      <c r="CGQ90" s="16"/>
      <c r="CGR90" s="16"/>
      <c r="CGS90" s="16"/>
      <c r="CGT90" s="16"/>
      <c r="CGU90" s="16"/>
      <c r="CGV90" s="16"/>
      <c r="CGW90" s="16"/>
      <c r="CGX90" s="16"/>
      <c r="CGY90" s="16"/>
      <c r="CGZ90" s="16"/>
      <c r="CHA90" s="16"/>
      <c r="CHB90" s="16"/>
      <c r="CHC90" s="16"/>
      <c r="CHD90" s="16"/>
      <c r="CHE90" s="16"/>
      <c r="CHF90" s="16"/>
      <c r="CHG90" s="16"/>
      <c r="CHH90" s="16"/>
      <c r="CHI90" s="16"/>
      <c r="CHJ90" s="16"/>
      <c r="CHK90" s="16"/>
      <c r="CHL90" s="16"/>
      <c r="CHM90" s="16"/>
      <c r="CHN90" s="16"/>
      <c r="CHO90" s="16"/>
      <c r="CHP90" s="16"/>
      <c r="CHQ90" s="16"/>
      <c r="CHR90" s="16"/>
      <c r="CHS90" s="16"/>
      <c r="CHT90" s="16"/>
      <c r="CHU90" s="16"/>
      <c r="CHV90" s="16"/>
      <c r="CHW90" s="16"/>
      <c r="CHX90" s="16"/>
      <c r="CHY90" s="16"/>
      <c r="CHZ90" s="16"/>
      <c r="CIA90" s="16"/>
      <c r="CIB90" s="16"/>
      <c r="CIC90" s="16"/>
      <c r="CID90" s="16"/>
      <c r="CIE90" s="16"/>
      <c r="CIF90" s="16"/>
      <c r="CIG90" s="16"/>
      <c r="CIH90" s="16"/>
      <c r="CII90" s="16"/>
      <c r="CIJ90" s="16"/>
      <c r="CIK90" s="16"/>
      <c r="CIL90" s="16"/>
      <c r="CIM90" s="16"/>
      <c r="CIN90" s="16"/>
      <c r="CIO90" s="16"/>
      <c r="CIP90" s="16"/>
      <c r="CIQ90" s="16"/>
      <c r="CIR90" s="16"/>
      <c r="CIS90" s="16"/>
      <c r="CIT90" s="16"/>
      <c r="CIU90" s="16"/>
      <c r="CIV90" s="16"/>
      <c r="CIW90" s="16"/>
      <c r="CIX90" s="16"/>
      <c r="CIY90" s="16"/>
      <c r="CIZ90" s="16"/>
      <c r="CJA90" s="16"/>
      <c r="CJB90" s="16"/>
      <c r="CJC90" s="16"/>
      <c r="CJD90" s="16"/>
      <c r="CJE90" s="16"/>
      <c r="CJF90" s="16"/>
      <c r="CJG90" s="16"/>
      <c r="CJH90" s="16"/>
      <c r="CJI90" s="16"/>
      <c r="CJJ90" s="16"/>
      <c r="CJK90" s="16"/>
      <c r="CJL90" s="16"/>
      <c r="CJM90" s="16"/>
      <c r="CJN90" s="16"/>
      <c r="CJO90" s="16"/>
      <c r="CJP90" s="16"/>
      <c r="CJQ90" s="16"/>
      <c r="CJR90" s="16"/>
      <c r="CJS90" s="16"/>
      <c r="CJT90" s="16"/>
      <c r="CJU90" s="16"/>
      <c r="CJV90" s="16"/>
      <c r="CJW90" s="16"/>
      <c r="CJX90" s="16"/>
      <c r="CJY90" s="16"/>
      <c r="CJZ90" s="16"/>
      <c r="CKA90" s="16"/>
      <c r="CKB90" s="16"/>
      <c r="CKC90" s="16"/>
      <c r="CKD90" s="16"/>
      <c r="CKE90" s="16"/>
      <c r="CKF90" s="16"/>
      <c r="CKG90" s="16"/>
      <c r="CKH90" s="16"/>
      <c r="CKI90" s="16"/>
      <c r="CKJ90" s="16"/>
      <c r="CKK90" s="16"/>
      <c r="CKL90" s="16"/>
      <c r="CKM90" s="16"/>
      <c r="CKN90" s="16"/>
      <c r="CKO90" s="16"/>
      <c r="CKP90" s="16"/>
      <c r="CKQ90" s="16"/>
      <c r="CKR90" s="16"/>
      <c r="CKS90" s="16"/>
      <c r="CKT90" s="16"/>
      <c r="CKU90" s="16"/>
      <c r="CKV90" s="16"/>
      <c r="CKW90" s="16"/>
      <c r="CKX90" s="16"/>
      <c r="CKY90" s="16"/>
      <c r="CKZ90" s="16"/>
      <c r="CLA90" s="16"/>
      <c r="CLB90" s="16"/>
      <c r="CLC90" s="16"/>
      <c r="CLD90" s="16"/>
      <c r="CLE90" s="16"/>
      <c r="CLF90" s="16"/>
      <c r="CLG90" s="16"/>
      <c r="CLH90" s="16"/>
      <c r="CLI90" s="16"/>
      <c r="CLJ90" s="16"/>
      <c r="CLK90" s="16"/>
      <c r="CLL90" s="16"/>
      <c r="CLM90" s="16"/>
      <c r="CLN90" s="16"/>
      <c r="CLO90" s="16"/>
      <c r="CLP90" s="16"/>
      <c r="CLQ90" s="16"/>
      <c r="CLR90" s="16"/>
      <c r="CLS90" s="16"/>
      <c r="CLT90" s="16"/>
      <c r="CLU90" s="16"/>
      <c r="CLV90" s="16"/>
      <c r="CLW90" s="16"/>
      <c r="CLX90" s="16"/>
      <c r="CLY90" s="16"/>
      <c r="CLZ90" s="16"/>
      <c r="CMA90" s="16"/>
      <c r="CMB90" s="16"/>
      <c r="CMC90" s="16"/>
      <c r="CMD90" s="16"/>
      <c r="CME90" s="16"/>
      <c r="CMF90" s="16"/>
      <c r="CMG90" s="16"/>
      <c r="CMH90" s="16"/>
      <c r="CMI90" s="16"/>
      <c r="CMJ90" s="16"/>
      <c r="CMK90" s="16"/>
      <c r="CML90" s="16"/>
      <c r="CMM90" s="16"/>
      <c r="CMN90" s="16"/>
      <c r="CMO90" s="16"/>
      <c r="CMP90" s="16"/>
      <c r="CMQ90" s="16"/>
      <c r="CMR90" s="16"/>
      <c r="CMS90" s="16"/>
      <c r="CMT90" s="16"/>
      <c r="CMU90" s="16"/>
      <c r="CMV90" s="16"/>
      <c r="CMW90" s="16"/>
      <c r="CMX90" s="16"/>
      <c r="CMY90" s="16"/>
      <c r="CMZ90" s="16"/>
      <c r="CNA90" s="16"/>
      <c r="CNB90" s="16"/>
      <c r="CNC90" s="16"/>
      <c r="CND90" s="16"/>
      <c r="CNE90" s="16"/>
      <c r="CNF90" s="16"/>
      <c r="CNG90" s="16"/>
      <c r="CNH90" s="16"/>
      <c r="CNI90" s="16"/>
      <c r="CNJ90" s="16"/>
      <c r="CNK90" s="16"/>
      <c r="CNL90" s="16"/>
      <c r="CNM90" s="16"/>
      <c r="CNN90" s="16"/>
      <c r="CNO90" s="16"/>
      <c r="CNP90" s="16"/>
      <c r="CNQ90" s="16"/>
      <c r="CNR90" s="16"/>
      <c r="CNS90" s="16"/>
      <c r="CNT90" s="16"/>
      <c r="CNU90" s="16"/>
      <c r="CNV90" s="16"/>
      <c r="CNW90" s="16"/>
      <c r="CNX90" s="16"/>
      <c r="CNY90" s="16"/>
      <c r="CNZ90" s="16"/>
      <c r="COA90" s="16"/>
      <c r="COB90" s="16"/>
      <c r="COC90" s="16"/>
      <c r="COD90" s="16"/>
      <c r="COE90" s="16"/>
      <c r="COF90" s="16"/>
      <c r="COG90" s="16"/>
      <c r="COH90" s="16"/>
      <c r="COI90" s="16"/>
      <c r="COJ90" s="16"/>
      <c r="COK90" s="16"/>
      <c r="COL90" s="16"/>
      <c r="COM90" s="16"/>
      <c r="CON90" s="16"/>
      <c r="COO90" s="16"/>
      <c r="COP90" s="16"/>
      <c r="COQ90" s="16"/>
      <c r="COR90" s="16"/>
      <c r="COS90" s="16"/>
      <c r="COT90" s="16"/>
      <c r="COU90" s="16"/>
      <c r="COV90" s="16"/>
      <c r="COW90" s="16"/>
      <c r="COX90" s="16"/>
      <c r="COY90" s="16"/>
      <c r="COZ90" s="16"/>
      <c r="CPA90" s="16"/>
      <c r="CPB90" s="16"/>
      <c r="CPC90" s="16"/>
      <c r="CPD90" s="16"/>
      <c r="CPE90" s="16"/>
      <c r="CPF90" s="16"/>
      <c r="CPG90" s="16"/>
      <c r="CPH90" s="16"/>
      <c r="CPI90" s="16"/>
      <c r="CPJ90" s="16"/>
      <c r="CPK90" s="16"/>
      <c r="CPL90" s="16"/>
      <c r="CPM90" s="16"/>
      <c r="CPN90" s="16"/>
      <c r="CPO90" s="16"/>
      <c r="CPP90" s="16"/>
      <c r="CPQ90" s="16"/>
      <c r="CPR90" s="16"/>
      <c r="CPS90" s="16"/>
      <c r="CPT90" s="16"/>
      <c r="CPU90" s="16"/>
      <c r="CPV90" s="16"/>
      <c r="CPW90" s="16"/>
      <c r="CPX90" s="16"/>
      <c r="CPY90" s="16"/>
      <c r="CPZ90" s="16"/>
      <c r="CQA90" s="16"/>
      <c r="CQB90" s="16"/>
      <c r="CQC90" s="16"/>
      <c r="CQD90" s="16"/>
      <c r="CQE90" s="16"/>
      <c r="CQF90" s="16"/>
      <c r="CQG90" s="16"/>
      <c r="CQH90" s="16"/>
      <c r="CQI90" s="16"/>
      <c r="CQJ90" s="16"/>
      <c r="CQK90" s="16"/>
      <c r="CQL90" s="16"/>
      <c r="CQM90" s="16"/>
      <c r="CQN90" s="16"/>
      <c r="CQO90" s="16"/>
      <c r="CQP90" s="16"/>
      <c r="CQQ90" s="16"/>
      <c r="CQR90" s="16"/>
      <c r="CQS90" s="16"/>
      <c r="CQT90" s="16"/>
      <c r="CQU90" s="16"/>
      <c r="CQV90" s="16"/>
      <c r="CQW90" s="16"/>
      <c r="CQX90" s="16"/>
      <c r="CQY90" s="16"/>
      <c r="CQZ90" s="16"/>
      <c r="CRA90" s="16"/>
      <c r="CRB90" s="16"/>
      <c r="CRC90" s="16"/>
      <c r="CRD90" s="16"/>
      <c r="CRE90" s="16"/>
      <c r="CRF90" s="16"/>
      <c r="CRG90" s="16"/>
      <c r="CRH90" s="16"/>
      <c r="CRI90" s="16"/>
      <c r="CRJ90" s="16"/>
      <c r="CRK90" s="16"/>
      <c r="CRL90" s="16"/>
      <c r="CRM90" s="16"/>
      <c r="CRN90" s="16"/>
      <c r="CRO90" s="16"/>
      <c r="CRP90" s="16"/>
      <c r="CRQ90" s="16"/>
      <c r="CRR90" s="16"/>
      <c r="CRS90" s="16"/>
      <c r="CRT90" s="16"/>
      <c r="CRU90" s="16"/>
      <c r="CRV90" s="16"/>
      <c r="CRW90" s="16"/>
      <c r="CRX90" s="16"/>
      <c r="CRY90" s="16"/>
      <c r="CRZ90" s="16"/>
      <c r="CSA90" s="16"/>
      <c r="CSB90" s="16"/>
      <c r="CSC90" s="16"/>
      <c r="CSD90" s="16"/>
      <c r="CSE90" s="16"/>
      <c r="CSF90" s="16"/>
      <c r="CSG90" s="16"/>
      <c r="CSH90" s="16"/>
      <c r="CSI90" s="16"/>
      <c r="CSJ90" s="16"/>
      <c r="CSK90" s="24"/>
      <c r="CSL90" s="16"/>
      <c r="CSM90" s="16"/>
      <c r="CSN90" s="16"/>
      <c r="CSO90" s="16"/>
      <c r="CSP90" s="16"/>
      <c r="CUG90" s="16"/>
      <c r="CUH90" s="16"/>
      <c r="CUI90" s="16"/>
      <c r="CUJ90" s="16"/>
      <c r="CUK90" s="16"/>
      <c r="CUL90" s="16"/>
      <c r="CUM90" s="16"/>
      <c r="CUN90" s="16"/>
      <c r="CUO90" s="16"/>
      <c r="CUP90" s="16"/>
      <c r="CUQ90" s="16"/>
      <c r="CUR90" s="16"/>
      <c r="CUS90" s="16"/>
      <c r="CUT90" s="16"/>
      <c r="CUU90" s="16"/>
      <c r="CUV90" s="16"/>
      <c r="CUW90" s="16"/>
      <c r="CUX90" s="16"/>
      <c r="CUY90" s="16"/>
      <c r="CUZ90" s="16"/>
      <c r="CVA90" s="16"/>
      <c r="CVB90" s="16"/>
      <c r="CVC90" s="16"/>
      <c r="CVD90" s="16"/>
      <c r="CVE90" s="16"/>
      <c r="CVF90" s="16"/>
      <c r="CVG90" s="16"/>
      <c r="CVH90" s="16"/>
      <c r="CVI90" s="16"/>
      <c r="CVJ90" s="16"/>
      <c r="CVK90" s="16"/>
      <c r="CVL90" s="16"/>
      <c r="CVM90" s="16"/>
      <c r="CVN90" s="16"/>
      <c r="CVO90" s="16"/>
      <c r="CVP90" s="16"/>
    </row>
    <row r="91" spans="3:2616" ht="13.8" x14ac:dyDescent="0.25">
      <c r="C91" s="57"/>
      <c r="E91" s="16"/>
      <c r="K91" s="59"/>
      <c r="L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C91" s="16"/>
      <c r="FD91" s="16"/>
      <c r="FE91" s="16"/>
      <c r="FF91" s="16"/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6"/>
      <c r="FV91" s="16"/>
      <c r="FW91" s="16"/>
      <c r="FX91" s="16"/>
      <c r="FY91" s="16"/>
      <c r="FZ91" s="16"/>
      <c r="GA91" s="16"/>
      <c r="GB91" s="16"/>
      <c r="GC91" s="16"/>
      <c r="GD91" s="16"/>
      <c r="GE91" s="16"/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/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/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/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/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/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/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/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/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/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/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/>
      <c r="LT91" s="16"/>
      <c r="LU91" s="16"/>
      <c r="LV91" s="16"/>
      <c r="LW91" s="16"/>
      <c r="LX91" s="16"/>
      <c r="LY91" s="16"/>
      <c r="LZ91" s="16"/>
      <c r="MA91" s="16"/>
      <c r="MB91" s="16"/>
      <c r="MC91" s="16"/>
      <c r="MD91" s="16"/>
      <c r="ME91" s="16"/>
      <c r="MF91" s="16"/>
      <c r="MG91" s="16"/>
      <c r="MH91" s="16"/>
      <c r="MI91" s="16"/>
      <c r="MJ91" s="16"/>
      <c r="MK91" s="16"/>
      <c r="ML91" s="16"/>
      <c r="MM91" s="16"/>
      <c r="MN91" s="16"/>
      <c r="MO91" s="16"/>
      <c r="MP91" s="16"/>
      <c r="MQ91" s="16"/>
      <c r="MR91" s="16"/>
      <c r="MS91" s="16"/>
      <c r="MT91" s="16"/>
      <c r="MU91" s="16"/>
      <c r="MV91" s="16"/>
      <c r="MW91" s="16"/>
      <c r="MX91" s="16"/>
      <c r="MY91" s="16"/>
      <c r="MZ91" s="16"/>
      <c r="NA91" s="16"/>
      <c r="NB91" s="16"/>
      <c r="NC91" s="16"/>
      <c r="ND91" s="16"/>
      <c r="NE91" s="16"/>
      <c r="NF91" s="16"/>
      <c r="NG91" s="16"/>
      <c r="NH91" s="16"/>
      <c r="NI91" s="16"/>
      <c r="NJ91" s="16"/>
      <c r="NK91" s="16"/>
      <c r="NL91" s="16"/>
      <c r="NM91" s="16"/>
      <c r="NN91" s="16"/>
      <c r="NO91" s="16"/>
      <c r="NP91" s="16"/>
      <c r="NQ91" s="16"/>
      <c r="NR91" s="16"/>
      <c r="NS91" s="16"/>
      <c r="NT91" s="16"/>
      <c r="NU91" s="16"/>
      <c r="NV91" s="16"/>
      <c r="NW91" s="16"/>
      <c r="NX91" s="16"/>
      <c r="NY91" s="16"/>
      <c r="NZ91" s="16"/>
      <c r="OA91" s="16"/>
      <c r="OB91" s="16"/>
      <c r="OC91" s="16"/>
      <c r="OD91" s="16"/>
      <c r="OE91" s="16"/>
      <c r="OF91" s="16"/>
      <c r="OG91" s="16"/>
      <c r="OH91" s="16"/>
      <c r="OI91" s="16"/>
      <c r="OJ91" s="16"/>
      <c r="OK91" s="16"/>
      <c r="OL91" s="16"/>
      <c r="OM91" s="16"/>
      <c r="ON91" s="16"/>
      <c r="OO91" s="16"/>
      <c r="OP91" s="16"/>
      <c r="OQ91" s="16"/>
      <c r="OR91" s="16"/>
      <c r="OS91" s="16"/>
      <c r="OT91" s="16"/>
      <c r="OU91" s="16"/>
      <c r="OV91" s="16"/>
      <c r="OW91" s="16"/>
      <c r="OX91" s="16"/>
      <c r="OY91" s="16"/>
      <c r="OZ91" s="16"/>
      <c r="PA91" s="16"/>
      <c r="PB91" s="16"/>
      <c r="PC91" s="16"/>
      <c r="PD91" s="16"/>
      <c r="PE91" s="16"/>
      <c r="PF91" s="16"/>
      <c r="PG91" s="16"/>
      <c r="PH91" s="16"/>
      <c r="PI91" s="16"/>
      <c r="PJ91" s="16"/>
      <c r="PK91" s="16"/>
      <c r="PL91" s="16"/>
      <c r="PM91" s="16"/>
      <c r="PN91" s="16"/>
      <c r="PO91" s="16"/>
      <c r="PP91" s="16"/>
      <c r="PQ91" s="16"/>
      <c r="PR91" s="16"/>
      <c r="PS91" s="16"/>
      <c r="PT91" s="16"/>
      <c r="PU91" s="16"/>
      <c r="PV91" s="16"/>
      <c r="PW91" s="16"/>
      <c r="PX91" s="16"/>
      <c r="PY91" s="16"/>
      <c r="PZ91" s="16"/>
      <c r="QA91" s="16"/>
      <c r="QB91" s="16"/>
      <c r="QC91" s="16"/>
      <c r="QD91" s="16"/>
      <c r="QE91" s="16"/>
      <c r="QF91" s="16"/>
      <c r="QG91" s="16"/>
      <c r="QH91" s="16"/>
      <c r="QI91" s="16"/>
      <c r="QJ91" s="16"/>
      <c r="QK91" s="16"/>
      <c r="QL91" s="16"/>
      <c r="QM91" s="16"/>
      <c r="QN91" s="16"/>
      <c r="QO91" s="16"/>
      <c r="QP91" s="16"/>
      <c r="QQ91" s="16"/>
      <c r="QR91" s="16"/>
      <c r="QS91" s="16"/>
      <c r="QT91" s="16"/>
      <c r="QU91" s="16"/>
      <c r="QV91" s="16"/>
      <c r="QW91" s="16"/>
      <c r="QX91" s="16"/>
      <c r="QY91" s="16"/>
      <c r="QZ91" s="16"/>
      <c r="RA91" s="16"/>
      <c r="RB91" s="16"/>
      <c r="RC91" s="16"/>
      <c r="RD91" s="16"/>
      <c r="RE91" s="16"/>
      <c r="RF91" s="16"/>
      <c r="RG91" s="16"/>
      <c r="RH91" s="16"/>
      <c r="RI91" s="16"/>
      <c r="RJ91" s="16"/>
      <c r="RK91" s="16"/>
      <c r="RL91" s="16"/>
      <c r="RM91" s="16"/>
      <c r="RN91" s="16"/>
      <c r="RO91" s="16"/>
      <c r="RP91" s="16"/>
      <c r="RQ91" s="16"/>
      <c r="RR91" s="16"/>
      <c r="RS91" s="16"/>
      <c r="RT91" s="16"/>
      <c r="RU91" s="16"/>
      <c r="RV91" s="16"/>
      <c r="RW91" s="16"/>
      <c r="RX91" s="16"/>
      <c r="RY91" s="16"/>
      <c r="RZ91" s="16"/>
      <c r="SA91" s="16"/>
      <c r="SB91" s="16"/>
      <c r="SC91" s="16"/>
      <c r="SD91" s="16"/>
      <c r="SE91" s="16"/>
      <c r="SF91" s="16"/>
      <c r="SG91" s="16"/>
      <c r="SH91" s="16"/>
      <c r="SI91" s="16"/>
      <c r="SJ91" s="16"/>
      <c r="SK91" s="16"/>
      <c r="SL91" s="16"/>
      <c r="SM91" s="16"/>
      <c r="SN91" s="16"/>
      <c r="SO91" s="16"/>
      <c r="SP91" s="16"/>
      <c r="SQ91" s="16"/>
      <c r="SR91" s="16"/>
      <c r="SS91" s="16"/>
      <c r="ST91" s="16"/>
      <c r="SU91" s="16"/>
      <c r="SV91" s="16"/>
      <c r="SW91" s="16"/>
      <c r="SX91" s="16"/>
      <c r="SY91" s="16"/>
      <c r="SZ91" s="16"/>
      <c r="TA91" s="16"/>
      <c r="TB91" s="16"/>
      <c r="TC91" s="16"/>
      <c r="TD91" s="16"/>
      <c r="TE91" s="16"/>
      <c r="TF91" s="16"/>
      <c r="TG91" s="16"/>
      <c r="TH91" s="16"/>
      <c r="TI91" s="16"/>
      <c r="TJ91" s="16"/>
      <c r="TK91" s="16"/>
      <c r="TL91" s="16"/>
      <c r="TM91" s="16"/>
      <c r="TN91" s="16"/>
      <c r="TO91" s="16"/>
      <c r="TP91" s="16"/>
      <c r="TQ91" s="16"/>
      <c r="TR91" s="16"/>
      <c r="TS91" s="16"/>
      <c r="TT91" s="16"/>
      <c r="TU91" s="16"/>
      <c r="TV91" s="16"/>
      <c r="TW91" s="16"/>
      <c r="TX91" s="16"/>
      <c r="TY91" s="16"/>
      <c r="TZ91" s="16"/>
      <c r="UA91" s="16"/>
      <c r="UB91" s="16"/>
      <c r="UC91" s="16"/>
      <c r="UD91" s="16"/>
      <c r="UE91" s="16"/>
      <c r="UF91" s="16"/>
      <c r="UG91" s="16"/>
      <c r="UH91" s="16"/>
      <c r="UI91" s="16"/>
      <c r="UJ91" s="16"/>
      <c r="UK91" s="16"/>
      <c r="UL91" s="16"/>
      <c r="UM91" s="16"/>
      <c r="UN91" s="16"/>
      <c r="UO91" s="16"/>
      <c r="UP91" s="16"/>
      <c r="UQ91" s="16"/>
      <c r="UR91" s="16"/>
      <c r="US91" s="16"/>
      <c r="UT91" s="16"/>
      <c r="UU91" s="16"/>
      <c r="UV91" s="16"/>
      <c r="UW91" s="16"/>
      <c r="UX91" s="16"/>
      <c r="UY91" s="16"/>
      <c r="UZ91" s="16"/>
      <c r="VA91" s="16"/>
      <c r="VB91" s="16"/>
      <c r="VC91" s="16"/>
      <c r="VD91" s="16"/>
      <c r="VE91" s="16"/>
      <c r="VF91" s="16"/>
      <c r="VG91" s="16"/>
      <c r="VH91" s="16"/>
      <c r="VI91" s="16"/>
      <c r="VJ91" s="16"/>
      <c r="VK91" s="16"/>
      <c r="VL91" s="16"/>
      <c r="VM91" s="16"/>
      <c r="VN91" s="16"/>
      <c r="VO91" s="16"/>
      <c r="VP91" s="16"/>
      <c r="VQ91" s="16"/>
      <c r="VR91" s="16"/>
      <c r="VS91" s="16"/>
      <c r="VT91" s="16"/>
      <c r="VU91" s="16"/>
      <c r="VV91" s="16"/>
      <c r="VW91" s="16"/>
      <c r="VX91" s="16"/>
      <c r="VY91" s="16"/>
      <c r="VZ91" s="16"/>
      <c r="WA91" s="16"/>
      <c r="WB91" s="16"/>
      <c r="WC91" s="16"/>
      <c r="WD91" s="16"/>
      <c r="WE91" s="16"/>
      <c r="WF91" s="16"/>
      <c r="WG91" s="16"/>
      <c r="WH91" s="16"/>
      <c r="WI91" s="16"/>
      <c r="WJ91" s="16"/>
      <c r="WK91" s="16"/>
      <c r="WL91" s="16"/>
      <c r="WM91" s="16"/>
      <c r="WN91" s="16"/>
      <c r="WO91" s="16"/>
      <c r="WP91" s="16"/>
      <c r="WQ91" s="16"/>
      <c r="WR91" s="16"/>
      <c r="WS91" s="16"/>
      <c r="WT91" s="16"/>
      <c r="WU91" s="16"/>
      <c r="WV91" s="16"/>
      <c r="WW91" s="16"/>
      <c r="WX91" s="16"/>
      <c r="WY91" s="16"/>
      <c r="WZ91" s="16"/>
      <c r="XA91" s="16"/>
      <c r="XB91" s="16"/>
      <c r="XC91" s="16"/>
      <c r="XD91" s="16"/>
      <c r="XE91" s="16"/>
      <c r="XF91" s="16"/>
      <c r="XG91" s="16"/>
      <c r="XH91" s="16"/>
      <c r="XI91" s="16"/>
      <c r="XJ91" s="16"/>
      <c r="XK91" s="16"/>
      <c r="XL91" s="16"/>
      <c r="XM91" s="16"/>
      <c r="XN91" s="16"/>
      <c r="XO91" s="16"/>
      <c r="XP91" s="16"/>
      <c r="XQ91" s="16"/>
      <c r="XR91" s="16"/>
      <c r="XS91" s="16"/>
      <c r="XT91" s="16"/>
      <c r="XU91" s="16"/>
      <c r="XV91" s="16"/>
      <c r="XW91" s="16"/>
      <c r="XX91" s="16"/>
      <c r="XY91" s="16"/>
      <c r="XZ91" s="16"/>
      <c r="YA91" s="16"/>
      <c r="YB91" s="16"/>
      <c r="YC91" s="16"/>
      <c r="YD91" s="16"/>
      <c r="YE91" s="16"/>
      <c r="YF91" s="16"/>
      <c r="YG91" s="16"/>
      <c r="YH91" s="16"/>
      <c r="YI91" s="16"/>
      <c r="YJ91" s="16"/>
      <c r="YK91" s="16"/>
      <c r="YL91" s="16"/>
      <c r="YM91" s="16"/>
      <c r="YN91" s="16"/>
      <c r="YO91" s="16"/>
      <c r="YP91" s="16"/>
      <c r="YQ91" s="16"/>
      <c r="YR91" s="16"/>
      <c r="YS91" s="16"/>
      <c r="YT91" s="16"/>
      <c r="YU91" s="16"/>
      <c r="YV91" s="16"/>
      <c r="YW91" s="16"/>
      <c r="YX91" s="16"/>
      <c r="YY91" s="16"/>
      <c r="YZ91" s="16"/>
      <c r="ZA91" s="16"/>
      <c r="ZB91" s="16"/>
      <c r="ZC91" s="16"/>
      <c r="ZD91" s="16"/>
      <c r="ZE91" s="16"/>
      <c r="ZF91" s="16"/>
      <c r="ZG91" s="16"/>
      <c r="ZH91" s="16"/>
      <c r="ZI91" s="16"/>
      <c r="ZJ91" s="16"/>
      <c r="ZK91" s="16"/>
      <c r="ZL91" s="16"/>
      <c r="ZM91" s="16"/>
      <c r="ZN91" s="16"/>
      <c r="ZO91" s="16"/>
      <c r="ZP91" s="16"/>
      <c r="ZQ91" s="16"/>
      <c r="ZR91" s="16"/>
      <c r="ZS91" s="16"/>
      <c r="ZT91" s="16"/>
      <c r="ZU91" s="16"/>
      <c r="ZV91" s="16"/>
      <c r="ZW91" s="16"/>
      <c r="ZX91" s="16"/>
      <c r="ZY91" s="16"/>
      <c r="ZZ91" s="16"/>
      <c r="AAA91" s="16"/>
      <c r="AAB91" s="16"/>
      <c r="AAC91" s="16"/>
      <c r="AAD91" s="16"/>
      <c r="AAE91" s="16"/>
      <c r="AAF91" s="16"/>
      <c r="AAG91" s="16"/>
      <c r="AAH91" s="16"/>
      <c r="AAI91" s="16"/>
      <c r="AAJ91" s="16"/>
      <c r="AAK91" s="16"/>
      <c r="AAL91" s="16"/>
      <c r="AAM91" s="16"/>
      <c r="AAN91" s="16"/>
      <c r="AAO91" s="16"/>
      <c r="AAP91" s="16"/>
      <c r="AAQ91" s="16"/>
      <c r="AAR91" s="16"/>
      <c r="AAS91" s="16"/>
      <c r="AAT91" s="16"/>
      <c r="AAU91" s="16"/>
      <c r="AAV91" s="16"/>
      <c r="AAW91" s="16"/>
      <c r="AAX91" s="16"/>
      <c r="AAY91" s="16"/>
      <c r="AAZ91" s="16"/>
      <c r="ABA91" s="16"/>
      <c r="ABB91" s="16"/>
      <c r="ABC91" s="16"/>
      <c r="ABD91" s="16"/>
      <c r="ABE91" s="16"/>
      <c r="ABF91" s="16"/>
      <c r="ABG91" s="16"/>
      <c r="ABH91" s="16"/>
      <c r="ABI91" s="16"/>
      <c r="ABJ91" s="16"/>
      <c r="ABK91" s="16"/>
      <c r="ABL91" s="16"/>
      <c r="ABM91" s="16"/>
      <c r="ABN91" s="16"/>
      <c r="ABO91" s="16"/>
      <c r="ABP91" s="16"/>
      <c r="ABQ91" s="16"/>
      <c r="ABR91" s="16"/>
      <c r="ABS91" s="16"/>
      <c r="ABT91" s="16"/>
      <c r="ABU91" s="16"/>
      <c r="ABV91" s="16"/>
      <c r="ABW91" s="16"/>
      <c r="ABX91" s="16"/>
      <c r="ABY91" s="16"/>
      <c r="ABZ91" s="16"/>
      <c r="ACA91" s="16"/>
      <c r="ACB91" s="16"/>
      <c r="ACC91" s="16"/>
      <c r="ACD91" s="16"/>
      <c r="ACE91" s="16"/>
      <c r="ACF91" s="16"/>
      <c r="ACG91" s="16"/>
      <c r="ACH91" s="16"/>
      <c r="ACI91" s="16"/>
      <c r="ACJ91" s="16"/>
      <c r="ACK91" s="16"/>
      <c r="ACL91" s="16"/>
      <c r="ACM91" s="16"/>
      <c r="ACN91" s="16"/>
      <c r="ACO91" s="16"/>
      <c r="ACP91" s="16"/>
      <c r="ACQ91" s="16"/>
      <c r="ACR91" s="16"/>
      <c r="ACS91" s="16"/>
      <c r="ACT91" s="16"/>
      <c r="ACU91" s="16"/>
      <c r="ACV91" s="16"/>
      <c r="ACW91" s="16"/>
      <c r="ACX91" s="16"/>
      <c r="ACY91" s="16"/>
      <c r="ACZ91" s="16"/>
      <c r="ADA91" s="16"/>
      <c r="ADB91" s="16"/>
      <c r="ADC91" s="16"/>
      <c r="ADD91" s="16"/>
      <c r="ADE91" s="16"/>
      <c r="ADF91" s="16"/>
      <c r="ADG91" s="16"/>
      <c r="ADH91" s="16"/>
      <c r="ADI91" s="16"/>
      <c r="ADJ91" s="16"/>
      <c r="ADK91" s="16"/>
      <c r="ADL91" s="16"/>
      <c r="ADM91" s="16"/>
      <c r="ADN91" s="16"/>
      <c r="ADO91" s="16"/>
      <c r="ADP91" s="16"/>
      <c r="ADQ91" s="16"/>
      <c r="ADR91" s="16"/>
      <c r="ADS91" s="16"/>
      <c r="ADT91" s="16"/>
      <c r="ADU91" s="16"/>
      <c r="ADV91" s="16"/>
      <c r="ADW91" s="16"/>
      <c r="ADX91" s="16"/>
      <c r="ADY91" s="16"/>
      <c r="ADZ91" s="16"/>
      <c r="AEA91" s="16"/>
      <c r="AEB91" s="16"/>
      <c r="AEC91" s="16"/>
      <c r="AED91" s="16"/>
      <c r="AEE91" s="16"/>
      <c r="AEF91" s="16"/>
      <c r="AEG91" s="16"/>
      <c r="AEH91" s="16"/>
      <c r="AEI91" s="16"/>
      <c r="AEJ91" s="16"/>
      <c r="AEK91" s="16"/>
      <c r="AEL91" s="16"/>
      <c r="AEM91" s="16"/>
      <c r="AEN91" s="16"/>
      <c r="AEO91" s="16"/>
      <c r="AEP91" s="16"/>
      <c r="AEQ91" s="16"/>
      <c r="AER91" s="16"/>
      <c r="AES91" s="16"/>
      <c r="AET91" s="16"/>
      <c r="AEU91" s="16"/>
      <c r="AEV91" s="16"/>
      <c r="AEW91" s="16"/>
      <c r="AEX91" s="16"/>
      <c r="AEY91" s="16"/>
      <c r="AEZ91" s="16"/>
      <c r="AFA91" s="16"/>
      <c r="AFB91" s="16"/>
      <c r="AFC91" s="16"/>
      <c r="AFD91" s="16"/>
      <c r="AFE91" s="16"/>
      <c r="AFF91" s="16"/>
      <c r="AFG91" s="16"/>
      <c r="AFH91" s="16"/>
      <c r="AFI91" s="16"/>
      <c r="AFJ91" s="16"/>
      <c r="AFK91" s="16"/>
      <c r="AFL91" s="16"/>
      <c r="AFM91" s="16"/>
      <c r="AFN91" s="16"/>
      <c r="AFO91" s="16"/>
      <c r="AFP91" s="16"/>
      <c r="AFQ91" s="16"/>
      <c r="AFR91" s="16"/>
      <c r="AFS91" s="16"/>
      <c r="AFT91" s="16"/>
      <c r="AFU91" s="16"/>
      <c r="AFV91" s="16"/>
      <c r="AFW91" s="16"/>
      <c r="AFX91" s="16"/>
      <c r="AFY91" s="16"/>
      <c r="AFZ91" s="16"/>
      <c r="AGA91" s="16"/>
      <c r="AGB91" s="16"/>
      <c r="AGC91" s="16"/>
      <c r="AGD91" s="16"/>
      <c r="AGE91" s="16"/>
      <c r="AGF91" s="16"/>
      <c r="AGG91" s="16"/>
      <c r="AGH91" s="16"/>
      <c r="AGI91" s="16"/>
      <c r="AGJ91" s="16"/>
      <c r="AGK91" s="16"/>
      <c r="AGL91" s="16"/>
      <c r="AGM91" s="16"/>
      <c r="AGN91" s="16"/>
      <c r="AGO91" s="16"/>
      <c r="AGP91" s="16"/>
      <c r="AGQ91" s="16"/>
      <c r="AGR91" s="16"/>
      <c r="AGS91" s="16"/>
      <c r="AGT91" s="16"/>
      <c r="AGU91" s="16"/>
      <c r="AGV91" s="16"/>
      <c r="AGW91" s="16"/>
      <c r="AGX91" s="16"/>
      <c r="AGY91" s="16"/>
      <c r="AGZ91" s="16"/>
      <c r="AHA91" s="16"/>
      <c r="AHB91" s="16"/>
      <c r="AHC91" s="16"/>
      <c r="AHD91" s="16"/>
      <c r="AHE91" s="16"/>
      <c r="AHF91" s="16"/>
      <c r="AHG91" s="16"/>
      <c r="AHH91" s="16"/>
      <c r="AHI91" s="16"/>
      <c r="AHJ91" s="16"/>
      <c r="AHK91" s="16"/>
      <c r="AHL91" s="16"/>
      <c r="AHM91" s="16"/>
      <c r="AHN91" s="16"/>
      <c r="AHO91" s="16"/>
      <c r="AHP91" s="16"/>
      <c r="AHQ91" s="16"/>
      <c r="AHR91" s="16"/>
      <c r="AHS91" s="16"/>
      <c r="AHT91" s="16"/>
      <c r="AHU91" s="16"/>
      <c r="AHV91" s="16"/>
      <c r="AHW91" s="16"/>
      <c r="AHX91" s="16"/>
      <c r="AHY91" s="16"/>
      <c r="AHZ91" s="16"/>
      <c r="AIA91" s="16"/>
      <c r="AIB91" s="16"/>
      <c r="AIC91" s="16"/>
      <c r="AID91" s="16"/>
      <c r="AIE91" s="16"/>
      <c r="AIF91" s="16"/>
      <c r="AIG91" s="16"/>
      <c r="AIH91" s="16"/>
      <c r="AII91" s="16"/>
      <c r="AIJ91" s="16"/>
      <c r="AIK91" s="16"/>
      <c r="AIL91" s="16"/>
      <c r="AIM91" s="16"/>
      <c r="AIN91" s="16"/>
      <c r="AIO91" s="16"/>
      <c r="AIP91" s="16"/>
      <c r="AIQ91" s="16"/>
      <c r="AIR91" s="16"/>
      <c r="AIS91" s="16"/>
      <c r="AIT91" s="16"/>
      <c r="AIU91" s="16"/>
      <c r="AIV91" s="16"/>
      <c r="AIW91" s="16"/>
      <c r="AIX91" s="16"/>
      <c r="AIY91" s="16"/>
      <c r="AIZ91" s="16"/>
      <c r="AJA91" s="16"/>
      <c r="AJB91" s="16"/>
      <c r="AJC91" s="16"/>
      <c r="AJD91" s="16"/>
      <c r="AJE91" s="16"/>
      <c r="AJF91" s="16"/>
      <c r="AJG91" s="16"/>
      <c r="AJH91" s="16"/>
      <c r="AJI91" s="16"/>
      <c r="AJJ91" s="16"/>
      <c r="AJK91" s="16"/>
      <c r="AJL91" s="16"/>
      <c r="AJM91" s="16"/>
      <c r="AJN91" s="16"/>
      <c r="AJO91" s="16"/>
      <c r="AJP91" s="16"/>
      <c r="AJQ91" s="16"/>
      <c r="AJR91" s="16"/>
      <c r="AJS91" s="16"/>
      <c r="AJT91" s="16"/>
      <c r="AJU91" s="16"/>
      <c r="AJV91" s="16"/>
      <c r="AJW91" s="16"/>
      <c r="AJX91" s="16"/>
      <c r="AJY91" s="16"/>
      <c r="AJZ91" s="16"/>
      <c r="AKA91" s="16"/>
      <c r="AKB91" s="16"/>
      <c r="AKC91" s="16"/>
      <c r="AKD91" s="16"/>
      <c r="AKE91" s="16"/>
      <c r="AKF91" s="16"/>
      <c r="AKG91" s="16"/>
      <c r="AKH91" s="16"/>
      <c r="AKI91" s="16"/>
      <c r="AKJ91" s="16"/>
      <c r="AKK91" s="16"/>
      <c r="AKL91" s="16"/>
      <c r="AKM91" s="16"/>
      <c r="AKN91" s="16"/>
      <c r="AKO91" s="16"/>
      <c r="AKP91" s="16"/>
      <c r="AKQ91" s="16"/>
      <c r="AKR91" s="16"/>
      <c r="AKS91" s="16"/>
      <c r="AKT91" s="16"/>
      <c r="AKU91" s="16"/>
      <c r="AKV91" s="16"/>
      <c r="AKW91" s="16"/>
      <c r="AKX91" s="16"/>
      <c r="AKY91" s="16"/>
      <c r="AKZ91" s="16"/>
      <c r="ALA91" s="16"/>
      <c r="ALB91" s="16"/>
      <c r="ALC91" s="16"/>
      <c r="ALD91" s="16"/>
      <c r="ALE91" s="16"/>
      <c r="ALF91" s="16"/>
      <c r="ALG91" s="16"/>
      <c r="ALH91" s="16"/>
      <c r="ALI91" s="16"/>
      <c r="ALJ91" s="16"/>
      <c r="ALK91" s="16"/>
      <c r="ALL91" s="16"/>
      <c r="ALM91" s="16"/>
      <c r="ALN91" s="16"/>
      <c r="ALO91" s="16"/>
      <c r="ALP91" s="16"/>
      <c r="ALQ91" s="16"/>
      <c r="ALR91" s="16"/>
      <c r="ALS91" s="16"/>
      <c r="ALT91" s="16"/>
      <c r="ALU91" s="16"/>
      <c r="ALV91" s="16"/>
      <c r="ALW91" s="16"/>
      <c r="ALX91" s="16"/>
      <c r="ALY91" s="16"/>
      <c r="ALZ91" s="16"/>
      <c r="AMA91" s="16"/>
      <c r="AMB91" s="16"/>
      <c r="AMC91" s="16"/>
      <c r="AMD91" s="16"/>
      <c r="AME91" s="16"/>
      <c r="AMF91" s="16"/>
      <c r="AMG91" s="16"/>
      <c r="AMH91" s="16"/>
      <c r="AMI91" s="16"/>
      <c r="AMJ91" s="16"/>
      <c r="AMK91" s="16"/>
      <c r="AML91" s="16"/>
      <c r="AMM91" s="16"/>
      <c r="AMN91" s="16"/>
      <c r="AMO91" s="16"/>
      <c r="AMP91" s="16"/>
      <c r="AMQ91" s="16"/>
      <c r="AMR91" s="16"/>
      <c r="AMS91" s="16"/>
      <c r="AMT91" s="16"/>
      <c r="AMU91" s="16"/>
      <c r="AMV91" s="16"/>
      <c r="AMW91" s="16"/>
      <c r="AMX91" s="16"/>
      <c r="AMY91" s="16"/>
      <c r="AMZ91" s="16"/>
      <c r="ANA91" s="16"/>
      <c r="ANB91" s="16"/>
      <c r="ANC91" s="16"/>
      <c r="AND91" s="16"/>
      <c r="ANE91" s="16"/>
      <c r="ANF91" s="16"/>
      <c r="ANG91" s="16"/>
      <c r="ANH91" s="16"/>
      <c r="ANI91" s="16"/>
      <c r="ANJ91" s="16"/>
      <c r="ANK91" s="16"/>
      <c r="ANL91" s="16"/>
      <c r="ANM91" s="16"/>
      <c r="ANN91" s="16"/>
      <c r="ANO91" s="16"/>
      <c r="ANP91" s="16"/>
      <c r="ANQ91" s="16"/>
      <c r="ANR91" s="16"/>
      <c r="ANS91" s="16"/>
      <c r="ANT91" s="16"/>
      <c r="ANU91" s="16"/>
      <c r="ANV91" s="16"/>
      <c r="ANW91" s="16"/>
      <c r="ANX91" s="16"/>
      <c r="ANY91" s="16"/>
      <c r="ANZ91" s="16"/>
      <c r="AOA91" s="16"/>
      <c r="AOB91" s="16"/>
      <c r="AOC91" s="16"/>
      <c r="AOD91" s="16"/>
      <c r="AOE91" s="16"/>
      <c r="AOF91" s="16"/>
      <c r="AOG91" s="16"/>
      <c r="AOH91" s="16"/>
      <c r="AOI91" s="16"/>
      <c r="AOJ91" s="16"/>
      <c r="AOK91" s="16"/>
      <c r="AOL91" s="16"/>
      <c r="AOM91" s="16"/>
      <c r="AON91" s="16"/>
      <c r="AOO91" s="16"/>
      <c r="AOP91" s="16"/>
      <c r="AOQ91" s="16"/>
      <c r="AOR91" s="16"/>
      <c r="AOS91" s="16"/>
      <c r="AOT91" s="16"/>
      <c r="AOU91" s="16"/>
      <c r="AOV91" s="16"/>
      <c r="AOW91" s="16"/>
      <c r="AOX91" s="16"/>
      <c r="AOY91" s="16"/>
      <c r="AOZ91" s="16"/>
      <c r="APA91" s="16"/>
      <c r="APB91" s="16"/>
      <c r="APC91" s="16"/>
      <c r="APD91" s="16"/>
      <c r="APE91" s="16"/>
      <c r="APF91" s="16"/>
      <c r="APG91" s="16"/>
      <c r="APH91" s="16"/>
      <c r="API91" s="16"/>
      <c r="APJ91" s="16"/>
      <c r="APK91" s="16"/>
      <c r="APL91" s="16"/>
      <c r="APM91" s="16"/>
      <c r="APN91" s="16"/>
      <c r="APO91" s="16"/>
      <c r="APP91" s="16"/>
      <c r="APQ91" s="16"/>
      <c r="APR91" s="16"/>
      <c r="APS91" s="16"/>
      <c r="APT91" s="16"/>
      <c r="APU91" s="16"/>
      <c r="APV91" s="16"/>
      <c r="APW91" s="16"/>
      <c r="APX91" s="16"/>
      <c r="APY91" s="16"/>
      <c r="APZ91" s="16"/>
      <c r="AQA91" s="16"/>
      <c r="AQB91" s="16"/>
      <c r="AQC91" s="16"/>
      <c r="AQD91" s="16"/>
      <c r="AQE91" s="16"/>
      <c r="AQF91" s="16"/>
      <c r="AQG91" s="16"/>
      <c r="AQH91" s="16"/>
      <c r="AQI91" s="16"/>
      <c r="AQJ91" s="16"/>
      <c r="AQK91" s="16"/>
      <c r="AQL91" s="16"/>
      <c r="AQM91" s="16"/>
      <c r="AQN91" s="16"/>
      <c r="AQO91" s="16"/>
      <c r="AQP91" s="16"/>
      <c r="AQQ91" s="16"/>
      <c r="AQR91" s="16"/>
      <c r="AQS91" s="16"/>
      <c r="AQT91" s="16"/>
      <c r="AQU91" s="16"/>
      <c r="AQV91" s="16"/>
      <c r="AQW91" s="16"/>
      <c r="AQX91" s="16"/>
      <c r="AQY91" s="16"/>
      <c r="AQZ91" s="16"/>
      <c r="ARA91" s="16"/>
      <c r="ARB91" s="16"/>
      <c r="ARC91" s="16"/>
      <c r="ARD91" s="16"/>
      <c r="ARE91" s="16"/>
      <c r="ARF91" s="16"/>
      <c r="ARG91" s="16"/>
      <c r="ARH91" s="16"/>
      <c r="ARI91" s="16"/>
      <c r="ARJ91" s="16"/>
      <c r="ARK91" s="16"/>
      <c r="ARL91" s="16"/>
      <c r="ARM91" s="16"/>
      <c r="ARN91" s="16"/>
      <c r="ARO91" s="16"/>
      <c r="ARP91" s="16"/>
      <c r="ARQ91" s="16"/>
      <c r="ARR91" s="16"/>
      <c r="ARS91" s="16"/>
      <c r="ART91" s="16"/>
      <c r="ARU91" s="16"/>
      <c r="ARV91" s="16"/>
      <c r="ARW91" s="16"/>
      <c r="ARX91" s="16"/>
      <c r="ARY91" s="16"/>
      <c r="ARZ91" s="16"/>
      <c r="ASA91" s="16"/>
      <c r="ASB91" s="16"/>
      <c r="ASC91" s="16"/>
      <c r="ASD91" s="16"/>
      <c r="ASE91" s="16"/>
      <c r="ASF91" s="16"/>
      <c r="ASG91" s="16"/>
      <c r="ASH91" s="16"/>
      <c r="ASI91" s="16"/>
      <c r="ASJ91" s="16"/>
      <c r="ASK91" s="16"/>
      <c r="ASL91" s="16"/>
      <c r="ASM91" s="16"/>
      <c r="ASN91" s="16"/>
      <c r="ASO91" s="16"/>
      <c r="ASP91" s="16"/>
      <c r="ASQ91" s="16"/>
      <c r="ASR91" s="16"/>
      <c r="ASS91" s="16"/>
      <c r="AST91" s="16"/>
      <c r="ASU91" s="16"/>
      <c r="ASV91" s="16"/>
      <c r="ASW91" s="16"/>
      <c r="ASX91" s="16"/>
      <c r="ASY91" s="16"/>
      <c r="ASZ91" s="16"/>
      <c r="ATA91" s="16"/>
      <c r="ATB91" s="16"/>
      <c r="ATC91" s="16"/>
      <c r="ATD91" s="16"/>
      <c r="ATE91" s="16"/>
      <c r="ATF91" s="16"/>
      <c r="ATG91" s="16"/>
      <c r="ATH91" s="16"/>
      <c r="ATI91" s="16"/>
      <c r="ATJ91" s="16"/>
      <c r="ATK91" s="16"/>
      <c r="ATL91" s="16"/>
      <c r="ATM91" s="16"/>
      <c r="ATN91" s="16"/>
      <c r="ATO91" s="16"/>
      <c r="ATP91" s="16"/>
      <c r="ATQ91" s="16"/>
      <c r="ATR91" s="16"/>
      <c r="ATS91" s="16"/>
      <c r="ATT91" s="16"/>
      <c r="ATU91" s="16"/>
      <c r="ATV91" s="16"/>
      <c r="ATW91" s="16"/>
      <c r="ATX91" s="16"/>
      <c r="ATY91" s="16"/>
      <c r="ATZ91" s="16"/>
      <c r="AUA91" s="16"/>
      <c r="AUB91" s="16"/>
      <c r="AUC91" s="16"/>
      <c r="AUD91" s="16"/>
      <c r="AUE91" s="16"/>
      <c r="AUF91" s="16"/>
      <c r="AUG91" s="16"/>
      <c r="AUH91" s="16"/>
      <c r="AUI91" s="16"/>
      <c r="AUJ91" s="16"/>
      <c r="AUK91" s="16"/>
      <c r="AUL91" s="16"/>
      <c r="AUM91" s="16"/>
      <c r="AUN91" s="16"/>
      <c r="AUO91" s="16"/>
      <c r="AUP91" s="16"/>
      <c r="AUQ91" s="16"/>
      <c r="AUR91" s="16"/>
      <c r="AUS91" s="16"/>
      <c r="AUT91" s="16"/>
      <c r="AUU91" s="16"/>
      <c r="AUV91" s="16"/>
      <c r="AUW91" s="16"/>
      <c r="AUX91" s="16"/>
      <c r="AUY91" s="16"/>
      <c r="AUZ91" s="16"/>
      <c r="AVA91" s="16"/>
      <c r="AVB91" s="16"/>
      <c r="AVC91" s="16"/>
      <c r="AVD91" s="16"/>
      <c r="AVE91" s="16"/>
      <c r="AVF91" s="16"/>
      <c r="AVG91" s="16"/>
      <c r="AVH91" s="16"/>
      <c r="AVI91" s="16"/>
      <c r="AVJ91" s="16"/>
      <c r="AVK91" s="16"/>
      <c r="AVL91" s="16"/>
      <c r="AVM91" s="16"/>
      <c r="AVN91" s="16"/>
      <c r="AVO91" s="16"/>
      <c r="AVP91" s="16"/>
      <c r="AVQ91" s="16"/>
      <c r="AVR91" s="16"/>
      <c r="AVS91" s="16"/>
      <c r="AVT91" s="16"/>
      <c r="AVU91" s="16"/>
      <c r="AVV91" s="16"/>
      <c r="AVW91" s="16"/>
      <c r="AVX91" s="16"/>
      <c r="AVY91" s="16"/>
      <c r="AVZ91" s="16"/>
      <c r="AWA91" s="16"/>
      <c r="AWB91" s="16"/>
      <c r="AWC91" s="16"/>
      <c r="AWD91" s="16"/>
      <c r="AWE91" s="16"/>
      <c r="AWF91" s="16"/>
      <c r="AWG91" s="16"/>
      <c r="AWH91" s="16"/>
      <c r="AWI91" s="16"/>
      <c r="AWJ91" s="16"/>
      <c r="AWK91" s="16"/>
      <c r="AWL91" s="16"/>
      <c r="AWM91" s="16"/>
      <c r="AWN91" s="16"/>
      <c r="AWO91" s="16"/>
      <c r="AWP91" s="16"/>
      <c r="AWQ91" s="16"/>
      <c r="AWR91" s="16"/>
      <c r="AWS91" s="16"/>
      <c r="AWT91" s="16"/>
      <c r="AWU91" s="16"/>
      <c r="AWV91" s="16"/>
      <c r="AWW91" s="16"/>
      <c r="AWX91" s="16"/>
      <c r="AWY91" s="16"/>
      <c r="AWZ91" s="16"/>
      <c r="AXA91" s="16"/>
      <c r="AXB91" s="16"/>
      <c r="AXC91" s="16"/>
      <c r="AXD91" s="16"/>
      <c r="AXE91" s="16"/>
      <c r="AXF91" s="16"/>
      <c r="AXG91" s="16"/>
      <c r="AXH91" s="16"/>
      <c r="AXI91" s="16"/>
      <c r="AXJ91" s="16"/>
      <c r="AXK91" s="16"/>
      <c r="AXL91" s="16"/>
      <c r="AXM91" s="16"/>
      <c r="AXN91" s="16"/>
      <c r="AXO91" s="16"/>
      <c r="AXP91" s="16"/>
      <c r="AXQ91" s="16"/>
      <c r="AXR91" s="16"/>
      <c r="AXS91" s="16"/>
      <c r="AXT91" s="16"/>
      <c r="AXU91" s="16"/>
      <c r="AXV91" s="16"/>
      <c r="AXW91" s="16"/>
      <c r="AXX91" s="16"/>
      <c r="AXY91" s="16"/>
      <c r="AXZ91" s="16"/>
      <c r="AYA91" s="16"/>
      <c r="AYB91" s="16"/>
      <c r="AYC91" s="16"/>
      <c r="AYD91" s="16"/>
      <c r="AYE91" s="16"/>
      <c r="AYF91" s="16"/>
      <c r="AYG91" s="16"/>
      <c r="AYH91" s="16"/>
      <c r="AYI91" s="16"/>
      <c r="AYJ91" s="16"/>
      <c r="AYK91" s="16"/>
      <c r="AYL91" s="16"/>
      <c r="AYM91" s="16"/>
      <c r="AYN91" s="16"/>
      <c r="AYO91" s="16"/>
      <c r="AYP91" s="16"/>
      <c r="AYQ91" s="16"/>
      <c r="AYR91" s="16"/>
      <c r="AYS91" s="16"/>
      <c r="AYT91" s="16"/>
      <c r="AYU91" s="16"/>
      <c r="AYV91" s="16"/>
      <c r="AYW91" s="16"/>
      <c r="AYX91" s="16"/>
      <c r="AYY91" s="16"/>
      <c r="AYZ91" s="16"/>
      <c r="AZA91" s="16"/>
      <c r="AZB91" s="16"/>
      <c r="AZC91" s="16"/>
      <c r="AZD91" s="16"/>
      <c r="AZE91" s="16"/>
      <c r="AZF91" s="16"/>
      <c r="AZG91" s="16"/>
      <c r="AZH91" s="16"/>
      <c r="AZI91" s="16"/>
      <c r="AZJ91" s="16"/>
      <c r="AZK91" s="16"/>
      <c r="AZL91" s="16"/>
      <c r="AZM91" s="16"/>
      <c r="AZN91" s="16"/>
      <c r="AZO91" s="16"/>
      <c r="AZP91" s="16"/>
      <c r="AZQ91" s="16"/>
      <c r="AZR91" s="16"/>
      <c r="AZS91" s="16"/>
      <c r="AZT91" s="16"/>
      <c r="AZU91" s="16"/>
      <c r="AZV91" s="16"/>
      <c r="AZW91" s="16"/>
      <c r="AZX91" s="16"/>
      <c r="AZY91" s="16"/>
      <c r="AZZ91" s="16"/>
      <c r="BAA91" s="16"/>
      <c r="BAB91" s="16"/>
      <c r="BAC91" s="16"/>
      <c r="BAD91" s="16"/>
      <c r="BAE91" s="16"/>
      <c r="BAF91" s="16"/>
      <c r="BAG91" s="16"/>
      <c r="BAH91" s="16"/>
      <c r="BAI91" s="16"/>
      <c r="BAJ91" s="16"/>
      <c r="BAK91" s="16"/>
      <c r="BAL91" s="16"/>
      <c r="BAM91" s="16"/>
      <c r="BAN91" s="16"/>
      <c r="BAO91" s="16"/>
      <c r="BAP91" s="16"/>
      <c r="BAQ91" s="16"/>
      <c r="BAR91" s="16"/>
      <c r="BAS91" s="16"/>
      <c r="BAT91" s="16"/>
      <c r="BAU91" s="16"/>
      <c r="BAV91" s="16"/>
      <c r="BAW91" s="16"/>
      <c r="BAX91" s="16"/>
      <c r="BAY91" s="16"/>
      <c r="BAZ91" s="16"/>
      <c r="BBA91" s="16"/>
      <c r="BBB91" s="16"/>
      <c r="BBC91" s="16"/>
      <c r="BBD91" s="16"/>
      <c r="BBE91" s="16"/>
      <c r="BBF91" s="16"/>
      <c r="BBG91" s="16"/>
      <c r="BBH91" s="16"/>
      <c r="BBI91" s="16"/>
      <c r="BBJ91" s="16"/>
      <c r="BBK91" s="16"/>
      <c r="BBL91" s="16"/>
      <c r="BBM91" s="16"/>
      <c r="BBN91" s="16"/>
      <c r="BBO91" s="16"/>
      <c r="BBP91" s="16"/>
      <c r="BBQ91" s="16"/>
      <c r="BBR91" s="16"/>
      <c r="BBS91" s="16"/>
      <c r="BBT91" s="16"/>
      <c r="BBU91" s="16"/>
      <c r="BBV91" s="16"/>
      <c r="BBW91" s="16"/>
      <c r="BBX91" s="16"/>
      <c r="BBY91" s="16"/>
      <c r="BBZ91" s="16"/>
      <c r="BCA91" s="16"/>
      <c r="BCB91" s="16"/>
      <c r="BCC91" s="16"/>
      <c r="BCD91" s="16"/>
      <c r="BCE91" s="16"/>
      <c r="BCF91" s="16"/>
      <c r="BCG91" s="16"/>
      <c r="BCH91" s="16"/>
      <c r="BCI91" s="16"/>
      <c r="BCJ91" s="16"/>
      <c r="BCK91" s="16"/>
      <c r="BCL91" s="16"/>
      <c r="BCM91" s="16"/>
      <c r="BCN91" s="16"/>
      <c r="BCO91" s="16"/>
      <c r="BCP91" s="16"/>
      <c r="BCQ91" s="16"/>
      <c r="BCR91" s="16"/>
      <c r="BCS91" s="16"/>
      <c r="BCT91" s="16"/>
      <c r="BCU91" s="16"/>
      <c r="BCV91" s="16"/>
      <c r="BCW91" s="16"/>
      <c r="BCX91" s="16"/>
      <c r="BCY91" s="16"/>
      <c r="BCZ91" s="16"/>
      <c r="BDA91" s="16"/>
      <c r="BDB91" s="16"/>
      <c r="BDC91" s="16"/>
      <c r="BDD91" s="16"/>
      <c r="BDE91" s="16"/>
      <c r="BDF91" s="16"/>
      <c r="BDG91" s="16"/>
      <c r="BDH91" s="16"/>
      <c r="BDI91" s="16"/>
      <c r="BDJ91" s="16"/>
      <c r="BDK91" s="16"/>
      <c r="BDL91" s="16"/>
      <c r="BDM91" s="16"/>
      <c r="BDN91" s="16"/>
      <c r="BDO91" s="16"/>
      <c r="BDP91" s="16"/>
      <c r="BDQ91" s="16"/>
      <c r="BDR91" s="16"/>
      <c r="BDS91" s="16"/>
      <c r="BDT91" s="16"/>
      <c r="BDU91" s="16"/>
      <c r="BDV91" s="16"/>
      <c r="BDW91" s="16"/>
      <c r="BDX91" s="16"/>
      <c r="BDY91" s="16"/>
      <c r="BDZ91" s="16"/>
      <c r="BEA91" s="16"/>
      <c r="BEB91" s="16"/>
      <c r="BEC91" s="16"/>
      <c r="BED91" s="16"/>
      <c r="BEE91" s="16"/>
      <c r="BEF91" s="16"/>
      <c r="BEG91" s="16"/>
      <c r="BEH91" s="16"/>
      <c r="BEI91" s="16"/>
      <c r="BEJ91" s="16"/>
      <c r="BEK91" s="16"/>
      <c r="BEL91" s="16"/>
      <c r="BEM91" s="16"/>
      <c r="BEN91" s="16"/>
      <c r="BEO91" s="16"/>
      <c r="BEP91" s="16"/>
      <c r="BEQ91" s="16"/>
      <c r="BER91" s="16"/>
      <c r="BES91" s="16"/>
      <c r="BET91" s="16"/>
      <c r="BEU91" s="16"/>
      <c r="BEV91" s="16"/>
      <c r="BEW91" s="16"/>
      <c r="BEX91" s="16"/>
      <c r="BEY91" s="16"/>
      <c r="BEZ91" s="16"/>
      <c r="BFA91" s="16"/>
      <c r="BFB91" s="16"/>
      <c r="BFC91" s="16"/>
      <c r="BFD91" s="16"/>
      <c r="BFE91" s="16"/>
      <c r="BFF91" s="16"/>
      <c r="BFG91" s="16"/>
      <c r="BFH91" s="16"/>
      <c r="BFI91" s="16"/>
      <c r="BFJ91" s="16"/>
      <c r="BFK91" s="16"/>
      <c r="BFL91" s="16"/>
      <c r="BFM91" s="16"/>
      <c r="BFN91" s="16"/>
      <c r="BFO91" s="16"/>
      <c r="BFP91" s="16"/>
      <c r="BFQ91" s="16"/>
      <c r="BFR91" s="16"/>
      <c r="BFS91" s="16"/>
      <c r="BFT91" s="16"/>
      <c r="BFU91" s="16"/>
      <c r="BFV91" s="16"/>
      <c r="BFW91" s="16"/>
      <c r="BFX91" s="16"/>
      <c r="BFY91" s="16"/>
      <c r="BFZ91" s="16"/>
      <c r="BGA91" s="16"/>
      <c r="BGB91" s="16"/>
      <c r="BGC91" s="16"/>
      <c r="BGD91" s="16"/>
      <c r="BGE91" s="16"/>
      <c r="BGF91" s="16"/>
      <c r="BGG91" s="16"/>
      <c r="BGH91" s="16"/>
      <c r="BGI91" s="16"/>
      <c r="BGJ91" s="16"/>
      <c r="BGK91" s="16"/>
      <c r="BGL91" s="16"/>
      <c r="BGM91" s="16"/>
      <c r="BGN91" s="16"/>
      <c r="BGO91" s="16"/>
      <c r="BGP91" s="16"/>
      <c r="BGQ91" s="16"/>
      <c r="BGR91" s="16"/>
      <c r="BGS91" s="16"/>
      <c r="BGT91" s="16"/>
      <c r="BGU91" s="16"/>
      <c r="BGV91" s="16"/>
      <c r="BGW91" s="16"/>
      <c r="BGX91" s="16"/>
      <c r="BGY91" s="16"/>
      <c r="BGZ91" s="16"/>
      <c r="BHA91" s="16"/>
      <c r="BHB91" s="16"/>
      <c r="BHC91" s="16"/>
      <c r="BHD91" s="16"/>
      <c r="BHE91" s="16"/>
      <c r="BHF91" s="16"/>
      <c r="BHG91" s="16"/>
      <c r="BHH91" s="16"/>
      <c r="BHI91" s="16"/>
      <c r="BHJ91" s="16"/>
      <c r="BHK91" s="16"/>
      <c r="BHL91" s="16"/>
      <c r="BHM91" s="16"/>
      <c r="BHN91" s="16"/>
      <c r="BHO91" s="16"/>
      <c r="BHP91" s="16"/>
      <c r="BHQ91" s="16"/>
      <c r="BHR91" s="16"/>
      <c r="BHS91" s="16"/>
      <c r="BHT91" s="16"/>
      <c r="BHU91" s="16"/>
      <c r="BHV91" s="16"/>
      <c r="BHW91" s="16"/>
      <c r="BHX91" s="16"/>
      <c r="BHY91" s="16"/>
      <c r="BHZ91" s="16"/>
      <c r="BIA91" s="16"/>
      <c r="BIB91" s="16"/>
      <c r="BIC91" s="16"/>
      <c r="BID91" s="16"/>
      <c r="BIE91" s="16"/>
      <c r="BIF91" s="16"/>
      <c r="BIG91" s="16"/>
      <c r="BIH91" s="16"/>
      <c r="BII91" s="16"/>
      <c r="BIJ91" s="16"/>
      <c r="BIK91" s="16"/>
      <c r="BIL91" s="16"/>
      <c r="BIM91" s="16"/>
      <c r="BIN91" s="16"/>
      <c r="BIO91" s="16"/>
      <c r="BIP91" s="16"/>
      <c r="BIQ91" s="16"/>
      <c r="BIR91" s="16"/>
      <c r="BIS91" s="16"/>
      <c r="BIT91" s="16"/>
      <c r="BIU91" s="16"/>
      <c r="BIV91" s="16"/>
      <c r="BIW91" s="16"/>
      <c r="BIX91" s="16"/>
      <c r="BIY91" s="16"/>
      <c r="BIZ91" s="16"/>
      <c r="BJA91" s="16"/>
      <c r="BJB91" s="16"/>
      <c r="BJC91" s="16"/>
      <c r="BJD91" s="16"/>
      <c r="BJE91" s="16"/>
      <c r="BJF91" s="16"/>
      <c r="BJG91" s="16"/>
      <c r="BJH91" s="16"/>
      <c r="BJI91" s="16"/>
      <c r="BJJ91" s="16"/>
      <c r="BJK91" s="16"/>
      <c r="BJL91" s="16"/>
      <c r="BJM91" s="16"/>
      <c r="BJN91" s="16"/>
      <c r="BJO91" s="16"/>
      <c r="BJP91" s="16"/>
      <c r="BJQ91" s="16"/>
      <c r="BJR91" s="16"/>
      <c r="BJS91" s="16"/>
      <c r="BJT91" s="16"/>
      <c r="BJU91" s="16"/>
      <c r="BJV91" s="16"/>
      <c r="BJW91" s="16"/>
      <c r="BJX91" s="16"/>
      <c r="BJY91" s="16"/>
      <c r="BJZ91" s="16"/>
      <c r="BKA91" s="16"/>
      <c r="BKB91" s="16"/>
      <c r="BKC91" s="16"/>
      <c r="BKD91" s="16"/>
      <c r="BKE91" s="16"/>
      <c r="BKF91" s="16"/>
      <c r="BKG91" s="16"/>
      <c r="BKH91" s="16"/>
      <c r="BKI91" s="16"/>
      <c r="BKJ91" s="16"/>
      <c r="BKK91" s="16"/>
      <c r="BKL91" s="16"/>
      <c r="BKM91" s="16"/>
      <c r="BKN91" s="16"/>
      <c r="BKO91" s="16"/>
      <c r="BKP91" s="16"/>
      <c r="BKQ91" s="16"/>
      <c r="BKR91" s="16"/>
      <c r="BKS91" s="16"/>
      <c r="BKT91" s="16"/>
      <c r="BKU91" s="16"/>
      <c r="BKV91" s="16"/>
      <c r="BKW91" s="16"/>
      <c r="BKX91" s="16"/>
      <c r="BKY91" s="16"/>
      <c r="BKZ91" s="16"/>
      <c r="BLA91" s="16"/>
      <c r="BLB91" s="16"/>
      <c r="BLC91" s="16"/>
      <c r="BLD91" s="16"/>
      <c r="BLE91" s="16"/>
      <c r="BLF91" s="16"/>
      <c r="BLG91" s="16"/>
      <c r="BLH91" s="16"/>
      <c r="BLI91" s="16"/>
      <c r="BLJ91" s="16"/>
      <c r="BLK91" s="16"/>
      <c r="BLL91" s="16"/>
      <c r="BLM91" s="16"/>
      <c r="BLN91" s="16"/>
      <c r="BLO91" s="16"/>
      <c r="BLP91" s="16"/>
      <c r="BLQ91" s="16"/>
      <c r="BLR91" s="16"/>
      <c r="BLS91" s="16"/>
      <c r="BLT91" s="16"/>
      <c r="BLU91" s="16"/>
      <c r="BLV91" s="16"/>
      <c r="BLW91" s="16"/>
      <c r="BLX91" s="16"/>
      <c r="BLY91" s="16"/>
      <c r="BLZ91" s="16"/>
      <c r="BMA91" s="16"/>
      <c r="BMB91" s="16"/>
      <c r="BMC91" s="16"/>
      <c r="BMD91" s="16"/>
      <c r="BME91" s="16"/>
      <c r="BMF91" s="16"/>
      <c r="BMG91" s="16"/>
      <c r="BMH91" s="16"/>
      <c r="BMI91" s="16"/>
      <c r="BMJ91" s="16"/>
      <c r="BMK91" s="16"/>
      <c r="BML91" s="16"/>
      <c r="BMM91" s="16"/>
      <c r="BMN91" s="16"/>
      <c r="BMO91" s="16"/>
      <c r="BMP91" s="16"/>
      <c r="BMQ91" s="16"/>
      <c r="BMR91" s="16"/>
      <c r="BMS91" s="16"/>
      <c r="BMT91" s="16"/>
      <c r="BMU91" s="16"/>
      <c r="BMV91" s="16"/>
      <c r="BMW91" s="16"/>
      <c r="BMX91" s="16"/>
      <c r="BMY91" s="16"/>
      <c r="BMZ91" s="16"/>
      <c r="BNA91" s="16"/>
      <c r="BNB91" s="16"/>
      <c r="BNC91" s="16"/>
      <c r="BND91" s="16"/>
      <c r="BNE91" s="16"/>
      <c r="BNF91" s="16"/>
      <c r="BNG91" s="16"/>
      <c r="BNH91" s="16"/>
      <c r="BNI91" s="16"/>
      <c r="BNJ91" s="16"/>
      <c r="BNK91" s="16"/>
      <c r="BNL91" s="16"/>
      <c r="BNM91" s="16"/>
      <c r="BNN91" s="16"/>
      <c r="BNO91" s="16"/>
      <c r="BNP91" s="16"/>
      <c r="BNQ91" s="16"/>
      <c r="BNR91" s="16"/>
      <c r="BNS91" s="16"/>
      <c r="BNT91" s="16"/>
      <c r="BNU91" s="16"/>
      <c r="BNV91" s="16"/>
      <c r="BNW91" s="16"/>
      <c r="BNX91" s="16"/>
      <c r="BNY91" s="16"/>
      <c r="BNZ91" s="16"/>
      <c r="BOA91" s="16"/>
      <c r="BOB91" s="16"/>
      <c r="BOC91" s="16"/>
      <c r="BOD91" s="16"/>
      <c r="BOE91" s="16"/>
      <c r="BOF91" s="16"/>
      <c r="BOG91" s="16"/>
      <c r="BOH91" s="16"/>
      <c r="BOI91" s="16"/>
      <c r="BOJ91" s="16"/>
      <c r="BOK91" s="16"/>
      <c r="BOL91" s="16"/>
      <c r="BOM91" s="16"/>
      <c r="BON91" s="16"/>
      <c r="BOO91" s="16"/>
      <c r="BOP91" s="16"/>
      <c r="BOQ91" s="16"/>
      <c r="BOR91" s="16"/>
      <c r="BOS91" s="16"/>
      <c r="BOT91" s="16"/>
      <c r="BOU91" s="16"/>
      <c r="BOV91" s="16"/>
      <c r="BOW91" s="16"/>
      <c r="BOX91" s="16"/>
      <c r="BOY91" s="16"/>
      <c r="BOZ91" s="16"/>
      <c r="BPA91" s="16"/>
      <c r="BPB91" s="16"/>
      <c r="BPC91" s="16"/>
      <c r="BPD91" s="16"/>
      <c r="BPE91" s="16"/>
      <c r="BPF91" s="16"/>
      <c r="BPG91" s="16"/>
      <c r="BPH91" s="16"/>
      <c r="BPI91" s="16"/>
      <c r="BPJ91" s="16"/>
      <c r="BPK91" s="16"/>
      <c r="BPL91" s="16"/>
      <c r="BPM91" s="16"/>
      <c r="BPN91" s="16"/>
      <c r="BPO91" s="16"/>
      <c r="BPP91" s="16"/>
      <c r="BPQ91" s="16"/>
      <c r="BPR91" s="16"/>
      <c r="BPS91" s="16"/>
      <c r="BPT91" s="16"/>
      <c r="BPU91" s="16"/>
      <c r="BPV91" s="16"/>
      <c r="BPW91" s="16"/>
      <c r="BPX91" s="16"/>
      <c r="BPY91" s="16"/>
      <c r="BPZ91" s="16"/>
      <c r="BQA91" s="16"/>
      <c r="BQB91" s="16"/>
      <c r="BQC91" s="16"/>
      <c r="BQD91" s="16"/>
      <c r="BQE91" s="16"/>
      <c r="BQF91" s="16"/>
      <c r="BQG91" s="16"/>
      <c r="BQH91" s="16"/>
      <c r="BQI91" s="16"/>
      <c r="BQJ91" s="16"/>
      <c r="BQK91" s="16"/>
      <c r="BQL91" s="16"/>
      <c r="BQM91" s="16"/>
      <c r="BQN91" s="16"/>
      <c r="BQO91" s="16"/>
      <c r="BQP91" s="16"/>
      <c r="BQQ91" s="16"/>
      <c r="BQR91" s="16"/>
      <c r="BQS91" s="16"/>
      <c r="BQT91" s="16"/>
      <c r="BQU91" s="16"/>
      <c r="BQV91" s="16"/>
      <c r="BQW91" s="16"/>
      <c r="BQX91" s="16"/>
      <c r="BQY91" s="16"/>
      <c r="BQZ91" s="16"/>
      <c r="BRA91" s="16"/>
      <c r="BRB91" s="16"/>
      <c r="BRC91" s="16"/>
      <c r="BRD91" s="16"/>
      <c r="BRE91" s="16"/>
      <c r="BRF91" s="16"/>
      <c r="BRG91" s="16"/>
      <c r="BRH91" s="16"/>
      <c r="BRI91" s="16"/>
      <c r="BRJ91" s="16"/>
      <c r="BRK91" s="16"/>
      <c r="BRL91" s="16"/>
      <c r="BRM91" s="16"/>
      <c r="BRN91" s="16"/>
      <c r="BRO91" s="16"/>
      <c r="BRP91" s="16"/>
      <c r="BRQ91" s="16"/>
      <c r="BRR91" s="16"/>
      <c r="BRS91" s="16"/>
      <c r="BRT91" s="16"/>
      <c r="BRU91" s="16"/>
      <c r="BRV91" s="16"/>
      <c r="BRW91" s="16"/>
      <c r="BRX91" s="16"/>
      <c r="BRY91" s="16"/>
      <c r="BRZ91" s="16"/>
      <c r="BSA91" s="16"/>
      <c r="BSB91" s="16"/>
      <c r="BSC91" s="16"/>
      <c r="BSD91" s="16"/>
      <c r="BSE91" s="16"/>
      <c r="BSF91" s="16"/>
      <c r="BSG91" s="16"/>
      <c r="BSH91" s="16"/>
      <c r="BSI91" s="16"/>
      <c r="BSJ91" s="16"/>
      <c r="BSK91" s="16"/>
      <c r="BSL91" s="16"/>
      <c r="BSM91" s="16"/>
      <c r="BSN91" s="16"/>
      <c r="BSO91" s="16"/>
      <c r="BSP91" s="16"/>
      <c r="BSQ91" s="16"/>
      <c r="BSR91" s="16"/>
      <c r="BSS91" s="16"/>
      <c r="BST91" s="16"/>
      <c r="BSU91" s="16"/>
      <c r="BSV91" s="16"/>
      <c r="BSW91" s="16"/>
      <c r="BSX91" s="16"/>
      <c r="BSY91" s="16"/>
      <c r="BSZ91" s="16"/>
      <c r="BTA91" s="16"/>
      <c r="BTB91" s="16"/>
      <c r="BTC91" s="16"/>
      <c r="BTD91" s="16"/>
      <c r="BTE91" s="16"/>
      <c r="BTF91" s="16"/>
      <c r="BTG91" s="16"/>
      <c r="BTH91" s="16"/>
      <c r="BTI91" s="16"/>
      <c r="BTJ91" s="16"/>
      <c r="BTK91" s="16"/>
      <c r="BTL91" s="16"/>
      <c r="BTM91" s="16"/>
      <c r="BTN91" s="16"/>
      <c r="BTO91" s="16"/>
      <c r="BTP91" s="16"/>
      <c r="BTQ91" s="16"/>
      <c r="BTR91" s="16"/>
      <c r="BTS91" s="16"/>
      <c r="BTT91" s="16"/>
      <c r="BTU91" s="16"/>
      <c r="BTV91" s="16"/>
      <c r="BTW91" s="16"/>
      <c r="BTX91" s="16"/>
      <c r="BTY91" s="16"/>
      <c r="BTZ91" s="16"/>
      <c r="BUA91" s="16"/>
      <c r="BUB91" s="16"/>
      <c r="BUC91" s="16"/>
      <c r="BUD91" s="16"/>
      <c r="BUE91" s="16"/>
      <c r="BUF91" s="16"/>
      <c r="BUG91" s="16"/>
      <c r="BUH91" s="16"/>
      <c r="BUI91" s="16"/>
      <c r="BUJ91" s="16"/>
      <c r="BUK91" s="16"/>
      <c r="BUL91" s="16"/>
      <c r="BUM91" s="16"/>
      <c r="BUN91" s="16"/>
      <c r="BUO91" s="16"/>
      <c r="BUP91" s="16"/>
      <c r="BUQ91" s="16"/>
      <c r="BUR91" s="16"/>
      <c r="BUS91" s="16"/>
      <c r="BUT91" s="16"/>
      <c r="BUU91" s="16"/>
      <c r="BUV91" s="16"/>
      <c r="BUW91" s="16"/>
      <c r="BUX91" s="16"/>
      <c r="BUY91" s="16"/>
      <c r="BUZ91" s="16"/>
      <c r="BVA91" s="16"/>
      <c r="BVB91" s="16"/>
      <c r="BVC91" s="16"/>
      <c r="BVD91" s="16"/>
      <c r="BVE91" s="16"/>
      <c r="BVF91" s="16"/>
      <c r="BVG91" s="16"/>
      <c r="BVH91" s="16"/>
      <c r="BVI91" s="16"/>
      <c r="BVJ91" s="16"/>
      <c r="BVK91" s="16"/>
      <c r="BVL91" s="16"/>
      <c r="BVM91" s="16"/>
      <c r="BVN91" s="16"/>
      <c r="BVO91" s="16"/>
      <c r="BVP91" s="16"/>
      <c r="BVQ91" s="16"/>
      <c r="BVR91" s="16"/>
      <c r="BVS91" s="16"/>
      <c r="BVT91" s="16"/>
      <c r="BVU91" s="16"/>
      <c r="BVV91" s="16"/>
      <c r="BVW91" s="16"/>
      <c r="BVX91" s="16"/>
      <c r="BVY91" s="16"/>
      <c r="BVZ91" s="16"/>
      <c r="BWA91" s="16"/>
      <c r="BWB91" s="16"/>
      <c r="BWC91" s="16"/>
      <c r="BWD91" s="16"/>
      <c r="BWE91" s="16"/>
      <c r="BWF91" s="16"/>
      <c r="BWG91" s="16"/>
      <c r="BWH91" s="16"/>
      <c r="BWI91" s="16"/>
      <c r="BWJ91" s="16"/>
      <c r="BWK91" s="16"/>
      <c r="BWL91" s="16"/>
      <c r="BWM91" s="16"/>
      <c r="BWN91" s="16"/>
      <c r="BWO91" s="16"/>
      <c r="BWP91" s="16"/>
      <c r="BWQ91" s="16"/>
      <c r="BWR91" s="16"/>
      <c r="BWS91" s="16"/>
      <c r="BWT91" s="16"/>
      <c r="BWU91" s="16"/>
      <c r="BWV91" s="16"/>
      <c r="BWW91" s="16"/>
      <c r="BWX91" s="16"/>
      <c r="BWY91" s="16"/>
      <c r="BWZ91" s="16"/>
      <c r="BXA91" s="16"/>
      <c r="BXB91" s="16"/>
      <c r="BXC91" s="16"/>
      <c r="BXD91" s="16"/>
      <c r="BXE91" s="16"/>
      <c r="BXF91" s="16"/>
      <c r="BXG91" s="16"/>
      <c r="BXH91" s="16"/>
      <c r="BXI91" s="16"/>
      <c r="BXJ91" s="16"/>
      <c r="BXK91" s="16"/>
      <c r="BXL91" s="16"/>
      <c r="BXM91" s="16"/>
      <c r="BXN91" s="16"/>
      <c r="BXO91" s="16"/>
      <c r="BXP91" s="16"/>
      <c r="BXQ91" s="16"/>
      <c r="BXR91" s="16"/>
      <c r="BXS91" s="16"/>
      <c r="BXT91" s="16"/>
      <c r="BXU91" s="16"/>
      <c r="BXV91" s="16"/>
      <c r="BXW91" s="16"/>
      <c r="BXX91" s="16"/>
      <c r="BXY91" s="16"/>
      <c r="BXZ91" s="16"/>
      <c r="BYA91" s="16"/>
      <c r="BYB91" s="16"/>
      <c r="BYC91" s="16"/>
      <c r="BYD91" s="16"/>
      <c r="BYE91" s="16"/>
      <c r="BYF91" s="16"/>
      <c r="BYG91" s="16"/>
      <c r="BYH91" s="16"/>
      <c r="BYI91" s="16"/>
      <c r="BYJ91" s="16"/>
      <c r="BYK91" s="16"/>
      <c r="BYL91" s="16"/>
      <c r="BYM91" s="16"/>
      <c r="BYN91" s="16"/>
      <c r="BYO91" s="16"/>
      <c r="BYP91" s="16"/>
      <c r="BYQ91" s="16"/>
      <c r="BYR91" s="16"/>
      <c r="BYS91" s="16"/>
      <c r="BYT91" s="16"/>
      <c r="BYU91" s="16"/>
      <c r="BYV91" s="16"/>
      <c r="BYW91" s="16"/>
      <c r="BYX91" s="16"/>
      <c r="BYY91" s="16"/>
      <c r="BYZ91" s="16"/>
      <c r="BZA91" s="16"/>
      <c r="BZB91" s="16"/>
      <c r="BZC91" s="16"/>
      <c r="BZD91" s="16"/>
      <c r="BZE91" s="16"/>
      <c r="BZF91" s="16"/>
      <c r="BZG91" s="16"/>
      <c r="BZH91" s="16"/>
      <c r="BZI91" s="16"/>
      <c r="BZJ91" s="16"/>
      <c r="BZK91" s="16"/>
      <c r="BZL91" s="16"/>
      <c r="BZM91" s="16"/>
      <c r="BZN91" s="16"/>
      <c r="BZO91" s="16"/>
      <c r="BZP91" s="16"/>
      <c r="BZQ91" s="16"/>
      <c r="BZR91" s="16"/>
      <c r="BZS91" s="16"/>
      <c r="BZT91" s="16"/>
      <c r="BZU91" s="16"/>
      <c r="BZV91" s="16"/>
      <c r="BZW91" s="16"/>
      <c r="BZX91" s="16"/>
      <c r="BZY91" s="16"/>
      <c r="BZZ91" s="16"/>
      <c r="CAA91" s="16"/>
      <c r="CAB91" s="16"/>
      <c r="CAC91" s="16"/>
      <c r="CAD91" s="16"/>
      <c r="CAE91" s="16"/>
      <c r="CAF91" s="16"/>
      <c r="CAG91" s="16"/>
      <c r="CAH91" s="16"/>
      <c r="CAI91" s="16"/>
      <c r="CAJ91" s="16"/>
      <c r="CAK91" s="16"/>
      <c r="CAL91" s="16"/>
      <c r="CAM91" s="16"/>
      <c r="CAN91" s="16"/>
      <c r="CAO91" s="16"/>
      <c r="CAP91" s="16"/>
      <c r="CAQ91" s="16"/>
      <c r="CAR91" s="16"/>
      <c r="CAS91" s="16"/>
      <c r="CAT91" s="16"/>
      <c r="CAU91" s="16"/>
      <c r="CAV91" s="16"/>
      <c r="CAW91" s="16"/>
      <c r="CAX91" s="16"/>
      <c r="CAY91" s="16"/>
      <c r="CAZ91" s="16"/>
      <c r="CBA91" s="16"/>
      <c r="CBB91" s="16"/>
      <c r="CBC91" s="16"/>
      <c r="CBD91" s="16"/>
      <c r="CBE91" s="16"/>
      <c r="CBF91" s="16"/>
      <c r="CBG91" s="16"/>
      <c r="CBH91" s="16"/>
      <c r="CBI91" s="16"/>
      <c r="CBJ91" s="16"/>
      <c r="CBK91" s="16"/>
      <c r="CBL91" s="16"/>
      <c r="CBM91" s="16"/>
      <c r="CBN91" s="16"/>
      <c r="CBO91" s="16"/>
      <c r="CBP91" s="16"/>
      <c r="CBQ91" s="16"/>
      <c r="CBR91" s="16"/>
      <c r="CBS91" s="16"/>
      <c r="CBT91" s="16"/>
      <c r="CBU91" s="16"/>
      <c r="CBV91" s="16"/>
      <c r="CBW91" s="16"/>
      <c r="CBX91" s="16"/>
      <c r="CBY91" s="16"/>
      <c r="CBZ91" s="16"/>
      <c r="CCA91" s="16"/>
      <c r="CCB91" s="16"/>
      <c r="CCC91" s="16"/>
      <c r="CCD91" s="16"/>
      <c r="CCE91" s="16"/>
      <c r="CCF91" s="16"/>
      <c r="CCG91" s="16"/>
      <c r="CCH91" s="16"/>
      <c r="CCI91" s="16"/>
      <c r="CCJ91" s="16"/>
      <c r="CCK91" s="16"/>
      <c r="CCL91" s="16"/>
      <c r="CCM91" s="16"/>
      <c r="CCN91" s="16"/>
      <c r="CCO91" s="16"/>
      <c r="CCP91" s="16"/>
      <c r="CCQ91" s="16"/>
      <c r="CCR91" s="16"/>
      <c r="CCS91" s="16"/>
      <c r="CCT91" s="16"/>
      <c r="CCU91" s="16"/>
      <c r="CCV91" s="16"/>
      <c r="CCW91" s="16"/>
      <c r="CCX91" s="16"/>
      <c r="CCY91" s="16"/>
      <c r="CCZ91" s="16"/>
      <c r="CDA91" s="16"/>
      <c r="CDB91" s="16"/>
      <c r="CDC91" s="16"/>
      <c r="CDD91" s="16"/>
      <c r="CDE91" s="16"/>
      <c r="CDF91" s="16"/>
      <c r="CDG91" s="16"/>
      <c r="CDH91" s="16"/>
      <c r="CDI91" s="16"/>
      <c r="CDJ91" s="16"/>
      <c r="CDK91" s="16"/>
      <c r="CDL91" s="16"/>
      <c r="CDM91" s="16"/>
      <c r="CDN91" s="16"/>
      <c r="CDO91" s="16"/>
      <c r="CDP91" s="16"/>
      <c r="CDQ91" s="16"/>
      <c r="CDR91" s="16"/>
      <c r="CDS91" s="16"/>
      <c r="CDT91" s="16"/>
      <c r="CDU91" s="16"/>
      <c r="CDV91" s="16"/>
      <c r="CDW91" s="16"/>
      <c r="CDX91" s="16"/>
      <c r="CDY91" s="16"/>
      <c r="CDZ91" s="16"/>
      <c r="CEA91" s="16"/>
      <c r="CEB91" s="16"/>
      <c r="CEC91" s="16"/>
      <c r="CED91" s="16"/>
      <c r="CEE91" s="16"/>
      <c r="CEF91" s="16"/>
      <c r="CEG91" s="16"/>
      <c r="CEH91" s="16"/>
      <c r="CEI91" s="16"/>
      <c r="CEJ91" s="16"/>
      <c r="CEK91" s="16"/>
      <c r="CEL91" s="16"/>
      <c r="CEM91" s="16"/>
      <c r="CEN91" s="16"/>
      <c r="CEO91" s="16"/>
      <c r="CEP91" s="16"/>
      <c r="CEQ91" s="16"/>
      <c r="CER91" s="16"/>
      <c r="CES91" s="16"/>
      <c r="CET91" s="16"/>
      <c r="CEU91" s="16"/>
      <c r="CEV91" s="16"/>
      <c r="CEW91" s="16"/>
      <c r="CEX91" s="16"/>
      <c r="CEY91" s="16"/>
      <c r="CEZ91" s="16"/>
      <c r="CFA91" s="16"/>
      <c r="CFB91" s="16"/>
      <c r="CFC91" s="16"/>
      <c r="CFD91" s="16"/>
      <c r="CFE91" s="16"/>
      <c r="CFF91" s="16"/>
      <c r="CFG91" s="16"/>
      <c r="CFH91" s="16"/>
      <c r="CFI91" s="16"/>
      <c r="CFJ91" s="16"/>
      <c r="CFK91" s="16"/>
      <c r="CFL91" s="16"/>
      <c r="CFM91" s="16"/>
      <c r="CFN91" s="16"/>
      <c r="CFO91" s="16"/>
      <c r="CFP91" s="16"/>
      <c r="CFQ91" s="16"/>
      <c r="CFR91" s="16"/>
      <c r="CFS91" s="16"/>
      <c r="CFT91" s="16"/>
      <c r="CFU91" s="16"/>
      <c r="CFV91" s="16"/>
      <c r="CFW91" s="16"/>
      <c r="CFX91" s="16"/>
      <c r="CFY91" s="16"/>
      <c r="CFZ91" s="16"/>
      <c r="CGA91" s="16"/>
      <c r="CGB91" s="16"/>
      <c r="CGC91" s="16"/>
      <c r="CGD91" s="16"/>
      <c r="CGE91" s="16"/>
      <c r="CGF91" s="16"/>
      <c r="CGG91" s="16"/>
      <c r="CGH91" s="16"/>
      <c r="CGI91" s="16"/>
      <c r="CGJ91" s="16"/>
      <c r="CGK91" s="16"/>
      <c r="CGL91" s="16"/>
      <c r="CGM91" s="16"/>
      <c r="CGN91" s="16"/>
      <c r="CGO91" s="16"/>
      <c r="CGP91" s="16"/>
      <c r="CGQ91" s="16"/>
      <c r="CGR91" s="16"/>
      <c r="CGS91" s="16"/>
      <c r="CGT91" s="16"/>
      <c r="CGU91" s="16"/>
      <c r="CGV91" s="16"/>
      <c r="CGW91" s="16"/>
      <c r="CGX91" s="16"/>
      <c r="CGY91" s="16"/>
      <c r="CGZ91" s="16"/>
      <c r="CHA91" s="16"/>
      <c r="CHB91" s="16"/>
      <c r="CHC91" s="16"/>
      <c r="CHD91" s="16"/>
      <c r="CHE91" s="16"/>
      <c r="CHF91" s="16"/>
      <c r="CHG91" s="16"/>
      <c r="CHH91" s="16"/>
      <c r="CHI91" s="16"/>
      <c r="CHJ91" s="16"/>
      <c r="CHK91" s="16"/>
      <c r="CHL91" s="16"/>
      <c r="CHM91" s="16"/>
      <c r="CHN91" s="16"/>
      <c r="CHO91" s="16"/>
      <c r="CHP91" s="16"/>
      <c r="CHQ91" s="16"/>
      <c r="CHR91" s="16"/>
      <c r="CHS91" s="16"/>
      <c r="CHT91" s="16"/>
      <c r="CHU91" s="16"/>
      <c r="CHV91" s="16"/>
      <c r="CHW91" s="16"/>
      <c r="CHX91" s="16"/>
      <c r="CHY91" s="16"/>
      <c r="CHZ91" s="16"/>
      <c r="CIA91" s="16"/>
      <c r="CIB91" s="16"/>
      <c r="CIC91" s="16"/>
      <c r="CID91" s="16"/>
      <c r="CIE91" s="16"/>
      <c r="CIF91" s="16"/>
      <c r="CIG91" s="16"/>
      <c r="CIH91" s="16"/>
      <c r="CII91" s="16"/>
      <c r="CIJ91" s="16"/>
      <c r="CIK91" s="16"/>
      <c r="CIL91" s="16"/>
      <c r="CIM91" s="16"/>
      <c r="CIN91" s="16"/>
      <c r="CIO91" s="16"/>
      <c r="CIP91" s="16"/>
      <c r="CIQ91" s="16"/>
      <c r="CIR91" s="16"/>
      <c r="CIS91" s="16"/>
      <c r="CIT91" s="16"/>
      <c r="CIU91" s="16"/>
      <c r="CIV91" s="16"/>
      <c r="CIW91" s="16"/>
      <c r="CIX91" s="16"/>
      <c r="CIY91" s="16"/>
      <c r="CIZ91" s="16"/>
      <c r="CJA91" s="16"/>
      <c r="CJB91" s="16"/>
      <c r="CJC91" s="16"/>
      <c r="CJD91" s="16"/>
      <c r="CJE91" s="16"/>
      <c r="CJF91" s="16"/>
      <c r="CJG91" s="16"/>
      <c r="CJH91" s="16"/>
      <c r="CJI91" s="16"/>
      <c r="CJJ91" s="16"/>
      <c r="CJK91" s="16"/>
      <c r="CJL91" s="16"/>
      <c r="CJM91" s="16"/>
      <c r="CJN91" s="16"/>
      <c r="CJO91" s="16"/>
      <c r="CJP91" s="16"/>
      <c r="CJQ91" s="16"/>
      <c r="CJR91" s="16"/>
      <c r="CJS91" s="16"/>
      <c r="CJT91" s="16"/>
      <c r="CJU91" s="16"/>
      <c r="CJV91" s="16"/>
      <c r="CJW91" s="16"/>
      <c r="CJX91" s="16"/>
      <c r="CJY91" s="16"/>
      <c r="CJZ91" s="16"/>
      <c r="CKA91" s="16"/>
      <c r="CKB91" s="16"/>
      <c r="CKC91" s="16"/>
      <c r="CKD91" s="16"/>
      <c r="CKE91" s="16"/>
      <c r="CKF91" s="16"/>
      <c r="CKG91" s="16"/>
      <c r="CKH91" s="16"/>
      <c r="CKI91" s="16"/>
      <c r="CKJ91" s="16"/>
      <c r="CKK91" s="16"/>
      <c r="CKL91" s="16"/>
      <c r="CKM91" s="16"/>
      <c r="CKN91" s="16"/>
      <c r="CKO91" s="16"/>
      <c r="CKP91" s="16"/>
      <c r="CKQ91" s="16"/>
      <c r="CKR91" s="16"/>
      <c r="CKS91" s="16"/>
      <c r="CKT91" s="16"/>
      <c r="CKU91" s="16"/>
      <c r="CKV91" s="16"/>
      <c r="CKW91" s="16"/>
      <c r="CKX91" s="16"/>
      <c r="CKY91" s="16"/>
      <c r="CKZ91" s="16"/>
      <c r="CLA91" s="16"/>
      <c r="CLB91" s="16"/>
      <c r="CLC91" s="16"/>
      <c r="CLD91" s="16"/>
      <c r="CLE91" s="16"/>
      <c r="CLF91" s="16"/>
      <c r="CLG91" s="16"/>
      <c r="CLH91" s="16"/>
      <c r="CLI91" s="16"/>
      <c r="CLJ91" s="16"/>
      <c r="CLK91" s="16"/>
      <c r="CLL91" s="16"/>
      <c r="CLM91" s="16"/>
      <c r="CLN91" s="16"/>
      <c r="CLO91" s="16"/>
      <c r="CLP91" s="16"/>
      <c r="CLQ91" s="16"/>
      <c r="CLR91" s="16"/>
      <c r="CLS91" s="16"/>
      <c r="CLT91" s="16"/>
      <c r="CLU91" s="16"/>
      <c r="CLV91" s="16"/>
      <c r="CLW91" s="16"/>
      <c r="CLX91" s="16"/>
      <c r="CLY91" s="16"/>
      <c r="CLZ91" s="16"/>
      <c r="CMA91" s="16"/>
      <c r="CMB91" s="16"/>
      <c r="CMC91" s="16"/>
      <c r="CMD91" s="16"/>
      <c r="CME91" s="16"/>
      <c r="CMF91" s="16"/>
      <c r="CMG91" s="16"/>
      <c r="CMH91" s="16"/>
      <c r="CMI91" s="16"/>
      <c r="CMJ91" s="16"/>
      <c r="CMK91" s="16"/>
      <c r="CML91" s="16"/>
      <c r="CMM91" s="16"/>
      <c r="CMN91" s="16"/>
      <c r="CMO91" s="16"/>
      <c r="CMP91" s="16"/>
      <c r="CMQ91" s="16"/>
      <c r="CMR91" s="16"/>
      <c r="CMS91" s="16"/>
      <c r="CMT91" s="16"/>
      <c r="CMU91" s="16"/>
      <c r="CMV91" s="16"/>
      <c r="CMW91" s="16"/>
      <c r="CMX91" s="16"/>
      <c r="CMY91" s="16"/>
      <c r="CMZ91" s="16"/>
      <c r="CNA91" s="16"/>
      <c r="CNB91" s="16"/>
      <c r="CNC91" s="16"/>
      <c r="CND91" s="16"/>
      <c r="CNE91" s="16"/>
      <c r="CNF91" s="16"/>
      <c r="CNG91" s="16"/>
      <c r="CNH91" s="16"/>
      <c r="CNI91" s="16"/>
      <c r="CNJ91" s="16"/>
      <c r="CNK91" s="16"/>
      <c r="CNL91" s="16"/>
      <c r="CNM91" s="16"/>
      <c r="CNN91" s="16"/>
      <c r="CNO91" s="16"/>
      <c r="CNP91" s="16"/>
      <c r="CNQ91" s="16"/>
      <c r="CNR91" s="16"/>
      <c r="CNS91" s="16"/>
      <c r="CNT91" s="16"/>
      <c r="CNU91" s="16"/>
      <c r="CNV91" s="16"/>
      <c r="CNW91" s="16"/>
      <c r="CNX91" s="16"/>
      <c r="CNY91" s="16"/>
      <c r="CNZ91" s="16"/>
      <c r="COA91" s="16"/>
      <c r="COB91" s="16"/>
      <c r="COC91" s="16"/>
      <c r="COD91" s="16"/>
      <c r="COE91" s="16"/>
      <c r="COF91" s="16"/>
      <c r="COG91" s="16"/>
      <c r="COH91" s="16"/>
      <c r="COI91" s="16"/>
      <c r="COJ91" s="16"/>
      <c r="COK91" s="16"/>
      <c r="COL91" s="16"/>
      <c r="COM91" s="16"/>
      <c r="CON91" s="16"/>
      <c r="COO91" s="16"/>
      <c r="COP91" s="16"/>
      <c r="COQ91" s="16"/>
      <c r="COR91" s="16"/>
      <c r="COS91" s="16"/>
      <c r="COT91" s="16"/>
      <c r="COU91" s="16"/>
      <c r="COV91" s="16"/>
      <c r="COW91" s="16"/>
      <c r="COX91" s="16"/>
      <c r="COY91" s="16"/>
      <c r="COZ91" s="16"/>
      <c r="CPA91" s="16"/>
      <c r="CPB91" s="16"/>
      <c r="CPC91" s="16"/>
      <c r="CPD91" s="16"/>
      <c r="CPE91" s="16"/>
      <c r="CPF91" s="16"/>
      <c r="CPG91" s="16"/>
      <c r="CPH91" s="16"/>
      <c r="CPI91" s="16"/>
      <c r="CPJ91" s="16"/>
      <c r="CPK91" s="16"/>
      <c r="CPL91" s="16"/>
      <c r="CPM91" s="16"/>
      <c r="CPN91" s="16"/>
      <c r="CPO91" s="16"/>
      <c r="CPP91" s="16"/>
      <c r="CPQ91" s="16"/>
      <c r="CPR91" s="16"/>
      <c r="CPS91" s="16"/>
      <c r="CPT91" s="16"/>
      <c r="CPU91" s="16"/>
      <c r="CPV91" s="16"/>
      <c r="CPW91" s="16"/>
      <c r="CPX91" s="16"/>
      <c r="CPY91" s="16"/>
      <c r="CPZ91" s="16"/>
      <c r="CQA91" s="16"/>
      <c r="CQB91" s="16"/>
      <c r="CQC91" s="16"/>
      <c r="CQD91" s="16"/>
      <c r="CQE91" s="16"/>
      <c r="CQF91" s="16"/>
      <c r="CQG91" s="16"/>
      <c r="CQH91" s="16"/>
      <c r="CQI91" s="16"/>
      <c r="CQJ91" s="16"/>
      <c r="CQK91" s="16"/>
      <c r="CQL91" s="16"/>
      <c r="CQM91" s="16"/>
      <c r="CQN91" s="16"/>
      <c r="CQO91" s="16"/>
      <c r="CQP91" s="16"/>
      <c r="CQQ91" s="16"/>
      <c r="CQR91" s="16"/>
      <c r="CQS91" s="16"/>
      <c r="CQT91" s="16"/>
      <c r="CQU91" s="16"/>
      <c r="CQV91" s="16"/>
      <c r="CQW91" s="16"/>
      <c r="CQX91" s="16"/>
      <c r="CQY91" s="16"/>
      <c r="CQZ91" s="16"/>
      <c r="CRA91" s="16"/>
      <c r="CRB91" s="16"/>
      <c r="CRC91" s="16"/>
      <c r="CRD91" s="16"/>
      <c r="CRE91" s="16"/>
      <c r="CRF91" s="16"/>
      <c r="CRG91" s="16"/>
      <c r="CRH91" s="16"/>
      <c r="CRI91" s="16"/>
      <c r="CRJ91" s="16"/>
      <c r="CRK91" s="16"/>
      <c r="CRL91" s="16"/>
      <c r="CRM91" s="16"/>
      <c r="CRN91" s="16"/>
      <c r="CRO91" s="16"/>
      <c r="CRP91" s="16"/>
      <c r="CRQ91" s="16"/>
      <c r="CRR91" s="16"/>
      <c r="CRS91" s="16"/>
      <c r="CRT91" s="16"/>
      <c r="CRU91" s="16"/>
      <c r="CRV91" s="16"/>
      <c r="CRW91" s="16"/>
      <c r="CRX91" s="16"/>
      <c r="CRY91" s="16"/>
      <c r="CRZ91" s="16"/>
      <c r="CSA91" s="16"/>
      <c r="CSB91" s="16"/>
      <c r="CSC91" s="16"/>
      <c r="CSD91" s="16"/>
      <c r="CSE91" s="16"/>
      <c r="CSF91" s="16"/>
      <c r="CSG91" s="16"/>
      <c r="CSH91" s="16"/>
      <c r="CSI91" s="16"/>
      <c r="CSJ91" s="16"/>
      <c r="CSK91" s="24"/>
      <c r="CSL91" s="16"/>
      <c r="CSM91" s="16"/>
      <c r="CSN91" s="16"/>
      <c r="CSO91" s="16"/>
      <c r="CSP91" s="16"/>
      <c r="CUG91" s="16"/>
      <c r="CUH91" s="16"/>
      <c r="CUI91" s="16"/>
      <c r="CUJ91" s="16"/>
      <c r="CUK91" s="16"/>
      <c r="CUL91" s="16"/>
      <c r="CUM91" s="16"/>
      <c r="CUN91" s="16"/>
      <c r="CUO91" s="16"/>
      <c r="CUP91" s="16"/>
      <c r="CUQ91" s="16"/>
      <c r="CUR91" s="16"/>
      <c r="CUS91" s="16"/>
      <c r="CUT91" s="16"/>
      <c r="CUU91" s="16"/>
      <c r="CUV91" s="16"/>
      <c r="CUW91" s="16"/>
      <c r="CUX91" s="16"/>
      <c r="CUY91" s="16"/>
      <c r="CUZ91" s="16"/>
      <c r="CVA91" s="16"/>
      <c r="CVB91" s="16"/>
      <c r="CVC91" s="16"/>
      <c r="CVD91" s="16"/>
      <c r="CVE91" s="16"/>
      <c r="CVF91" s="16"/>
      <c r="CVG91" s="16"/>
      <c r="CVH91" s="16"/>
      <c r="CVI91" s="16"/>
      <c r="CVJ91" s="16"/>
      <c r="CVK91" s="16"/>
      <c r="CVL91" s="16"/>
      <c r="CVM91" s="16"/>
      <c r="CVN91" s="16"/>
      <c r="CVO91" s="16"/>
      <c r="CVP91" s="16"/>
    </row>
    <row r="92" spans="3:2616" ht="13.8" x14ac:dyDescent="0.25">
      <c r="C92" s="57"/>
      <c r="E92" s="16"/>
      <c r="K92" s="59"/>
      <c r="L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6"/>
      <c r="FD92" s="16"/>
      <c r="FE92" s="16"/>
      <c r="FF92" s="16"/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/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/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/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/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/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/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/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/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/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/>
      <c r="LR92" s="16"/>
      <c r="LS92" s="16"/>
      <c r="LT92" s="16"/>
      <c r="LU92" s="16"/>
      <c r="LV92" s="16"/>
      <c r="LW92" s="16"/>
      <c r="LX92" s="16"/>
      <c r="LY92" s="16"/>
      <c r="LZ92" s="16"/>
      <c r="MA92" s="16"/>
      <c r="MB92" s="16"/>
      <c r="MC92" s="16"/>
      <c r="MD92" s="16"/>
      <c r="ME92" s="16"/>
      <c r="MF92" s="16"/>
      <c r="MG92" s="16"/>
      <c r="MH92" s="16"/>
      <c r="MI92" s="16"/>
      <c r="MJ92" s="16"/>
      <c r="MK92" s="16"/>
      <c r="ML92" s="16"/>
      <c r="MM92" s="16"/>
      <c r="MN92" s="16"/>
      <c r="MO92" s="16"/>
      <c r="MP92" s="16"/>
      <c r="MQ92" s="16"/>
      <c r="MR92" s="16"/>
      <c r="MS92" s="16"/>
      <c r="MT92" s="16"/>
      <c r="MU92" s="16"/>
      <c r="MV92" s="16"/>
      <c r="MW92" s="16"/>
      <c r="MX92" s="16"/>
      <c r="MY92" s="16"/>
      <c r="MZ92" s="16"/>
      <c r="NA92" s="16"/>
      <c r="NB92" s="16"/>
      <c r="NC92" s="16"/>
      <c r="ND92" s="16"/>
      <c r="NE92" s="16"/>
      <c r="NF92" s="16"/>
      <c r="NG92" s="16"/>
      <c r="NH92" s="16"/>
      <c r="NI92" s="16"/>
      <c r="NJ92" s="16"/>
      <c r="NK92" s="16"/>
      <c r="NL92" s="16"/>
      <c r="NM92" s="16"/>
      <c r="NN92" s="16"/>
      <c r="NO92" s="16"/>
      <c r="NP92" s="16"/>
      <c r="NQ92" s="16"/>
      <c r="NR92" s="16"/>
      <c r="NS92" s="16"/>
      <c r="NT92" s="16"/>
      <c r="NU92" s="16"/>
      <c r="NV92" s="16"/>
      <c r="NW92" s="16"/>
      <c r="NX92" s="16"/>
      <c r="NY92" s="16"/>
      <c r="NZ92" s="16"/>
      <c r="OA92" s="16"/>
      <c r="OB92" s="16"/>
      <c r="OC92" s="16"/>
      <c r="OD92" s="16"/>
      <c r="OE92" s="16"/>
      <c r="OF92" s="16"/>
      <c r="OG92" s="16"/>
      <c r="OH92" s="16"/>
      <c r="OI92" s="16"/>
      <c r="OJ92" s="16"/>
      <c r="OK92" s="16"/>
      <c r="OL92" s="16"/>
      <c r="OM92" s="16"/>
      <c r="ON92" s="16"/>
      <c r="OO92" s="16"/>
      <c r="OP92" s="16"/>
      <c r="OQ92" s="16"/>
      <c r="OR92" s="16"/>
      <c r="OS92" s="16"/>
      <c r="OT92" s="16"/>
      <c r="OU92" s="16"/>
      <c r="OV92" s="16"/>
      <c r="OW92" s="16"/>
      <c r="OX92" s="16"/>
      <c r="OY92" s="16"/>
      <c r="OZ92" s="16"/>
      <c r="PA92" s="16"/>
      <c r="PB92" s="16"/>
      <c r="PC92" s="16"/>
      <c r="PD92" s="16"/>
      <c r="PE92" s="16"/>
      <c r="PF92" s="16"/>
      <c r="PG92" s="16"/>
      <c r="PH92" s="16"/>
      <c r="PI92" s="16"/>
      <c r="PJ92" s="16"/>
      <c r="PK92" s="16"/>
      <c r="PL92" s="16"/>
      <c r="PM92" s="16"/>
      <c r="PN92" s="16"/>
      <c r="PO92" s="16"/>
      <c r="PP92" s="16"/>
      <c r="PQ92" s="16"/>
      <c r="PR92" s="16"/>
      <c r="PS92" s="16"/>
      <c r="PT92" s="16"/>
      <c r="PU92" s="16"/>
      <c r="PV92" s="16"/>
      <c r="PW92" s="16"/>
      <c r="PX92" s="16"/>
      <c r="PY92" s="16"/>
      <c r="PZ92" s="16"/>
      <c r="QA92" s="16"/>
      <c r="QB92" s="16"/>
      <c r="QC92" s="16"/>
      <c r="QD92" s="16"/>
      <c r="QE92" s="16"/>
      <c r="QF92" s="16"/>
      <c r="QG92" s="16"/>
      <c r="QH92" s="16"/>
      <c r="QI92" s="16"/>
      <c r="QJ92" s="16"/>
      <c r="QK92" s="16"/>
      <c r="QL92" s="16"/>
      <c r="QM92" s="16"/>
      <c r="QN92" s="16"/>
      <c r="QO92" s="16"/>
      <c r="QP92" s="16"/>
      <c r="QQ92" s="16"/>
      <c r="QR92" s="16"/>
      <c r="QS92" s="16"/>
      <c r="QT92" s="16"/>
      <c r="QU92" s="16"/>
      <c r="QV92" s="16"/>
      <c r="QW92" s="16"/>
      <c r="QX92" s="16"/>
      <c r="QY92" s="16"/>
      <c r="QZ92" s="16"/>
      <c r="RA92" s="16"/>
      <c r="RB92" s="16"/>
      <c r="RC92" s="16"/>
      <c r="RD92" s="16"/>
      <c r="RE92" s="16"/>
      <c r="RF92" s="16"/>
      <c r="RG92" s="16"/>
      <c r="RH92" s="16"/>
      <c r="RI92" s="16"/>
      <c r="RJ92" s="16"/>
      <c r="RK92" s="16"/>
      <c r="RL92" s="16"/>
      <c r="RM92" s="16"/>
      <c r="RN92" s="16"/>
      <c r="RO92" s="16"/>
      <c r="RP92" s="16"/>
      <c r="RQ92" s="16"/>
      <c r="RR92" s="16"/>
      <c r="RS92" s="16"/>
      <c r="RT92" s="16"/>
      <c r="RU92" s="16"/>
      <c r="RV92" s="16"/>
      <c r="RW92" s="16"/>
      <c r="RX92" s="16"/>
      <c r="RY92" s="16"/>
      <c r="RZ92" s="16"/>
      <c r="SA92" s="16"/>
      <c r="SB92" s="16"/>
      <c r="SC92" s="16"/>
      <c r="SD92" s="16"/>
      <c r="SE92" s="16"/>
      <c r="SF92" s="16"/>
      <c r="SG92" s="16"/>
      <c r="SH92" s="16"/>
      <c r="SI92" s="16"/>
      <c r="SJ92" s="16"/>
      <c r="SK92" s="16"/>
      <c r="SL92" s="16"/>
      <c r="SM92" s="16"/>
      <c r="SN92" s="16"/>
      <c r="SO92" s="16"/>
      <c r="SP92" s="16"/>
      <c r="SQ92" s="16"/>
      <c r="SR92" s="16"/>
      <c r="SS92" s="16"/>
      <c r="ST92" s="16"/>
      <c r="SU92" s="16"/>
      <c r="SV92" s="16"/>
      <c r="SW92" s="16"/>
      <c r="SX92" s="16"/>
      <c r="SY92" s="16"/>
      <c r="SZ92" s="16"/>
      <c r="TA92" s="16"/>
      <c r="TB92" s="16"/>
      <c r="TC92" s="16"/>
      <c r="TD92" s="16"/>
      <c r="TE92" s="16"/>
      <c r="TF92" s="16"/>
      <c r="TG92" s="16"/>
      <c r="TH92" s="16"/>
      <c r="TI92" s="16"/>
      <c r="TJ92" s="16"/>
      <c r="TK92" s="16"/>
      <c r="TL92" s="16"/>
      <c r="TM92" s="16"/>
      <c r="TN92" s="16"/>
      <c r="TO92" s="16"/>
      <c r="TP92" s="16"/>
      <c r="TQ92" s="16"/>
      <c r="TR92" s="16"/>
      <c r="TS92" s="16"/>
      <c r="TT92" s="16"/>
      <c r="TU92" s="16"/>
      <c r="TV92" s="16"/>
      <c r="TW92" s="16"/>
      <c r="TX92" s="16"/>
      <c r="TY92" s="16"/>
      <c r="TZ92" s="16"/>
      <c r="UA92" s="16"/>
      <c r="UB92" s="16"/>
      <c r="UC92" s="16"/>
      <c r="UD92" s="16"/>
      <c r="UE92" s="16"/>
      <c r="UF92" s="16"/>
      <c r="UG92" s="16"/>
      <c r="UH92" s="16"/>
      <c r="UI92" s="16"/>
      <c r="UJ92" s="16"/>
      <c r="UK92" s="16"/>
      <c r="UL92" s="16"/>
      <c r="UM92" s="16"/>
      <c r="UN92" s="16"/>
      <c r="UO92" s="16"/>
      <c r="UP92" s="16"/>
      <c r="UQ92" s="16"/>
      <c r="UR92" s="16"/>
      <c r="US92" s="16"/>
      <c r="UT92" s="16"/>
      <c r="UU92" s="16"/>
      <c r="UV92" s="16"/>
      <c r="UW92" s="16"/>
      <c r="UX92" s="16"/>
      <c r="UY92" s="16"/>
      <c r="UZ92" s="16"/>
      <c r="VA92" s="16"/>
      <c r="VB92" s="16"/>
      <c r="VC92" s="16"/>
      <c r="VD92" s="16"/>
      <c r="VE92" s="16"/>
      <c r="VF92" s="16"/>
      <c r="VG92" s="16"/>
      <c r="VH92" s="16"/>
      <c r="VI92" s="16"/>
      <c r="VJ92" s="16"/>
      <c r="VK92" s="16"/>
      <c r="VL92" s="16"/>
      <c r="VM92" s="16"/>
      <c r="VN92" s="16"/>
      <c r="VO92" s="16"/>
      <c r="VP92" s="16"/>
      <c r="VQ92" s="16"/>
      <c r="VR92" s="16"/>
      <c r="VS92" s="16"/>
      <c r="VT92" s="16"/>
      <c r="VU92" s="16"/>
      <c r="VV92" s="16"/>
      <c r="VW92" s="16"/>
      <c r="VX92" s="16"/>
      <c r="VY92" s="16"/>
      <c r="VZ92" s="16"/>
      <c r="WA92" s="16"/>
      <c r="WB92" s="16"/>
      <c r="WC92" s="16"/>
      <c r="WD92" s="16"/>
      <c r="WE92" s="16"/>
      <c r="WF92" s="16"/>
      <c r="WG92" s="16"/>
      <c r="WH92" s="16"/>
      <c r="WI92" s="16"/>
      <c r="WJ92" s="16"/>
      <c r="WK92" s="16"/>
      <c r="WL92" s="16"/>
      <c r="WM92" s="16"/>
      <c r="WN92" s="16"/>
      <c r="WO92" s="16"/>
      <c r="WP92" s="16"/>
      <c r="WQ92" s="16"/>
      <c r="WR92" s="16"/>
      <c r="WS92" s="16"/>
      <c r="WT92" s="16"/>
      <c r="WU92" s="16"/>
      <c r="WV92" s="16"/>
      <c r="WW92" s="16"/>
      <c r="WX92" s="16"/>
      <c r="WY92" s="16"/>
      <c r="WZ92" s="16"/>
      <c r="XA92" s="16"/>
      <c r="XB92" s="16"/>
      <c r="XC92" s="16"/>
      <c r="XD92" s="16"/>
      <c r="XE92" s="16"/>
      <c r="XF92" s="16"/>
      <c r="XG92" s="16"/>
      <c r="XH92" s="16"/>
      <c r="XI92" s="16"/>
      <c r="XJ92" s="16"/>
      <c r="XK92" s="16"/>
      <c r="XL92" s="16"/>
      <c r="XM92" s="16"/>
      <c r="XN92" s="16"/>
      <c r="XO92" s="16"/>
      <c r="XP92" s="16"/>
      <c r="XQ92" s="16"/>
      <c r="XR92" s="16"/>
      <c r="XS92" s="16"/>
      <c r="XT92" s="16"/>
      <c r="XU92" s="16"/>
      <c r="XV92" s="16"/>
      <c r="XW92" s="16"/>
      <c r="XX92" s="16"/>
      <c r="XY92" s="16"/>
      <c r="XZ92" s="16"/>
      <c r="YA92" s="16"/>
      <c r="YB92" s="16"/>
      <c r="YC92" s="16"/>
      <c r="YD92" s="16"/>
      <c r="YE92" s="16"/>
      <c r="YF92" s="16"/>
      <c r="YG92" s="16"/>
      <c r="YH92" s="16"/>
      <c r="YI92" s="16"/>
      <c r="YJ92" s="16"/>
      <c r="YK92" s="16"/>
      <c r="YL92" s="16"/>
      <c r="YM92" s="16"/>
      <c r="YN92" s="16"/>
      <c r="YO92" s="16"/>
      <c r="YP92" s="16"/>
      <c r="YQ92" s="16"/>
      <c r="YR92" s="16"/>
      <c r="YS92" s="16"/>
      <c r="YT92" s="16"/>
      <c r="YU92" s="16"/>
      <c r="YV92" s="16"/>
      <c r="YW92" s="16"/>
      <c r="YX92" s="16"/>
      <c r="YY92" s="16"/>
      <c r="YZ92" s="16"/>
      <c r="ZA92" s="16"/>
      <c r="ZB92" s="16"/>
      <c r="ZC92" s="16"/>
      <c r="ZD92" s="16"/>
      <c r="ZE92" s="16"/>
      <c r="ZF92" s="16"/>
      <c r="ZG92" s="16"/>
      <c r="ZH92" s="16"/>
      <c r="ZI92" s="16"/>
      <c r="ZJ92" s="16"/>
      <c r="ZK92" s="16"/>
      <c r="ZL92" s="16"/>
      <c r="ZM92" s="16"/>
      <c r="ZN92" s="16"/>
      <c r="ZO92" s="16"/>
      <c r="ZP92" s="16"/>
      <c r="ZQ92" s="16"/>
      <c r="ZR92" s="16"/>
      <c r="ZS92" s="16"/>
      <c r="ZT92" s="16"/>
      <c r="ZU92" s="16"/>
      <c r="ZV92" s="16"/>
      <c r="ZW92" s="16"/>
      <c r="ZX92" s="16"/>
      <c r="ZY92" s="16"/>
      <c r="ZZ92" s="16"/>
      <c r="AAA92" s="16"/>
      <c r="AAB92" s="16"/>
      <c r="AAC92" s="16"/>
      <c r="AAD92" s="16"/>
      <c r="AAE92" s="16"/>
      <c r="AAF92" s="16"/>
      <c r="AAG92" s="16"/>
      <c r="AAH92" s="16"/>
      <c r="AAI92" s="16"/>
      <c r="AAJ92" s="16"/>
      <c r="AAK92" s="16"/>
      <c r="AAL92" s="16"/>
      <c r="AAM92" s="16"/>
      <c r="AAN92" s="16"/>
      <c r="AAO92" s="16"/>
      <c r="AAP92" s="16"/>
      <c r="AAQ92" s="16"/>
      <c r="AAR92" s="16"/>
      <c r="AAS92" s="16"/>
      <c r="AAT92" s="16"/>
      <c r="AAU92" s="16"/>
      <c r="AAV92" s="16"/>
      <c r="AAW92" s="16"/>
      <c r="AAX92" s="16"/>
      <c r="AAY92" s="16"/>
      <c r="AAZ92" s="16"/>
      <c r="ABA92" s="16"/>
      <c r="ABB92" s="16"/>
      <c r="ABC92" s="16"/>
      <c r="ABD92" s="16"/>
      <c r="ABE92" s="16"/>
      <c r="ABF92" s="16"/>
      <c r="ABG92" s="16"/>
      <c r="ABH92" s="16"/>
      <c r="ABI92" s="16"/>
      <c r="ABJ92" s="16"/>
      <c r="ABK92" s="16"/>
      <c r="ABL92" s="16"/>
      <c r="ABM92" s="16"/>
      <c r="ABN92" s="16"/>
      <c r="ABO92" s="16"/>
      <c r="ABP92" s="16"/>
      <c r="ABQ92" s="16"/>
      <c r="ABR92" s="16"/>
      <c r="ABS92" s="16"/>
      <c r="ABT92" s="16"/>
      <c r="ABU92" s="16"/>
      <c r="ABV92" s="16"/>
      <c r="ABW92" s="16"/>
      <c r="ABX92" s="16"/>
      <c r="ABY92" s="16"/>
      <c r="ABZ92" s="16"/>
      <c r="ACA92" s="16"/>
      <c r="ACB92" s="16"/>
      <c r="ACC92" s="16"/>
      <c r="ACD92" s="16"/>
      <c r="ACE92" s="16"/>
      <c r="ACF92" s="16"/>
      <c r="ACG92" s="16"/>
      <c r="ACH92" s="16"/>
      <c r="ACI92" s="16"/>
      <c r="ACJ92" s="16"/>
      <c r="ACK92" s="16"/>
      <c r="ACL92" s="16"/>
      <c r="ACM92" s="16"/>
      <c r="ACN92" s="16"/>
      <c r="ACO92" s="16"/>
      <c r="ACP92" s="16"/>
      <c r="ACQ92" s="16"/>
      <c r="ACR92" s="16"/>
      <c r="ACS92" s="16"/>
      <c r="ACT92" s="16"/>
      <c r="ACU92" s="16"/>
      <c r="ACV92" s="16"/>
      <c r="ACW92" s="16"/>
      <c r="ACX92" s="16"/>
      <c r="ACY92" s="16"/>
      <c r="ACZ92" s="16"/>
      <c r="ADA92" s="16"/>
      <c r="ADB92" s="16"/>
      <c r="ADC92" s="16"/>
      <c r="ADD92" s="16"/>
      <c r="ADE92" s="16"/>
      <c r="ADF92" s="16"/>
      <c r="ADG92" s="16"/>
      <c r="ADH92" s="16"/>
      <c r="ADI92" s="16"/>
      <c r="ADJ92" s="16"/>
      <c r="ADK92" s="16"/>
      <c r="ADL92" s="16"/>
      <c r="ADM92" s="16"/>
      <c r="ADN92" s="16"/>
      <c r="ADO92" s="16"/>
      <c r="ADP92" s="16"/>
      <c r="ADQ92" s="16"/>
      <c r="ADR92" s="16"/>
      <c r="ADS92" s="16"/>
      <c r="ADT92" s="16"/>
      <c r="ADU92" s="16"/>
      <c r="ADV92" s="16"/>
      <c r="ADW92" s="16"/>
      <c r="ADX92" s="16"/>
      <c r="ADY92" s="16"/>
      <c r="ADZ92" s="16"/>
      <c r="AEA92" s="16"/>
      <c r="AEB92" s="16"/>
      <c r="AEC92" s="16"/>
      <c r="AED92" s="16"/>
      <c r="AEE92" s="16"/>
      <c r="AEF92" s="16"/>
      <c r="AEG92" s="16"/>
      <c r="AEH92" s="16"/>
      <c r="AEI92" s="16"/>
      <c r="AEJ92" s="16"/>
      <c r="AEK92" s="16"/>
      <c r="AEL92" s="16"/>
      <c r="AEM92" s="16"/>
      <c r="AEN92" s="16"/>
      <c r="AEO92" s="16"/>
      <c r="AEP92" s="16"/>
      <c r="AEQ92" s="16"/>
      <c r="AER92" s="16"/>
      <c r="AES92" s="16"/>
      <c r="AET92" s="16"/>
      <c r="AEU92" s="16"/>
      <c r="AEV92" s="16"/>
      <c r="AEW92" s="16"/>
      <c r="AEX92" s="16"/>
      <c r="AEY92" s="16"/>
      <c r="AEZ92" s="16"/>
      <c r="AFA92" s="16"/>
      <c r="AFB92" s="16"/>
      <c r="AFC92" s="16"/>
      <c r="AFD92" s="16"/>
      <c r="AFE92" s="16"/>
      <c r="AFF92" s="16"/>
      <c r="AFG92" s="16"/>
      <c r="AFH92" s="16"/>
      <c r="AFI92" s="16"/>
      <c r="AFJ92" s="16"/>
      <c r="AFK92" s="16"/>
      <c r="AFL92" s="16"/>
      <c r="AFM92" s="16"/>
      <c r="AFN92" s="16"/>
      <c r="AFO92" s="16"/>
      <c r="AFP92" s="16"/>
      <c r="AFQ92" s="16"/>
      <c r="AFR92" s="16"/>
      <c r="AFS92" s="16"/>
      <c r="AFT92" s="16"/>
      <c r="AFU92" s="16"/>
      <c r="AFV92" s="16"/>
      <c r="AFW92" s="16"/>
      <c r="AFX92" s="16"/>
      <c r="AFY92" s="16"/>
      <c r="AFZ92" s="16"/>
      <c r="AGA92" s="16"/>
      <c r="AGB92" s="16"/>
      <c r="AGC92" s="16"/>
      <c r="AGD92" s="16"/>
      <c r="AGE92" s="16"/>
      <c r="AGF92" s="16"/>
      <c r="AGG92" s="16"/>
      <c r="AGH92" s="16"/>
      <c r="AGI92" s="16"/>
      <c r="AGJ92" s="16"/>
      <c r="AGK92" s="16"/>
      <c r="AGL92" s="16"/>
      <c r="AGM92" s="16"/>
      <c r="AGN92" s="16"/>
      <c r="AGO92" s="16"/>
      <c r="AGP92" s="16"/>
      <c r="AGQ92" s="16"/>
      <c r="AGR92" s="16"/>
      <c r="AGS92" s="16"/>
      <c r="AGT92" s="16"/>
      <c r="AGU92" s="16"/>
      <c r="AGV92" s="16"/>
      <c r="AGW92" s="16"/>
      <c r="AGX92" s="16"/>
      <c r="AGY92" s="16"/>
      <c r="AGZ92" s="16"/>
      <c r="AHA92" s="16"/>
      <c r="AHB92" s="16"/>
      <c r="AHC92" s="16"/>
      <c r="AHD92" s="16"/>
      <c r="AHE92" s="16"/>
      <c r="AHF92" s="16"/>
      <c r="AHG92" s="16"/>
      <c r="AHH92" s="16"/>
      <c r="AHI92" s="16"/>
      <c r="AHJ92" s="16"/>
      <c r="AHK92" s="16"/>
      <c r="AHL92" s="16"/>
      <c r="AHM92" s="16"/>
      <c r="AHN92" s="16"/>
      <c r="AHO92" s="16"/>
      <c r="AHP92" s="16"/>
      <c r="AHQ92" s="16"/>
      <c r="AHR92" s="16"/>
      <c r="AHS92" s="16"/>
      <c r="AHT92" s="16"/>
      <c r="AHU92" s="16"/>
      <c r="AHV92" s="16"/>
      <c r="AHW92" s="16"/>
      <c r="AHX92" s="16"/>
      <c r="AHY92" s="16"/>
      <c r="AHZ92" s="16"/>
      <c r="AIA92" s="16"/>
      <c r="AIB92" s="16"/>
      <c r="AIC92" s="16"/>
      <c r="AID92" s="16"/>
      <c r="AIE92" s="16"/>
      <c r="AIF92" s="16"/>
      <c r="AIG92" s="16"/>
      <c r="AIH92" s="16"/>
      <c r="AII92" s="16"/>
      <c r="AIJ92" s="16"/>
      <c r="AIK92" s="16"/>
      <c r="AIL92" s="16"/>
      <c r="AIM92" s="16"/>
      <c r="AIN92" s="16"/>
      <c r="AIO92" s="16"/>
      <c r="AIP92" s="16"/>
      <c r="AIQ92" s="16"/>
      <c r="AIR92" s="16"/>
      <c r="AIS92" s="16"/>
      <c r="AIT92" s="16"/>
      <c r="AIU92" s="16"/>
      <c r="AIV92" s="16"/>
      <c r="AIW92" s="16"/>
      <c r="AIX92" s="16"/>
      <c r="AIY92" s="16"/>
      <c r="AIZ92" s="16"/>
      <c r="AJA92" s="16"/>
      <c r="AJB92" s="16"/>
      <c r="AJC92" s="16"/>
      <c r="AJD92" s="16"/>
      <c r="AJE92" s="16"/>
      <c r="AJF92" s="16"/>
      <c r="AJG92" s="16"/>
      <c r="AJH92" s="16"/>
      <c r="AJI92" s="16"/>
      <c r="AJJ92" s="16"/>
      <c r="AJK92" s="16"/>
      <c r="AJL92" s="16"/>
      <c r="AJM92" s="16"/>
      <c r="AJN92" s="16"/>
      <c r="AJO92" s="16"/>
      <c r="AJP92" s="16"/>
      <c r="AJQ92" s="16"/>
      <c r="AJR92" s="16"/>
      <c r="AJS92" s="16"/>
      <c r="AJT92" s="16"/>
      <c r="AJU92" s="16"/>
      <c r="AJV92" s="16"/>
      <c r="AJW92" s="16"/>
      <c r="AJX92" s="16"/>
      <c r="AJY92" s="16"/>
      <c r="AJZ92" s="16"/>
      <c r="AKA92" s="16"/>
      <c r="AKB92" s="16"/>
      <c r="AKC92" s="16"/>
      <c r="AKD92" s="16"/>
      <c r="AKE92" s="16"/>
      <c r="AKF92" s="16"/>
      <c r="AKG92" s="16"/>
      <c r="AKH92" s="16"/>
      <c r="AKI92" s="16"/>
      <c r="AKJ92" s="16"/>
      <c r="AKK92" s="16"/>
      <c r="AKL92" s="16"/>
      <c r="AKM92" s="16"/>
      <c r="AKN92" s="16"/>
      <c r="AKO92" s="16"/>
      <c r="AKP92" s="16"/>
      <c r="AKQ92" s="16"/>
      <c r="AKR92" s="16"/>
      <c r="AKS92" s="16"/>
      <c r="AKT92" s="16"/>
      <c r="AKU92" s="16"/>
      <c r="AKV92" s="16"/>
      <c r="AKW92" s="16"/>
      <c r="AKX92" s="16"/>
      <c r="AKY92" s="16"/>
      <c r="AKZ92" s="16"/>
      <c r="ALA92" s="16"/>
      <c r="ALB92" s="16"/>
      <c r="ALC92" s="16"/>
      <c r="ALD92" s="16"/>
      <c r="ALE92" s="16"/>
      <c r="ALF92" s="16"/>
      <c r="ALG92" s="16"/>
      <c r="ALH92" s="16"/>
      <c r="ALI92" s="16"/>
      <c r="ALJ92" s="16"/>
      <c r="ALK92" s="16"/>
      <c r="ALL92" s="16"/>
      <c r="ALM92" s="16"/>
      <c r="ALN92" s="16"/>
      <c r="ALO92" s="16"/>
      <c r="ALP92" s="16"/>
      <c r="ALQ92" s="16"/>
      <c r="ALR92" s="16"/>
      <c r="ALS92" s="16"/>
      <c r="ALT92" s="16"/>
      <c r="ALU92" s="16"/>
      <c r="ALV92" s="16"/>
      <c r="ALW92" s="16"/>
      <c r="ALX92" s="16"/>
      <c r="ALY92" s="16"/>
      <c r="ALZ92" s="16"/>
      <c r="AMA92" s="16"/>
      <c r="AMB92" s="16"/>
      <c r="AMC92" s="16"/>
      <c r="AMD92" s="16"/>
      <c r="AME92" s="16"/>
      <c r="AMF92" s="16"/>
      <c r="AMG92" s="16"/>
      <c r="AMH92" s="16"/>
      <c r="AMI92" s="16"/>
      <c r="AMJ92" s="16"/>
      <c r="AMK92" s="16"/>
      <c r="AML92" s="16"/>
      <c r="AMM92" s="16"/>
      <c r="AMN92" s="16"/>
      <c r="AMO92" s="16"/>
      <c r="AMP92" s="16"/>
      <c r="AMQ92" s="16"/>
      <c r="AMR92" s="16"/>
      <c r="AMS92" s="16"/>
      <c r="AMT92" s="16"/>
      <c r="AMU92" s="16"/>
      <c r="AMV92" s="16"/>
      <c r="AMW92" s="16"/>
      <c r="AMX92" s="16"/>
      <c r="AMY92" s="16"/>
      <c r="AMZ92" s="16"/>
      <c r="ANA92" s="16"/>
      <c r="ANB92" s="16"/>
      <c r="ANC92" s="16"/>
      <c r="AND92" s="16"/>
      <c r="ANE92" s="16"/>
      <c r="ANF92" s="16"/>
      <c r="ANG92" s="16"/>
      <c r="ANH92" s="16"/>
      <c r="ANI92" s="16"/>
      <c r="ANJ92" s="16"/>
      <c r="ANK92" s="16"/>
      <c r="ANL92" s="16"/>
      <c r="ANM92" s="16"/>
      <c r="ANN92" s="16"/>
      <c r="ANO92" s="16"/>
      <c r="ANP92" s="16"/>
      <c r="ANQ92" s="16"/>
      <c r="ANR92" s="16"/>
      <c r="ANS92" s="16"/>
      <c r="ANT92" s="16"/>
      <c r="ANU92" s="16"/>
      <c r="ANV92" s="16"/>
      <c r="ANW92" s="16"/>
      <c r="ANX92" s="16"/>
      <c r="ANY92" s="16"/>
      <c r="ANZ92" s="16"/>
      <c r="AOA92" s="16"/>
      <c r="AOB92" s="16"/>
      <c r="AOC92" s="16"/>
      <c r="AOD92" s="16"/>
      <c r="AOE92" s="16"/>
      <c r="AOF92" s="16"/>
      <c r="AOG92" s="16"/>
      <c r="AOH92" s="16"/>
      <c r="AOI92" s="16"/>
      <c r="AOJ92" s="16"/>
      <c r="AOK92" s="16"/>
      <c r="AOL92" s="16"/>
      <c r="AOM92" s="16"/>
      <c r="AON92" s="16"/>
      <c r="AOO92" s="16"/>
      <c r="AOP92" s="16"/>
      <c r="AOQ92" s="16"/>
      <c r="AOR92" s="16"/>
      <c r="AOS92" s="16"/>
      <c r="AOT92" s="16"/>
      <c r="AOU92" s="16"/>
      <c r="AOV92" s="16"/>
      <c r="AOW92" s="16"/>
      <c r="AOX92" s="16"/>
      <c r="AOY92" s="16"/>
      <c r="AOZ92" s="16"/>
      <c r="APA92" s="16"/>
      <c r="APB92" s="16"/>
      <c r="APC92" s="16"/>
      <c r="APD92" s="16"/>
      <c r="APE92" s="16"/>
      <c r="APF92" s="16"/>
      <c r="APG92" s="16"/>
      <c r="APH92" s="16"/>
      <c r="API92" s="16"/>
      <c r="APJ92" s="16"/>
      <c r="APK92" s="16"/>
      <c r="APL92" s="16"/>
      <c r="APM92" s="16"/>
      <c r="APN92" s="16"/>
      <c r="APO92" s="16"/>
      <c r="APP92" s="16"/>
      <c r="APQ92" s="16"/>
      <c r="APR92" s="16"/>
      <c r="APS92" s="16"/>
      <c r="APT92" s="16"/>
      <c r="APU92" s="16"/>
      <c r="APV92" s="16"/>
      <c r="APW92" s="16"/>
      <c r="APX92" s="16"/>
      <c r="APY92" s="16"/>
      <c r="APZ92" s="16"/>
      <c r="AQA92" s="16"/>
      <c r="AQB92" s="16"/>
      <c r="AQC92" s="16"/>
      <c r="AQD92" s="16"/>
      <c r="AQE92" s="16"/>
      <c r="AQF92" s="16"/>
      <c r="AQG92" s="16"/>
      <c r="AQH92" s="16"/>
      <c r="AQI92" s="16"/>
      <c r="AQJ92" s="16"/>
      <c r="AQK92" s="16"/>
      <c r="AQL92" s="16"/>
      <c r="AQM92" s="16"/>
      <c r="AQN92" s="16"/>
      <c r="AQO92" s="16"/>
      <c r="AQP92" s="16"/>
      <c r="AQQ92" s="16"/>
      <c r="AQR92" s="16"/>
      <c r="AQS92" s="16"/>
      <c r="AQT92" s="16"/>
      <c r="AQU92" s="16"/>
      <c r="AQV92" s="16"/>
      <c r="AQW92" s="16"/>
      <c r="AQX92" s="16"/>
      <c r="AQY92" s="16"/>
      <c r="AQZ92" s="16"/>
      <c r="ARA92" s="16"/>
      <c r="ARB92" s="16"/>
      <c r="ARC92" s="16"/>
      <c r="ARD92" s="16"/>
      <c r="ARE92" s="16"/>
      <c r="ARF92" s="16"/>
      <c r="ARG92" s="16"/>
      <c r="ARH92" s="16"/>
      <c r="ARI92" s="16"/>
      <c r="ARJ92" s="16"/>
      <c r="ARK92" s="16"/>
      <c r="ARL92" s="16"/>
      <c r="ARM92" s="16"/>
      <c r="ARN92" s="16"/>
      <c r="ARO92" s="16"/>
      <c r="ARP92" s="16"/>
      <c r="ARQ92" s="16"/>
      <c r="ARR92" s="16"/>
      <c r="ARS92" s="16"/>
      <c r="ART92" s="16"/>
      <c r="ARU92" s="16"/>
      <c r="ARV92" s="16"/>
      <c r="ARW92" s="16"/>
      <c r="ARX92" s="16"/>
      <c r="ARY92" s="16"/>
      <c r="ARZ92" s="16"/>
      <c r="ASA92" s="16"/>
      <c r="ASB92" s="16"/>
      <c r="ASC92" s="16"/>
      <c r="ASD92" s="16"/>
      <c r="ASE92" s="16"/>
      <c r="ASF92" s="16"/>
      <c r="ASG92" s="16"/>
      <c r="ASH92" s="16"/>
      <c r="ASI92" s="16"/>
      <c r="ASJ92" s="16"/>
      <c r="ASK92" s="16"/>
      <c r="ASL92" s="16"/>
      <c r="ASM92" s="16"/>
      <c r="ASN92" s="16"/>
      <c r="ASO92" s="16"/>
      <c r="ASP92" s="16"/>
      <c r="ASQ92" s="16"/>
      <c r="ASR92" s="16"/>
      <c r="ASS92" s="16"/>
      <c r="AST92" s="16"/>
      <c r="ASU92" s="16"/>
      <c r="ASV92" s="16"/>
      <c r="ASW92" s="16"/>
      <c r="ASX92" s="16"/>
      <c r="ASY92" s="16"/>
      <c r="ASZ92" s="16"/>
      <c r="ATA92" s="16"/>
      <c r="ATB92" s="16"/>
      <c r="ATC92" s="16"/>
      <c r="ATD92" s="16"/>
      <c r="ATE92" s="16"/>
      <c r="ATF92" s="16"/>
      <c r="ATG92" s="16"/>
      <c r="ATH92" s="16"/>
      <c r="ATI92" s="16"/>
      <c r="ATJ92" s="16"/>
      <c r="ATK92" s="16"/>
      <c r="ATL92" s="16"/>
      <c r="ATM92" s="16"/>
      <c r="ATN92" s="16"/>
      <c r="ATO92" s="16"/>
      <c r="ATP92" s="16"/>
      <c r="ATQ92" s="16"/>
      <c r="ATR92" s="16"/>
      <c r="ATS92" s="16"/>
      <c r="ATT92" s="16"/>
      <c r="ATU92" s="16"/>
      <c r="ATV92" s="16"/>
      <c r="ATW92" s="16"/>
      <c r="ATX92" s="16"/>
      <c r="ATY92" s="16"/>
      <c r="ATZ92" s="16"/>
      <c r="AUA92" s="16"/>
      <c r="AUB92" s="16"/>
      <c r="AUC92" s="16"/>
      <c r="AUD92" s="16"/>
      <c r="AUE92" s="16"/>
      <c r="AUF92" s="16"/>
      <c r="AUG92" s="16"/>
      <c r="AUH92" s="16"/>
      <c r="AUI92" s="16"/>
      <c r="AUJ92" s="16"/>
      <c r="AUK92" s="16"/>
      <c r="AUL92" s="16"/>
      <c r="AUM92" s="16"/>
      <c r="AUN92" s="16"/>
      <c r="AUO92" s="16"/>
      <c r="AUP92" s="16"/>
      <c r="AUQ92" s="16"/>
      <c r="AUR92" s="16"/>
      <c r="AUS92" s="16"/>
      <c r="AUT92" s="16"/>
      <c r="AUU92" s="16"/>
      <c r="AUV92" s="16"/>
      <c r="AUW92" s="16"/>
      <c r="AUX92" s="16"/>
      <c r="AUY92" s="16"/>
      <c r="AUZ92" s="16"/>
      <c r="AVA92" s="16"/>
      <c r="AVB92" s="16"/>
      <c r="AVC92" s="16"/>
      <c r="AVD92" s="16"/>
      <c r="AVE92" s="16"/>
      <c r="AVF92" s="16"/>
      <c r="AVG92" s="16"/>
      <c r="AVH92" s="16"/>
      <c r="AVI92" s="16"/>
      <c r="AVJ92" s="16"/>
      <c r="AVK92" s="16"/>
      <c r="AVL92" s="16"/>
      <c r="AVM92" s="16"/>
      <c r="AVN92" s="16"/>
      <c r="AVO92" s="16"/>
      <c r="AVP92" s="16"/>
      <c r="AVQ92" s="16"/>
      <c r="AVR92" s="16"/>
      <c r="AVS92" s="16"/>
      <c r="AVT92" s="16"/>
      <c r="AVU92" s="16"/>
      <c r="AVV92" s="16"/>
      <c r="AVW92" s="16"/>
      <c r="AVX92" s="16"/>
      <c r="AVY92" s="16"/>
      <c r="AVZ92" s="16"/>
      <c r="AWA92" s="16"/>
      <c r="AWB92" s="16"/>
      <c r="AWC92" s="16"/>
      <c r="AWD92" s="16"/>
      <c r="AWE92" s="16"/>
      <c r="AWF92" s="16"/>
      <c r="AWG92" s="16"/>
      <c r="AWH92" s="16"/>
      <c r="AWI92" s="16"/>
      <c r="AWJ92" s="16"/>
      <c r="AWK92" s="16"/>
      <c r="AWL92" s="16"/>
      <c r="AWM92" s="16"/>
      <c r="AWN92" s="16"/>
      <c r="AWO92" s="16"/>
      <c r="AWP92" s="16"/>
      <c r="AWQ92" s="16"/>
      <c r="AWR92" s="16"/>
      <c r="AWS92" s="16"/>
      <c r="AWT92" s="16"/>
      <c r="AWU92" s="16"/>
      <c r="AWV92" s="16"/>
      <c r="AWW92" s="16"/>
      <c r="AWX92" s="16"/>
      <c r="AWY92" s="16"/>
      <c r="AWZ92" s="16"/>
      <c r="AXA92" s="16"/>
      <c r="AXB92" s="16"/>
      <c r="AXC92" s="16"/>
      <c r="AXD92" s="16"/>
      <c r="AXE92" s="16"/>
      <c r="AXF92" s="16"/>
      <c r="AXG92" s="16"/>
      <c r="AXH92" s="16"/>
      <c r="AXI92" s="16"/>
      <c r="AXJ92" s="16"/>
      <c r="AXK92" s="16"/>
      <c r="AXL92" s="16"/>
      <c r="AXM92" s="16"/>
      <c r="AXN92" s="16"/>
      <c r="AXO92" s="16"/>
      <c r="AXP92" s="16"/>
      <c r="AXQ92" s="16"/>
      <c r="AXR92" s="16"/>
      <c r="AXS92" s="16"/>
      <c r="AXT92" s="16"/>
      <c r="AXU92" s="16"/>
      <c r="AXV92" s="16"/>
      <c r="AXW92" s="16"/>
      <c r="AXX92" s="16"/>
      <c r="AXY92" s="16"/>
      <c r="AXZ92" s="16"/>
      <c r="AYA92" s="16"/>
      <c r="AYB92" s="16"/>
      <c r="AYC92" s="16"/>
      <c r="AYD92" s="16"/>
      <c r="AYE92" s="16"/>
      <c r="AYF92" s="16"/>
      <c r="AYG92" s="16"/>
      <c r="AYH92" s="16"/>
      <c r="AYI92" s="16"/>
      <c r="AYJ92" s="16"/>
      <c r="AYK92" s="16"/>
      <c r="AYL92" s="16"/>
      <c r="AYM92" s="16"/>
      <c r="AYN92" s="16"/>
      <c r="AYO92" s="16"/>
      <c r="AYP92" s="16"/>
      <c r="AYQ92" s="16"/>
      <c r="AYR92" s="16"/>
      <c r="AYS92" s="16"/>
      <c r="AYT92" s="16"/>
      <c r="AYU92" s="16"/>
      <c r="AYV92" s="16"/>
      <c r="AYW92" s="16"/>
      <c r="AYX92" s="16"/>
      <c r="AYY92" s="16"/>
      <c r="AYZ92" s="16"/>
      <c r="AZA92" s="16"/>
      <c r="AZB92" s="16"/>
      <c r="AZC92" s="16"/>
      <c r="AZD92" s="16"/>
      <c r="AZE92" s="16"/>
      <c r="AZF92" s="16"/>
      <c r="AZG92" s="16"/>
      <c r="AZH92" s="16"/>
      <c r="AZI92" s="16"/>
      <c r="AZJ92" s="16"/>
      <c r="AZK92" s="16"/>
      <c r="AZL92" s="16"/>
      <c r="AZM92" s="16"/>
      <c r="AZN92" s="16"/>
      <c r="AZO92" s="16"/>
      <c r="AZP92" s="16"/>
      <c r="AZQ92" s="16"/>
      <c r="AZR92" s="16"/>
      <c r="AZS92" s="16"/>
      <c r="AZT92" s="16"/>
      <c r="AZU92" s="16"/>
      <c r="AZV92" s="16"/>
      <c r="AZW92" s="16"/>
      <c r="AZX92" s="16"/>
      <c r="AZY92" s="16"/>
      <c r="AZZ92" s="16"/>
      <c r="BAA92" s="16"/>
      <c r="BAB92" s="16"/>
      <c r="BAC92" s="16"/>
      <c r="BAD92" s="16"/>
      <c r="BAE92" s="16"/>
      <c r="BAF92" s="16"/>
      <c r="BAG92" s="16"/>
      <c r="BAH92" s="16"/>
      <c r="BAI92" s="16"/>
      <c r="BAJ92" s="16"/>
      <c r="BAK92" s="16"/>
      <c r="BAL92" s="16"/>
      <c r="BAM92" s="16"/>
      <c r="BAN92" s="16"/>
      <c r="BAO92" s="16"/>
      <c r="BAP92" s="16"/>
      <c r="BAQ92" s="16"/>
      <c r="BAR92" s="16"/>
      <c r="BAS92" s="16"/>
      <c r="BAT92" s="16"/>
      <c r="BAU92" s="16"/>
      <c r="BAV92" s="16"/>
      <c r="BAW92" s="16"/>
      <c r="BAX92" s="16"/>
      <c r="BAY92" s="16"/>
      <c r="BAZ92" s="16"/>
      <c r="BBA92" s="16"/>
      <c r="BBB92" s="16"/>
      <c r="BBC92" s="16"/>
      <c r="BBD92" s="16"/>
      <c r="BBE92" s="16"/>
      <c r="BBF92" s="16"/>
      <c r="BBG92" s="16"/>
      <c r="BBH92" s="16"/>
      <c r="BBI92" s="16"/>
      <c r="BBJ92" s="16"/>
      <c r="BBK92" s="16"/>
      <c r="BBL92" s="16"/>
      <c r="BBM92" s="16"/>
      <c r="BBN92" s="16"/>
      <c r="BBO92" s="16"/>
      <c r="BBP92" s="16"/>
      <c r="BBQ92" s="16"/>
      <c r="BBR92" s="16"/>
      <c r="BBS92" s="16"/>
      <c r="BBT92" s="16"/>
      <c r="BBU92" s="16"/>
      <c r="BBV92" s="16"/>
      <c r="BBW92" s="16"/>
      <c r="BBX92" s="16"/>
      <c r="BBY92" s="16"/>
      <c r="BBZ92" s="16"/>
      <c r="BCA92" s="16"/>
      <c r="BCB92" s="16"/>
      <c r="BCC92" s="16"/>
      <c r="BCD92" s="16"/>
      <c r="BCE92" s="16"/>
      <c r="BCF92" s="16"/>
      <c r="BCG92" s="16"/>
      <c r="BCH92" s="16"/>
      <c r="BCI92" s="16"/>
      <c r="BCJ92" s="16"/>
      <c r="BCK92" s="16"/>
      <c r="BCL92" s="16"/>
      <c r="BCM92" s="16"/>
      <c r="BCN92" s="16"/>
      <c r="BCO92" s="16"/>
      <c r="BCP92" s="16"/>
      <c r="BCQ92" s="16"/>
      <c r="BCR92" s="16"/>
      <c r="BCS92" s="16"/>
      <c r="BCT92" s="16"/>
      <c r="BCU92" s="16"/>
      <c r="BCV92" s="16"/>
      <c r="BCW92" s="16"/>
      <c r="BCX92" s="16"/>
      <c r="BCY92" s="16"/>
      <c r="BCZ92" s="16"/>
      <c r="BDA92" s="16"/>
      <c r="BDB92" s="16"/>
      <c r="BDC92" s="16"/>
      <c r="BDD92" s="16"/>
      <c r="BDE92" s="16"/>
      <c r="BDF92" s="16"/>
      <c r="BDG92" s="16"/>
      <c r="BDH92" s="16"/>
      <c r="BDI92" s="16"/>
      <c r="BDJ92" s="16"/>
      <c r="BDK92" s="16"/>
      <c r="BDL92" s="16"/>
      <c r="BDM92" s="16"/>
      <c r="BDN92" s="16"/>
      <c r="BDO92" s="16"/>
      <c r="BDP92" s="16"/>
      <c r="BDQ92" s="16"/>
      <c r="BDR92" s="16"/>
      <c r="BDS92" s="16"/>
      <c r="BDT92" s="16"/>
      <c r="BDU92" s="16"/>
      <c r="BDV92" s="16"/>
      <c r="BDW92" s="16"/>
      <c r="BDX92" s="16"/>
      <c r="BDY92" s="16"/>
      <c r="BDZ92" s="16"/>
      <c r="BEA92" s="16"/>
      <c r="BEB92" s="16"/>
      <c r="BEC92" s="16"/>
      <c r="BED92" s="16"/>
      <c r="BEE92" s="16"/>
      <c r="BEF92" s="16"/>
      <c r="BEG92" s="16"/>
      <c r="BEH92" s="16"/>
      <c r="BEI92" s="16"/>
      <c r="BEJ92" s="16"/>
      <c r="BEK92" s="16"/>
      <c r="BEL92" s="16"/>
      <c r="BEM92" s="16"/>
      <c r="BEN92" s="16"/>
      <c r="BEO92" s="16"/>
      <c r="BEP92" s="16"/>
      <c r="BEQ92" s="16"/>
      <c r="BER92" s="16"/>
      <c r="BES92" s="16"/>
      <c r="BET92" s="16"/>
      <c r="BEU92" s="16"/>
      <c r="BEV92" s="16"/>
      <c r="BEW92" s="16"/>
      <c r="BEX92" s="16"/>
      <c r="BEY92" s="16"/>
      <c r="BEZ92" s="16"/>
      <c r="BFA92" s="16"/>
      <c r="BFB92" s="16"/>
      <c r="BFC92" s="16"/>
      <c r="BFD92" s="16"/>
      <c r="BFE92" s="16"/>
      <c r="BFF92" s="16"/>
      <c r="BFG92" s="16"/>
      <c r="BFH92" s="16"/>
      <c r="BFI92" s="16"/>
      <c r="BFJ92" s="16"/>
      <c r="BFK92" s="16"/>
      <c r="BFL92" s="16"/>
      <c r="BFM92" s="16"/>
      <c r="BFN92" s="16"/>
      <c r="BFO92" s="16"/>
      <c r="BFP92" s="16"/>
      <c r="BFQ92" s="16"/>
      <c r="BFR92" s="16"/>
      <c r="BFS92" s="16"/>
      <c r="BFT92" s="16"/>
      <c r="BFU92" s="16"/>
      <c r="BFV92" s="16"/>
      <c r="BFW92" s="16"/>
      <c r="BFX92" s="16"/>
      <c r="BFY92" s="16"/>
      <c r="BFZ92" s="16"/>
      <c r="BGA92" s="16"/>
      <c r="BGB92" s="16"/>
      <c r="BGC92" s="16"/>
      <c r="BGD92" s="16"/>
      <c r="BGE92" s="16"/>
      <c r="BGF92" s="16"/>
      <c r="BGG92" s="16"/>
      <c r="BGH92" s="16"/>
      <c r="BGI92" s="16"/>
      <c r="BGJ92" s="16"/>
      <c r="BGK92" s="16"/>
      <c r="BGL92" s="16"/>
      <c r="BGM92" s="16"/>
      <c r="BGN92" s="16"/>
      <c r="BGO92" s="16"/>
      <c r="BGP92" s="16"/>
      <c r="BGQ92" s="16"/>
      <c r="BGR92" s="16"/>
      <c r="BGS92" s="16"/>
      <c r="BGT92" s="16"/>
      <c r="BGU92" s="16"/>
      <c r="BGV92" s="16"/>
      <c r="BGW92" s="16"/>
      <c r="BGX92" s="16"/>
      <c r="BGY92" s="16"/>
      <c r="BGZ92" s="16"/>
      <c r="BHA92" s="16"/>
      <c r="BHB92" s="16"/>
      <c r="BHC92" s="16"/>
      <c r="BHD92" s="16"/>
      <c r="BHE92" s="16"/>
      <c r="BHF92" s="16"/>
      <c r="BHG92" s="16"/>
      <c r="BHH92" s="16"/>
      <c r="BHI92" s="16"/>
      <c r="BHJ92" s="16"/>
      <c r="BHK92" s="16"/>
      <c r="BHL92" s="16"/>
      <c r="BHM92" s="16"/>
      <c r="BHN92" s="16"/>
      <c r="BHO92" s="16"/>
      <c r="BHP92" s="16"/>
      <c r="BHQ92" s="16"/>
      <c r="BHR92" s="16"/>
      <c r="BHS92" s="16"/>
      <c r="BHT92" s="16"/>
      <c r="BHU92" s="16"/>
      <c r="BHV92" s="16"/>
      <c r="BHW92" s="16"/>
      <c r="BHX92" s="16"/>
      <c r="BHY92" s="16"/>
      <c r="BHZ92" s="16"/>
      <c r="BIA92" s="16"/>
      <c r="BIB92" s="16"/>
      <c r="BIC92" s="16"/>
      <c r="BID92" s="16"/>
      <c r="BIE92" s="16"/>
      <c r="BIF92" s="16"/>
      <c r="BIG92" s="16"/>
      <c r="BIH92" s="16"/>
      <c r="BII92" s="16"/>
      <c r="BIJ92" s="16"/>
      <c r="BIK92" s="16"/>
      <c r="BIL92" s="16"/>
      <c r="BIM92" s="16"/>
      <c r="BIN92" s="16"/>
      <c r="BIO92" s="16"/>
      <c r="BIP92" s="16"/>
      <c r="BIQ92" s="16"/>
      <c r="BIR92" s="16"/>
      <c r="BIS92" s="16"/>
      <c r="BIT92" s="16"/>
      <c r="BIU92" s="16"/>
      <c r="BIV92" s="16"/>
      <c r="BIW92" s="16"/>
      <c r="BIX92" s="16"/>
      <c r="BIY92" s="16"/>
      <c r="BIZ92" s="16"/>
      <c r="BJA92" s="16"/>
      <c r="BJB92" s="16"/>
      <c r="BJC92" s="16"/>
      <c r="BJD92" s="16"/>
      <c r="BJE92" s="16"/>
      <c r="BJF92" s="16"/>
      <c r="BJG92" s="16"/>
      <c r="BJH92" s="16"/>
      <c r="BJI92" s="16"/>
      <c r="BJJ92" s="16"/>
      <c r="BJK92" s="16"/>
      <c r="BJL92" s="16"/>
      <c r="BJM92" s="16"/>
      <c r="BJN92" s="16"/>
      <c r="BJO92" s="16"/>
      <c r="BJP92" s="16"/>
      <c r="BJQ92" s="16"/>
      <c r="BJR92" s="16"/>
      <c r="BJS92" s="16"/>
      <c r="BJT92" s="16"/>
      <c r="BJU92" s="16"/>
      <c r="BJV92" s="16"/>
      <c r="BJW92" s="16"/>
      <c r="BJX92" s="16"/>
      <c r="BJY92" s="16"/>
      <c r="BJZ92" s="16"/>
      <c r="BKA92" s="16"/>
      <c r="BKB92" s="16"/>
      <c r="BKC92" s="16"/>
      <c r="BKD92" s="16"/>
      <c r="BKE92" s="16"/>
      <c r="BKF92" s="16"/>
      <c r="BKG92" s="16"/>
      <c r="BKH92" s="16"/>
      <c r="BKI92" s="16"/>
      <c r="BKJ92" s="16"/>
      <c r="BKK92" s="16"/>
      <c r="BKL92" s="16"/>
      <c r="BKM92" s="16"/>
      <c r="BKN92" s="16"/>
      <c r="BKO92" s="16"/>
      <c r="BKP92" s="16"/>
      <c r="BKQ92" s="16"/>
      <c r="BKR92" s="16"/>
      <c r="BKS92" s="16"/>
      <c r="BKT92" s="16"/>
      <c r="BKU92" s="16"/>
      <c r="BKV92" s="16"/>
      <c r="BKW92" s="16"/>
      <c r="BKX92" s="16"/>
      <c r="BKY92" s="16"/>
      <c r="BKZ92" s="16"/>
      <c r="BLA92" s="16"/>
      <c r="BLB92" s="16"/>
      <c r="BLC92" s="16"/>
      <c r="BLD92" s="16"/>
      <c r="BLE92" s="16"/>
      <c r="BLF92" s="16"/>
      <c r="BLG92" s="16"/>
      <c r="BLH92" s="16"/>
      <c r="BLI92" s="16"/>
      <c r="BLJ92" s="16"/>
      <c r="BLK92" s="16"/>
      <c r="BLL92" s="16"/>
      <c r="BLM92" s="16"/>
      <c r="BLN92" s="16"/>
      <c r="BLO92" s="16"/>
      <c r="BLP92" s="16"/>
      <c r="BLQ92" s="16"/>
      <c r="BLR92" s="16"/>
      <c r="BLS92" s="16"/>
      <c r="BLT92" s="16"/>
      <c r="BLU92" s="16"/>
      <c r="BLV92" s="16"/>
      <c r="BLW92" s="16"/>
      <c r="BLX92" s="16"/>
      <c r="BLY92" s="16"/>
      <c r="BLZ92" s="16"/>
      <c r="BMA92" s="16"/>
      <c r="BMB92" s="16"/>
      <c r="BMC92" s="16"/>
      <c r="BMD92" s="16"/>
      <c r="BME92" s="16"/>
      <c r="BMF92" s="16"/>
      <c r="BMG92" s="16"/>
      <c r="BMH92" s="16"/>
      <c r="BMI92" s="16"/>
      <c r="BMJ92" s="16"/>
      <c r="BMK92" s="16"/>
      <c r="BML92" s="16"/>
      <c r="BMM92" s="16"/>
      <c r="BMN92" s="16"/>
      <c r="BMO92" s="16"/>
      <c r="BMP92" s="16"/>
      <c r="BMQ92" s="16"/>
      <c r="BMR92" s="16"/>
      <c r="BMS92" s="16"/>
      <c r="BMT92" s="16"/>
      <c r="BMU92" s="16"/>
      <c r="BMV92" s="16"/>
      <c r="BMW92" s="16"/>
      <c r="BMX92" s="16"/>
      <c r="BMY92" s="16"/>
      <c r="BMZ92" s="16"/>
      <c r="BNA92" s="16"/>
      <c r="BNB92" s="16"/>
      <c r="BNC92" s="16"/>
      <c r="BND92" s="16"/>
      <c r="BNE92" s="16"/>
      <c r="BNF92" s="16"/>
      <c r="BNG92" s="16"/>
      <c r="BNH92" s="16"/>
      <c r="BNI92" s="16"/>
      <c r="BNJ92" s="16"/>
      <c r="BNK92" s="16"/>
      <c r="BNL92" s="16"/>
      <c r="BNM92" s="16"/>
      <c r="BNN92" s="16"/>
      <c r="BNO92" s="16"/>
      <c r="BNP92" s="16"/>
      <c r="BNQ92" s="16"/>
      <c r="BNR92" s="16"/>
      <c r="BNS92" s="16"/>
      <c r="BNT92" s="16"/>
      <c r="BNU92" s="16"/>
      <c r="BNV92" s="16"/>
      <c r="BNW92" s="16"/>
      <c r="BNX92" s="16"/>
      <c r="BNY92" s="16"/>
      <c r="BNZ92" s="16"/>
      <c r="BOA92" s="16"/>
      <c r="BOB92" s="16"/>
      <c r="BOC92" s="16"/>
      <c r="BOD92" s="16"/>
      <c r="BOE92" s="16"/>
      <c r="BOF92" s="16"/>
      <c r="BOG92" s="16"/>
      <c r="BOH92" s="16"/>
      <c r="BOI92" s="16"/>
      <c r="BOJ92" s="16"/>
      <c r="BOK92" s="16"/>
      <c r="BOL92" s="16"/>
      <c r="BOM92" s="16"/>
      <c r="BON92" s="16"/>
      <c r="BOO92" s="16"/>
      <c r="BOP92" s="16"/>
      <c r="BOQ92" s="16"/>
      <c r="BOR92" s="16"/>
      <c r="BOS92" s="16"/>
      <c r="BOT92" s="16"/>
      <c r="BOU92" s="16"/>
      <c r="BOV92" s="16"/>
      <c r="BOW92" s="16"/>
      <c r="BOX92" s="16"/>
      <c r="BOY92" s="16"/>
      <c r="BOZ92" s="16"/>
      <c r="BPA92" s="16"/>
      <c r="BPB92" s="16"/>
      <c r="BPC92" s="16"/>
      <c r="BPD92" s="16"/>
      <c r="BPE92" s="16"/>
      <c r="BPF92" s="16"/>
      <c r="BPG92" s="16"/>
      <c r="BPH92" s="16"/>
      <c r="BPI92" s="16"/>
      <c r="BPJ92" s="16"/>
      <c r="BPK92" s="16"/>
      <c r="BPL92" s="16"/>
      <c r="BPM92" s="16"/>
      <c r="BPN92" s="16"/>
      <c r="BPO92" s="16"/>
      <c r="BPP92" s="16"/>
      <c r="BPQ92" s="16"/>
      <c r="BPR92" s="16"/>
      <c r="BPS92" s="16"/>
      <c r="BPT92" s="16"/>
      <c r="BPU92" s="16"/>
      <c r="BPV92" s="16"/>
      <c r="BPW92" s="16"/>
      <c r="BPX92" s="16"/>
      <c r="BPY92" s="16"/>
      <c r="BPZ92" s="16"/>
      <c r="BQA92" s="16"/>
      <c r="BQB92" s="16"/>
      <c r="BQC92" s="16"/>
      <c r="BQD92" s="16"/>
      <c r="BQE92" s="16"/>
      <c r="BQF92" s="16"/>
      <c r="BQG92" s="16"/>
      <c r="BQH92" s="16"/>
      <c r="BQI92" s="16"/>
      <c r="BQJ92" s="16"/>
      <c r="BQK92" s="16"/>
      <c r="BQL92" s="16"/>
      <c r="BQM92" s="16"/>
      <c r="BQN92" s="16"/>
      <c r="BQO92" s="16"/>
      <c r="BQP92" s="16"/>
      <c r="BQQ92" s="16"/>
      <c r="BQR92" s="16"/>
      <c r="BQS92" s="16"/>
      <c r="BQT92" s="16"/>
      <c r="BQU92" s="16"/>
      <c r="BQV92" s="16"/>
      <c r="BQW92" s="16"/>
      <c r="BQX92" s="16"/>
      <c r="BQY92" s="16"/>
      <c r="BQZ92" s="16"/>
      <c r="BRA92" s="16"/>
      <c r="BRB92" s="16"/>
      <c r="BRC92" s="16"/>
      <c r="BRD92" s="16"/>
      <c r="BRE92" s="16"/>
      <c r="BRF92" s="16"/>
      <c r="BRG92" s="16"/>
      <c r="BRH92" s="16"/>
      <c r="BRI92" s="16"/>
      <c r="BRJ92" s="16"/>
      <c r="BRK92" s="16"/>
      <c r="BRL92" s="16"/>
      <c r="BRM92" s="16"/>
      <c r="BRN92" s="16"/>
      <c r="BRO92" s="16"/>
      <c r="BRP92" s="16"/>
      <c r="BRQ92" s="16"/>
      <c r="BRR92" s="16"/>
      <c r="BRS92" s="16"/>
      <c r="BRT92" s="16"/>
      <c r="BRU92" s="16"/>
      <c r="BRV92" s="16"/>
      <c r="BRW92" s="16"/>
      <c r="BRX92" s="16"/>
      <c r="BRY92" s="16"/>
      <c r="BRZ92" s="16"/>
      <c r="BSA92" s="16"/>
      <c r="BSB92" s="16"/>
      <c r="BSC92" s="16"/>
      <c r="BSD92" s="16"/>
      <c r="BSE92" s="16"/>
      <c r="BSF92" s="16"/>
      <c r="BSG92" s="16"/>
      <c r="BSH92" s="16"/>
      <c r="BSI92" s="16"/>
      <c r="BSJ92" s="16"/>
      <c r="BSK92" s="16"/>
      <c r="BSL92" s="16"/>
      <c r="BSM92" s="16"/>
      <c r="BSN92" s="16"/>
      <c r="BSO92" s="16"/>
      <c r="BSP92" s="16"/>
      <c r="BSQ92" s="16"/>
      <c r="BSR92" s="16"/>
      <c r="BSS92" s="16"/>
      <c r="BST92" s="16"/>
      <c r="BSU92" s="16"/>
      <c r="BSV92" s="16"/>
      <c r="BSW92" s="16"/>
      <c r="BSX92" s="16"/>
      <c r="BSY92" s="16"/>
      <c r="BSZ92" s="16"/>
      <c r="BTA92" s="16"/>
      <c r="BTB92" s="16"/>
      <c r="BTC92" s="16"/>
      <c r="BTD92" s="16"/>
      <c r="BTE92" s="16"/>
      <c r="BTF92" s="16"/>
      <c r="BTG92" s="16"/>
      <c r="BTH92" s="16"/>
      <c r="BTI92" s="16"/>
      <c r="BTJ92" s="16"/>
      <c r="BTK92" s="16"/>
      <c r="BTL92" s="16"/>
      <c r="BTM92" s="16"/>
      <c r="BTN92" s="16"/>
      <c r="BTO92" s="16"/>
      <c r="BTP92" s="16"/>
      <c r="BTQ92" s="16"/>
      <c r="BTR92" s="16"/>
      <c r="BTS92" s="16"/>
      <c r="BTT92" s="16"/>
      <c r="BTU92" s="16"/>
      <c r="BTV92" s="16"/>
      <c r="BTW92" s="16"/>
      <c r="BTX92" s="16"/>
      <c r="BTY92" s="16"/>
      <c r="BTZ92" s="16"/>
      <c r="BUA92" s="16"/>
      <c r="BUB92" s="16"/>
      <c r="BUC92" s="16"/>
      <c r="BUD92" s="16"/>
      <c r="BUE92" s="16"/>
      <c r="BUF92" s="16"/>
      <c r="BUG92" s="16"/>
      <c r="BUH92" s="16"/>
      <c r="BUI92" s="16"/>
      <c r="BUJ92" s="16"/>
      <c r="BUK92" s="16"/>
      <c r="BUL92" s="16"/>
      <c r="BUM92" s="16"/>
      <c r="BUN92" s="16"/>
      <c r="BUO92" s="16"/>
      <c r="BUP92" s="16"/>
      <c r="BUQ92" s="16"/>
      <c r="BUR92" s="16"/>
      <c r="BUS92" s="16"/>
      <c r="BUT92" s="16"/>
      <c r="BUU92" s="16"/>
      <c r="BUV92" s="16"/>
      <c r="BUW92" s="16"/>
      <c r="BUX92" s="16"/>
      <c r="BUY92" s="16"/>
      <c r="BUZ92" s="16"/>
      <c r="BVA92" s="16"/>
      <c r="BVB92" s="16"/>
      <c r="BVC92" s="16"/>
      <c r="BVD92" s="16"/>
      <c r="BVE92" s="16"/>
      <c r="BVF92" s="16"/>
      <c r="BVG92" s="16"/>
      <c r="BVH92" s="16"/>
      <c r="BVI92" s="16"/>
      <c r="BVJ92" s="16"/>
      <c r="BVK92" s="16"/>
      <c r="BVL92" s="16"/>
      <c r="BVM92" s="16"/>
      <c r="BVN92" s="16"/>
      <c r="BVO92" s="16"/>
      <c r="BVP92" s="16"/>
      <c r="BVQ92" s="16"/>
      <c r="BVR92" s="16"/>
      <c r="BVS92" s="16"/>
      <c r="BVT92" s="16"/>
      <c r="BVU92" s="16"/>
      <c r="BVV92" s="16"/>
      <c r="BVW92" s="16"/>
      <c r="BVX92" s="16"/>
      <c r="BVY92" s="16"/>
      <c r="BVZ92" s="16"/>
      <c r="BWA92" s="16"/>
      <c r="BWB92" s="16"/>
      <c r="BWC92" s="16"/>
      <c r="BWD92" s="16"/>
      <c r="BWE92" s="16"/>
      <c r="BWF92" s="16"/>
      <c r="BWG92" s="16"/>
      <c r="BWH92" s="16"/>
      <c r="BWI92" s="16"/>
      <c r="BWJ92" s="16"/>
      <c r="BWK92" s="16"/>
      <c r="BWL92" s="16"/>
      <c r="BWM92" s="16"/>
      <c r="BWN92" s="16"/>
      <c r="BWO92" s="16"/>
      <c r="BWP92" s="16"/>
      <c r="BWQ92" s="16"/>
      <c r="BWR92" s="16"/>
      <c r="BWS92" s="16"/>
      <c r="BWT92" s="16"/>
      <c r="BWU92" s="16"/>
      <c r="BWV92" s="16"/>
      <c r="BWW92" s="16"/>
      <c r="BWX92" s="16"/>
      <c r="BWY92" s="16"/>
      <c r="BWZ92" s="16"/>
      <c r="BXA92" s="16"/>
      <c r="BXB92" s="16"/>
      <c r="BXC92" s="16"/>
      <c r="BXD92" s="16"/>
      <c r="BXE92" s="16"/>
      <c r="BXF92" s="16"/>
      <c r="BXG92" s="16"/>
      <c r="BXH92" s="16"/>
      <c r="BXI92" s="16"/>
      <c r="BXJ92" s="16"/>
      <c r="BXK92" s="16"/>
      <c r="BXL92" s="16"/>
      <c r="BXM92" s="16"/>
      <c r="BXN92" s="16"/>
      <c r="BXO92" s="16"/>
      <c r="BXP92" s="16"/>
      <c r="BXQ92" s="16"/>
      <c r="BXR92" s="16"/>
      <c r="BXS92" s="16"/>
      <c r="BXT92" s="16"/>
      <c r="BXU92" s="16"/>
      <c r="BXV92" s="16"/>
      <c r="BXW92" s="16"/>
      <c r="BXX92" s="16"/>
      <c r="BXY92" s="16"/>
      <c r="BXZ92" s="16"/>
      <c r="BYA92" s="16"/>
      <c r="BYB92" s="16"/>
      <c r="BYC92" s="16"/>
      <c r="BYD92" s="16"/>
      <c r="BYE92" s="16"/>
      <c r="BYF92" s="16"/>
      <c r="BYG92" s="16"/>
      <c r="BYH92" s="16"/>
      <c r="BYI92" s="16"/>
      <c r="BYJ92" s="16"/>
      <c r="BYK92" s="16"/>
      <c r="BYL92" s="16"/>
      <c r="BYM92" s="16"/>
      <c r="BYN92" s="16"/>
      <c r="BYO92" s="16"/>
      <c r="BYP92" s="16"/>
      <c r="BYQ92" s="16"/>
      <c r="BYR92" s="16"/>
      <c r="BYS92" s="16"/>
      <c r="BYT92" s="16"/>
      <c r="BYU92" s="16"/>
      <c r="BYV92" s="16"/>
      <c r="BYW92" s="16"/>
      <c r="BYX92" s="16"/>
      <c r="BYY92" s="16"/>
      <c r="BYZ92" s="16"/>
      <c r="BZA92" s="16"/>
      <c r="BZB92" s="16"/>
      <c r="BZC92" s="16"/>
      <c r="BZD92" s="16"/>
      <c r="BZE92" s="16"/>
      <c r="BZF92" s="16"/>
      <c r="BZG92" s="16"/>
      <c r="BZH92" s="16"/>
      <c r="BZI92" s="16"/>
      <c r="BZJ92" s="16"/>
      <c r="BZK92" s="16"/>
      <c r="BZL92" s="16"/>
      <c r="BZM92" s="16"/>
      <c r="BZN92" s="16"/>
      <c r="BZO92" s="16"/>
      <c r="BZP92" s="16"/>
      <c r="BZQ92" s="16"/>
      <c r="BZR92" s="16"/>
      <c r="BZS92" s="16"/>
      <c r="BZT92" s="16"/>
      <c r="BZU92" s="16"/>
      <c r="BZV92" s="16"/>
      <c r="BZW92" s="16"/>
      <c r="BZX92" s="16"/>
      <c r="BZY92" s="16"/>
      <c r="BZZ92" s="16"/>
      <c r="CAA92" s="16"/>
      <c r="CAB92" s="16"/>
      <c r="CAC92" s="16"/>
      <c r="CAD92" s="16"/>
      <c r="CAE92" s="16"/>
      <c r="CAF92" s="16"/>
      <c r="CAG92" s="16"/>
      <c r="CAH92" s="16"/>
      <c r="CAI92" s="16"/>
      <c r="CAJ92" s="16"/>
      <c r="CAK92" s="16"/>
      <c r="CAL92" s="16"/>
      <c r="CAM92" s="16"/>
      <c r="CAN92" s="16"/>
      <c r="CAO92" s="16"/>
      <c r="CAP92" s="16"/>
      <c r="CAQ92" s="16"/>
      <c r="CAR92" s="16"/>
      <c r="CAS92" s="16"/>
      <c r="CAT92" s="16"/>
      <c r="CAU92" s="16"/>
      <c r="CAV92" s="16"/>
      <c r="CAW92" s="16"/>
      <c r="CAX92" s="16"/>
      <c r="CAY92" s="16"/>
      <c r="CAZ92" s="16"/>
      <c r="CBA92" s="16"/>
      <c r="CBB92" s="16"/>
      <c r="CBC92" s="16"/>
      <c r="CBD92" s="16"/>
      <c r="CBE92" s="16"/>
      <c r="CBF92" s="16"/>
      <c r="CBG92" s="16"/>
      <c r="CBH92" s="16"/>
      <c r="CBI92" s="16"/>
      <c r="CBJ92" s="16"/>
      <c r="CBK92" s="16"/>
      <c r="CBL92" s="16"/>
      <c r="CBM92" s="16"/>
      <c r="CBN92" s="16"/>
      <c r="CBO92" s="16"/>
      <c r="CBP92" s="16"/>
      <c r="CBQ92" s="16"/>
      <c r="CBR92" s="16"/>
      <c r="CBS92" s="16"/>
      <c r="CBT92" s="16"/>
      <c r="CBU92" s="16"/>
      <c r="CBV92" s="16"/>
      <c r="CBW92" s="16"/>
      <c r="CBX92" s="16"/>
      <c r="CBY92" s="16"/>
      <c r="CBZ92" s="16"/>
      <c r="CCA92" s="16"/>
      <c r="CCB92" s="16"/>
      <c r="CCC92" s="16"/>
      <c r="CCD92" s="16"/>
      <c r="CCE92" s="16"/>
      <c r="CCF92" s="16"/>
      <c r="CCG92" s="16"/>
      <c r="CCH92" s="16"/>
      <c r="CCI92" s="16"/>
      <c r="CCJ92" s="16"/>
      <c r="CCK92" s="16"/>
      <c r="CCL92" s="16"/>
      <c r="CCM92" s="16"/>
      <c r="CCN92" s="16"/>
      <c r="CCO92" s="16"/>
      <c r="CCP92" s="16"/>
      <c r="CCQ92" s="16"/>
      <c r="CCR92" s="16"/>
      <c r="CCS92" s="16"/>
      <c r="CCT92" s="16"/>
      <c r="CCU92" s="16"/>
      <c r="CCV92" s="16"/>
      <c r="CCW92" s="16"/>
      <c r="CCX92" s="16"/>
      <c r="CCY92" s="16"/>
      <c r="CCZ92" s="16"/>
      <c r="CDA92" s="16"/>
      <c r="CDB92" s="16"/>
      <c r="CDC92" s="16"/>
      <c r="CDD92" s="16"/>
      <c r="CDE92" s="16"/>
      <c r="CDF92" s="16"/>
      <c r="CDG92" s="16"/>
      <c r="CDH92" s="16"/>
      <c r="CDI92" s="16"/>
      <c r="CDJ92" s="16"/>
      <c r="CDK92" s="16"/>
      <c r="CDL92" s="16"/>
      <c r="CDM92" s="16"/>
      <c r="CDN92" s="16"/>
      <c r="CDO92" s="16"/>
      <c r="CDP92" s="16"/>
      <c r="CDQ92" s="16"/>
      <c r="CDR92" s="16"/>
      <c r="CDS92" s="16"/>
      <c r="CDT92" s="16"/>
      <c r="CDU92" s="16"/>
      <c r="CDV92" s="16"/>
      <c r="CDW92" s="16"/>
      <c r="CDX92" s="16"/>
      <c r="CDY92" s="16"/>
      <c r="CDZ92" s="16"/>
      <c r="CEA92" s="16"/>
      <c r="CEB92" s="16"/>
      <c r="CEC92" s="16"/>
      <c r="CED92" s="16"/>
      <c r="CEE92" s="16"/>
      <c r="CEF92" s="16"/>
      <c r="CEG92" s="16"/>
      <c r="CEH92" s="16"/>
      <c r="CEI92" s="16"/>
      <c r="CEJ92" s="16"/>
      <c r="CEK92" s="16"/>
      <c r="CEL92" s="16"/>
      <c r="CEM92" s="16"/>
      <c r="CEN92" s="16"/>
      <c r="CEO92" s="16"/>
      <c r="CEP92" s="16"/>
      <c r="CEQ92" s="16"/>
      <c r="CER92" s="16"/>
      <c r="CES92" s="16"/>
      <c r="CET92" s="16"/>
      <c r="CEU92" s="16"/>
      <c r="CEV92" s="16"/>
      <c r="CEW92" s="16"/>
      <c r="CEX92" s="16"/>
      <c r="CEY92" s="16"/>
      <c r="CEZ92" s="16"/>
      <c r="CFA92" s="16"/>
      <c r="CFB92" s="16"/>
      <c r="CFC92" s="16"/>
      <c r="CFD92" s="16"/>
      <c r="CFE92" s="16"/>
      <c r="CFF92" s="16"/>
      <c r="CFG92" s="16"/>
      <c r="CFH92" s="16"/>
      <c r="CFI92" s="16"/>
      <c r="CFJ92" s="16"/>
      <c r="CFK92" s="16"/>
      <c r="CFL92" s="16"/>
      <c r="CFM92" s="16"/>
      <c r="CFN92" s="16"/>
      <c r="CFO92" s="16"/>
      <c r="CFP92" s="16"/>
      <c r="CFQ92" s="16"/>
      <c r="CFR92" s="16"/>
      <c r="CFS92" s="16"/>
      <c r="CFT92" s="16"/>
      <c r="CFU92" s="16"/>
      <c r="CFV92" s="16"/>
      <c r="CFW92" s="16"/>
      <c r="CFX92" s="16"/>
      <c r="CFY92" s="16"/>
      <c r="CFZ92" s="16"/>
      <c r="CGA92" s="16"/>
      <c r="CGB92" s="16"/>
      <c r="CGC92" s="16"/>
      <c r="CGD92" s="16"/>
      <c r="CGE92" s="16"/>
      <c r="CGF92" s="16"/>
      <c r="CGG92" s="16"/>
      <c r="CGH92" s="16"/>
      <c r="CGI92" s="16"/>
      <c r="CGJ92" s="16"/>
      <c r="CGK92" s="16"/>
      <c r="CGL92" s="16"/>
      <c r="CGM92" s="16"/>
      <c r="CGN92" s="16"/>
      <c r="CGO92" s="16"/>
      <c r="CGP92" s="16"/>
      <c r="CGQ92" s="16"/>
      <c r="CGR92" s="16"/>
      <c r="CGS92" s="16"/>
      <c r="CGT92" s="16"/>
      <c r="CGU92" s="16"/>
      <c r="CGV92" s="16"/>
      <c r="CGW92" s="16"/>
      <c r="CGX92" s="16"/>
      <c r="CGY92" s="16"/>
      <c r="CGZ92" s="16"/>
      <c r="CHA92" s="16"/>
      <c r="CHB92" s="16"/>
      <c r="CHC92" s="16"/>
      <c r="CHD92" s="16"/>
      <c r="CHE92" s="16"/>
      <c r="CHF92" s="16"/>
      <c r="CHG92" s="16"/>
      <c r="CHH92" s="16"/>
      <c r="CHI92" s="16"/>
      <c r="CHJ92" s="16"/>
      <c r="CHK92" s="16"/>
      <c r="CHL92" s="16"/>
      <c r="CHM92" s="16"/>
      <c r="CHN92" s="16"/>
      <c r="CHO92" s="16"/>
      <c r="CHP92" s="16"/>
      <c r="CHQ92" s="16"/>
      <c r="CHR92" s="16"/>
      <c r="CHS92" s="16"/>
      <c r="CHT92" s="16"/>
      <c r="CHU92" s="16"/>
      <c r="CHV92" s="16"/>
      <c r="CHW92" s="16"/>
      <c r="CHX92" s="16"/>
      <c r="CHY92" s="16"/>
      <c r="CHZ92" s="16"/>
      <c r="CIA92" s="16"/>
      <c r="CIB92" s="16"/>
      <c r="CIC92" s="16"/>
      <c r="CID92" s="16"/>
      <c r="CIE92" s="16"/>
      <c r="CIF92" s="16"/>
      <c r="CIG92" s="16"/>
      <c r="CIH92" s="16"/>
      <c r="CII92" s="16"/>
      <c r="CIJ92" s="16"/>
      <c r="CIK92" s="16"/>
      <c r="CIL92" s="16"/>
      <c r="CIM92" s="16"/>
      <c r="CIN92" s="16"/>
      <c r="CIO92" s="16"/>
      <c r="CIP92" s="16"/>
      <c r="CIQ92" s="16"/>
      <c r="CIR92" s="16"/>
      <c r="CIS92" s="16"/>
      <c r="CIT92" s="16"/>
      <c r="CIU92" s="16"/>
      <c r="CIV92" s="16"/>
      <c r="CIW92" s="16"/>
      <c r="CIX92" s="16"/>
      <c r="CIY92" s="16"/>
      <c r="CIZ92" s="16"/>
      <c r="CJA92" s="16"/>
      <c r="CJB92" s="16"/>
      <c r="CJC92" s="16"/>
      <c r="CJD92" s="16"/>
      <c r="CJE92" s="16"/>
      <c r="CJF92" s="16"/>
      <c r="CJG92" s="16"/>
      <c r="CJH92" s="16"/>
      <c r="CJI92" s="16"/>
      <c r="CJJ92" s="16"/>
      <c r="CJK92" s="16"/>
      <c r="CJL92" s="16"/>
      <c r="CJM92" s="16"/>
      <c r="CJN92" s="16"/>
      <c r="CJO92" s="16"/>
      <c r="CJP92" s="16"/>
      <c r="CJQ92" s="16"/>
      <c r="CJR92" s="16"/>
      <c r="CJS92" s="16"/>
      <c r="CJT92" s="16"/>
      <c r="CJU92" s="16"/>
      <c r="CJV92" s="16"/>
      <c r="CJW92" s="16"/>
      <c r="CJX92" s="16"/>
      <c r="CJY92" s="16"/>
      <c r="CJZ92" s="16"/>
      <c r="CKA92" s="16"/>
      <c r="CKB92" s="16"/>
      <c r="CKC92" s="16"/>
      <c r="CKD92" s="16"/>
      <c r="CKE92" s="16"/>
      <c r="CKF92" s="16"/>
      <c r="CKG92" s="16"/>
      <c r="CKH92" s="16"/>
      <c r="CKI92" s="16"/>
      <c r="CKJ92" s="16"/>
      <c r="CKK92" s="16"/>
      <c r="CKL92" s="16"/>
      <c r="CKM92" s="16"/>
      <c r="CKN92" s="16"/>
      <c r="CKO92" s="16"/>
      <c r="CKP92" s="16"/>
      <c r="CKQ92" s="16"/>
      <c r="CKR92" s="16"/>
      <c r="CKS92" s="16"/>
      <c r="CKT92" s="16"/>
      <c r="CKU92" s="16"/>
      <c r="CKV92" s="16"/>
      <c r="CKW92" s="16"/>
      <c r="CKX92" s="16"/>
      <c r="CKY92" s="16"/>
      <c r="CKZ92" s="16"/>
      <c r="CLA92" s="16"/>
      <c r="CLB92" s="16"/>
      <c r="CLC92" s="16"/>
      <c r="CLD92" s="16"/>
      <c r="CLE92" s="16"/>
      <c r="CLF92" s="16"/>
      <c r="CLG92" s="16"/>
      <c r="CLH92" s="16"/>
      <c r="CLI92" s="16"/>
      <c r="CLJ92" s="16"/>
      <c r="CLK92" s="16"/>
      <c r="CLL92" s="16"/>
      <c r="CLM92" s="16"/>
      <c r="CLN92" s="16"/>
      <c r="CLO92" s="16"/>
      <c r="CLP92" s="16"/>
      <c r="CLQ92" s="16"/>
      <c r="CLR92" s="16"/>
      <c r="CLS92" s="16"/>
      <c r="CLT92" s="16"/>
      <c r="CLU92" s="16"/>
      <c r="CLV92" s="16"/>
      <c r="CLW92" s="16"/>
      <c r="CLX92" s="16"/>
      <c r="CLY92" s="16"/>
      <c r="CLZ92" s="16"/>
      <c r="CMA92" s="16"/>
      <c r="CMB92" s="16"/>
      <c r="CMC92" s="16"/>
      <c r="CMD92" s="16"/>
      <c r="CME92" s="16"/>
      <c r="CMF92" s="16"/>
      <c r="CMG92" s="16"/>
      <c r="CMH92" s="16"/>
      <c r="CMI92" s="16"/>
      <c r="CMJ92" s="16"/>
      <c r="CMK92" s="16"/>
      <c r="CML92" s="16"/>
      <c r="CMM92" s="16"/>
      <c r="CMN92" s="16"/>
      <c r="CMO92" s="16"/>
      <c r="CMP92" s="16"/>
      <c r="CMQ92" s="16"/>
      <c r="CMR92" s="16"/>
      <c r="CMS92" s="16"/>
      <c r="CMT92" s="16"/>
      <c r="CMU92" s="16"/>
      <c r="CMV92" s="16"/>
      <c r="CMW92" s="16"/>
      <c r="CMX92" s="16"/>
      <c r="CMY92" s="16"/>
      <c r="CMZ92" s="16"/>
      <c r="CNA92" s="16"/>
      <c r="CNB92" s="16"/>
      <c r="CNC92" s="16"/>
      <c r="CND92" s="16"/>
      <c r="CNE92" s="16"/>
      <c r="CNF92" s="16"/>
      <c r="CNG92" s="16"/>
      <c r="CNH92" s="16"/>
      <c r="CNI92" s="16"/>
      <c r="CNJ92" s="16"/>
      <c r="CNK92" s="16"/>
      <c r="CNL92" s="16"/>
      <c r="CNM92" s="16"/>
      <c r="CNN92" s="16"/>
      <c r="CNO92" s="16"/>
      <c r="CNP92" s="16"/>
      <c r="CNQ92" s="16"/>
      <c r="CNR92" s="16"/>
      <c r="CNS92" s="16"/>
      <c r="CNT92" s="16"/>
      <c r="CNU92" s="16"/>
      <c r="CNV92" s="16"/>
      <c r="CNW92" s="16"/>
      <c r="CNX92" s="16"/>
      <c r="CNY92" s="16"/>
      <c r="CNZ92" s="16"/>
      <c r="COA92" s="16"/>
      <c r="COB92" s="16"/>
      <c r="COC92" s="16"/>
      <c r="COD92" s="16"/>
      <c r="COE92" s="16"/>
      <c r="COF92" s="16"/>
      <c r="COG92" s="16"/>
      <c r="COH92" s="16"/>
      <c r="COI92" s="16"/>
      <c r="COJ92" s="16"/>
      <c r="COK92" s="16"/>
      <c r="COL92" s="16"/>
      <c r="COM92" s="16"/>
      <c r="CON92" s="16"/>
      <c r="COO92" s="16"/>
      <c r="COP92" s="16"/>
      <c r="COQ92" s="16"/>
      <c r="COR92" s="16"/>
      <c r="COS92" s="16"/>
      <c r="COT92" s="16"/>
      <c r="COU92" s="16"/>
      <c r="COV92" s="16"/>
      <c r="COW92" s="16"/>
      <c r="COX92" s="16"/>
      <c r="COY92" s="16"/>
      <c r="COZ92" s="16"/>
      <c r="CPA92" s="16"/>
      <c r="CPB92" s="16"/>
      <c r="CPC92" s="16"/>
      <c r="CPD92" s="16"/>
      <c r="CPE92" s="16"/>
      <c r="CPF92" s="16"/>
      <c r="CPG92" s="16"/>
      <c r="CPH92" s="16"/>
      <c r="CPI92" s="16"/>
      <c r="CPJ92" s="16"/>
      <c r="CPK92" s="16"/>
      <c r="CPL92" s="16"/>
      <c r="CPM92" s="16"/>
      <c r="CPN92" s="16"/>
      <c r="CPO92" s="16"/>
      <c r="CPP92" s="16"/>
      <c r="CPQ92" s="16"/>
      <c r="CPR92" s="16"/>
      <c r="CPS92" s="16"/>
      <c r="CPT92" s="16"/>
      <c r="CPU92" s="16"/>
      <c r="CPV92" s="16"/>
      <c r="CPW92" s="16"/>
      <c r="CPX92" s="16"/>
      <c r="CPY92" s="16"/>
      <c r="CPZ92" s="16"/>
      <c r="CQA92" s="16"/>
      <c r="CQB92" s="16"/>
      <c r="CQC92" s="16"/>
      <c r="CQD92" s="16"/>
      <c r="CQE92" s="16"/>
      <c r="CQF92" s="16"/>
      <c r="CQG92" s="16"/>
      <c r="CQH92" s="16"/>
      <c r="CQI92" s="16"/>
      <c r="CQJ92" s="16"/>
      <c r="CQK92" s="16"/>
      <c r="CQL92" s="16"/>
      <c r="CQM92" s="16"/>
      <c r="CQN92" s="16"/>
      <c r="CQO92" s="16"/>
      <c r="CQP92" s="16"/>
      <c r="CQQ92" s="16"/>
      <c r="CQR92" s="16"/>
      <c r="CQS92" s="16"/>
      <c r="CQT92" s="16"/>
      <c r="CQU92" s="16"/>
      <c r="CQV92" s="16"/>
      <c r="CQW92" s="16"/>
      <c r="CQX92" s="16"/>
      <c r="CQY92" s="16"/>
      <c r="CQZ92" s="16"/>
      <c r="CRA92" s="16"/>
      <c r="CRB92" s="16"/>
      <c r="CRC92" s="16"/>
      <c r="CRD92" s="16"/>
      <c r="CRE92" s="16"/>
      <c r="CRF92" s="16"/>
      <c r="CRG92" s="16"/>
      <c r="CRH92" s="16"/>
      <c r="CRI92" s="16"/>
      <c r="CRJ92" s="16"/>
      <c r="CRK92" s="16"/>
      <c r="CRL92" s="16"/>
      <c r="CRM92" s="16"/>
      <c r="CRN92" s="16"/>
      <c r="CRO92" s="16"/>
      <c r="CRP92" s="16"/>
      <c r="CRQ92" s="16"/>
      <c r="CRR92" s="16"/>
      <c r="CRS92" s="16"/>
      <c r="CRT92" s="16"/>
      <c r="CRU92" s="16"/>
      <c r="CRV92" s="16"/>
      <c r="CRW92" s="16"/>
      <c r="CRX92" s="16"/>
      <c r="CRY92" s="16"/>
      <c r="CRZ92" s="16"/>
      <c r="CSA92" s="16"/>
      <c r="CSB92" s="16"/>
      <c r="CSC92" s="16"/>
      <c r="CSD92" s="16"/>
      <c r="CSE92" s="16"/>
      <c r="CSF92" s="16"/>
      <c r="CSG92" s="16"/>
      <c r="CSH92" s="16"/>
      <c r="CSI92" s="16"/>
      <c r="CSJ92" s="16"/>
      <c r="CSK92" s="24"/>
      <c r="CSL92" s="16"/>
      <c r="CSM92" s="16"/>
      <c r="CSN92" s="16"/>
      <c r="CSO92" s="16"/>
      <c r="CSP92" s="16"/>
      <c r="CUG92" s="16"/>
      <c r="CUH92" s="16"/>
      <c r="CUI92" s="16"/>
      <c r="CUJ92" s="16"/>
      <c r="CUK92" s="16"/>
      <c r="CUL92" s="16"/>
      <c r="CUM92" s="16"/>
      <c r="CUN92" s="16"/>
      <c r="CUO92" s="16"/>
      <c r="CUP92" s="16"/>
      <c r="CUQ92" s="16"/>
      <c r="CUR92" s="16"/>
      <c r="CUS92" s="16"/>
      <c r="CUT92" s="16"/>
      <c r="CUU92" s="16"/>
      <c r="CUV92" s="16"/>
      <c r="CUW92" s="16"/>
      <c r="CUX92" s="16"/>
      <c r="CUY92" s="16"/>
      <c r="CUZ92" s="16"/>
      <c r="CVA92" s="16"/>
      <c r="CVB92" s="16"/>
      <c r="CVC92" s="16"/>
      <c r="CVD92" s="16"/>
      <c r="CVE92" s="16"/>
      <c r="CVF92" s="16"/>
      <c r="CVG92" s="16"/>
      <c r="CVH92" s="16"/>
      <c r="CVI92" s="16"/>
      <c r="CVJ92" s="16"/>
      <c r="CVK92" s="16"/>
      <c r="CVL92" s="16"/>
      <c r="CVM92" s="16"/>
      <c r="CVN92" s="16"/>
      <c r="CVO92" s="16"/>
      <c r="CVP92" s="16"/>
    </row>
  </sheetData>
  <sheetProtection sort="0" autoFilter="0" pivotTables="0"/>
  <mergeCells count="5">
    <mergeCell ref="CUA2:CVN3"/>
    <mergeCell ref="H2:I3"/>
    <mergeCell ref="CSL2:CTY3"/>
    <mergeCell ref="M2:AZ3"/>
    <mergeCell ref="J2:K3"/>
  </mergeCells>
  <phoneticPr fontId="20" type="noConversion"/>
  <conditionalFormatting sqref="A1:XFD1">
    <cfRule type="expression" dxfId="2633" priority="448">
      <formula>MID(A5,3,1)="п"</formula>
    </cfRule>
    <cfRule type="expression" dxfId="2632" priority="449">
      <formula>MID(A5,3,1)="н"</formula>
    </cfRule>
  </conditionalFormatting>
  <conditionalFormatting sqref="M4:AZ4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L1048576">
    <cfRule type="expression" dxfId="2631" priority="434">
      <formula>$F1=1</formula>
    </cfRule>
  </conditionalFormatting>
  <conditionalFormatting sqref="BA1:CSJ1048576">
    <cfRule type="expression" dxfId="2630" priority="433">
      <formula>LEFT(BA$1,2)&lt;&gt;LEFT(BB$1,2)</formula>
    </cfRule>
    <cfRule type="expression" dxfId="2629" priority="456">
      <formula>BA$1="п.Н"</formula>
    </cfRule>
    <cfRule type="expression" dxfId="2628" priority="457">
      <formula>BA$1="н.Н"</formula>
    </cfRule>
  </conditionalFormatting>
  <conditionalFormatting sqref="J1:J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3:CE3">
    <cfRule type="colorScale" priority="4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3:DJ3">
    <cfRule type="colorScale" priority="4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L3:EO3">
    <cfRule type="colorScale" priority="4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4:CE4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3:DJ3">
    <cfRule type="colorScale" priority="4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4:DJ4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2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1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V3:GY3">
    <cfRule type="colorScale" priority="40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HA3:ID3">
    <cfRule type="colorScale" priority="4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FU4:GY4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A3:ID3">
    <cfRule type="colorScale" priority="4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GZ4:ID4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F3:JI3">
    <cfRule type="colorScale" priority="3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K3:KN3">
    <cfRule type="colorScale" priority="3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IE4:JI4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K3:KN3">
    <cfRule type="colorScale" priority="3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J4:KN4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P3:LS3">
    <cfRule type="colorScale" priority="3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U3:MX3">
    <cfRule type="colorScale" priority="3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Z3:OC3">
    <cfRule type="colorScale" priority="3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KO4:LS4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U3:MX3">
    <cfRule type="colorScale" priority="3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T4:MX4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8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7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J3:QM3">
    <cfRule type="colorScale" priority="36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O3:RR3">
    <cfRule type="colorScale" priority="3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PI4:QM4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O3:RR3">
    <cfRule type="colorScale" priority="3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N4:RR4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T3:SW3">
    <cfRule type="colorScale" priority="3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Y3:UB3">
    <cfRule type="colorScale" priority="3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RS4:SW4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Y3:UB3">
    <cfRule type="colorScale" priority="3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X4:UB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D3:VG3">
    <cfRule type="colorScale" priority="3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I3:WL3">
    <cfRule type="colorScale" priority="3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N3:XQ3">
    <cfRule type="colorScale" priority="3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UC4:VG4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I3:WL3">
    <cfRule type="colorScale" priority="3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H4:WL4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X3:AAA3">
    <cfRule type="colorScale" priority="32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C3:ABF3">
    <cfRule type="colorScale" priority="3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YW4:AAA4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C3:ABF3">
    <cfRule type="colorScale" priority="31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B4:ABF4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H3:ACK3">
    <cfRule type="colorScale" priority="3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M3:ADP3">
    <cfRule type="colorScale" priority="3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BG4:ACK4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M3:ADP3">
    <cfRule type="colorScale" priority="31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L4:ADP4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R3:AEU3">
    <cfRule type="colorScale" priority="3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W3:AFZ3">
    <cfRule type="colorScale" priority="3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B3:AHE3">
    <cfRule type="colorScale" priority="3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DQ4:AEU4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W3:AFZ3">
    <cfRule type="colorScale" priority="3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V4:AFZ4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9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L3:AJO3">
    <cfRule type="colorScale" priority="28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Q3:AKT3">
    <cfRule type="colorScale" priority="2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IK4:AJO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Q3:AKT3">
    <cfRule type="colorScale" priority="27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P4:AKT4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V3:ALY3">
    <cfRule type="colorScale" priority="2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MA3:AND3">
    <cfRule type="colorScale" priority="2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KU4:ALY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A3:AND3">
    <cfRule type="colorScale" priority="27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LZ4:AND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F3:AOI3">
    <cfRule type="colorScale" priority="2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K3:APN3">
    <cfRule type="colorScale" priority="2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P3:AQS3">
    <cfRule type="colorScale" priority="2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NE4:AOI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K3:APN3">
    <cfRule type="colorScale" priority="2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J4:APN4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5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5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4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Z3:ATC3">
    <cfRule type="colorScale" priority="24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E3:AUH3">
    <cfRule type="colorScale" priority="2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Y4:ATC4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E3:AUH3">
    <cfRule type="colorScale" priority="23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D4:AUH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J3:AVM3">
    <cfRule type="colorScale" priority="2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O3:AWR3">
    <cfRule type="colorScale" priority="2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UI4:AVM4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O3:AWR3">
    <cfRule type="colorScale" priority="2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N4:AWR4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T3:AXW3">
    <cfRule type="colorScale" priority="2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Y3:AZB3">
    <cfRule type="colorScale" priority="2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D3:BAG3">
    <cfRule type="colorScale" priority="2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WS4:AXW4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Y3:AZB3">
    <cfRule type="colorScale" priority="2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X4:AZB4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1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0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N3:BCQ3">
    <cfRule type="colorScale" priority="20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S3:BDV3">
    <cfRule type="colorScale" priority="1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BM4:BCQ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S3:BDV3">
    <cfRule type="colorScale" priority="1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R4:BDV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X3:BFA3">
    <cfRule type="colorScale" priority="1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C3:BGF3">
    <cfRule type="colorScale" priority="19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DW4:BFA4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C3:BGF3">
    <cfRule type="colorScale" priority="1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B4:BGF4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H3:BHK3">
    <cfRule type="colorScale" priority="1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M3:BIP3">
    <cfRule type="colorScale" priority="18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R3:BJU3">
    <cfRule type="colorScale" priority="1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GG4:BHK4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M3:BIP3">
    <cfRule type="colorScale" priority="1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L4:BIP4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7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6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B3:BME3">
    <cfRule type="colorScale" priority="15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G3:BNJ3">
    <cfRule type="colorScale" priority="1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LA4:BME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G3:BNJ3">
    <cfRule type="colorScale" priority="1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F4:BNJ4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L3:BOO3">
    <cfRule type="colorScale" priority="1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Q3:BPT3">
    <cfRule type="colorScale" priority="15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NK4:BOO4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Q3:BPT3">
    <cfRule type="colorScale" priority="1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P4:BPT4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V3:BQY3">
    <cfRule type="colorScale" priority="1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RA3:BSD3">
    <cfRule type="colorScale" priority="14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F3:BTI3">
    <cfRule type="colorScale" priority="1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PU4:BQY4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A3:BSD3">
    <cfRule type="colorScale" priority="1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QZ4:BSD4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3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2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P3:BVS3">
    <cfRule type="colorScale" priority="11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U3:BWX3">
    <cfRule type="colorScale" priority="1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UO4:BVS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U3:BWX3">
    <cfRule type="colorScale" priority="1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T4:BWX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Z3:BYC3">
    <cfRule type="colorScale" priority="11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E3:BZH3">
    <cfRule type="colorScale" priority="1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WY4:BYC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E3:BZH3">
    <cfRule type="colorScale" priority="1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D4:BZH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J3:CAM3">
    <cfRule type="colorScale" priority="1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O3:CBR3">
    <cfRule type="colorScale" priority="1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T3:CCW3">
    <cfRule type="colorScale" priority="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ZI4:CAM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O3:CBR3">
    <cfRule type="colorScale" priority="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N4:CBR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8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D3:CFG3">
    <cfRule type="colorScale" priority="7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I3:CGL3">
    <cfRule type="colorScale" priority="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EC4:CFG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I3:CGL3">
    <cfRule type="colorScale" priority="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H4:CGL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N3:CHQ3">
    <cfRule type="colorScale" priority="6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S3:CIV3">
    <cfRule type="colorScale" priority="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M4:CHQ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S3:CIV3">
    <cfRule type="colorScale" priority="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R4:CIV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X3:CKA3">
    <cfRule type="colorScale" priority="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C3:CLF3">
    <cfRule type="colorScale" priority="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H3:CMK3">
    <cfRule type="colorScale" priority="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IW4:CKA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C3:CLF3">
    <cfRule type="colorScale" priority="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B4:CLF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4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R3:COU3">
    <cfRule type="colorScale" priority="3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W3:CPZ3">
    <cfRule type="colorScale" priority="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NQ4:COU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W3:CPZ3">
    <cfRule type="colorScale" priority="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V4:CPZ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B3:CRE3">
    <cfRule type="colorScale" priority="2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G3:CSJ3">
    <cfRule type="colorScale" priority="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QA4:CRE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G3:CSJ3">
    <cfRule type="colorScale" priority="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F4:CSJ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AZ1048576">
    <cfRule type="expression" dxfId="2627" priority="922">
      <formula>AND(ROW(M1)&gt;=6,OR(NOT(ISNUMBER(CSL1)),CSL1&lt;1))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hide_nach">
                <anchor moveWithCells="1" sizeWithCells="1">
                  <from>
                    <xdr:col>0</xdr:col>
                    <xdr:colOff>22860</xdr:colOff>
                    <xdr:row>1</xdr:row>
                    <xdr:rowOff>22860</xdr:rowOff>
                  </from>
                  <to>
                    <xdr:col>1</xdr:col>
                    <xdr:colOff>441960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hide_prod">
                <anchor moveWithCells="1" sizeWithCells="1">
                  <from>
                    <xdr:col>0</xdr:col>
                    <xdr:colOff>22860</xdr:colOff>
                    <xdr:row>2</xdr:row>
                    <xdr:rowOff>7620</xdr:rowOff>
                  </from>
                  <to>
                    <xdr:col>1</xdr:col>
                    <xdr:colOff>426720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unhide_nach">
                <anchor moveWithCells="1" sizeWithCells="1">
                  <from>
                    <xdr:col>1</xdr:col>
                    <xdr:colOff>480060</xdr:colOff>
                    <xdr:row>1</xdr:row>
                    <xdr:rowOff>22860</xdr:rowOff>
                  </from>
                  <to>
                    <xdr:col>4</xdr:col>
                    <xdr:colOff>350520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unhide_prod">
                <anchor moveWithCells="1" sizeWithCells="1">
                  <from>
                    <xdr:col>1</xdr:col>
                    <xdr:colOff>487680</xdr:colOff>
                    <xdr:row>2</xdr:row>
                    <xdr:rowOff>30480</xdr:rowOff>
                  </from>
                  <to>
                    <xdr:col>4</xdr:col>
                    <xdr:colOff>342900</xdr:colOff>
                    <xdr:row>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23" id="{AD336398-682B-4D59-B5BA-717E113E08C0}">
            <xm:f>AND(NOT(ISBLANK(XEZ1)),ROW(B1)&gt;=6,ISBLANK(A1),ISNA(MATCH(G1,OFFSET(Аудитории!$C$12:$AA$12,MATCH(B1,Аудитории!$B$13:$B$14,0),0,1,25),0)))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L1:L1048576 G1:G55</xm:sqref>
        </x14:conditionalFormatting>
        <x14:conditionalFormatting xmlns:xm="http://schemas.microsoft.com/office/excel/2006/main">
          <x14:cfRule type="expression" priority="941" id="{AD336398-682B-4D59-B5BA-717E113E08C0}">
            <xm:f>AND(NOT(ISBLANK(XEZ9)),ROW(B56)&gt;=6,ISBLANK(A56),ISNA(MATCH(G56,OFFSET(Аудитории!$C$12:$AA$12,MATCH(B56,Аудитории!$B$13:$B$14,0),0,1,25),0)))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G56:G1048576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93D82-CA84-4A40-A891-8542C994403D}">
  <dimension ref="A1:D12"/>
  <sheetViews>
    <sheetView workbookViewId="0">
      <selection activeCell="B13" sqref="B13"/>
    </sheetView>
  </sheetViews>
  <sheetFormatPr defaultRowHeight="14.4" x14ac:dyDescent="0.3"/>
  <cols>
    <col min="1" max="1" width="23.109375" style="51" bestFit="1" customWidth="1"/>
    <col min="2" max="2" width="50.5546875" style="51" customWidth="1"/>
    <col min="3" max="3" width="12.5546875" style="51" bestFit="1" customWidth="1"/>
    <col min="4" max="4" width="71.109375" style="51" bestFit="1" customWidth="1"/>
  </cols>
  <sheetData>
    <row r="1" spans="1:4" x14ac:dyDescent="0.3">
      <c r="A1" s="51" t="s">
        <v>2304</v>
      </c>
      <c r="B1" s="51" t="s">
        <v>2305</v>
      </c>
      <c r="C1" s="51" t="s">
        <v>2306</v>
      </c>
      <c r="D1" s="51" t="s">
        <v>2307</v>
      </c>
    </row>
    <row r="2" spans="1:4" x14ac:dyDescent="0.3">
      <c r="A2" s="51" t="s">
        <v>2308</v>
      </c>
      <c r="C2" s="51" t="s">
        <v>2309</v>
      </c>
      <c r="D2" s="51" t="s">
        <v>2310</v>
      </c>
    </row>
    <row r="3" spans="1:4" x14ac:dyDescent="0.3">
      <c r="A3" s="51" t="s">
        <v>2308</v>
      </c>
      <c r="C3" s="51" t="s">
        <v>2311</v>
      </c>
      <c r="D3" s="51" t="s">
        <v>2312</v>
      </c>
    </row>
    <row r="4" spans="1:4" x14ac:dyDescent="0.3">
      <c r="A4" s="51" t="s">
        <v>2313</v>
      </c>
      <c r="B4" s="51" t="s">
        <v>2314</v>
      </c>
      <c r="C4" s="51" t="s">
        <v>2315</v>
      </c>
      <c r="D4" s="51" t="s">
        <v>2316</v>
      </c>
    </row>
    <row r="5" spans="1:4" x14ac:dyDescent="0.3">
      <c r="A5" s="51" t="s">
        <v>2317</v>
      </c>
      <c r="B5" s="51" t="s">
        <v>2318</v>
      </c>
      <c r="C5" s="51" t="s">
        <v>2319</v>
      </c>
      <c r="D5" s="51" t="s">
        <v>2320</v>
      </c>
    </row>
    <row r="6" spans="1:4" x14ac:dyDescent="0.3">
      <c r="A6" s="51" t="s">
        <v>2308</v>
      </c>
      <c r="C6" s="51" t="s">
        <v>2321</v>
      </c>
      <c r="D6" s="51" t="s">
        <v>2322</v>
      </c>
    </row>
    <row r="7" spans="1:4" x14ac:dyDescent="0.3">
      <c r="A7" s="51" t="s">
        <v>2323</v>
      </c>
      <c r="B7" s="51" t="s">
        <v>2324</v>
      </c>
      <c r="C7" s="51" t="s">
        <v>2325</v>
      </c>
      <c r="D7" s="51" t="s">
        <v>2326</v>
      </c>
    </row>
    <row r="8" spans="1:4" x14ac:dyDescent="0.3">
      <c r="A8" s="51" t="s">
        <v>2327</v>
      </c>
      <c r="B8" s="51" t="s">
        <v>2328</v>
      </c>
      <c r="C8" s="51" t="s">
        <v>2329</v>
      </c>
      <c r="D8" s="51" t="s">
        <v>2330</v>
      </c>
    </row>
    <row r="9" spans="1:4" x14ac:dyDescent="0.3">
      <c r="A9" s="51" t="s">
        <v>2331</v>
      </c>
      <c r="B9" s="51" t="s">
        <v>2332</v>
      </c>
      <c r="C9" s="51" t="s">
        <v>2329</v>
      </c>
      <c r="D9" s="51" t="s">
        <v>2333</v>
      </c>
    </row>
    <row r="10" spans="1:4" x14ac:dyDescent="0.3">
      <c r="A10" s="51" t="s">
        <v>2327</v>
      </c>
      <c r="B10" s="51" t="s">
        <v>2334</v>
      </c>
      <c r="C10" s="51" t="s">
        <v>2315</v>
      </c>
      <c r="D10" s="51" t="s">
        <v>2335</v>
      </c>
    </row>
    <row r="11" spans="1:4" x14ac:dyDescent="0.3">
      <c r="A11" s="51" t="s">
        <v>2331</v>
      </c>
      <c r="B11" s="51" t="s">
        <v>2336</v>
      </c>
      <c r="C11" s="51" t="s">
        <v>2315</v>
      </c>
      <c r="D11" s="51" t="s">
        <v>2335</v>
      </c>
    </row>
    <row r="12" spans="1:4" x14ac:dyDescent="0.3">
      <c r="A12" s="51" t="s">
        <v>2317</v>
      </c>
      <c r="B12" s="51" t="s">
        <v>2339</v>
      </c>
      <c r="C12" s="51" t="s">
        <v>2337</v>
      </c>
      <c r="D12" s="51" t="s">
        <v>2338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A14"/>
  <sheetViews>
    <sheetView workbookViewId="0">
      <selection activeCell="C3" sqref="C3"/>
    </sheetView>
  </sheetViews>
  <sheetFormatPr defaultRowHeight="14.4" x14ac:dyDescent="0.3"/>
  <cols>
    <col min="1" max="1" width="16" bestFit="1" customWidth="1"/>
    <col min="2" max="2" width="7.109375" customWidth="1"/>
    <col min="3" max="16" width="7" customWidth="1"/>
    <col min="17" max="27" width="7.109375" customWidth="1"/>
  </cols>
  <sheetData>
    <row r="1" spans="1:27" x14ac:dyDescent="0.3">
      <c r="Q1" s="6" t="s">
        <v>1382</v>
      </c>
      <c r="R1" s="6" t="s">
        <v>1382</v>
      </c>
      <c r="S1" s="6" t="s">
        <v>1382</v>
      </c>
    </row>
    <row r="2" spans="1:27" x14ac:dyDescent="0.3">
      <c r="A2" t="s">
        <v>1383</v>
      </c>
      <c r="C2" s="7">
        <v>104</v>
      </c>
      <c r="D2" s="7">
        <v>106</v>
      </c>
      <c r="E2" s="7">
        <v>108</v>
      </c>
      <c r="F2" s="7">
        <v>201</v>
      </c>
      <c r="G2" s="7">
        <v>202</v>
      </c>
      <c r="H2" s="7">
        <v>203</v>
      </c>
      <c r="I2" s="7">
        <v>205</v>
      </c>
      <c r="J2" s="7">
        <v>207</v>
      </c>
      <c r="K2" s="7">
        <v>209</v>
      </c>
      <c r="L2" s="7">
        <v>301</v>
      </c>
      <c r="M2" s="7">
        <v>302</v>
      </c>
      <c r="N2" s="7">
        <v>303</v>
      </c>
      <c r="O2" s="7">
        <v>305</v>
      </c>
      <c r="P2" s="7">
        <v>307</v>
      </c>
      <c r="Q2" s="7">
        <v>308</v>
      </c>
      <c r="R2" s="7">
        <v>309</v>
      </c>
      <c r="S2" s="7">
        <v>316</v>
      </c>
      <c r="T2" s="7">
        <v>402</v>
      </c>
      <c r="U2" s="7">
        <v>406</v>
      </c>
    </row>
    <row r="3" spans="1:27" x14ac:dyDescent="0.3">
      <c r="A3" t="s">
        <v>1384</v>
      </c>
      <c r="C3">
        <f>COUNTIFS(Итог!$L:$L,Аудитории!C$2)</f>
        <v>0</v>
      </c>
      <c r="D3">
        <f>COUNTIFS(Итог!$L:$L,Аудитории!D$2)</f>
        <v>0</v>
      </c>
      <c r="E3">
        <f>COUNTIFS(Итог!$L:$L,Аудитории!E$2)</f>
        <v>0</v>
      </c>
      <c r="F3">
        <f>COUNTIFS(Итог!$L:$L,Аудитории!F$2)</f>
        <v>0</v>
      </c>
      <c r="G3">
        <f>COUNTIFS(Итог!$L:$L,Аудитории!G$2)</f>
        <v>0</v>
      </c>
      <c r="H3">
        <f>COUNTIFS(Итог!$L:$L,Аудитории!H$2)</f>
        <v>0</v>
      </c>
      <c r="I3">
        <f>COUNTIFS(Итог!$L:$L,Аудитории!I$2)</f>
        <v>20</v>
      </c>
      <c r="J3">
        <f>COUNTIFS(Итог!$L:$L,Аудитории!J$2)</f>
        <v>0</v>
      </c>
      <c r="K3">
        <f>COUNTIFS(Итог!$L:$L,Аудитории!K$2)</f>
        <v>0</v>
      </c>
      <c r="L3">
        <f>COUNTIFS(Итог!$L:$L,Аудитории!L$2)</f>
        <v>0</v>
      </c>
      <c r="M3">
        <f>COUNTIFS(Итог!$L:$L,Аудитории!M$2)</f>
        <v>0</v>
      </c>
      <c r="N3">
        <f>COUNTIFS(Итог!$L:$L,Аудитории!N$2)</f>
        <v>0</v>
      </c>
      <c r="O3">
        <f>COUNTIFS(Итог!$L:$L,Аудитории!O$2)</f>
        <v>15</v>
      </c>
      <c r="P3">
        <f>COUNTIFS(Итог!$L:$L,Аудитории!P$2)</f>
        <v>0</v>
      </c>
      <c r="Q3">
        <f>COUNTIFS(Итог!$L:$L,Аудитории!Q$2)</f>
        <v>15</v>
      </c>
      <c r="R3">
        <f>COUNTIFS(Итог!$L:$L,Аудитории!R$2)</f>
        <v>0</v>
      </c>
      <c r="S3">
        <f>COUNTIFS(Итог!$L:$L,Аудитории!S$2)</f>
        <v>0</v>
      </c>
      <c r="T3">
        <f>COUNTIFS(Итог!$L:$L,Аудитории!T$2)</f>
        <v>0</v>
      </c>
      <c r="U3">
        <f>COUNTIFS(Итог!$L:$L,Аудитории!U$2)</f>
        <v>0</v>
      </c>
    </row>
    <row r="4" spans="1:27" x14ac:dyDescent="0.3">
      <c r="A4" t="s">
        <v>1386</v>
      </c>
      <c r="C4">
        <f>SUMIFS(Итог!$H:$H,Итог!$L:$L,Аудитории!C$2)</f>
        <v>0</v>
      </c>
      <c r="D4">
        <f>SUMIFS(Итог!$H:$H,Итог!$L:$L,Аудитории!D$2)</f>
        <v>0</v>
      </c>
      <c r="E4">
        <f>SUMIFS(Итог!$H:$H,Итог!$L:$L,Аудитории!E$2)</f>
        <v>0</v>
      </c>
      <c r="F4">
        <f>SUMIFS(Итог!$H:$H,Итог!$L:$L,Аудитории!F$2)</f>
        <v>0</v>
      </c>
      <c r="G4">
        <f>SUMIFS(Итог!$H:$H,Итог!$L:$L,Аудитории!G$2)</f>
        <v>0</v>
      </c>
      <c r="H4">
        <f>SUMIFS(Итог!$H:$H,Итог!$L:$L,Аудитории!H$2)</f>
        <v>0</v>
      </c>
      <c r="I4">
        <f ca="1">SUMIFS(Итог!$H:$H,Итог!$L:$L,Аудитории!I$2)</f>
        <v>6.44062049062049</v>
      </c>
      <c r="J4">
        <f>SUMIFS(Итог!$H:$H,Итог!$L:$L,Аудитории!J$2)</f>
        <v>0</v>
      </c>
      <c r="K4">
        <f>SUMIFS(Итог!$H:$H,Итог!$L:$L,Аудитории!K$2)</f>
        <v>0</v>
      </c>
      <c r="L4">
        <f>SUMIFS(Итог!$H:$H,Итог!$L:$L,Аудитории!L$2)</f>
        <v>0</v>
      </c>
      <c r="M4">
        <f>SUMIFS(Итог!$H:$H,Итог!$L:$L,Аудитории!M$2)</f>
        <v>0</v>
      </c>
      <c r="N4">
        <f>SUMIFS(Итог!$H:$H,Итог!$L:$L,Аудитории!N$2)</f>
        <v>0</v>
      </c>
      <c r="O4">
        <f ca="1">SUMIFS(Итог!$H:$H,Итог!$L:$L,Аудитории!O$2)</f>
        <v>7.3934981684981702</v>
      </c>
      <c r="P4">
        <f>SUMIFS(Итог!$H:$H,Итог!$L:$L,Аудитории!P$2)</f>
        <v>0</v>
      </c>
      <c r="Q4">
        <f ca="1">SUMIFS(Итог!$H:$H,Итог!$L:$L,Аудитории!Q$2)</f>
        <v>6.3979076479076484</v>
      </c>
      <c r="R4">
        <f>SUMIFS(Итог!$H:$H,Итог!$L:$L,Аудитории!R$2)</f>
        <v>0</v>
      </c>
      <c r="S4">
        <f>SUMIFS(Итог!$H:$H,Итог!$L:$L,Аудитории!S$2)</f>
        <v>0</v>
      </c>
      <c r="T4">
        <f>SUMIFS(Итог!$H:$H,Итог!$L:$L,Аудитории!T$2)</f>
        <v>0</v>
      </c>
      <c r="U4">
        <f>SUMIFS(Итог!$H:$H,Итог!$L:$L,Аудитории!U$2)</f>
        <v>0</v>
      </c>
    </row>
    <row r="5" spans="1:27" x14ac:dyDescent="0.3">
      <c r="A5" t="s">
        <v>1385</v>
      </c>
      <c r="C5">
        <f ca="1">COUNTIFS(OFFSET(Итог!$L:$L,0,Итог!$B$1-1),Аудитории!C2,OFFSET(Итог!$CSK:$CSK,0,Итог!$B$1-1),1)</f>
        <v>0</v>
      </c>
      <c r="D5">
        <f ca="1">COUNTIFS(OFFSET(Итог!$L:$L,0,Итог!$B$1-1),Аудитории!D2,OFFSET(Итог!$CSK:$CSK,0,Итог!$B$1-1),1)</f>
        <v>0</v>
      </c>
      <c r="E5">
        <f ca="1">COUNTIFS(OFFSET(Итог!$L:$L,0,Итог!$B$1-1),Аудитории!E2,OFFSET(Итог!$CSK:$CSK,0,Итог!$B$1-1),1)</f>
        <v>0</v>
      </c>
      <c r="F5">
        <f ca="1">COUNTIFS(OFFSET(Итог!$L:$L,0,Итог!$B$1-1),Аудитории!F2,OFFSET(Итог!$CSK:$CSK,0,Итог!$B$1-1),1)</f>
        <v>1</v>
      </c>
      <c r="G5">
        <f ca="1">COUNTIFS(OFFSET(Итог!$L:$L,0,Итог!$B$1-1),Аудитории!G2,OFFSET(Итог!$CSK:$CSK,0,Итог!$B$1-1),1)</f>
        <v>3</v>
      </c>
      <c r="H5">
        <f ca="1">COUNTIFS(OFFSET(Итог!$L:$L,0,Итог!$B$1-1),Аудитории!H2,OFFSET(Итог!$CSK:$CSK,0,Итог!$B$1-1),1)</f>
        <v>2</v>
      </c>
      <c r="I5">
        <f ca="1">COUNTIFS(OFFSET(Итог!$L:$L,0,Итог!$B$1-1),Аудитории!I2,OFFSET(Итог!$CSK:$CSK,0,Итог!$B$1-1),1)</f>
        <v>2</v>
      </c>
      <c r="J5">
        <f ca="1">COUNTIFS(OFFSET(Итог!$L:$L,0,Итог!$B$1-1),Аудитории!J2,OFFSET(Итог!$CSK:$CSK,0,Итог!$B$1-1),1)</f>
        <v>0</v>
      </c>
      <c r="K5">
        <f ca="1">COUNTIFS(OFFSET(Итог!$L:$L,0,Итог!$B$1-1),Аудитории!K2,OFFSET(Итог!$CSK:$CSK,0,Итог!$B$1-1),1)</f>
        <v>0</v>
      </c>
      <c r="L5">
        <f ca="1">COUNTIFS(OFFSET(Итог!$L:$L,0,Итог!$B$1-1),Аудитории!L2,OFFSET(Итог!$CSK:$CSK,0,Итог!$B$1-1),1)</f>
        <v>2</v>
      </c>
      <c r="M5">
        <f ca="1">COUNTIFS(OFFSET(Итог!$L:$L,0,Итог!$B$1-1),Аудитории!M2,OFFSET(Итог!$CSK:$CSK,0,Итог!$B$1-1),1)</f>
        <v>0</v>
      </c>
      <c r="N5">
        <f ca="1">COUNTIFS(OFFSET(Итог!$L:$L,0,Итог!$B$1-1),Аудитории!N2,OFFSET(Итог!$CSK:$CSK,0,Итог!$B$1-1),1)</f>
        <v>0</v>
      </c>
      <c r="O5">
        <f ca="1">COUNTIFS(OFFSET(Итог!$L:$L,0,Итог!$B$1-1),Аудитории!O2,OFFSET(Итог!$CSK:$CSK,0,Итог!$B$1-1),1)</f>
        <v>1</v>
      </c>
      <c r="P5">
        <f ca="1">COUNTIFS(OFFSET(Итог!$L:$L,0,Итог!$B$1-1),Аудитории!P2,OFFSET(Итог!$CSK:$CSK,0,Итог!$B$1-1),1)</f>
        <v>1</v>
      </c>
      <c r="Q5">
        <f ca="1">COUNTIFS(OFFSET(Итог!$L:$L,0,Итог!$B$1-1),Аудитории!Q2,OFFSET(Итог!$CSK:$CSK,0,Итог!$B$1-1),1)</f>
        <v>1</v>
      </c>
      <c r="R5">
        <f ca="1">COUNTIFS(OFFSET(Итог!$L:$L,0,Итог!$B$1-1),Аудитории!R2,OFFSET(Итог!$CSK:$CSK,0,Итог!$B$1-1),1)</f>
        <v>0</v>
      </c>
      <c r="S5">
        <f ca="1">COUNTIFS(OFFSET(Итог!$L:$L,0,Итог!$B$1-1),Аудитории!S2,OFFSET(Итог!$CSK:$CSK,0,Итог!$B$1-1),1)</f>
        <v>0</v>
      </c>
      <c r="T5">
        <f ca="1">COUNTIFS(OFFSET(Итог!$L:$L,0,Итог!$B$1-1),Аудитории!T2,OFFSET(Итог!$CSK:$CSK,0,Итог!$B$1-1),1)</f>
        <v>0</v>
      </c>
      <c r="U5">
        <f ca="1">COUNTIFS(OFFSET(Итог!$L:$L,0,Итог!$B$1-1),Аудитории!U2,OFFSET(Итог!$CSK:$CSK,0,Итог!$B$1-1),1)</f>
        <v>1</v>
      </c>
    </row>
    <row r="6" spans="1:27" x14ac:dyDescent="0.3">
      <c r="A6" t="s">
        <v>1387</v>
      </c>
      <c r="C6">
        <f ca="1">COUNTIFS(OFFSET(Итог!$L:$L,0,Итог!$B$1-2),Аудитории!C2,OFFSET(Итог!$CSK:$CSK,0,Итог!$B$1-2),1)</f>
        <v>0</v>
      </c>
      <c r="D6">
        <f ca="1">COUNTIFS(OFFSET(Итог!$L:$L,0,Итог!$B$1-2),Аудитории!D2,OFFSET(Итог!$CSK:$CSK,0,Итог!$B$1-2),1)</f>
        <v>0</v>
      </c>
      <c r="E6">
        <f ca="1">COUNTIFS(OFFSET(Итог!$L:$L,0,Итог!$B$1-2),Аудитории!E2,OFFSET(Итог!$CSK:$CSK,0,Итог!$B$1-2),1)</f>
        <v>0</v>
      </c>
      <c r="F6">
        <f ca="1">COUNTIFS(OFFSET(Итог!$L:$L,0,Итог!$B$1-2),Аудитории!F2,OFFSET(Итог!$CSK:$CSK,0,Итог!$B$1-2),1)</f>
        <v>2</v>
      </c>
      <c r="G6">
        <f ca="1">COUNTIFS(OFFSET(Итог!$L:$L,0,Итог!$B$1-2),Аудитории!G2,OFFSET(Итог!$CSK:$CSK,0,Итог!$B$1-2),1)</f>
        <v>3</v>
      </c>
      <c r="H6">
        <f ca="1">COUNTIFS(OFFSET(Итог!$L:$L,0,Итог!$B$1-2),Аудитории!H2,OFFSET(Итог!$CSK:$CSK,0,Итог!$B$1-2),1)</f>
        <v>2</v>
      </c>
      <c r="I6">
        <f ca="1">COUNTIFS(OFFSET(Итог!$L:$L,0,Итог!$B$1-2),Аудитории!I2,OFFSET(Итог!$CSK:$CSK,0,Итог!$B$1-2),1)</f>
        <v>2</v>
      </c>
      <c r="J6">
        <f ca="1">COUNTIFS(OFFSET(Итог!$L:$L,0,Итог!$B$1-2),Аудитории!J2,OFFSET(Итог!$CSK:$CSK,0,Итог!$B$1-2),1)</f>
        <v>0</v>
      </c>
      <c r="K6">
        <f ca="1">COUNTIFS(OFFSET(Итог!$L:$L,0,Итог!$B$1-2),Аудитории!K2,OFFSET(Итог!$CSK:$CSK,0,Итог!$B$1-2),1)</f>
        <v>1</v>
      </c>
      <c r="L6">
        <f ca="1">COUNTIFS(OFFSET(Итог!$L:$L,0,Итог!$B$1-2),Аудитории!L2,OFFSET(Итог!$CSK:$CSK,0,Итог!$B$1-2),1)</f>
        <v>2</v>
      </c>
      <c r="M6">
        <f ca="1">COUNTIFS(OFFSET(Итог!$L:$L,0,Итог!$B$1-2),Аудитории!M2,OFFSET(Итог!$CSK:$CSK,0,Итог!$B$1-2),1)</f>
        <v>0</v>
      </c>
      <c r="N6">
        <f ca="1">COUNTIFS(OFFSET(Итог!$L:$L,0,Итог!$B$1-2),Аудитории!N2,OFFSET(Итог!$CSK:$CSK,0,Итог!$B$1-2),1)</f>
        <v>0</v>
      </c>
      <c r="O6">
        <f ca="1">COUNTIFS(OFFSET(Итог!$L:$L,0,Итог!$B$1-2),Аудитории!O2,OFFSET(Итог!$CSK:$CSK,0,Итог!$B$1-2),1)</f>
        <v>2</v>
      </c>
      <c r="P6">
        <f ca="1">COUNTIFS(OFFSET(Итог!$L:$L,0,Итог!$B$1-2),Аудитории!P2,OFFSET(Итог!$CSK:$CSK,0,Итог!$B$1-2),1)</f>
        <v>1</v>
      </c>
      <c r="Q6">
        <f ca="1">COUNTIFS(OFFSET(Итог!$L:$L,0,Итог!$B$1-2),Аудитории!Q2,OFFSET(Итог!$CSK:$CSK,0,Итог!$B$1-2),1)</f>
        <v>0</v>
      </c>
      <c r="R6">
        <f ca="1">COUNTIFS(OFFSET(Итог!$L:$L,0,Итог!$B$1-2),Аудитории!R2,OFFSET(Итог!$CSK:$CSK,0,Итог!$B$1-2),1)</f>
        <v>0</v>
      </c>
      <c r="S6">
        <f ca="1">COUNTIFS(OFFSET(Итог!$L:$L,0,Итог!$B$1-2),Аудитории!S2,OFFSET(Итог!$CSK:$CSK,0,Итог!$B$1-2),1)</f>
        <v>0</v>
      </c>
      <c r="T6">
        <f ca="1">COUNTIFS(OFFSET(Итог!$L:$L,0,Итог!$B$1-2),Аудитории!T2,OFFSET(Итог!$CSK:$CSK,0,Итог!$B$1-2),1)</f>
        <v>0</v>
      </c>
      <c r="U6">
        <f ca="1">COUNTIFS(OFFSET(Итог!$L:$L,0,Итог!$B$1-2),Аудитории!U2,OFFSET(Итог!$CSK:$CSK,0,Итог!$B$1-2),1)</f>
        <v>2</v>
      </c>
    </row>
    <row r="7" spans="1:27" x14ac:dyDescent="0.3">
      <c r="A7" t="s">
        <v>1388</v>
      </c>
      <c r="C7">
        <f ca="1">COUNTIFS(OFFSET(Итог!$L:$L,0,Итог!$B$1-3),Аудитории!C2,OFFSET(Итог!$CSK:$CSK,0,Итог!$B$1-3),1)</f>
        <v>0</v>
      </c>
      <c r="D7">
        <f ca="1">COUNTIFS(OFFSET(Итог!$L:$L,0,Итог!$B$1-3),Аудитории!D2,OFFSET(Итог!$CSK:$CSK,0,Итог!$B$1-3),1)</f>
        <v>0</v>
      </c>
      <c r="E7">
        <f ca="1">COUNTIFS(OFFSET(Итог!$L:$L,0,Итог!$B$1-3),Аудитории!E2,OFFSET(Итог!$CSK:$CSK,0,Итог!$B$1-3),1)</f>
        <v>0</v>
      </c>
      <c r="F7">
        <f ca="1">COUNTIFS(OFFSET(Итог!$L:$L,0,Итог!$B$1-3),Аудитории!F2,OFFSET(Итог!$CSK:$CSK,0,Итог!$B$1-3),1)</f>
        <v>1</v>
      </c>
      <c r="G7">
        <f ca="1">COUNTIFS(OFFSET(Итог!$L:$L,0,Итог!$B$1-3),Аудитории!G2,OFFSET(Итог!$CSK:$CSK,0,Итог!$B$1-3),1)</f>
        <v>2</v>
      </c>
      <c r="H7">
        <f ca="1">COUNTIFS(OFFSET(Итог!$L:$L,0,Итог!$B$1-3),Аудитории!H2,OFFSET(Итог!$CSK:$CSK,0,Итог!$B$1-3),1)</f>
        <v>1</v>
      </c>
      <c r="I7">
        <f ca="1">COUNTIFS(OFFSET(Итог!$L:$L,0,Итог!$B$1-3),Аудитории!I2,OFFSET(Итог!$CSK:$CSK,0,Итог!$B$1-3),1)</f>
        <v>1</v>
      </c>
      <c r="J7">
        <f ca="1">COUNTIFS(OFFSET(Итог!$L:$L,0,Итог!$B$1-3),Аудитории!J2,OFFSET(Итог!$CSK:$CSK,0,Итог!$B$1-3),1)</f>
        <v>0</v>
      </c>
      <c r="K7">
        <f ca="1">COUNTIFS(OFFSET(Итог!$L:$L,0,Итог!$B$1-3),Аудитории!K2,OFFSET(Итог!$CSK:$CSK,0,Итог!$B$1-3),1)</f>
        <v>1</v>
      </c>
      <c r="L7">
        <f ca="1">COUNTIFS(OFFSET(Итог!$L:$L,0,Итог!$B$1-3),Аудитории!L2,OFFSET(Итог!$CSK:$CSK,0,Итог!$B$1-3),1)</f>
        <v>2</v>
      </c>
      <c r="M7">
        <f ca="1">COUNTIFS(OFFSET(Итог!$L:$L,0,Итог!$B$1-3),Аудитории!M2,OFFSET(Итог!$CSK:$CSK,0,Итог!$B$1-3),1)</f>
        <v>0</v>
      </c>
      <c r="N7">
        <f ca="1">COUNTIFS(OFFSET(Итог!$L:$L,0,Итог!$B$1-3),Аудитории!N2,OFFSET(Итог!$CSK:$CSK,0,Итог!$B$1-3),1)</f>
        <v>0</v>
      </c>
      <c r="O7">
        <f ca="1">COUNTIFS(OFFSET(Итог!$L:$L,0,Итог!$B$1-3),Аудитории!O2,OFFSET(Итог!$CSK:$CSK,0,Итог!$B$1-3),1)</f>
        <v>2</v>
      </c>
      <c r="P7">
        <f ca="1">COUNTIFS(OFFSET(Итог!$L:$L,0,Итог!$B$1-3),Аудитории!P2,OFFSET(Итог!$CSK:$CSK,0,Итог!$B$1-3),1)</f>
        <v>1</v>
      </c>
      <c r="Q7">
        <f ca="1">COUNTIFS(OFFSET(Итог!$L:$L,0,Итог!$B$1-3),Аудитории!Q2,OFFSET(Итог!$CSK:$CSK,0,Итог!$B$1-3),1)</f>
        <v>1</v>
      </c>
      <c r="R7">
        <f ca="1">COUNTIFS(OFFSET(Итог!$L:$L,0,Итог!$B$1-3),Аудитории!R2,OFFSET(Итог!$CSK:$CSK,0,Итог!$B$1-3),1)</f>
        <v>0</v>
      </c>
      <c r="S7">
        <f ca="1">COUNTIFS(OFFSET(Итог!$L:$L,0,Итог!$B$1-3),Аудитории!S2,OFFSET(Итог!$CSK:$CSK,0,Итог!$B$1-3),1)</f>
        <v>0</v>
      </c>
      <c r="T7">
        <f ca="1">COUNTIFS(OFFSET(Итог!$L:$L,0,Итог!$B$1-3),Аудитории!T2,OFFSET(Итог!$CSK:$CSK,0,Итог!$B$1-3),1)</f>
        <v>0</v>
      </c>
      <c r="U7">
        <f ca="1">COUNTIFS(OFFSET(Итог!$L:$L,0,Итог!$B$1-3),Аудитории!U2,OFFSET(Итог!$CSK:$CSK,0,Итог!$B$1-3),1)</f>
        <v>1</v>
      </c>
    </row>
    <row r="9" spans="1:27" x14ac:dyDescent="0.3">
      <c r="A9" t="s">
        <v>1395</v>
      </c>
      <c r="C9" t="e">
        <f>AVERAGEIFS(Итог!$K:$K,Итог!$L:$L,Аудитории!C$2)</f>
        <v>#DIV/0!</v>
      </c>
      <c r="D9" t="e">
        <f>AVERAGEIFS(Итог!$K:$K,Итог!$L:$L,Аудитории!D$2)</f>
        <v>#DIV/0!</v>
      </c>
      <c r="E9" t="e">
        <f>AVERAGEIFS(Итог!$K:$K,Итог!$L:$L,Аудитории!E$2)</f>
        <v>#DIV/0!</v>
      </c>
      <c r="F9" t="e">
        <f>AVERAGEIFS(Итог!$K:$K,Итог!$L:$L,Аудитории!F$2)</f>
        <v>#DIV/0!</v>
      </c>
      <c r="G9" t="e">
        <f>AVERAGEIFS(Итог!$K:$K,Итог!$L:$L,Аудитории!G$2)</f>
        <v>#DIV/0!</v>
      </c>
      <c r="H9" t="e">
        <f>AVERAGEIFS(Итог!$K:$K,Итог!$L:$L,Аудитории!H$2)</f>
        <v>#DIV/0!</v>
      </c>
      <c r="I9">
        <f ca="1">AVERAGEIFS(Итог!$K:$K,Итог!$L:$L,Аудитории!I$2)</f>
        <v>3.8193542568542571</v>
      </c>
      <c r="J9" t="e">
        <f>AVERAGEIFS(Итог!$K:$K,Итог!$L:$L,Аудитории!J$2)</f>
        <v>#DIV/0!</v>
      </c>
      <c r="K9" t="e">
        <f>AVERAGEIFS(Итог!$K:$K,Итог!$L:$L,Аудитории!K$2)</f>
        <v>#DIV/0!</v>
      </c>
      <c r="L9" t="e">
        <f>AVERAGEIFS(Итог!$K:$K,Итог!$L:$L,Аудитории!L$2)</f>
        <v>#DIV/0!</v>
      </c>
      <c r="M9" t="e">
        <f>AVERAGEIFS(Итог!$K:$K,Итог!$L:$L,Аудитории!M$2)</f>
        <v>#DIV/0!</v>
      </c>
      <c r="N9" t="e">
        <f>AVERAGEIFS(Итог!$K:$K,Итог!$L:$L,Аудитории!N$2)</f>
        <v>#DIV/0!</v>
      </c>
      <c r="O9">
        <f ca="1">AVERAGEIFS(Итог!$K:$K,Итог!$L:$L,Аудитории!O$2)</f>
        <v>5.4619696969696978</v>
      </c>
      <c r="P9" t="e">
        <f>AVERAGEIFS(Итог!$K:$K,Итог!$L:$L,Аудитории!P$2)</f>
        <v>#DIV/0!</v>
      </c>
      <c r="Q9">
        <f ca="1">AVERAGEIFS(Итог!$K:$K,Итог!$L:$L,Аудитории!Q$2)</f>
        <v>3.8826406926406918</v>
      </c>
      <c r="R9" t="e">
        <f>AVERAGEIFS(Итог!$K:$K,Итог!$L:$L,Аудитории!R$2)</f>
        <v>#DIV/0!</v>
      </c>
      <c r="S9" t="e">
        <f>AVERAGEIFS(Итог!$K:$K,Итог!$L:$L,Аудитории!S$2)</f>
        <v>#DIV/0!</v>
      </c>
      <c r="T9" t="e">
        <f>AVERAGEIFS(Итог!$K:$K,Итог!$L:$L,Аудитории!T$2)</f>
        <v>#DIV/0!</v>
      </c>
      <c r="U9" t="e">
        <f>AVERAGEIFS(Итог!$K:$K,Итог!$L:$L,Аудитории!U$2)</f>
        <v>#DIV/0!</v>
      </c>
    </row>
    <row r="10" spans="1:27" x14ac:dyDescent="0.3">
      <c r="A10" t="s">
        <v>1394</v>
      </c>
      <c r="C10" t="e">
        <f>AVERAGEIFS(Итог!#REF!,Итог!$L:$L,Аудитории!C$2)</f>
        <v>#REF!</v>
      </c>
      <c r="D10" t="e">
        <f>AVERAGEIFS(Итог!#REF!,Итог!$L:$L,Аудитории!D$2)</f>
        <v>#REF!</v>
      </c>
      <c r="E10" t="e">
        <f>AVERAGEIFS(Итог!#REF!,Итог!$L:$L,Аудитории!E$2)</f>
        <v>#REF!</v>
      </c>
      <c r="F10" t="e">
        <f>AVERAGEIFS(Итог!#REF!,Итог!$L:$L,Аудитории!F$2)</f>
        <v>#REF!</v>
      </c>
      <c r="G10" t="e">
        <f>AVERAGEIFS(Итог!#REF!,Итог!$L:$L,Аудитории!G$2)</f>
        <v>#REF!</v>
      </c>
      <c r="H10" t="e">
        <f>AVERAGEIFS(Итог!#REF!,Итог!$L:$L,Аудитории!H$2)</f>
        <v>#REF!</v>
      </c>
      <c r="I10" t="e">
        <f>AVERAGEIFS(Итог!#REF!,Итог!$L:$L,Аудитории!I$2)</f>
        <v>#REF!</v>
      </c>
      <c r="J10" t="e">
        <f>AVERAGEIFS(Итог!#REF!,Итог!$L:$L,Аудитории!J$2)</f>
        <v>#REF!</v>
      </c>
      <c r="K10" t="e">
        <f>AVERAGEIFS(Итог!#REF!,Итог!$L:$L,Аудитории!K$2)</f>
        <v>#REF!</v>
      </c>
      <c r="L10" t="e">
        <f>AVERAGEIFS(Итог!#REF!,Итог!$L:$L,Аудитории!L$2)</f>
        <v>#REF!</v>
      </c>
      <c r="M10" t="e">
        <f>AVERAGEIFS(Итог!#REF!,Итог!$L:$L,Аудитории!M$2)</f>
        <v>#REF!</v>
      </c>
      <c r="N10" t="e">
        <f>AVERAGEIFS(Итог!#REF!,Итог!$L:$L,Аудитории!N$2)</f>
        <v>#REF!</v>
      </c>
      <c r="O10" t="e">
        <f>AVERAGEIFS(Итог!#REF!,Итог!$L:$L,Аудитории!O$2)</f>
        <v>#REF!</v>
      </c>
      <c r="P10" t="e">
        <f>AVERAGEIFS(Итог!#REF!,Итог!$L:$L,Аудитории!P$2)</f>
        <v>#REF!</v>
      </c>
      <c r="Q10" t="e">
        <f>AVERAGEIFS(Итог!#REF!,Итог!$L:$L,Аудитории!Q$2)</f>
        <v>#REF!</v>
      </c>
      <c r="R10" t="e">
        <f>AVERAGEIFS(Итог!#REF!,Итог!$L:$L,Аудитории!R$2)</f>
        <v>#REF!</v>
      </c>
      <c r="S10" t="e">
        <f>AVERAGEIFS(Итог!#REF!,Итог!$L:$L,Аудитории!S$2)</f>
        <v>#REF!</v>
      </c>
      <c r="T10" t="e">
        <f>AVERAGEIFS(Итог!#REF!,Итог!$L:$L,Аудитории!T$2)</f>
        <v>#REF!</v>
      </c>
      <c r="U10" t="e">
        <f>AVERAGEIFS(Итог!#REF!,Итог!$L:$L,Аудитории!U$2)</f>
        <v>#REF!</v>
      </c>
    </row>
    <row r="12" spans="1:27" ht="28.8" x14ac:dyDescent="0.3">
      <c r="B12" s="8" t="s">
        <v>1391</v>
      </c>
    </row>
    <row r="13" spans="1:27" x14ac:dyDescent="0.3">
      <c r="A13" t="s">
        <v>1390</v>
      </c>
      <c r="B13" t="s">
        <v>1392</v>
      </c>
      <c r="C13" s="9">
        <v>308</v>
      </c>
      <c r="D13" s="9">
        <v>309</v>
      </c>
      <c r="E13" s="9">
        <v>316</v>
      </c>
      <c r="F13" s="9"/>
      <c r="G13" s="9"/>
      <c r="H13" s="9"/>
      <c r="I13" s="9"/>
      <c r="J13" s="9"/>
      <c r="K13" s="9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x14ac:dyDescent="0.3">
      <c r="A14" t="s">
        <v>1389</v>
      </c>
      <c r="B14" t="s">
        <v>1393</v>
      </c>
      <c r="C14" s="9">
        <v>104</v>
      </c>
      <c r="D14" s="9">
        <v>106</v>
      </c>
      <c r="E14" s="9">
        <v>108</v>
      </c>
      <c r="F14" s="9">
        <v>201</v>
      </c>
      <c r="G14" s="9">
        <v>202</v>
      </c>
      <c r="H14" s="9">
        <v>203</v>
      </c>
      <c r="I14" s="9">
        <v>205</v>
      </c>
      <c r="J14" s="9">
        <v>207</v>
      </c>
      <c r="K14" s="9">
        <v>209</v>
      </c>
      <c r="L14" s="10">
        <v>301</v>
      </c>
      <c r="M14" s="10">
        <v>302</v>
      </c>
      <c r="N14" s="10">
        <v>303</v>
      </c>
      <c r="O14" s="10">
        <v>305</v>
      </c>
      <c r="P14" s="10">
        <v>307</v>
      </c>
      <c r="Q14" s="10">
        <v>402</v>
      </c>
      <c r="R14" s="10">
        <v>406</v>
      </c>
      <c r="S14" s="10"/>
      <c r="T14" s="10"/>
      <c r="U14" s="10"/>
      <c r="V14" s="10"/>
      <c r="W14" s="10"/>
      <c r="X14" s="10"/>
      <c r="Y14" s="10"/>
      <c r="Z14" s="10"/>
      <c r="AA14" s="10"/>
    </row>
  </sheetData>
  <conditionalFormatting sqref="C3:S7 V3:AA7">
    <cfRule type="colorScale" priority="4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S3:S7">
    <cfRule type="colorScale" priority="3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T3:U7">
    <cfRule type="colorScale" priority="2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U3:U7">
    <cfRule type="colorScale" priority="1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41"/>
  <sheetViews>
    <sheetView workbookViewId="0">
      <selection activeCell="C45" sqref="C45"/>
    </sheetView>
  </sheetViews>
  <sheetFormatPr defaultRowHeight="14.4" x14ac:dyDescent="0.3"/>
  <cols>
    <col min="1" max="1" width="9.88671875" customWidth="1"/>
    <col min="2" max="4" width="17.33203125" customWidth="1"/>
    <col min="5" max="7" width="20.44140625" customWidth="1"/>
  </cols>
  <sheetData>
    <row r="1" spans="1:14" x14ac:dyDescent="0.3">
      <c r="A1" t="s">
        <v>1437</v>
      </c>
      <c r="B1" t="s">
        <v>1438</v>
      </c>
      <c r="C1" t="s">
        <v>1439</v>
      </c>
      <c r="D1" t="s">
        <v>1440</v>
      </c>
      <c r="E1" s="29" t="s">
        <v>1441</v>
      </c>
      <c r="F1" s="30" t="s">
        <v>1442</v>
      </c>
      <c r="G1" s="31" t="s">
        <v>1443</v>
      </c>
    </row>
    <row r="2" spans="1:14" x14ac:dyDescent="0.3">
      <c r="A2">
        <v>1</v>
      </c>
      <c r="B2" t="s">
        <v>2483</v>
      </c>
      <c r="C2" t="s">
        <v>2484</v>
      </c>
      <c r="E2" s="26" t="s">
        <v>2963</v>
      </c>
      <c r="F2" s="19" t="s">
        <v>2964</v>
      </c>
      <c r="G2" s="27"/>
    </row>
    <row r="3" spans="1:14" x14ac:dyDescent="0.3">
      <c r="A3">
        <v>2</v>
      </c>
      <c r="B3" t="s">
        <v>2485</v>
      </c>
      <c r="C3" t="s">
        <v>2486</v>
      </c>
      <c r="E3" s="26" t="s">
        <v>2965</v>
      </c>
      <c r="F3" s="19" t="s">
        <v>2966</v>
      </c>
      <c r="G3" s="27"/>
      <c r="I3" s="79" t="s">
        <v>1499</v>
      </c>
      <c r="J3" s="79"/>
      <c r="K3" s="79"/>
      <c r="L3" s="79"/>
      <c r="M3" s="79"/>
      <c r="N3" s="79"/>
    </row>
    <row r="4" spans="1:14" x14ac:dyDescent="0.3">
      <c r="A4">
        <v>3</v>
      </c>
      <c r="B4" t="s">
        <v>2487</v>
      </c>
      <c r="C4" t="s">
        <v>2488</v>
      </c>
      <c r="E4" s="26" t="s">
        <v>2967</v>
      </c>
      <c r="F4" s="19" t="s">
        <v>2968</v>
      </c>
      <c r="G4" s="27"/>
      <c r="I4" s="79"/>
      <c r="J4" s="79"/>
      <c r="K4" s="79"/>
      <c r="L4" s="79"/>
      <c r="M4" s="79"/>
      <c r="N4" s="79"/>
    </row>
    <row r="5" spans="1:14" x14ac:dyDescent="0.3">
      <c r="A5">
        <v>4</v>
      </c>
      <c r="B5" t="s">
        <v>2489</v>
      </c>
      <c r="C5" t="s">
        <v>2490</v>
      </c>
      <c r="E5" s="26" t="s">
        <v>2969</v>
      </c>
      <c r="F5" s="19" t="s">
        <v>2970</v>
      </c>
      <c r="G5" s="27"/>
      <c r="I5" s="79"/>
      <c r="J5" s="79"/>
      <c r="K5" s="79"/>
      <c r="L5" s="79"/>
      <c r="M5" s="79"/>
      <c r="N5" s="79"/>
    </row>
    <row r="6" spans="1:14" x14ac:dyDescent="0.3">
      <c r="A6">
        <v>5</v>
      </c>
      <c r="B6" t="s">
        <v>2491</v>
      </c>
      <c r="C6" t="s">
        <v>2492</v>
      </c>
      <c r="E6" s="26" t="s">
        <v>2971</v>
      </c>
      <c r="F6" s="19" t="s">
        <v>2972</v>
      </c>
      <c r="G6" s="27"/>
      <c r="I6" s="79"/>
      <c r="J6" s="79"/>
      <c r="K6" s="79"/>
      <c r="L6" s="79"/>
      <c r="M6" s="79"/>
      <c r="N6" s="79"/>
    </row>
    <row r="7" spans="1:14" x14ac:dyDescent="0.3">
      <c r="A7">
        <v>6</v>
      </c>
      <c r="B7" t="s">
        <v>2493</v>
      </c>
      <c r="C7" t="s">
        <v>2494</v>
      </c>
      <c r="E7" s="26" t="s">
        <v>2973</v>
      </c>
      <c r="F7" s="19" t="s">
        <v>2974</v>
      </c>
      <c r="G7" s="27"/>
      <c r="I7" s="79"/>
      <c r="J7" s="79"/>
      <c r="K7" s="79"/>
      <c r="L7" s="79"/>
      <c r="M7" s="79"/>
      <c r="N7" s="79"/>
    </row>
    <row r="8" spans="1:14" x14ac:dyDescent="0.3">
      <c r="A8">
        <v>7</v>
      </c>
      <c r="B8" t="s">
        <v>2495</v>
      </c>
      <c r="C8" t="s">
        <v>2496</v>
      </c>
      <c r="E8" s="26" t="s">
        <v>2975</v>
      </c>
      <c r="F8" s="19" t="s">
        <v>2976</v>
      </c>
      <c r="G8" s="27"/>
      <c r="I8" s="79"/>
      <c r="J8" s="79"/>
      <c r="K8" s="79"/>
      <c r="L8" s="79"/>
      <c r="M8" s="79"/>
      <c r="N8" s="79"/>
    </row>
    <row r="9" spans="1:14" x14ac:dyDescent="0.3">
      <c r="A9">
        <v>8</v>
      </c>
      <c r="B9" t="s">
        <v>2497</v>
      </c>
      <c r="C9" t="s">
        <v>2988</v>
      </c>
      <c r="E9" s="26" t="s">
        <v>2977</v>
      </c>
      <c r="F9" s="19" t="s">
        <v>2978</v>
      </c>
      <c r="G9" s="27"/>
      <c r="I9" s="79"/>
      <c r="J9" s="79"/>
      <c r="K9" s="79"/>
      <c r="L9" s="79"/>
      <c r="M9" s="79"/>
      <c r="N9" s="79"/>
    </row>
    <row r="10" spans="1:14" x14ac:dyDescent="0.3">
      <c r="A10">
        <v>9</v>
      </c>
      <c r="B10" t="s">
        <v>2498</v>
      </c>
      <c r="C10" t="s">
        <v>2499</v>
      </c>
      <c r="E10" s="26" t="s">
        <v>1444</v>
      </c>
      <c r="F10" s="19" t="s">
        <v>1445</v>
      </c>
      <c r="G10" s="27"/>
      <c r="I10" s="79"/>
      <c r="J10" s="79"/>
      <c r="K10" s="79"/>
      <c r="L10" s="79"/>
      <c r="M10" s="79"/>
      <c r="N10" s="79"/>
    </row>
    <row r="11" spans="1:14" x14ac:dyDescent="0.3">
      <c r="A11">
        <v>10</v>
      </c>
      <c r="B11" t="s">
        <v>2500</v>
      </c>
      <c r="C11" t="s">
        <v>2501</v>
      </c>
      <c r="E11" s="26" t="s">
        <v>2989</v>
      </c>
      <c r="F11" s="19" t="s">
        <v>1446</v>
      </c>
      <c r="G11" s="27"/>
      <c r="I11" s="79"/>
      <c r="J11" s="79"/>
      <c r="K11" s="79"/>
      <c r="L11" s="79"/>
      <c r="M11" s="79"/>
      <c r="N11" s="79"/>
    </row>
    <row r="12" spans="1:14" x14ac:dyDescent="0.3">
      <c r="A12">
        <v>11</v>
      </c>
      <c r="B12" t="s">
        <v>2502</v>
      </c>
      <c r="C12" t="s">
        <v>2503</v>
      </c>
      <c r="E12" s="26" t="s">
        <v>2990</v>
      </c>
      <c r="F12" s="19" t="s">
        <v>2991</v>
      </c>
      <c r="G12" s="27"/>
    </row>
    <row r="13" spans="1:14" x14ac:dyDescent="0.3">
      <c r="A13">
        <v>12</v>
      </c>
      <c r="B13" t="s">
        <v>2504</v>
      </c>
      <c r="C13" t="s">
        <v>2505</v>
      </c>
      <c r="E13" s="26" t="s">
        <v>2992</v>
      </c>
      <c r="F13" s="19" t="s">
        <v>2993</v>
      </c>
      <c r="G13" s="27"/>
    </row>
    <row r="14" spans="1:14" x14ac:dyDescent="0.3">
      <c r="A14">
        <v>13</v>
      </c>
      <c r="B14" t="s">
        <v>2506</v>
      </c>
      <c r="C14" t="s">
        <v>2507</v>
      </c>
      <c r="E14" s="26" t="s">
        <v>2994</v>
      </c>
      <c r="F14" s="19" t="s">
        <v>2995</v>
      </c>
      <c r="G14" s="27"/>
    </row>
    <row r="15" spans="1:14" x14ac:dyDescent="0.3">
      <c r="A15">
        <v>14</v>
      </c>
      <c r="B15" t="s">
        <v>2508</v>
      </c>
      <c r="C15" t="s">
        <v>2509</v>
      </c>
      <c r="E15" s="26" t="s">
        <v>2996</v>
      </c>
      <c r="F15" s="19" t="s">
        <v>2997</v>
      </c>
      <c r="G15" s="27"/>
    </row>
    <row r="16" spans="1:14" x14ac:dyDescent="0.3">
      <c r="A16">
        <v>15</v>
      </c>
      <c r="B16" t="s">
        <v>2510</v>
      </c>
      <c r="C16" t="s">
        <v>2511</v>
      </c>
      <c r="E16" s="26" t="s">
        <v>1447</v>
      </c>
      <c r="F16" s="19" t="s">
        <v>1448</v>
      </c>
      <c r="G16" s="27"/>
    </row>
    <row r="17" spans="1:7" x14ac:dyDescent="0.3">
      <c r="A17">
        <v>16</v>
      </c>
      <c r="B17" t="s">
        <v>2512</v>
      </c>
      <c r="C17" t="s">
        <v>2513</v>
      </c>
      <c r="E17" s="26" t="s">
        <v>1449</v>
      </c>
      <c r="F17" s="19" t="s">
        <v>1450</v>
      </c>
      <c r="G17" s="27"/>
    </row>
    <row r="18" spans="1:7" x14ac:dyDescent="0.3">
      <c r="A18">
        <v>17</v>
      </c>
      <c r="B18" t="s">
        <v>2514</v>
      </c>
      <c r="C18" t="s">
        <v>2515</v>
      </c>
      <c r="E18" s="26" t="s">
        <v>1451</v>
      </c>
      <c r="F18" s="19" t="s">
        <v>1452</v>
      </c>
      <c r="G18" s="27"/>
    </row>
    <row r="19" spans="1:7" x14ac:dyDescent="0.3">
      <c r="A19">
        <v>18</v>
      </c>
      <c r="B19" t="s">
        <v>2516</v>
      </c>
      <c r="C19" t="s">
        <v>2517</v>
      </c>
      <c r="E19" s="26" t="s">
        <v>1453</v>
      </c>
      <c r="F19" s="19" t="s">
        <v>1454</v>
      </c>
      <c r="G19" s="27"/>
    </row>
    <row r="20" spans="1:7" x14ac:dyDescent="0.3">
      <c r="A20">
        <v>19</v>
      </c>
      <c r="B20" t="s">
        <v>2518</v>
      </c>
      <c r="C20" t="s">
        <v>2519</v>
      </c>
      <c r="E20" s="26" t="s">
        <v>1455</v>
      </c>
      <c r="F20" s="19" t="s">
        <v>1456</v>
      </c>
      <c r="G20" s="27"/>
    </row>
    <row r="21" spans="1:7" x14ac:dyDescent="0.3">
      <c r="A21">
        <v>20</v>
      </c>
      <c r="B21" t="s">
        <v>2520</v>
      </c>
      <c r="C21" t="s">
        <v>2521</v>
      </c>
      <c r="E21" s="26" t="s">
        <v>1457</v>
      </c>
      <c r="F21" s="19" t="s">
        <v>1458</v>
      </c>
      <c r="G21" s="27"/>
    </row>
    <row r="22" spans="1:7" x14ac:dyDescent="0.3">
      <c r="A22">
        <v>21</v>
      </c>
      <c r="B22" t="s">
        <v>2522</v>
      </c>
      <c r="C22" t="s">
        <v>2523</v>
      </c>
      <c r="E22" s="26" t="s">
        <v>1459</v>
      </c>
      <c r="F22" s="19" t="s">
        <v>1460</v>
      </c>
      <c r="G22" s="27"/>
    </row>
    <row r="23" spans="1:7" x14ac:dyDescent="0.3">
      <c r="A23">
        <v>22</v>
      </c>
      <c r="B23" t="s">
        <v>2524</v>
      </c>
      <c r="C23" t="s">
        <v>2525</v>
      </c>
      <c r="E23" s="26" t="s">
        <v>1461</v>
      </c>
      <c r="F23" s="19" t="s">
        <v>1462</v>
      </c>
      <c r="G23" s="27"/>
    </row>
    <row r="24" spans="1:7" x14ac:dyDescent="0.3">
      <c r="A24">
        <v>23</v>
      </c>
      <c r="B24" t="s">
        <v>2526</v>
      </c>
      <c r="C24" t="s">
        <v>2527</v>
      </c>
      <c r="E24" s="26" t="s">
        <v>1463</v>
      </c>
      <c r="F24" s="19" t="s">
        <v>1464</v>
      </c>
      <c r="G24" s="27"/>
    </row>
    <row r="25" spans="1:7" x14ac:dyDescent="0.3">
      <c r="A25">
        <v>24</v>
      </c>
      <c r="B25" t="s">
        <v>2528</v>
      </c>
      <c r="C25" t="s">
        <v>2529</v>
      </c>
      <c r="E25" s="26" t="s">
        <v>1465</v>
      </c>
      <c r="F25" s="19" t="s">
        <v>1466</v>
      </c>
      <c r="G25" s="27"/>
    </row>
    <row r="26" spans="1:7" x14ac:dyDescent="0.3">
      <c r="A26">
        <v>25</v>
      </c>
      <c r="B26" t="s">
        <v>2530</v>
      </c>
      <c r="C26" t="s">
        <v>2531</v>
      </c>
      <c r="E26" s="26" t="s">
        <v>1467</v>
      </c>
      <c r="F26" s="19" t="s">
        <v>1468</v>
      </c>
      <c r="G26" s="27"/>
    </row>
    <row r="27" spans="1:7" x14ac:dyDescent="0.3">
      <c r="A27">
        <v>26</v>
      </c>
      <c r="B27" t="s">
        <v>2532</v>
      </c>
      <c r="C27" t="s">
        <v>2533</v>
      </c>
      <c r="E27" s="26" t="s">
        <v>1469</v>
      </c>
      <c r="F27" s="19" t="s">
        <v>1470</v>
      </c>
      <c r="G27" s="27"/>
    </row>
    <row r="28" spans="1:7" x14ac:dyDescent="0.3">
      <c r="A28">
        <v>27</v>
      </c>
      <c r="B28" t="s">
        <v>2534</v>
      </c>
      <c r="C28" t="s">
        <v>2535</v>
      </c>
      <c r="E28" s="26" t="s">
        <v>1471</v>
      </c>
      <c r="F28" s="19" t="s">
        <v>1472</v>
      </c>
      <c r="G28" s="27"/>
    </row>
    <row r="29" spans="1:7" x14ac:dyDescent="0.3">
      <c r="A29">
        <v>28</v>
      </c>
      <c r="B29" t="s">
        <v>2536</v>
      </c>
      <c r="C29" t="s">
        <v>2537</v>
      </c>
      <c r="E29" s="26" t="s">
        <v>1473</v>
      </c>
      <c r="F29" s="19" t="s">
        <v>1474</v>
      </c>
      <c r="G29" s="27"/>
    </row>
    <row r="30" spans="1:7" x14ac:dyDescent="0.3">
      <c r="A30">
        <v>29</v>
      </c>
      <c r="B30" t="s">
        <v>2538</v>
      </c>
      <c r="C30" t="s">
        <v>2539</v>
      </c>
      <c r="E30" s="26" t="s">
        <v>1475</v>
      </c>
      <c r="F30" s="19" t="s">
        <v>1476</v>
      </c>
      <c r="G30" s="27"/>
    </row>
    <row r="31" spans="1:7" x14ac:dyDescent="0.3">
      <c r="A31">
        <v>30</v>
      </c>
      <c r="B31" t="s">
        <v>2540</v>
      </c>
      <c r="C31" t="s">
        <v>2541</v>
      </c>
      <c r="E31" s="26" t="s">
        <v>1477</v>
      </c>
      <c r="F31" s="19" t="s">
        <v>1478</v>
      </c>
      <c r="G31" s="27"/>
    </row>
    <row r="32" spans="1:7" x14ac:dyDescent="0.3">
      <c r="A32">
        <v>31</v>
      </c>
      <c r="B32" t="s">
        <v>2542</v>
      </c>
      <c r="C32" t="s">
        <v>2543</v>
      </c>
      <c r="E32" s="26" t="s">
        <v>1479</v>
      </c>
      <c r="F32" s="19" t="s">
        <v>1480</v>
      </c>
      <c r="G32" s="27"/>
    </row>
    <row r="33" spans="1:7" x14ac:dyDescent="0.3">
      <c r="A33">
        <v>32</v>
      </c>
      <c r="B33" t="s">
        <v>2544</v>
      </c>
      <c r="C33" t="s">
        <v>2545</v>
      </c>
      <c r="E33" s="26" t="s">
        <v>1481</v>
      </c>
      <c r="F33" s="19" t="s">
        <v>1482</v>
      </c>
      <c r="G33" s="27"/>
    </row>
    <row r="34" spans="1:7" x14ac:dyDescent="0.3">
      <c r="A34">
        <v>33</v>
      </c>
      <c r="B34" t="s">
        <v>2546</v>
      </c>
      <c r="C34" t="s">
        <v>2547</v>
      </c>
      <c r="E34" s="26" t="s">
        <v>1483</v>
      </c>
      <c r="F34" s="19" t="s">
        <v>1484</v>
      </c>
      <c r="G34" s="27"/>
    </row>
    <row r="35" spans="1:7" x14ac:dyDescent="0.3">
      <c r="A35">
        <v>34</v>
      </c>
      <c r="B35" t="s">
        <v>2548</v>
      </c>
      <c r="C35" t="s">
        <v>2549</v>
      </c>
      <c r="E35" s="26" t="s">
        <v>1485</v>
      </c>
      <c r="F35" s="19" t="s">
        <v>1486</v>
      </c>
      <c r="G35" s="27"/>
    </row>
    <row r="36" spans="1:7" x14ac:dyDescent="0.3">
      <c r="A36">
        <v>35</v>
      </c>
      <c r="B36" t="s">
        <v>2550</v>
      </c>
      <c r="C36" t="s">
        <v>2551</v>
      </c>
      <c r="E36" s="26" t="s">
        <v>1487</v>
      </c>
      <c r="F36" s="19" t="s">
        <v>1488</v>
      </c>
      <c r="G36" s="27"/>
    </row>
    <row r="37" spans="1:7" x14ac:dyDescent="0.3">
      <c r="A37">
        <v>36</v>
      </c>
      <c r="B37" t="s">
        <v>2552</v>
      </c>
      <c r="C37" t="s">
        <v>2553</v>
      </c>
      <c r="E37" s="26" t="s">
        <v>1489</v>
      </c>
      <c r="F37" s="19" t="s">
        <v>1490</v>
      </c>
      <c r="G37" s="27"/>
    </row>
    <row r="38" spans="1:7" x14ac:dyDescent="0.3">
      <c r="A38">
        <v>37</v>
      </c>
      <c r="B38" t="s">
        <v>2554</v>
      </c>
      <c r="C38" t="s">
        <v>2555</v>
      </c>
      <c r="E38" s="26" t="s">
        <v>1491</v>
      </c>
      <c r="F38" s="19" t="s">
        <v>1492</v>
      </c>
      <c r="G38" s="27"/>
    </row>
    <row r="39" spans="1:7" x14ac:dyDescent="0.3">
      <c r="A39">
        <v>38</v>
      </c>
      <c r="B39" t="s">
        <v>2556</v>
      </c>
      <c r="C39" t="s">
        <v>2557</v>
      </c>
      <c r="E39" s="26" t="s">
        <v>1493</v>
      </c>
      <c r="F39" s="19" t="s">
        <v>1494</v>
      </c>
      <c r="G39" s="27"/>
    </row>
    <row r="40" spans="1:7" x14ac:dyDescent="0.3">
      <c r="A40">
        <v>39</v>
      </c>
      <c r="B40" t="s">
        <v>2558</v>
      </c>
      <c r="C40" t="s">
        <v>2559</v>
      </c>
      <c r="E40" s="26" t="s">
        <v>1495</v>
      </c>
      <c r="F40" s="19" t="s">
        <v>1496</v>
      </c>
      <c r="G40" s="27"/>
    </row>
    <row r="41" spans="1:7" ht="15" thickBot="1" x14ac:dyDescent="0.35">
      <c r="A41">
        <v>40</v>
      </c>
      <c r="B41" t="s">
        <v>2560</v>
      </c>
      <c r="C41" t="s">
        <v>2561</v>
      </c>
      <c r="E41" s="32" t="s">
        <v>1497</v>
      </c>
      <c r="F41" s="33" t="s">
        <v>1498</v>
      </c>
      <c r="G41" s="34"/>
    </row>
  </sheetData>
  <mergeCells count="1">
    <mergeCell ref="I3:N1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3"/>
  <sheetViews>
    <sheetView workbookViewId="0">
      <selection activeCell="J18" sqref="J18"/>
    </sheetView>
  </sheetViews>
  <sheetFormatPr defaultRowHeight="14.4" x14ac:dyDescent="0.3"/>
  <cols>
    <col min="1" max="1" width="15.44140625" bestFit="1" customWidth="1"/>
    <col min="2" max="2" width="15.6640625" bestFit="1" customWidth="1"/>
    <col min="3" max="3" width="8.5546875" bestFit="1" customWidth="1"/>
  </cols>
  <sheetData>
    <row r="1" spans="1:3" x14ac:dyDescent="0.3">
      <c r="A1" t="s">
        <v>2246</v>
      </c>
      <c r="B1" t="s">
        <v>2247</v>
      </c>
    </row>
    <row r="2" spans="1:3" x14ac:dyDescent="0.3">
      <c r="A2" t="s">
        <v>2248</v>
      </c>
      <c r="B2" t="s">
        <v>2249</v>
      </c>
    </row>
    <row r="3" spans="1:3" x14ac:dyDescent="0.3">
      <c r="A3" t="s">
        <v>2245</v>
      </c>
      <c r="B3" t="s">
        <v>2244</v>
      </c>
      <c r="C3" t="s">
        <v>2250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9A69-839E-4983-ACFD-EF22FCE3DAB4}">
  <dimension ref="A1:D2"/>
  <sheetViews>
    <sheetView workbookViewId="0">
      <selection activeCell="B7" sqref="B7"/>
    </sheetView>
  </sheetViews>
  <sheetFormatPr defaultRowHeight="14.4" x14ac:dyDescent="0.3"/>
  <cols>
    <col min="1" max="1" width="11.6640625" bestFit="1" customWidth="1"/>
    <col min="2" max="2" width="11.44140625" customWidth="1"/>
    <col min="4" max="4" width="10.44140625" customWidth="1"/>
  </cols>
  <sheetData>
    <row r="1" spans="1:4" x14ac:dyDescent="0.3">
      <c r="A1" t="s">
        <v>2340</v>
      </c>
      <c r="B1" t="s">
        <v>0</v>
      </c>
      <c r="C1" t="s">
        <v>1</v>
      </c>
      <c r="D1" t="s">
        <v>2341</v>
      </c>
    </row>
    <row r="2" spans="1:4" x14ac:dyDescent="0.3">
      <c r="A2" t="str">
        <f>SUBSTITUTE(SUBSTITUTE(LOWER(B2&amp;C2),"ё","е")," ","")</f>
        <v>петровпетр</v>
      </c>
      <c r="B2" t="s">
        <v>2299</v>
      </c>
      <c r="C2" t="s">
        <v>2342</v>
      </c>
      <c r="D2" t="s">
        <v>2343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Итог</vt:lpstr>
      <vt:lpstr>Список усл. форматирования</vt:lpstr>
      <vt:lpstr>Аудитории</vt:lpstr>
      <vt:lpstr>@Cords</vt:lpstr>
      <vt:lpstr>Одна ауд.</vt:lpstr>
      <vt:lpstr>Внешние 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Шашков</dc:creator>
  <cp:lastModifiedBy>Сергей Шашков</cp:lastModifiedBy>
  <dcterms:created xsi:type="dcterms:W3CDTF">2017-08-09T09:36:04Z</dcterms:created>
  <dcterms:modified xsi:type="dcterms:W3CDTF">2019-07-26T20:49:05Z</dcterms:modified>
</cp:coreProperties>
</file>